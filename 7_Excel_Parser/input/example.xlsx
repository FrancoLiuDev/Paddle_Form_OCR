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vmlDrawing4.vml" ContentType="application/vnd.openxmlformats-officedocument.vmlDrawing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工作表1" sheetId="1" state="hidden" r:id="rId2"/>
    <sheet name="門市請款明細表" sheetId="2" state="visible" r:id="rId3"/>
    <sheet name="撤機門市" sheetId="3" state="hidden" r:id="rId4"/>
    <sheet name="辦公室請款明細表" sheetId="4" state="hidden" r:id="rId5"/>
    <sheet name="請款明細表" sheetId="5" state="visible" r:id="rId6"/>
    <sheet name="門市機器統計表" sheetId="6" state="hidden" r:id="rId7"/>
    <sheet name="客編設定" sheetId="7" state="hidden" r:id="rId8"/>
    <sheet name="合約與計費" sheetId="8" state="hidden" r:id="rId9"/>
    <sheet name="DPCache_1968台" sheetId="9" state="hidden" r:id="rId10"/>
  </sheets>
  <definedNames>
    <definedName function="false" hidden="true" localSheetId="0" name="_xlnm._FilterDatabase" vbProcedure="false">工作表1!$F$3:$I$428</definedName>
    <definedName function="false" hidden="true" localSheetId="5" name="_xlnm._FilterDatabase" vbProcedure="false">門市機器統計表!$A$1:$N$433</definedName>
    <definedName function="false" hidden="true" localSheetId="1" name="_xlnm._FilterDatabase" vbProcedure="false">門市請款明細表!$A$2:$AE$1979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97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行銷四部</t>
        </r>
      </text>
    </comment>
    <comment ref="H197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行銷四部</t>
        </r>
      </text>
    </comment>
    <comment ref="I16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3/24</t>
        </r>
        <r>
          <rPr>
            <sz val="9"/>
            <color rgb="FF000000"/>
            <rFont val="細明體"/>
            <family val="3"/>
            <charset val="136"/>
          </rPr>
          <t xml:space="preserve">通知縮編</t>
        </r>
        <r>
          <rPr>
            <sz val="9"/>
            <color rgb="FF000000"/>
            <rFont val="Tahoma"/>
            <family val="2"/>
            <charset val="1"/>
          </rPr>
          <t xml:space="preserve">2</t>
        </r>
        <r>
          <rPr>
            <sz val="9"/>
            <color rgb="FF000000"/>
            <rFont val="細明體"/>
            <family val="3"/>
            <charset val="136"/>
          </rPr>
          <t xml:space="preserve">台，改為</t>
        </r>
        <r>
          <rPr>
            <sz val="9"/>
            <color rgb="FF000000"/>
            <rFont val="Tahoma"/>
            <family val="2"/>
            <charset val="1"/>
          </rPr>
          <t xml:space="preserve">10</t>
        </r>
        <r>
          <rPr>
            <sz val="9"/>
            <color rgb="FF000000"/>
            <rFont val="細明體"/>
            <family val="3"/>
            <charset val="136"/>
          </rPr>
          <t xml:space="preserve">台</t>
        </r>
      </text>
    </comment>
    <comment ref="J3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0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0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0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0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HP 4103fdn</t>
        </r>
      </text>
    </comment>
    <comment ref="J14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3/18</t>
        </r>
        <r>
          <rPr>
            <sz val="9"/>
            <color rgb="FF000000"/>
            <rFont val="細明體"/>
            <family val="3"/>
            <charset val="136"/>
          </rPr>
          <t xml:space="preserve">通知新增一台</t>
        </r>
      </text>
    </comment>
    <comment ref="J18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9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9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9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1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3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3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4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6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6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6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8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8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8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38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1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2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2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2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3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3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4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4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4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4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ApeosPrint 4620SDN
</t>
        </r>
        <r>
          <rPr>
            <sz val="9"/>
            <color rgb="FF000000"/>
            <rFont val="細明體"/>
            <family val="3"/>
            <charset val="136"/>
          </rPr>
          <t xml:space="preserve">原單功和連城互換多功</t>
        </r>
      </text>
    </comment>
    <comment ref="J45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Apeos 4620SDF
</t>
        </r>
        <r>
          <rPr>
            <sz val="9"/>
            <color rgb="FF000000"/>
            <rFont val="細明體"/>
            <family val="3"/>
            <charset val="136"/>
          </rPr>
          <t xml:space="preserve">原多功和永和換單功</t>
        </r>
      </text>
    </comment>
    <comment ref="J46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7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8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48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3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114.04.28</t>
        </r>
        <r>
          <rPr>
            <sz val="9"/>
            <color rgb="FF000000"/>
            <rFont val="細明體"/>
            <family val="3"/>
            <charset val="136"/>
          </rPr>
          <t xml:space="preserve">通初取品多功換單功</t>
        </r>
      </text>
    </comment>
    <comment ref="J64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5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5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5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7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7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7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8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8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68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1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1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1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2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3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3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3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6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6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6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78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114.05.13</t>
        </r>
        <r>
          <rPr>
            <sz val="9"/>
            <color rgb="FF000000"/>
            <rFont val="細明體"/>
            <family val="3"/>
            <charset val="136"/>
          </rPr>
          <t xml:space="preserve">舊機</t>
        </r>
        <r>
          <rPr>
            <sz val="9"/>
            <color rgb="FF000000"/>
            <rFont val="Tahoma"/>
            <family val="2"/>
            <charset val="1"/>
          </rPr>
          <t xml:space="preserve">Apeos C325dw</t>
        </r>
      </text>
    </comment>
    <comment ref="J78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114.05.13 Apeos C325dw</t>
        </r>
        <r>
          <rPr>
            <sz val="9"/>
            <color rgb="FF000000"/>
            <rFont val="細明體"/>
            <family val="3"/>
            <charset val="136"/>
          </rPr>
          <t xml:space="preserve">機器序號</t>
        </r>
        <r>
          <rPr>
            <sz val="9"/>
            <color rgb="FF000000"/>
            <rFont val="Tahoma"/>
            <family val="2"/>
            <charset val="1"/>
          </rPr>
          <t xml:space="preserve">NC7003462</t>
        </r>
      </text>
    </comment>
    <comment ref="J93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3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3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3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3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3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5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5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5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6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原北台中辦公室機器，因搬家後無機器需求移機至永豐門市</t>
        </r>
      </text>
    </comment>
    <comment ref="J96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96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0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10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22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HP 4003dn</t>
        </r>
      </text>
    </comment>
    <comment ref="J136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原</t>
        </r>
        <r>
          <rPr>
            <sz val="9"/>
            <color rgb="FF000000"/>
            <rFont val="Tahoma"/>
            <family val="2"/>
            <charset val="1"/>
          </rPr>
          <t xml:space="preserve">HP 4003dn</t>
        </r>
        <r>
          <rPr>
            <sz val="9"/>
            <color rgb="FF000000"/>
            <rFont val="細明體"/>
            <family val="3"/>
            <charset val="136"/>
          </rPr>
          <t xml:space="preserve">，州申請三單</t>
        </r>
        <r>
          <rPr>
            <sz val="9"/>
            <color rgb="FF000000"/>
            <rFont val="Tahoma"/>
            <family val="2"/>
            <charset val="1"/>
          </rPr>
          <t xml:space="preserve">+1</t>
        </r>
        <r>
          <rPr>
            <sz val="9"/>
            <color rgb="FF000000"/>
            <rFont val="細明體"/>
            <family val="3"/>
            <charset val="136"/>
          </rPr>
          <t xml:space="preserve">彩，到場後發現配置錯誤，改為兩單</t>
        </r>
        <r>
          <rPr>
            <sz val="9"/>
            <color rgb="FF000000"/>
            <rFont val="Tahoma"/>
            <family val="2"/>
            <charset val="1"/>
          </rPr>
          <t xml:space="preserve">+1</t>
        </r>
        <r>
          <rPr>
            <sz val="9"/>
            <color rgb="FF000000"/>
            <rFont val="細明體"/>
            <family val="3"/>
            <charset val="136"/>
          </rPr>
          <t xml:space="preserve">多功</t>
        </r>
        <r>
          <rPr>
            <sz val="9"/>
            <color rgb="FF000000"/>
            <rFont val="Tahoma"/>
            <family val="2"/>
            <charset val="1"/>
          </rPr>
          <t xml:space="preserve">+1</t>
        </r>
        <r>
          <rPr>
            <sz val="9"/>
            <color rgb="FF000000"/>
            <rFont val="細明體"/>
            <family val="3"/>
            <charset val="136"/>
          </rPr>
          <t xml:space="preserve">彩</t>
        </r>
      </text>
    </comment>
    <comment ref="J150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2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2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3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6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6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6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6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6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72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7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57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114.04.28 </t>
        </r>
        <r>
          <rPr>
            <sz val="9"/>
            <color rgb="FF000000"/>
            <rFont val="細明體"/>
            <family val="3"/>
            <charset val="136"/>
          </rPr>
          <t xml:space="preserve">新增多功一台</t>
        </r>
      </text>
    </comment>
    <comment ref="J193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J193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ApeosPrint 4620SDN</t>
        </r>
      </text>
    </comment>
    <comment ref="M56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看引擎頁面</t>
        </r>
      </text>
    </comment>
    <comment ref="M190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看引擎頁面總數</t>
        </r>
      </text>
    </comment>
    <comment ref="N560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看引擎頁面</t>
        </r>
      </text>
    </comment>
    <comment ref="N190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看引擎頁面總數</t>
        </r>
      </text>
    </comment>
    <comment ref="O147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登記成</t>
        </r>
        <r>
          <rPr>
            <sz val="9"/>
            <color rgb="FF000000"/>
            <rFont val="Tahoma"/>
            <family val="2"/>
            <charset val="1"/>
          </rPr>
          <t xml:space="preserve">15921</t>
        </r>
        <r>
          <rPr>
            <sz val="9"/>
            <color rgb="FF000000"/>
            <rFont val="細明體"/>
            <family val="3"/>
            <charset val="136"/>
          </rPr>
          <t xml:space="preserve">頁，正確為</t>
        </r>
        <r>
          <rPr>
            <sz val="9"/>
            <color rgb="FF000000"/>
            <rFont val="Tahoma"/>
            <family val="2"/>
            <charset val="1"/>
          </rPr>
          <t xml:space="preserve">1592</t>
        </r>
        <r>
          <rPr>
            <sz val="9"/>
            <color rgb="FF000000"/>
            <rFont val="細明體"/>
            <family val="3"/>
            <charset val="136"/>
          </rPr>
          <t xml:space="preserve">頁
</t>
        </r>
        <r>
          <rPr>
            <sz val="9"/>
            <color rgb="FF000000"/>
            <rFont val="Tahoma"/>
            <family val="2"/>
            <charset val="1"/>
          </rPr>
          <t xml:space="preserve">1592-1321=271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15921-1321=14600</t>
        </r>
        <r>
          <rPr>
            <sz val="9"/>
            <color rgb="FF000000"/>
            <rFont val="細明體"/>
            <family val="3"/>
            <charset val="136"/>
          </rPr>
          <t xml:space="preserve">申請印量
</t>
        </r>
        <r>
          <rPr>
            <sz val="9"/>
            <color rgb="FF000000"/>
            <rFont val="Tahoma"/>
            <family val="2"/>
            <charset val="1"/>
          </rPr>
          <t xml:space="preserve">271-14600=-14329</t>
        </r>
        <r>
          <rPr>
            <sz val="9"/>
            <color rgb="FF000000"/>
            <rFont val="細明體"/>
            <family val="3"/>
            <charset val="136"/>
          </rPr>
          <t xml:space="preserve">多申請印量
</t>
        </r>
      </text>
    </comment>
    <comment ref="O1977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:5099-3380=1719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:5629-5099=530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671-3380=2709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O197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:447-371=76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:515-447=68</t>
        </r>
        <r>
          <rPr>
            <sz val="9"/>
            <color rgb="FF000000"/>
            <rFont val="細明體"/>
            <family val="3"/>
            <charset val="136"/>
          </rPr>
          <t xml:space="preserve">實際列印量
</t>
        </r>
        <r>
          <rPr>
            <sz val="9"/>
            <color rgb="FF000000"/>
            <rFont val="Tahoma"/>
            <family val="2"/>
            <charset val="1"/>
          </rPr>
          <t xml:space="preserve">80-371=-291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W1979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:31-24=4</t>
        </r>
        <r>
          <rPr>
            <sz val="9"/>
            <color rgb="FF000000"/>
            <rFont val="細明體"/>
            <family val="3"/>
            <charset val="136"/>
          </rPr>
          <t xml:space="preserve">幟際列印量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:33-31=2</t>
        </r>
        <r>
          <rPr>
            <sz val="9"/>
            <color rgb="FF000000"/>
            <rFont val="細明體"/>
            <family val="3"/>
            <charset val="136"/>
          </rPr>
          <t xml:space="preserve">實際列印量
</t>
        </r>
        <r>
          <rPr>
            <sz val="9"/>
            <color rgb="FF000000"/>
            <rFont val="Tahoma"/>
            <family val="2"/>
            <charset val="1"/>
          </rPr>
          <t xml:space="preserve">3-27=-24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114.05.02</t>
        </r>
        <r>
          <rPr>
            <sz val="9"/>
            <color rgb="FF000000"/>
            <rFont val="細明體"/>
            <family val="3"/>
            <charset val="136"/>
          </rPr>
          <t xml:space="preserve">撤機</t>
        </r>
      </text>
    </comment>
    <comment ref="L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114.05.02</t>
        </r>
        <r>
          <rPr>
            <sz val="9"/>
            <color rgb="FF000000"/>
            <rFont val="細明體"/>
            <family val="3"/>
            <charset val="136"/>
          </rPr>
          <t xml:space="preserve">撤機</t>
        </r>
      </text>
    </comment>
    <comment ref="L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114.05.02</t>
        </r>
        <r>
          <rPr>
            <sz val="9"/>
            <color rgb="FF000000"/>
            <rFont val="細明體"/>
            <family val="3"/>
            <charset val="136"/>
          </rPr>
          <t xml:space="preserve">撤機</t>
        </r>
      </text>
    </comment>
    <comment ref="L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114.05.02</t>
        </r>
        <r>
          <rPr>
            <sz val="9"/>
            <color rgb="FF000000"/>
            <rFont val="細明體"/>
            <family val="3"/>
            <charset val="136"/>
          </rPr>
          <t xml:space="preserve">撤機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3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行銷四部</t>
        </r>
      </text>
    </comment>
    <comment ref="H5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細明體"/>
            <family val="3"/>
            <charset val="136"/>
          </rPr>
          <t xml:space="preserve">行銷四部</t>
        </r>
      </text>
    </comment>
    <comment ref="U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7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:370-105=265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265-370=-105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U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7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3380-2709=671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671-3380=2709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U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7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:371-291=80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80-371=-291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X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7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:370-105=265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265-370=-105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X6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:5099-3380=1719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:5629-5099=530</t>
        </r>
        <r>
          <rPr>
            <sz val="9"/>
            <color rgb="FF000000"/>
            <rFont val="細明體"/>
            <family val="3"/>
            <charset val="136"/>
          </rPr>
          <t xml:space="preserve">實際印量
2709-1719-530=460
</t>
        </r>
        <r>
          <rPr>
            <sz val="9"/>
            <color rgb="FF000000"/>
            <rFont val="Tahoma"/>
            <family val="2"/>
            <charset val="1"/>
          </rPr>
          <t xml:space="preserve">671-3380=2709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X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:447-371=76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:515-447=68</t>
        </r>
        <r>
          <rPr>
            <sz val="9"/>
            <color rgb="FF000000"/>
            <rFont val="細明體"/>
            <family val="3"/>
            <charset val="136"/>
          </rPr>
          <t xml:space="preserve">實際列印量
291-76-68=147
</t>
        </r>
        <r>
          <rPr>
            <sz val="9"/>
            <color rgb="FF000000"/>
            <rFont val="Tahoma"/>
            <family val="2"/>
            <charset val="1"/>
          </rPr>
          <t xml:space="preserve">80-371=-291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AK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7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100-59=41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41-100=-59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AK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7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:27-24=3</t>
        </r>
        <r>
          <rPr>
            <sz val="9"/>
            <color rgb="FF000000"/>
            <rFont val="細明體"/>
            <family val="3"/>
            <charset val="136"/>
          </rPr>
          <t xml:space="preserve">實際列印量
</t>
        </r>
        <r>
          <rPr>
            <sz val="9"/>
            <color rgb="FF000000"/>
            <rFont val="Tahoma"/>
            <family val="2"/>
            <charset val="1"/>
          </rPr>
          <t xml:space="preserve">3-27=-24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AN4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122-100=22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222-122=100</t>
        </r>
        <r>
          <rPr>
            <sz val="9"/>
            <color rgb="FF000000"/>
            <rFont val="細明體"/>
            <family val="3"/>
            <charset val="136"/>
          </rPr>
          <t xml:space="preserve">實際印量
</t>
        </r>
        <r>
          <rPr>
            <sz val="9"/>
            <color rgb="FF000000"/>
            <rFont val="Tahoma"/>
            <family val="2"/>
            <charset val="1"/>
          </rPr>
          <t xml:space="preserve">41-100=-59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  <comment ref="AN8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8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:31-24=4</t>
        </r>
        <r>
          <rPr>
            <sz val="9"/>
            <color rgb="FF000000"/>
            <rFont val="細明體"/>
            <family val="3"/>
            <charset val="136"/>
          </rPr>
          <t xml:space="preserve">幟際列印量
</t>
        </r>
        <r>
          <rPr>
            <sz val="9"/>
            <color rgb="FF000000"/>
            <rFont val="Tahoma"/>
            <family val="2"/>
            <charset val="1"/>
          </rPr>
          <t xml:space="preserve">9</t>
        </r>
        <r>
          <rPr>
            <sz val="9"/>
            <color rgb="FF000000"/>
            <rFont val="細明體"/>
            <family val="3"/>
            <charset val="136"/>
          </rPr>
          <t xml:space="preserve">月列印量</t>
        </r>
        <r>
          <rPr>
            <sz val="9"/>
            <color rgb="FF000000"/>
            <rFont val="Tahoma"/>
            <family val="2"/>
            <charset val="1"/>
          </rPr>
          <t xml:space="preserve">:33-31=2</t>
        </r>
        <r>
          <rPr>
            <sz val="9"/>
            <color rgb="FF000000"/>
            <rFont val="細明體"/>
            <family val="3"/>
            <charset val="136"/>
          </rPr>
          <t xml:space="preserve">實際列印量
</t>
        </r>
        <r>
          <rPr>
            <sz val="9"/>
            <color rgb="FF000000"/>
            <rFont val="Tahoma"/>
            <family val="2"/>
            <charset val="1"/>
          </rPr>
          <t xml:space="preserve">3-27=-24</t>
        </r>
        <r>
          <rPr>
            <sz val="9"/>
            <color rgb="FF000000"/>
            <rFont val="細明體"/>
            <family val="3"/>
            <charset val="136"/>
          </rPr>
          <t xml:space="preserve">多申請印量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1" authorId="0">
      <text>
        <r>
          <rPr>
            <sz val="12"/>
            <color rgb="FF000000"/>
            <rFont val="新細明體"/>
            <family val="2"/>
            <charset val="136"/>
          </rPr>
          <t xml:space="preserve">eve:
</t>
        </r>
        <r>
          <rPr>
            <sz val="9"/>
            <color rgb="FF000000"/>
            <rFont val="Tahoma"/>
            <family val="2"/>
            <charset val="1"/>
          </rPr>
          <t xml:space="preserve">3/24</t>
        </r>
        <r>
          <rPr>
            <sz val="9"/>
            <color rgb="FF000000"/>
            <rFont val="細明體"/>
            <family val="3"/>
            <charset val="136"/>
          </rPr>
          <t xml:space="preserve">通知縮編</t>
        </r>
        <r>
          <rPr>
            <sz val="9"/>
            <color rgb="FF000000"/>
            <rFont val="Tahoma"/>
            <family val="2"/>
            <charset val="1"/>
          </rPr>
          <t xml:space="preserve">2</t>
        </r>
        <r>
          <rPr>
            <sz val="9"/>
            <color rgb="FF000000"/>
            <rFont val="細明體"/>
            <family val="3"/>
            <charset val="136"/>
          </rPr>
          <t xml:space="preserve">台，改為</t>
        </r>
        <r>
          <rPr>
            <sz val="9"/>
            <color rgb="FF000000"/>
            <rFont val="Tahoma"/>
            <family val="2"/>
            <charset val="1"/>
          </rPr>
          <t xml:space="preserve">10</t>
        </r>
        <r>
          <rPr>
            <sz val="9"/>
            <color rgb="FF000000"/>
            <rFont val="細明體"/>
            <family val="3"/>
            <charset val="136"/>
          </rPr>
          <t xml:space="preserve">台</t>
        </r>
      </text>
    </comment>
  </commentList>
</comments>
</file>

<file path=xl/sharedStrings.xml><?xml version="1.0" encoding="utf-8"?>
<sst xmlns="http://schemas.openxmlformats.org/spreadsheetml/2006/main" count="39319" uniqueCount="9884">
  <si>
    <t xml:space="preserve">門市</t>
  </si>
  <si>
    <t xml:space="preserve">計數 - 機型</t>
  </si>
  <si>
    <t xml:space="preserve">列標籤</t>
  </si>
  <si>
    <t xml:space="preserve">一中</t>
  </si>
  <si>
    <t xml:space="preserve">七堵</t>
  </si>
  <si>
    <t xml:space="preserve">二水</t>
  </si>
  <si>
    <t xml:space="preserve">二林</t>
  </si>
  <si>
    <t xml:space="preserve">二崙</t>
  </si>
  <si>
    <t xml:space="preserve">八里</t>
  </si>
  <si>
    <t xml:space="preserve">八德</t>
  </si>
  <si>
    <t xml:space="preserve">八德大湳</t>
  </si>
  <si>
    <t xml:space="preserve">力行</t>
  </si>
  <si>
    <t xml:space="preserve">力行辦公室</t>
  </si>
  <si>
    <t xml:space="preserve">十甲</t>
  </si>
  <si>
    <t xml:space="preserve">十全</t>
  </si>
  <si>
    <t xml:space="preserve">三多</t>
  </si>
  <si>
    <t xml:space="preserve">三芝</t>
  </si>
  <si>
    <t xml:space="preserve">三星</t>
  </si>
  <si>
    <t xml:space="preserve">三重</t>
  </si>
  <si>
    <t xml:space="preserve">三重正義</t>
  </si>
  <si>
    <t xml:space="preserve">三峽</t>
  </si>
  <si>
    <t xml:space="preserve">三峽復興</t>
  </si>
  <si>
    <t xml:space="preserve">三義</t>
  </si>
  <si>
    <t xml:space="preserve">下營</t>
  </si>
  <si>
    <t xml:space="preserve">口湖</t>
  </si>
  <si>
    <t xml:space="preserve">土城</t>
  </si>
  <si>
    <t xml:space="preserve">土庫</t>
  </si>
  <si>
    <t xml:space="preserve">士林</t>
  </si>
  <si>
    <t xml:space="preserve">士林夜市</t>
  </si>
  <si>
    <t xml:space="preserve">大甲</t>
  </si>
  <si>
    <t xml:space="preserve">大同</t>
  </si>
  <si>
    <t xml:space="preserve">大安</t>
  </si>
  <si>
    <t xml:space="preserve">大有</t>
  </si>
  <si>
    <t xml:space="preserve">大竹</t>
  </si>
  <si>
    <t xml:space="preserve">大肚</t>
  </si>
  <si>
    <t xml:space="preserve">大里</t>
  </si>
  <si>
    <t xml:space="preserve">大坪林</t>
  </si>
  <si>
    <t xml:space="preserve">大昌</t>
  </si>
  <si>
    <t xml:space="preserve">大林</t>
  </si>
  <si>
    <t xml:space="preserve">大武</t>
  </si>
  <si>
    <t xml:space="preserve">大直</t>
  </si>
  <si>
    <t xml:space="preserve">大城</t>
  </si>
  <si>
    <t xml:space="preserve">大埔</t>
  </si>
  <si>
    <t xml:space="preserve">大埤</t>
  </si>
  <si>
    <t xml:space="preserve">大湖</t>
  </si>
  <si>
    <t xml:space="preserve">大雅</t>
  </si>
  <si>
    <t xml:space="preserve">大順</t>
  </si>
  <si>
    <t xml:space="preserve">大園</t>
  </si>
  <si>
    <t xml:space="preserve">大業</t>
  </si>
  <si>
    <t xml:space="preserve">大溪</t>
  </si>
  <si>
    <t xml:space="preserve">大墩</t>
  </si>
  <si>
    <t xml:space="preserve">大寮</t>
  </si>
  <si>
    <t xml:space="preserve">大稻埕</t>
  </si>
  <si>
    <t xml:space="preserve">大龍峒</t>
  </si>
  <si>
    <t xml:space="preserve">小港</t>
  </si>
  <si>
    <t xml:space="preserve">小港機場</t>
  </si>
  <si>
    <t xml:space="preserve">山仔頂</t>
  </si>
  <si>
    <t xml:space="preserve">工學</t>
  </si>
  <si>
    <t xml:space="preserve">中和南山</t>
  </si>
  <si>
    <t xml:space="preserve">中原</t>
  </si>
  <si>
    <t xml:space="preserve">中埔</t>
  </si>
  <si>
    <t xml:space="preserve">中興</t>
  </si>
  <si>
    <t xml:space="preserve">中壢</t>
  </si>
  <si>
    <t xml:space="preserve">五分埔</t>
  </si>
  <si>
    <t xml:space="preserve">五甲</t>
  </si>
  <si>
    <t xml:space="preserve">五股</t>
  </si>
  <si>
    <t xml:space="preserve">五福</t>
  </si>
  <si>
    <t xml:space="preserve">仁和</t>
  </si>
  <si>
    <t xml:space="preserve">仁昌</t>
  </si>
  <si>
    <t xml:space="preserve">仁武</t>
  </si>
  <si>
    <t xml:space="preserve">仁壽</t>
  </si>
  <si>
    <t xml:space="preserve">仁德</t>
  </si>
  <si>
    <t xml:space="preserve">元長</t>
  </si>
  <si>
    <t xml:space="preserve">內埔</t>
  </si>
  <si>
    <t xml:space="preserve">內湖</t>
  </si>
  <si>
    <t xml:space="preserve">內湖成功</t>
  </si>
  <si>
    <t xml:space="preserve">內壢</t>
  </si>
  <si>
    <t xml:space="preserve">內壢忠孝</t>
  </si>
  <si>
    <t xml:space="preserve">六甲</t>
  </si>
  <si>
    <t xml:space="preserve">六家</t>
  </si>
  <si>
    <t xml:space="preserve">六龜</t>
  </si>
  <si>
    <t xml:space="preserve">天后</t>
  </si>
  <si>
    <t xml:space="preserve">太平</t>
  </si>
  <si>
    <t xml:space="preserve">太保</t>
  </si>
  <si>
    <t xml:space="preserve">太麻里</t>
  </si>
  <si>
    <t xml:space="preserve">文山</t>
  </si>
  <si>
    <t xml:space="preserve">文心</t>
  </si>
  <si>
    <t xml:space="preserve">文信</t>
  </si>
  <si>
    <t xml:space="preserve">文賢</t>
  </si>
  <si>
    <t xml:space="preserve">斗六</t>
  </si>
  <si>
    <t xml:space="preserve">斗南</t>
  </si>
  <si>
    <t xml:space="preserve">日月潭</t>
  </si>
  <si>
    <t xml:space="preserve">日南</t>
  </si>
  <si>
    <t xml:space="preserve">木柵</t>
  </si>
  <si>
    <t xml:space="preserve">水上</t>
  </si>
  <si>
    <t xml:space="preserve">水里</t>
  </si>
  <si>
    <t xml:space="preserve">水林</t>
  </si>
  <si>
    <t xml:space="preserve">王功</t>
  </si>
  <si>
    <t xml:space="preserve">冬山</t>
  </si>
  <si>
    <t xml:space="preserve">北大</t>
  </si>
  <si>
    <t xml:space="preserve">北斗</t>
  </si>
  <si>
    <t xml:space="preserve">北台中</t>
  </si>
  <si>
    <t xml:space="preserve">北台中辦公室</t>
  </si>
  <si>
    <t xml:space="preserve">北投</t>
  </si>
  <si>
    <t xml:space="preserve">北投中和</t>
  </si>
  <si>
    <t xml:space="preserve">北埔</t>
  </si>
  <si>
    <t xml:space="preserve">北港</t>
  </si>
  <si>
    <t xml:space="preserve">古坑</t>
  </si>
  <si>
    <t xml:space="preserve">台中公益</t>
  </si>
  <si>
    <t xml:space="preserve">台中北屯</t>
  </si>
  <si>
    <t xml:space="preserve">台中永安</t>
  </si>
  <si>
    <t xml:space="preserve">台中東山</t>
  </si>
  <si>
    <t xml:space="preserve">台中東興</t>
  </si>
  <si>
    <t xml:space="preserve">台中學府</t>
  </si>
  <si>
    <t xml:space="preserve">台中機場</t>
  </si>
  <si>
    <t xml:space="preserve">台北三創</t>
  </si>
  <si>
    <t xml:space="preserve">台北公園</t>
  </si>
  <si>
    <t xml:space="preserve">台北公館</t>
  </si>
  <si>
    <t xml:space="preserve">台北木新</t>
  </si>
  <si>
    <t xml:space="preserve">台北北區</t>
  </si>
  <si>
    <t xml:space="preserve">台北民生</t>
  </si>
  <si>
    <t xml:space="preserve">台北光復</t>
  </si>
  <si>
    <t xml:space="preserve">台北忠孝</t>
  </si>
  <si>
    <t xml:space="preserve">台北東門</t>
  </si>
  <si>
    <t xml:space="preserve">台北東區</t>
  </si>
  <si>
    <t xml:space="preserve">台北東湖</t>
  </si>
  <si>
    <t xml:space="preserve">台北松江</t>
  </si>
  <si>
    <t xml:space="preserve">台北南區</t>
  </si>
  <si>
    <t xml:space="preserve">台北師大</t>
  </si>
  <si>
    <t xml:space="preserve">台北通化</t>
  </si>
  <si>
    <t xml:space="preserve">台北博愛</t>
  </si>
  <si>
    <t xml:space="preserve">台北敦北</t>
  </si>
  <si>
    <t xml:space="preserve">台西</t>
  </si>
  <si>
    <t xml:space="preserve">台東</t>
  </si>
  <si>
    <t xml:space="preserve">台東成功</t>
  </si>
  <si>
    <t xml:space="preserve">台南</t>
  </si>
  <si>
    <t xml:space="preserve">台南中華</t>
  </si>
  <si>
    <t xml:space="preserve">台南公園</t>
  </si>
  <si>
    <t xml:space="preserve">台南成功</t>
  </si>
  <si>
    <t xml:space="preserve">台南東門</t>
  </si>
  <si>
    <t xml:space="preserve">右昌</t>
  </si>
  <si>
    <t xml:space="preserve">四湖</t>
  </si>
  <si>
    <t xml:space="preserve">左營</t>
  </si>
  <si>
    <t xml:space="preserve">布袋</t>
  </si>
  <si>
    <t xml:space="preserve">平鎮</t>
  </si>
  <si>
    <t xml:space="preserve">民雄</t>
  </si>
  <si>
    <t xml:space="preserve">民興</t>
  </si>
  <si>
    <t xml:space="preserve">永安</t>
  </si>
  <si>
    <t xml:space="preserve">永和</t>
  </si>
  <si>
    <t xml:space="preserve">永和中正</t>
  </si>
  <si>
    <t xml:space="preserve">永康</t>
  </si>
  <si>
    <t xml:space="preserve">永康中山</t>
  </si>
  <si>
    <t xml:space="preserve">永靖</t>
  </si>
  <si>
    <t xml:space="preserve">永福</t>
  </si>
  <si>
    <t xml:space="preserve">永豐</t>
  </si>
  <si>
    <t xml:space="preserve">玉井</t>
  </si>
  <si>
    <t xml:space="preserve">玉里</t>
  </si>
  <si>
    <t xml:space="preserve">田中</t>
  </si>
  <si>
    <t xml:space="preserve">白沙</t>
  </si>
  <si>
    <t xml:space="preserve">白河</t>
  </si>
  <si>
    <t xml:space="preserve">石牌</t>
  </si>
  <si>
    <t xml:space="preserve">立法院</t>
  </si>
  <si>
    <t xml:space="preserve">光彩</t>
  </si>
  <si>
    <t xml:space="preserve">光復</t>
  </si>
  <si>
    <t xml:space="preserve">吉安</t>
  </si>
  <si>
    <t xml:space="preserve">名間</t>
  </si>
  <si>
    <t xml:space="preserve">后里</t>
  </si>
  <si>
    <t xml:space="preserve">安一</t>
  </si>
  <si>
    <t xml:space="preserve">安中</t>
  </si>
  <si>
    <t xml:space="preserve">安南</t>
  </si>
  <si>
    <t xml:space="preserve">安康</t>
  </si>
  <si>
    <t xml:space="preserve">安樂</t>
  </si>
  <si>
    <t xml:space="preserve">成大</t>
  </si>
  <si>
    <t xml:space="preserve">朴子</t>
  </si>
  <si>
    <t xml:space="preserve">汐止</t>
  </si>
  <si>
    <t xml:space="preserve">汐止福德</t>
  </si>
  <si>
    <t xml:space="preserve">江翠</t>
  </si>
  <si>
    <t xml:space="preserve">池上</t>
  </si>
  <si>
    <t xml:space="preserve">竹山</t>
  </si>
  <si>
    <t xml:space="preserve">竹北</t>
  </si>
  <si>
    <t xml:space="preserve">竹東</t>
  </si>
  <si>
    <t xml:space="preserve">竹南</t>
  </si>
  <si>
    <t xml:space="preserve">竹崎</t>
  </si>
  <si>
    <t xml:space="preserve">竹圍</t>
  </si>
  <si>
    <t xml:space="preserve">竹塘</t>
  </si>
  <si>
    <t xml:space="preserve">至聖</t>
  </si>
  <si>
    <t xml:space="preserve">西子灣</t>
  </si>
  <si>
    <t xml:space="preserve">西門町</t>
  </si>
  <si>
    <t xml:space="preserve">西港</t>
  </si>
  <si>
    <t xml:space="preserve">西嶼</t>
  </si>
  <si>
    <t xml:space="preserve">西螺</t>
  </si>
  <si>
    <t xml:space="preserve">伸港</t>
  </si>
  <si>
    <t xml:space="preserve">沙鹿</t>
  </si>
  <si>
    <t xml:space="preserve">沙鹿中山</t>
  </si>
  <si>
    <t xml:space="preserve">里港</t>
  </si>
  <si>
    <t xml:space="preserve">佳冬</t>
  </si>
  <si>
    <t xml:space="preserve">佳里延平</t>
  </si>
  <si>
    <t xml:space="preserve">卓蘭</t>
  </si>
  <si>
    <t xml:space="preserve">和平</t>
  </si>
  <si>
    <t xml:space="preserve">和美</t>
  </si>
  <si>
    <t xml:space="preserve">宜大</t>
  </si>
  <si>
    <t xml:space="preserve">宜蘭</t>
  </si>
  <si>
    <t xml:space="preserve">岡山</t>
  </si>
  <si>
    <t xml:space="preserve">岡德</t>
  </si>
  <si>
    <t xml:space="preserve">府中</t>
  </si>
  <si>
    <t xml:space="preserve">明志</t>
  </si>
  <si>
    <t xml:space="preserve">明道</t>
  </si>
  <si>
    <t xml:space="preserve">東石</t>
  </si>
  <si>
    <t xml:space="preserve">東港</t>
  </si>
  <si>
    <t xml:space="preserve">東勢</t>
  </si>
  <si>
    <t xml:space="preserve">東勢厝</t>
  </si>
  <si>
    <t xml:space="preserve">松山機場</t>
  </si>
  <si>
    <t xml:space="preserve">板橋</t>
  </si>
  <si>
    <t xml:space="preserve">板橋三民</t>
  </si>
  <si>
    <t xml:space="preserve">板橋四維</t>
  </si>
  <si>
    <t xml:space="preserve">板橋新埔</t>
  </si>
  <si>
    <t xml:space="preserve">枋寮</t>
  </si>
  <si>
    <t xml:space="preserve">林口</t>
  </si>
  <si>
    <t xml:space="preserve">林口忠孝</t>
  </si>
  <si>
    <t xml:space="preserve">林內</t>
  </si>
  <si>
    <t xml:space="preserve">林森</t>
  </si>
  <si>
    <t xml:space="preserve">林園</t>
  </si>
  <si>
    <t xml:space="preserve">林邊</t>
  </si>
  <si>
    <t xml:space="preserve">武慶</t>
  </si>
  <si>
    <t xml:space="preserve">知本</t>
  </si>
  <si>
    <t xml:space="preserve">社子</t>
  </si>
  <si>
    <t xml:space="preserve">社頭</t>
  </si>
  <si>
    <t xml:space="preserve">芝山</t>
  </si>
  <si>
    <t xml:space="preserve">芬園</t>
  </si>
  <si>
    <t xml:space="preserve">花蓮</t>
  </si>
  <si>
    <t xml:space="preserve">花壇</t>
  </si>
  <si>
    <t xml:space="preserve">虎尾</t>
  </si>
  <si>
    <t xml:space="preserve">虎科</t>
  </si>
  <si>
    <t xml:space="preserve">金山</t>
  </si>
  <si>
    <t xml:space="preserve">金城</t>
  </si>
  <si>
    <t xml:space="preserve">長春</t>
  </si>
  <si>
    <t xml:space="preserve">阿蓮</t>
  </si>
  <si>
    <t xml:space="preserve">南屯</t>
  </si>
  <si>
    <t xml:space="preserve">南台中</t>
  </si>
  <si>
    <t xml:space="preserve">南庄</t>
  </si>
  <si>
    <t xml:space="preserve">南投</t>
  </si>
  <si>
    <t xml:space="preserve">南京東</t>
  </si>
  <si>
    <t xml:space="preserve">南科</t>
  </si>
  <si>
    <t xml:space="preserve">南崁</t>
  </si>
  <si>
    <t xml:space="preserve">南崗</t>
  </si>
  <si>
    <t xml:space="preserve">南港</t>
  </si>
  <si>
    <t xml:space="preserve">南勢角</t>
  </si>
  <si>
    <t xml:space="preserve">南機場</t>
  </si>
  <si>
    <t xml:space="preserve">建工</t>
  </si>
  <si>
    <t xml:space="preserve">建國</t>
  </si>
  <si>
    <t xml:space="preserve">建新</t>
  </si>
  <si>
    <t xml:space="preserve">後港</t>
  </si>
  <si>
    <t xml:space="preserve">後龍</t>
  </si>
  <si>
    <t xml:space="preserve">恆春</t>
  </si>
  <si>
    <t xml:space="preserve">科園</t>
  </si>
  <si>
    <t xml:space="preserve">美村</t>
  </si>
  <si>
    <t xml:space="preserve">美濃</t>
  </si>
  <si>
    <t xml:space="preserve">苑裡</t>
  </si>
  <si>
    <t xml:space="preserve">苗栗</t>
  </si>
  <si>
    <t xml:space="preserve">苗栗公館</t>
  </si>
  <si>
    <t xml:space="preserve">茄萣</t>
  </si>
  <si>
    <t xml:space="preserve">員林</t>
  </si>
  <si>
    <t xml:space="preserve">埔里</t>
  </si>
  <si>
    <t xml:space="preserve">埔里中正</t>
  </si>
  <si>
    <t xml:space="preserve">桂林</t>
  </si>
  <si>
    <t xml:space="preserve">桃園</t>
  </si>
  <si>
    <t xml:space="preserve">桃園中平</t>
  </si>
  <si>
    <t xml:space="preserve">桃園夜市</t>
  </si>
  <si>
    <t xml:space="preserve">桃園國際機場服務中心(桃園國際機場部)</t>
  </si>
  <si>
    <t xml:space="preserve">桃園國際機場服務中心(桃園國際機場部)桃園機場一航廈入境管制區</t>
  </si>
  <si>
    <t xml:space="preserve">桃園國際機場服務中心(桃園國際機場部)桃園機場一航廈出境</t>
  </si>
  <si>
    <t xml:space="preserve">桃園國際機場服務中心(桃園國際機場部)桃園機場二航廈入境</t>
  </si>
  <si>
    <t xml:space="preserve">桃園國際機場服務中心(桃園國際機場部)桃園機場二航廈出境</t>
  </si>
  <si>
    <t xml:space="preserve">桃園國際機場服務中心(桃園國際機場部)管制區</t>
  </si>
  <si>
    <t xml:space="preserve">桃園復興</t>
  </si>
  <si>
    <t xml:space="preserve">桃園辦公室</t>
  </si>
  <si>
    <t xml:space="preserve">桃鶯</t>
  </si>
  <si>
    <t xml:space="preserve">泰明</t>
  </si>
  <si>
    <t xml:space="preserve">海山捷運</t>
  </si>
  <si>
    <t xml:space="preserve">烏日</t>
  </si>
  <si>
    <t xml:space="preserve">琉球</t>
  </si>
  <si>
    <t xml:space="preserve">站前</t>
  </si>
  <si>
    <t xml:space="preserve">草屯</t>
  </si>
  <si>
    <t xml:space="preserve">馬公</t>
  </si>
  <si>
    <t xml:space="preserve">高雄</t>
  </si>
  <si>
    <t xml:space="preserve">高雄文化</t>
  </si>
  <si>
    <t xml:space="preserve">高雄民族</t>
  </si>
  <si>
    <t xml:space="preserve">高雄自由</t>
  </si>
  <si>
    <t xml:space="preserve">高雄美術館</t>
  </si>
  <si>
    <t xml:space="preserve">高雄復興</t>
  </si>
  <si>
    <t xml:space="preserve">高雄華夏</t>
  </si>
  <si>
    <t xml:space="preserve">高雄辦公室</t>
  </si>
  <si>
    <t xml:space="preserve">國光</t>
  </si>
  <si>
    <t xml:space="preserve">國姓</t>
  </si>
  <si>
    <t xml:space="preserve">國際</t>
  </si>
  <si>
    <t xml:space="preserve">埤頭</t>
  </si>
  <si>
    <t xml:space="preserve">基隆</t>
  </si>
  <si>
    <t xml:space="preserve">將軍</t>
  </si>
  <si>
    <t xml:space="preserve">崇德</t>
  </si>
  <si>
    <t xml:space="preserve">崇德捷運</t>
  </si>
  <si>
    <t xml:space="preserve">崙背</t>
  </si>
  <si>
    <t xml:space="preserve">康寧</t>
  </si>
  <si>
    <t xml:space="preserve">曹公</t>
  </si>
  <si>
    <t xml:space="preserve">梅山</t>
  </si>
  <si>
    <t xml:space="preserve">梧棲</t>
  </si>
  <si>
    <t xml:space="preserve">梨山</t>
  </si>
  <si>
    <t xml:space="preserve">淡水</t>
  </si>
  <si>
    <t xml:space="preserve">淡水捷運</t>
  </si>
  <si>
    <t xml:space="preserve">淡水新市</t>
  </si>
  <si>
    <t xml:space="preserve">深坑</t>
  </si>
  <si>
    <t xml:space="preserve">清水</t>
  </si>
  <si>
    <t xml:space="preserve">通霄</t>
  </si>
  <si>
    <t xml:space="preserve">逢甲</t>
  </si>
  <si>
    <t xml:space="preserve">連城</t>
  </si>
  <si>
    <t xml:space="preserve">頂好</t>
  </si>
  <si>
    <t xml:space="preserve">魚池</t>
  </si>
  <si>
    <t xml:space="preserve">鹿谷</t>
  </si>
  <si>
    <t xml:space="preserve">鹿草</t>
  </si>
  <si>
    <t xml:space="preserve">鹿港</t>
  </si>
  <si>
    <t xml:space="preserve">麥寮</t>
  </si>
  <si>
    <t xml:space="preserve">麻豆</t>
  </si>
  <si>
    <t xml:space="preserve">善化</t>
  </si>
  <si>
    <t xml:space="preserve">富里</t>
  </si>
  <si>
    <t xml:space="preserve">惠來</t>
  </si>
  <si>
    <t xml:space="preserve">敦南</t>
  </si>
  <si>
    <t xml:space="preserve">景文</t>
  </si>
  <si>
    <t xml:space="preserve">景安捷運</t>
  </si>
  <si>
    <t xml:space="preserve">景美</t>
  </si>
  <si>
    <t xml:space="preserve">湖口</t>
  </si>
  <si>
    <t xml:space="preserve">湖西</t>
  </si>
  <si>
    <t xml:space="preserve">莿桐</t>
  </si>
  <si>
    <t xml:space="preserve">華平</t>
  </si>
  <si>
    <t xml:space="preserve">華美</t>
  </si>
  <si>
    <t xml:space="preserve">華榮</t>
  </si>
  <si>
    <t xml:space="preserve">陽明山</t>
  </si>
  <si>
    <t xml:space="preserve">集集</t>
  </si>
  <si>
    <t xml:space="preserve">集賢</t>
  </si>
  <si>
    <t xml:space="preserve">雲科</t>
  </si>
  <si>
    <t xml:space="preserve">塗城</t>
  </si>
  <si>
    <t xml:space="preserve">新化</t>
  </si>
  <si>
    <t xml:space="preserve">新市中正</t>
  </si>
  <si>
    <t xml:space="preserve">新竹</t>
  </si>
  <si>
    <t xml:space="preserve">新竹民生</t>
  </si>
  <si>
    <t xml:space="preserve">新竹博愛</t>
  </si>
  <si>
    <t xml:space="preserve">新店</t>
  </si>
  <si>
    <t xml:space="preserve">新城</t>
  </si>
  <si>
    <t xml:space="preserve">新屋</t>
  </si>
  <si>
    <t xml:space="preserve">新埔</t>
  </si>
  <si>
    <t xml:space="preserve">新莊</t>
  </si>
  <si>
    <t xml:space="preserve">新莊中平</t>
  </si>
  <si>
    <t xml:space="preserve">新莊民安</t>
  </si>
  <si>
    <t xml:space="preserve">新莊幸福</t>
  </si>
  <si>
    <t xml:space="preserve">新港</t>
  </si>
  <si>
    <t xml:space="preserve">新園</t>
  </si>
  <si>
    <t xml:space="preserve">新營</t>
  </si>
  <si>
    <t xml:space="preserve">新營中山</t>
  </si>
  <si>
    <t xml:space="preserve">新豐</t>
  </si>
  <si>
    <t xml:space="preserve">楊梅</t>
  </si>
  <si>
    <t xml:space="preserve">楠梓</t>
  </si>
  <si>
    <t xml:space="preserve">溪口</t>
  </si>
  <si>
    <t xml:space="preserve">溪州</t>
  </si>
  <si>
    <t xml:space="preserve">溪湖</t>
  </si>
  <si>
    <t xml:space="preserve">瑞芳</t>
  </si>
  <si>
    <t xml:space="preserve">瑞隆</t>
  </si>
  <si>
    <t xml:space="preserve">瑞穗</t>
  </si>
  <si>
    <t xml:space="preserve">義竹</t>
  </si>
  <si>
    <t xml:space="preserve">萬丹</t>
  </si>
  <si>
    <t xml:space="preserve">萬里</t>
  </si>
  <si>
    <t xml:space="preserve">過溝</t>
  </si>
  <si>
    <t xml:space="preserve">嘉義</t>
  </si>
  <si>
    <t xml:space="preserve">嘉義中山</t>
  </si>
  <si>
    <t xml:space="preserve">嘉義辦公室</t>
  </si>
  <si>
    <t xml:space="preserve">壽豐</t>
  </si>
  <si>
    <t xml:space="preserve">彰化</t>
  </si>
  <si>
    <t xml:space="preserve">彰師大</t>
  </si>
  <si>
    <t xml:space="preserve">旗山</t>
  </si>
  <si>
    <t xml:space="preserve">漢民</t>
  </si>
  <si>
    <t xml:space="preserve">福誠</t>
  </si>
  <si>
    <t xml:space="preserve">蒜頭</t>
  </si>
  <si>
    <t xml:space="preserve">銅鑼</t>
  </si>
  <si>
    <t xml:space="preserve">鳳山</t>
  </si>
  <si>
    <t xml:space="preserve">鳳山中山</t>
  </si>
  <si>
    <t xml:space="preserve">鳳林</t>
  </si>
  <si>
    <t xml:space="preserve">廣華</t>
  </si>
  <si>
    <t xml:space="preserve">德民</t>
  </si>
  <si>
    <t xml:space="preserve">德行東</t>
  </si>
  <si>
    <t xml:space="preserve">樂華夜市</t>
  </si>
  <si>
    <t xml:space="preserve">潭子</t>
  </si>
  <si>
    <t xml:space="preserve">潮州</t>
  </si>
  <si>
    <t xml:space="preserve">澄觀</t>
  </si>
  <si>
    <t xml:space="preserve">澎南</t>
  </si>
  <si>
    <t xml:space="preserve">褒忠</t>
  </si>
  <si>
    <t xml:space="preserve">黎明</t>
  </si>
  <si>
    <t xml:space="preserve">學士</t>
  </si>
  <si>
    <t xml:space="preserve">學甲</t>
  </si>
  <si>
    <t xml:space="preserve">樹林</t>
  </si>
  <si>
    <t xml:space="preserve">樹林中華</t>
  </si>
  <si>
    <t xml:space="preserve">橋頭</t>
  </si>
  <si>
    <t xml:space="preserve">興業</t>
  </si>
  <si>
    <t xml:space="preserve">靜修</t>
  </si>
  <si>
    <t xml:space="preserve">頭份</t>
  </si>
  <si>
    <t xml:space="preserve">頭城</t>
  </si>
  <si>
    <t xml:space="preserve">龍安</t>
  </si>
  <si>
    <t xml:space="preserve">龍東</t>
  </si>
  <si>
    <t xml:space="preserve">龍潭</t>
  </si>
  <si>
    <t xml:space="preserve">龍潭中興</t>
  </si>
  <si>
    <t xml:space="preserve">龜山</t>
  </si>
  <si>
    <t xml:space="preserve">龜山長庚</t>
  </si>
  <si>
    <t xml:space="preserve">環球</t>
  </si>
  <si>
    <t xml:space="preserve">礁溪</t>
  </si>
  <si>
    <t xml:space="preserve">歸仁</t>
  </si>
  <si>
    <t xml:space="preserve">豐原</t>
  </si>
  <si>
    <t xml:space="preserve">豐原中山</t>
  </si>
  <si>
    <t xml:space="preserve">雙溪</t>
  </si>
  <si>
    <t xml:space="preserve">羅東</t>
  </si>
  <si>
    <t xml:space="preserve">關西</t>
  </si>
  <si>
    <t xml:space="preserve">關新</t>
  </si>
  <si>
    <t xml:space="preserve">關廟</t>
  </si>
  <si>
    <t xml:space="preserve">霧峰</t>
  </si>
  <si>
    <t xml:space="preserve">蘆竹</t>
  </si>
  <si>
    <t xml:space="preserve">蘆洲</t>
  </si>
  <si>
    <t xml:space="preserve">蘆洲中華</t>
  </si>
  <si>
    <t xml:space="preserve">蘇澳</t>
  </si>
  <si>
    <t xml:space="preserve">鶯歌</t>
  </si>
  <si>
    <t xml:space="preserve">鹽水</t>
  </si>
  <si>
    <t xml:space="preserve">鹽埔</t>
  </si>
  <si>
    <t xml:space="preserve">觀音</t>
  </si>
  <si>
    <t xml:space="preserve">Total Result</t>
  </si>
  <si>
    <t xml:space="preserve">總計</t>
  </si>
  <si>
    <t xml:space="preserve">項次</t>
  </si>
  <si>
    <t xml:space="preserve">門市
機器
數量</t>
  </si>
  <si>
    <t xml:space="preserve">機台
數量</t>
  </si>
  <si>
    <t xml:space="preserve">門市
編碼</t>
  </si>
  <si>
    <t xml:space="preserve">設備
編碼</t>
  </si>
  <si>
    <t xml:space="preserve">客編</t>
  </si>
  <si>
    <t xml:space="preserve">營運別</t>
  </si>
  <si>
    <t xml:space="preserve">部別</t>
  </si>
  <si>
    <t xml:space="preserve">機型</t>
  </si>
  <si>
    <t xml:space="preserve">機器序號</t>
  </si>
  <si>
    <t xml:space="preserve">安裝日期</t>
  </si>
  <si>
    <t xml:space="preserve">9月
總頁數</t>
  </si>
  <si>
    <t xml:space="preserve">10月
總頁數</t>
  </si>
  <si>
    <t xml:space="preserve">10月
列印量</t>
  </si>
  <si>
    <t xml:space="preserve">10月
列印量
扣除3%誤印率</t>
  </si>
  <si>
    <t xml:space="preserve">(單)門市列印量
扣除3%誤印率</t>
  </si>
  <si>
    <t xml:space="preserve">黑色單價
(含稅)</t>
  </si>
  <si>
    <t xml:space="preserve">單台黑色
列印費用</t>
  </si>
  <si>
    <t xml:space="preserve">(單)門市黑色
列印費用</t>
  </si>
  <si>
    <t xml:space="preserve">彩色單價
(含稅)</t>
  </si>
  <si>
    <t xml:space="preserve">單台彩色
列印費用</t>
  </si>
  <si>
    <t xml:space="preserve">(單)門市彩色
列印費用</t>
  </si>
  <si>
    <t xml:space="preserve">備註</t>
  </si>
  <si>
    <t xml:space="preserve">10月</t>
  </si>
  <si>
    <t xml:space="preserve">覆蓋率</t>
  </si>
  <si>
    <t xml:space="preserve">碳粉
啪數</t>
  </si>
  <si>
    <t xml:space="preserve">01</t>
  </si>
  <si>
    <t xml:space="preserve">5-01</t>
  </si>
  <si>
    <t xml:space="preserve">5497-02-1A1001</t>
  </si>
  <si>
    <t xml:space="preserve">營運一處</t>
  </si>
  <si>
    <t xml:space="preserve">台北一部</t>
  </si>
  <si>
    <t xml:space="preserve">Apeos C325dw</t>
  </si>
  <si>
    <t xml:space="preserve">NC7003734</t>
  </si>
  <si>
    <t xml:space="preserve">02</t>
  </si>
  <si>
    <t xml:space="preserve">5-02</t>
  </si>
  <si>
    <t xml:space="preserve">Apeos 4620SDF</t>
  </si>
  <si>
    <t xml:space="preserve">YB5000419</t>
  </si>
  <si>
    <t xml:space="preserve">03</t>
  </si>
  <si>
    <t xml:space="preserve">5-03</t>
  </si>
  <si>
    <t xml:space="preserve">YB5000424</t>
  </si>
  <si>
    <t xml:space="preserve">04</t>
  </si>
  <si>
    <t xml:space="preserve">5-04</t>
  </si>
  <si>
    <t xml:space="preserve">ApeosPrint 4620SDN</t>
  </si>
  <si>
    <t xml:space="preserve">YB7000734</t>
  </si>
  <si>
    <t xml:space="preserve">05</t>
  </si>
  <si>
    <t xml:space="preserve">5-05</t>
  </si>
  <si>
    <t xml:space="preserve">YB7000737</t>
  </si>
  <si>
    <t xml:space="preserve">06</t>
  </si>
  <si>
    <t xml:space="preserve">5-06</t>
  </si>
  <si>
    <t xml:space="preserve">YB7000738</t>
  </si>
  <si>
    <t xml:space="preserve">07</t>
  </si>
  <si>
    <t xml:space="preserve">5-07</t>
  </si>
  <si>
    <t xml:space="preserve">YB7000739</t>
  </si>
  <si>
    <t xml:space="preserve">08</t>
  </si>
  <si>
    <t xml:space="preserve">5-08</t>
  </si>
  <si>
    <t xml:space="preserve">YB7000741</t>
  </si>
  <si>
    <t xml:space="preserve">09</t>
  </si>
  <si>
    <t xml:space="preserve">5-09</t>
  </si>
  <si>
    <t xml:space="preserve">YB7000742</t>
  </si>
  <si>
    <t xml:space="preserve">5-10</t>
  </si>
  <si>
    <t xml:space="preserve">YB7000743</t>
  </si>
  <si>
    <t xml:space="preserve">5-11</t>
  </si>
  <si>
    <t xml:space="preserve">YB7000744</t>
  </si>
  <si>
    <t xml:space="preserve">5-12</t>
  </si>
  <si>
    <t xml:space="preserve">YB7000745</t>
  </si>
  <si>
    <t xml:space="preserve">5-13</t>
  </si>
  <si>
    <t xml:space="preserve">YB7000746</t>
  </si>
  <si>
    <t xml:space="preserve">5-14</t>
  </si>
  <si>
    <t xml:space="preserve">YB7000747</t>
  </si>
  <si>
    <t xml:space="preserve">5-15</t>
  </si>
  <si>
    <t xml:space="preserve">YB7000748</t>
  </si>
  <si>
    <t xml:space="preserve">5-16</t>
  </si>
  <si>
    <t xml:space="preserve">YB7000756</t>
  </si>
  <si>
    <t xml:space="preserve">5-17</t>
  </si>
  <si>
    <t xml:space="preserve">YB7000770</t>
  </si>
  <si>
    <t xml:space="preserve">5-18</t>
  </si>
  <si>
    <t xml:space="preserve">YB7000778</t>
  </si>
  <si>
    <t xml:space="preserve">8-01</t>
  </si>
  <si>
    <t xml:space="preserve">5497-02-1A1002</t>
  </si>
  <si>
    <t xml:space="preserve">NC7003785</t>
  </si>
  <si>
    <t xml:space="preserve">8-02</t>
  </si>
  <si>
    <t xml:space="preserve">YB5000422</t>
  </si>
  <si>
    <t xml:space="preserve">8-03</t>
  </si>
  <si>
    <t xml:space="preserve">YB7000845</t>
  </si>
  <si>
    <t xml:space="preserve">8-04</t>
  </si>
  <si>
    <t xml:space="preserve">YB7000858</t>
  </si>
  <si>
    <t xml:space="preserve">8-05</t>
  </si>
  <si>
    <t xml:space="preserve">YB7000860</t>
  </si>
  <si>
    <t xml:space="preserve">8-06</t>
  </si>
  <si>
    <t xml:space="preserve">YB7000864</t>
  </si>
  <si>
    <t xml:space="preserve">8-07</t>
  </si>
  <si>
    <t xml:space="preserve">YB7000866</t>
  </si>
  <si>
    <t xml:space="preserve">9-01</t>
  </si>
  <si>
    <t xml:space="preserve">5497-02-1A1003</t>
  </si>
  <si>
    <t xml:space="preserve">NC7003560</t>
  </si>
  <si>
    <t xml:space="preserve">9-02</t>
  </si>
  <si>
    <t xml:space="preserve">YB5000293</t>
  </si>
  <si>
    <t xml:space="preserve">9-03</t>
  </si>
  <si>
    <t xml:space="preserve">HP 4003dn</t>
  </si>
  <si>
    <t xml:space="preserve">PHLKP01612</t>
  </si>
  <si>
    <t xml:space="preserve">9-04</t>
  </si>
  <si>
    <t xml:space="preserve">PHLKP02866</t>
  </si>
  <si>
    <t xml:space="preserve">9-05</t>
  </si>
  <si>
    <t xml:space="preserve">PHLKP02876</t>
  </si>
  <si>
    <t xml:space="preserve">10-01</t>
  </si>
  <si>
    <t xml:space="preserve">5497-02-1A1004</t>
  </si>
  <si>
    <t xml:space="preserve">NC7003635</t>
  </si>
  <si>
    <t xml:space="preserve">10-02</t>
  </si>
  <si>
    <t xml:space="preserve">YB5000330</t>
  </si>
  <si>
    <t xml:space="preserve">10-03</t>
  </si>
  <si>
    <t xml:space="preserve">PHLKQ02073</t>
  </si>
  <si>
    <t xml:space="preserve">10-04</t>
  </si>
  <si>
    <t xml:space="preserve">PHLKQ02075</t>
  </si>
  <si>
    <t xml:space="preserve">10-05</t>
  </si>
  <si>
    <t xml:space="preserve">PHLKQ02078</t>
  </si>
  <si>
    <t xml:space="preserve">11-01</t>
  </si>
  <si>
    <t xml:space="preserve">5497-02-1A1005</t>
  </si>
  <si>
    <t xml:space="preserve">NC7003517</t>
  </si>
  <si>
    <t xml:space="preserve">11-02</t>
  </si>
  <si>
    <t xml:space="preserve">YB5000277</t>
  </si>
  <si>
    <t xml:space="preserve">11-03</t>
  </si>
  <si>
    <t xml:space="preserve">PHLKP01602</t>
  </si>
  <si>
    <t xml:space="preserve">11-04</t>
  </si>
  <si>
    <t xml:space="preserve">PHLKP01603</t>
  </si>
  <si>
    <t xml:space="preserve">11-05</t>
  </si>
  <si>
    <t xml:space="preserve">PHLKP01611</t>
  </si>
  <si>
    <t xml:space="preserve">11-06</t>
  </si>
  <si>
    <t xml:space="preserve">PHLKP02872</t>
  </si>
  <si>
    <t xml:space="preserve">14-01</t>
  </si>
  <si>
    <t xml:space="preserve">5497-02-1A1006</t>
  </si>
  <si>
    <t xml:space="preserve">NC7003365</t>
  </si>
  <si>
    <t xml:space="preserve">14-02</t>
  </si>
  <si>
    <t xml:space="preserve">YB5000187</t>
  </si>
  <si>
    <t xml:space="preserve">14-03</t>
  </si>
  <si>
    <t xml:space="preserve">YB7000087</t>
  </si>
  <si>
    <t xml:space="preserve">14-04</t>
  </si>
  <si>
    <t xml:space="preserve">YB7000104</t>
  </si>
  <si>
    <t xml:space="preserve">14-05</t>
  </si>
  <si>
    <t xml:space="preserve">YB7000107</t>
  </si>
  <si>
    <t xml:space="preserve">14-06</t>
  </si>
  <si>
    <t xml:space="preserve">YB7000108</t>
  </si>
  <si>
    <t xml:space="preserve">14-07</t>
  </si>
  <si>
    <t xml:space="preserve">YB7000137</t>
  </si>
  <si>
    <t xml:space="preserve">16-01</t>
  </si>
  <si>
    <t xml:space="preserve">5497-02-1A1007</t>
  </si>
  <si>
    <t xml:space="preserve">NC7003346</t>
  </si>
  <si>
    <t xml:space="preserve">16-02</t>
  </si>
  <si>
    <t xml:space="preserve">YB5000193</t>
  </si>
  <si>
    <t xml:space="preserve">16-03</t>
  </si>
  <si>
    <t xml:space="preserve">YB7000017</t>
  </si>
  <si>
    <t xml:space="preserve">16-04</t>
  </si>
  <si>
    <t xml:space="preserve">YB7000023</t>
  </si>
  <si>
    <t xml:space="preserve">16-05</t>
  </si>
  <si>
    <t xml:space="preserve">YB7000033</t>
  </si>
  <si>
    <t xml:space="preserve">16-06</t>
  </si>
  <si>
    <t xml:space="preserve">YB7000067</t>
  </si>
  <si>
    <t xml:space="preserve">16-07</t>
  </si>
  <si>
    <t xml:space="preserve">YB7000098</t>
  </si>
  <si>
    <t xml:space="preserve">16-08</t>
  </si>
  <si>
    <t xml:space="preserve">YB7000105</t>
  </si>
  <si>
    <t xml:space="preserve">16-09</t>
  </si>
  <si>
    <t xml:space="preserve">YB7000106</t>
  </si>
  <si>
    <t xml:space="preserve">16-10</t>
  </si>
  <si>
    <t xml:space="preserve">YB7000109</t>
  </si>
  <si>
    <t xml:space="preserve">16-11</t>
  </si>
  <si>
    <t xml:space="preserve">YB7000111</t>
  </si>
  <si>
    <t xml:space="preserve">16-12</t>
  </si>
  <si>
    <t xml:space="preserve">YB7000114</t>
  </si>
  <si>
    <t xml:space="preserve">16-13</t>
  </si>
  <si>
    <t xml:space="preserve">YB7000116</t>
  </si>
  <si>
    <t xml:space="preserve">16-14</t>
  </si>
  <si>
    <t xml:space="preserve">YB7000117</t>
  </si>
  <si>
    <t xml:space="preserve">16-15</t>
  </si>
  <si>
    <t xml:space="preserve">YB7000118</t>
  </si>
  <si>
    <t xml:space="preserve">16-16</t>
  </si>
  <si>
    <t xml:space="preserve">YB7000121</t>
  </si>
  <si>
    <t xml:space="preserve">16-17</t>
  </si>
  <si>
    <t xml:space="preserve">YB7000143</t>
  </si>
  <si>
    <t xml:space="preserve">16-18</t>
  </si>
  <si>
    <t xml:space="preserve">YB7000144</t>
  </si>
  <si>
    <t xml:space="preserve">294-01</t>
  </si>
  <si>
    <t xml:space="preserve">5497-02-1A1008</t>
  </si>
  <si>
    <t xml:space="preserve">NC7003540</t>
  </si>
  <si>
    <t xml:space="preserve">294-02</t>
  </si>
  <si>
    <t xml:space="preserve">YB5000288</t>
  </si>
  <si>
    <t xml:space="preserve">294-03</t>
  </si>
  <si>
    <t xml:space="preserve">PHLKP02802</t>
  </si>
  <si>
    <t xml:space="preserve">307-01</t>
  </si>
  <si>
    <t xml:space="preserve">5497-02-1A1009</t>
  </si>
  <si>
    <t xml:space="preserve">NC7003519</t>
  </si>
  <si>
    <t xml:space="preserve">整修無抄表</t>
  </si>
  <si>
    <t xml:space="preserve">307-02</t>
  </si>
  <si>
    <t xml:space="preserve">YB5000285</t>
  </si>
  <si>
    <t xml:space="preserve">307-03</t>
  </si>
  <si>
    <t xml:space="preserve">PHLKP01605</t>
  </si>
  <si>
    <t xml:space="preserve">307-04</t>
  </si>
  <si>
    <t xml:space="preserve">PHLKP01606</t>
  </si>
  <si>
    <t xml:space="preserve">307-05</t>
  </si>
  <si>
    <t xml:space="preserve">PHLKP01607</t>
  </si>
  <si>
    <t xml:space="preserve">307-06</t>
  </si>
  <si>
    <t xml:space="preserve">PHLKP02874</t>
  </si>
  <si>
    <t xml:space="preserve">308-01</t>
  </si>
  <si>
    <t xml:space="preserve">5497-02-1A1010</t>
  </si>
  <si>
    <t xml:space="preserve">NC7003727</t>
  </si>
  <si>
    <t xml:space="preserve">308-02</t>
  </si>
  <si>
    <t xml:space="preserve">YB5000378</t>
  </si>
  <si>
    <t xml:space="preserve">308-03</t>
  </si>
  <si>
    <t xml:space="preserve">YB7000841</t>
  </si>
  <si>
    <t xml:space="preserve">308-04</t>
  </si>
  <si>
    <t xml:space="preserve">YB7000847</t>
  </si>
  <si>
    <t xml:space="preserve">308-05</t>
  </si>
  <si>
    <t xml:space="preserve">YB7000851</t>
  </si>
  <si>
    <t xml:space="preserve">7-01</t>
  </si>
  <si>
    <t xml:space="preserve">5497-02-1A2001</t>
  </si>
  <si>
    <t xml:space="preserve">台北二部</t>
  </si>
  <si>
    <t xml:space="preserve">NC7003544</t>
  </si>
  <si>
    <t xml:space="preserve">7-02</t>
  </si>
  <si>
    <t xml:space="preserve">YB5000341</t>
  </si>
  <si>
    <t xml:space="preserve">7-03</t>
  </si>
  <si>
    <t xml:space="preserve">YB7000463</t>
  </si>
  <si>
    <t xml:space="preserve">7-04</t>
  </si>
  <si>
    <t xml:space="preserve">YB7000470</t>
  </si>
  <si>
    <t xml:space="preserve">7-05</t>
  </si>
  <si>
    <t xml:space="preserve">YB7000483</t>
  </si>
  <si>
    <t xml:space="preserve">7-06</t>
  </si>
  <si>
    <t xml:space="preserve">YB7000537</t>
  </si>
  <si>
    <t xml:space="preserve">12-01</t>
  </si>
  <si>
    <t xml:space="preserve">5497-02-1A2002</t>
  </si>
  <si>
    <t xml:space="preserve">NC7003653</t>
  </si>
  <si>
    <t xml:space="preserve">12-02</t>
  </si>
  <si>
    <t xml:space="preserve">YB5000213</t>
  </si>
  <si>
    <t xml:space="preserve">12-03</t>
  </si>
  <si>
    <t xml:space="preserve">YB7000625</t>
  </si>
  <si>
    <t xml:space="preserve">12-04</t>
  </si>
  <si>
    <t xml:space="preserve">YB7000626</t>
  </si>
  <si>
    <t xml:space="preserve">12-05</t>
  </si>
  <si>
    <t xml:space="preserve">YB7000628</t>
  </si>
  <si>
    <t xml:space="preserve">12-06</t>
  </si>
  <si>
    <t xml:space="preserve">YB7000629</t>
  </si>
  <si>
    <t xml:space="preserve">12-07</t>
  </si>
  <si>
    <t xml:space="preserve">YB7000630</t>
  </si>
  <si>
    <t xml:space="preserve">12-08</t>
  </si>
  <si>
    <t xml:space="preserve">YB7000631</t>
  </si>
  <si>
    <t xml:space="preserve">12-09</t>
  </si>
  <si>
    <t xml:space="preserve">YB7000632</t>
  </si>
  <si>
    <t xml:space="preserve">12-10</t>
  </si>
  <si>
    <t xml:space="preserve">YB7000634</t>
  </si>
  <si>
    <t xml:space="preserve">12-11</t>
  </si>
  <si>
    <t xml:space="preserve">YB7000818</t>
  </si>
  <si>
    <t xml:space="preserve">12-12</t>
  </si>
  <si>
    <t xml:space="preserve">YB7000825</t>
  </si>
  <si>
    <t xml:space="preserve">12-13</t>
  </si>
  <si>
    <t xml:space="preserve">YB7000826</t>
  </si>
  <si>
    <t xml:space="preserve">12-14</t>
  </si>
  <si>
    <t xml:space="preserve">YB7000827</t>
  </si>
  <si>
    <t xml:space="preserve">13-01</t>
  </si>
  <si>
    <t xml:space="preserve">5497-02-1A2003</t>
  </si>
  <si>
    <t xml:space="preserve">NC7003677</t>
  </si>
  <si>
    <t xml:space="preserve">13-02</t>
  </si>
  <si>
    <t xml:space="preserve">YB5000346</t>
  </si>
  <si>
    <t xml:space="preserve">13-03</t>
  </si>
  <si>
    <t xml:space="preserve">YB5000350</t>
  </si>
  <si>
    <t xml:space="preserve">13-04</t>
  </si>
  <si>
    <t xml:space="preserve">PHLKP01951</t>
  </si>
  <si>
    <t xml:space="preserve">13-05</t>
  </si>
  <si>
    <t xml:space="preserve">PHLKP01954</t>
  </si>
  <si>
    <t xml:space="preserve">13-06</t>
  </si>
  <si>
    <t xml:space="preserve">PHLKQ02039</t>
  </si>
  <si>
    <t xml:space="preserve">13-07</t>
  </si>
  <si>
    <t xml:space="preserve">PHLKQ02074</t>
  </si>
  <si>
    <t xml:space="preserve">13-08</t>
  </si>
  <si>
    <t xml:space="preserve">PHLKQ02081</t>
  </si>
  <si>
    <t xml:space="preserve">13-09</t>
  </si>
  <si>
    <t xml:space="preserve">PHLKQ02082</t>
  </si>
  <si>
    <t xml:space="preserve">13-10</t>
  </si>
  <si>
    <t xml:space="preserve">PHLKQ02085</t>
  </si>
  <si>
    <t xml:space="preserve">13-11</t>
  </si>
  <si>
    <t xml:space="preserve">PHLKQ02087</t>
  </si>
  <si>
    <t xml:space="preserve">15-01</t>
  </si>
  <si>
    <t xml:space="preserve">5497-02-1A2004</t>
  </si>
  <si>
    <t xml:space="preserve">NC7003484</t>
  </si>
  <si>
    <t xml:space="preserve">15-02</t>
  </si>
  <si>
    <t xml:space="preserve">YB5000043</t>
  </si>
  <si>
    <t xml:space="preserve">15-03</t>
  </si>
  <si>
    <t xml:space="preserve">PHLKP01568</t>
  </si>
  <si>
    <t xml:space="preserve">15-04</t>
  </si>
  <si>
    <t xml:space="preserve">PHLKQ02084</t>
  </si>
  <si>
    <t xml:space="preserve">15-05</t>
  </si>
  <si>
    <t xml:space="preserve">PHLKQ02086</t>
  </si>
  <si>
    <t xml:space="preserve">15-06</t>
  </si>
  <si>
    <t xml:space="preserve">PHLKQ02101</t>
  </si>
  <si>
    <t xml:space="preserve">17-01</t>
  </si>
  <si>
    <t xml:space="preserve">5497-02-1A2005</t>
  </si>
  <si>
    <t xml:space="preserve">NC7002573</t>
  </si>
  <si>
    <t xml:space="preserve">17-02</t>
  </si>
  <si>
    <t xml:space="preserve">YB5000297</t>
  </si>
  <si>
    <t xml:space="preserve">17-03</t>
  </si>
  <si>
    <t xml:space="preserve">YB7000233</t>
  </si>
  <si>
    <t xml:space="preserve">17-04</t>
  </si>
  <si>
    <t xml:space="preserve">YB7000308</t>
  </si>
  <si>
    <t xml:space="preserve">17-05</t>
  </si>
  <si>
    <t xml:space="preserve">YB7000322</t>
  </si>
  <si>
    <t xml:space="preserve">17-06</t>
  </si>
  <si>
    <t xml:space="preserve">YB7000323</t>
  </si>
  <si>
    <t xml:space="preserve">18-01</t>
  </si>
  <si>
    <t xml:space="preserve">5497-02-1A2006</t>
  </si>
  <si>
    <t xml:space="preserve">NC7003694</t>
  </si>
  <si>
    <t xml:space="preserve">18-02</t>
  </si>
  <si>
    <t xml:space="preserve">YB5000216</t>
  </si>
  <si>
    <t xml:space="preserve">18-03</t>
  </si>
  <si>
    <t xml:space="preserve">YB7000580</t>
  </si>
  <si>
    <t xml:space="preserve">18-04</t>
  </si>
  <si>
    <t xml:space="preserve">YB7000584</t>
  </si>
  <si>
    <t xml:space="preserve">18-05</t>
  </si>
  <si>
    <t xml:space="preserve">YB7000589</t>
  </si>
  <si>
    <t xml:space="preserve">318-01</t>
  </si>
  <si>
    <t xml:space="preserve">5497-02-1A2007</t>
  </si>
  <si>
    <t xml:space="preserve">NC7003599</t>
  </si>
  <si>
    <t xml:space="preserve">318-02</t>
  </si>
  <si>
    <t xml:space="preserve">YB5000517</t>
  </si>
  <si>
    <t xml:space="preserve">320-01</t>
  </si>
  <si>
    <t xml:space="preserve">5497-02-1A2008</t>
  </si>
  <si>
    <t xml:space="preserve">NC7003432</t>
  </si>
  <si>
    <t xml:space="preserve">320-02</t>
  </si>
  <si>
    <t xml:space="preserve">YB5000185</t>
  </si>
  <si>
    <t xml:space="preserve">320-03</t>
  </si>
  <si>
    <t xml:space="preserve">YB7000090</t>
  </si>
  <si>
    <t xml:space="preserve">320-04</t>
  </si>
  <si>
    <t xml:space="preserve">YB7000099</t>
  </si>
  <si>
    <t xml:space="preserve">320-05</t>
  </si>
  <si>
    <t xml:space="preserve">YB7000102</t>
  </si>
  <si>
    <t xml:space="preserve">320-06</t>
  </si>
  <si>
    <t xml:space="preserve">YB7000103</t>
  </si>
  <si>
    <t xml:space="preserve">321-01</t>
  </si>
  <si>
    <t xml:space="preserve">5497-02-1A2009</t>
  </si>
  <si>
    <t xml:space="preserve">NC7003591</t>
  </si>
  <si>
    <t xml:space="preserve">321-02</t>
  </si>
  <si>
    <t xml:space="preserve">YB5000518</t>
  </si>
  <si>
    <t xml:space="preserve">321-03</t>
  </si>
  <si>
    <t xml:space="preserve">YB7000733</t>
  </si>
  <si>
    <t xml:space="preserve">322-01</t>
  </si>
  <si>
    <t xml:space="preserve">5497-02-1A2010</t>
  </si>
  <si>
    <t xml:space="preserve">NC7003343</t>
  </si>
  <si>
    <t xml:space="preserve">322-02</t>
  </si>
  <si>
    <t xml:space="preserve">YB5000183</t>
  </si>
  <si>
    <t xml:space="preserve">323-01</t>
  </si>
  <si>
    <t xml:space="preserve">5497-02-1A2011</t>
  </si>
  <si>
    <t xml:space="preserve">NC7003687</t>
  </si>
  <si>
    <t xml:space="preserve">323-02</t>
  </si>
  <si>
    <t xml:space="preserve">YB5000333</t>
  </si>
  <si>
    <t xml:space="preserve">3-01</t>
  </si>
  <si>
    <t xml:space="preserve">5497-02-1A3001</t>
  </si>
  <si>
    <t xml:space="preserve">台北三部</t>
  </si>
  <si>
    <t xml:space="preserve">NC7003423</t>
  </si>
  <si>
    <t xml:space="preserve">3-02</t>
  </si>
  <si>
    <t xml:space="preserve">YB5000138</t>
  </si>
  <si>
    <t xml:space="preserve">3-03</t>
  </si>
  <si>
    <t xml:space="preserve">PHLKQ02083</t>
  </si>
  <si>
    <t xml:space="preserve">3-04</t>
  </si>
  <si>
    <t xml:space="preserve">PHLKQ02099</t>
  </si>
  <si>
    <t xml:space="preserve">3-05</t>
  </si>
  <si>
    <t xml:space="preserve">PHLKQ02103</t>
  </si>
  <si>
    <t xml:space="preserve">3-06</t>
  </si>
  <si>
    <t xml:space="preserve">PHLKQ02104</t>
  </si>
  <si>
    <t xml:space="preserve">3-07</t>
  </si>
  <si>
    <t xml:space="preserve">PHLKQ02335</t>
  </si>
  <si>
    <t xml:space="preserve">3-08</t>
  </si>
  <si>
    <t xml:space="preserve">PHLKQ02402</t>
  </si>
  <si>
    <t xml:space="preserve">3-09</t>
  </si>
  <si>
    <t xml:space="preserve">PHLKQ02412</t>
  </si>
  <si>
    <t xml:space="preserve">3-10</t>
  </si>
  <si>
    <t xml:space="preserve">PHLKQ02413</t>
  </si>
  <si>
    <t xml:space="preserve">3-11</t>
  </si>
  <si>
    <t xml:space="preserve">PHLKQ02417</t>
  </si>
  <si>
    <t xml:space="preserve">19-01</t>
  </si>
  <si>
    <t xml:space="preserve">5497-02-1A3002</t>
  </si>
  <si>
    <t xml:space="preserve">NC7003444</t>
  </si>
  <si>
    <t xml:space="preserve">19-02</t>
  </si>
  <si>
    <t xml:space="preserve">PHLKQ02362</t>
  </si>
  <si>
    <t xml:space="preserve">19-03</t>
  </si>
  <si>
    <t xml:space="preserve">PHLKQ02399</t>
  </si>
  <si>
    <t xml:space="preserve">19-04</t>
  </si>
  <si>
    <t xml:space="preserve">PHLKQ02407</t>
  </si>
  <si>
    <t xml:space="preserve">20-01</t>
  </si>
  <si>
    <t xml:space="preserve">5497-02-1A3003</t>
  </si>
  <si>
    <t xml:space="preserve">NC7003367</t>
  </si>
  <si>
    <t xml:space="preserve">20-02</t>
  </si>
  <si>
    <t xml:space="preserve">YB5000182</t>
  </si>
  <si>
    <t xml:space="preserve">20-03</t>
  </si>
  <si>
    <t xml:space="preserve">PHLKP02308</t>
  </si>
  <si>
    <t xml:space="preserve">20-04</t>
  </si>
  <si>
    <t xml:space="preserve">PHLKP02415</t>
  </si>
  <si>
    <t xml:space="preserve">20-05</t>
  </si>
  <si>
    <t xml:space="preserve">PHLKP02419</t>
  </si>
  <si>
    <t xml:space="preserve">20-06</t>
  </si>
  <si>
    <t xml:space="preserve">PHLKP02429</t>
  </si>
  <si>
    <t xml:space="preserve">20-07</t>
  </si>
  <si>
    <t xml:space="preserve">PHLKP02646</t>
  </si>
  <si>
    <t xml:space="preserve">20-08</t>
  </si>
  <si>
    <t xml:space="preserve">PHLKP02695</t>
  </si>
  <si>
    <t xml:space="preserve">20-09</t>
  </si>
  <si>
    <t xml:space="preserve">PHLKP02715</t>
  </si>
  <si>
    <t xml:space="preserve">20-10</t>
  </si>
  <si>
    <t xml:space="preserve">PHLKP02722</t>
  </si>
  <si>
    <t xml:space="preserve">20-11</t>
  </si>
  <si>
    <t xml:space="preserve">PHLKQ02313</t>
  </si>
  <si>
    <t xml:space="preserve">20-12</t>
  </si>
  <si>
    <t xml:space="preserve">PHLKQ02321</t>
  </si>
  <si>
    <t xml:space="preserve">21-01</t>
  </si>
  <si>
    <t xml:space="preserve">5497-02-1A3004</t>
  </si>
  <si>
    <t xml:space="preserve">NC7003370</t>
  </si>
  <si>
    <t xml:space="preserve">21-02</t>
  </si>
  <si>
    <t xml:space="preserve">PHLKP02312</t>
  </si>
  <si>
    <t xml:space="preserve">21-03</t>
  </si>
  <si>
    <t xml:space="preserve">PHLKP02636</t>
  </si>
  <si>
    <t xml:space="preserve">21-04</t>
  </si>
  <si>
    <t xml:space="preserve">PHLKP02712</t>
  </si>
  <si>
    <t xml:space="preserve">22-01</t>
  </si>
  <si>
    <t xml:space="preserve">5497-02-1A3005</t>
  </si>
  <si>
    <t xml:space="preserve">NC7003704</t>
  </si>
  <si>
    <t xml:space="preserve">22-02</t>
  </si>
  <si>
    <t xml:space="preserve">YB7000660</t>
  </si>
  <si>
    <t xml:space="preserve">22-03</t>
  </si>
  <si>
    <t xml:space="preserve">YB7000671</t>
  </si>
  <si>
    <t xml:space="preserve">22-04</t>
  </si>
  <si>
    <t xml:space="preserve">YB7000672</t>
  </si>
  <si>
    <t xml:space="preserve">22-05</t>
  </si>
  <si>
    <t xml:space="preserve">YB7000674</t>
  </si>
  <si>
    <t xml:space="preserve">22-06</t>
  </si>
  <si>
    <t xml:space="preserve">YB7000675</t>
  </si>
  <si>
    <t xml:space="preserve">23-01</t>
  </si>
  <si>
    <t xml:space="preserve">5497-02-1A3006</t>
  </si>
  <si>
    <t xml:space="preserve">NC7003389</t>
  </si>
  <si>
    <t xml:space="preserve">23-02</t>
  </si>
  <si>
    <t xml:space="preserve">PHLKQ02096</t>
  </si>
  <si>
    <t xml:space="preserve">23-03</t>
  </si>
  <si>
    <t xml:space="preserve">PHLKQ02130</t>
  </si>
  <si>
    <t xml:space="preserve">23-04</t>
  </si>
  <si>
    <t xml:space="preserve">PHLKQ02350</t>
  </si>
  <si>
    <t xml:space="preserve">23-05</t>
  </si>
  <si>
    <t xml:space="preserve">PHLKQ02408</t>
  </si>
  <si>
    <t xml:space="preserve">24-01</t>
  </si>
  <si>
    <t xml:space="preserve">5497-02-1A3007</t>
  </si>
  <si>
    <t xml:space="preserve">NC7003431</t>
  </si>
  <si>
    <t xml:space="preserve">24-02</t>
  </si>
  <si>
    <t xml:space="preserve">PHLKQ02102</t>
  </si>
  <si>
    <t xml:space="preserve">24-03</t>
  </si>
  <si>
    <t xml:space="preserve">PHLKQ02642</t>
  </si>
  <si>
    <t xml:space="preserve">24-04</t>
  </si>
  <si>
    <t xml:space="preserve">PHLKQ02643</t>
  </si>
  <si>
    <t xml:space="preserve">24-05</t>
  </si>
  <si>
    <t xml:space="preserve">PHLKQ02653</t>
  </si>
  <si>
    <t xml:space="preserve">25-01</t>
  </si>
  <si>
    <t xml:space="preserve">5497-02-1A3008</t>
  </si>
  <si>
    <t xml:space="preserve">NC7003588</t>
  </si>
  <si>
    <t xml:space="preserve">25-02</t>
  </si>
  <si>
    <t xml:space="preserve">PHLKP01962</t>
  </si>
  <si>
    <t xml:space="preserve">25-03</t>
  </si>
  <si>
    <t xml:space="preserve">PHLKP02820</t>
  </si>
  <si>
    <t xml:space="preserve">25-04</t>
  </si>
  <si>
    <t xml:space="preserve">PHLKP02969</t>
  </si>
  <si>
    <t xml:space="preserve">317-01</t>
  </si>
  <si>
    <t xml:space="preserve">5497-02-1A3009</t>
  </si>
  <si>
    <t xml:space="preserve">NC7003763</t>
  </si>
  <si>
    <t xml:space="preserve">317-02</t>
  </si>
  <si>
    <t xml:space="preserve">YB5000426</t>
  </si>
  <si>
    <t xml:space="preserve">319-01</t>
  </si>
  <si>
    <t xml:space="preserve">5497-02-1A3010</t>
  </si>
  <si>
    <t xml:space="preserve">NC7003359</t>
  </si>
  <si>
    <t xml:space="preserve">319-02</t>
  </si>
  <si>
    <t xml:space="preserve">YB5000142</t>
  </si>
  <si>
    <t xml:space="preserve">6-01</t>
  </si>
  <si>
    <t xml:space="preserve">5497-02-1A4001</t>
  </si>
  <si>
    <t xml:space="preserve">台北四部</t>
  </si>
  <si>
    <t xml:space="preserve">NC7002564</t>
  </si>
  <si>
    <t xml:space="preserve">6-02</t>
  </si>
  <si>
    <t xml:space="preserve">YB5000225</t>
  </si>
  <si>
    <t xml:space="preserve">6-03</t>
  </si>
  <si>
    <t xml:space="preserve">YB7000218</t>
  </si>
  <si>
    <t xml:space="preserve">6-04</t>
  </si>
  <si>
    <t xml:space="preserve">YB7000222</t>
  </si>
  <si>
    <t xml:space="preserve">6-05</t>
  </si>
  <si>
    <t xml:space="preserve">YB7000246</t>
  </si>
  <si>
    <t xml:space="preserve">6-06</t>
  </si>
  <si>
    <t xml:space="preserve">YB7000251</t>
  </si>
  <si>
    <t xml:space="preserve">6-07</t>
  </si>
  <si>
    <t xml:space="preserve">YB7000254</t>
  </si>
  <si>
    <t xml:space="preserve">6-08</t>
  </si>
  <si>
    <t xml:space="preserve">YB7000273</t>
  </si>
  <si>
    <t xml:space="preserve">6-09</t>
  </si>
  <si>
    <t xml:space="preserve">YB7000284</t>
  </si>
  <si>
    <t xml:space="preserve">6-10</t>
  </si>
  <si>
    <t xml:space="preserve">YB7000295</t>
  </si>
  <si>
    <t xml:space="preserve">6-11</t>
  </si>
  <si>
    <t xml:space="preserve">YB7000296</t>
  </si>
  <si>
    <t xml:space="preserve">6-12</t>
  </si>
  <si>
    <t xml:space="preserve">YB7000298</t>
  </si>
  <si>
    <t xml:space="preserve">6-13</t>
  </si>
  <si>
    <t xml:space="preserve">YB7000301</t>
  </si>
  <si>
    <t xml:space="preserve">6-14</t>
  </si>
  <si>
    <t xml:space="preserve">YB7000309</t>
  </si>
  <si>
    <t xml:space="preserve">6-15</t>
  </si>
  <si>
    <t xml:space="preserve">YB7000311</t>
  </si>
  <si>
    <t xml:space="preserve">6-16</t>
  </si>
  <si>
    <t xml:space="preserve">YB7000312</t>
  </si>
  <si>
    <t xml:space="preserve">6-17</t>
  </si>
  <si>
    <t xml:space="preserve">YB7000315</t>
  </si>
  <si>
    <t xml:space="preserve">6-18</t>
  </si>
  <si>
    <t xml:space="preserve">YB7000316</t>
  </si>
  <si>
    <t xml:space="preserve">6-19</t>
  </si>
  <si>
    <t xml:space="preserve">YB7000318</t>
  </si>
  <si>
    <r>
      <rPr>
        <b val="true"/>
        <sz val="12"/>
        <color rgb="FF000000"/>
        <rFont val="微軟正黑體 Light"/>
        <family val="2"/>
        <charset val="136"/>
      </rPr>
      <t xml:space="preserve">114.10</t>
    </r>
    <r>
      <rPr>
        <b val="true"/>
        <sz val="12"/>
        <color rgb="FF000000"/>
        <rFont val="新細明體"/>
        <family val="2"/>
        <charset val="136"/>
      </rPr>
      <t xml:space="preserve">月開不了機，本月不計價</t>
    </r>
  </si>
  <si>
    <t xml:space="preserve">26-01</t>
  </si>
  <si>
    <t xml:space="preserve">5497-02-1A4002</t>
  </si>
  <si>
    <t xml:space="preserve">NC7003683</t>
  </si>
  <si>
    <t xml:space="preserve">26-02</t>
  </si>
  <si>
    <t xml:space="preserve">YB5000253</t>
  </si>
  <si>
    <t xml:space="preserve">26-03</t>
  </si>
  <si>
    <t xml:space="preserve">YB7000822</t>
  </si>
  <si>
    <t xml:space="preserve">26-04</t>
  </si>
  <si>
    <t xml:space="preserve">YB7000829</t>
  </si>
  <si>
    <t xml:space="preserve">26-05</t>
  </si>
  <si>
    <t xml:space="preserve">YB7000839</t>
  </si>
  <si>
    <t xml:space="preserve">27-01</t>
  </si>
  <si>
    <t xml:space="preserve">5497-02-1A4003</t>
  </si>
  <si>
    <t xml:space="preserve">NC7002560</t>
  </si>
  <si>
    <t xml:space="preserve">27-02</t>
  </si>
  <si>
    <t xml:space="preserve">YB7000310</t>
  </si>
  <si>
    <t xml:space="preserve">27-03</t>
  </si>
  <si>
    <t xml:space="preserve">YB7000319</t>
  </si>
  <si>
    <t xml:space="preserve">27-04</t>
  </si>
  <si>
    <t xml:space="preserve">YB7000321</t>
  </si>
  <si>
    <t xml:space="preserve">28-01</t>
  </si>
  <si>
    <t xml:space="preserve">5497-02-1A4004</t>
  </si>
  <si>
    <t xml:space="preserve">NC7003447</t>
  </si>
  <si>
    <t xml:space="preserve">28-02</t>
  </si>
  <si>
    <t xml:space="preserve">YB7000075</t>
  </si>
  <si>
    <t xml:space="preserve">28-03</t>
  </si>
  <si>
    <t xml:space="preserve">YB7000078</t>
  </si>
  <si>
    <t xml:space="preserve">28-04</t>
  </si>
  <si>
    <t xml:space="preserve">YB7000146</t>
  </si>
  <si>
    <t xml:space="preserve">28-05</t>
  </si>
  <si>
    <t xml:space="preserve">YB7000191</t>
  </si>
  <si>
    <t xml:space="preserve">29-01</t>
  </si>
  <si>
    <t xml:space="preserve">5497-02-1A4005</t>
  </si>
  <si>
    <t xml:space="preserve">NC7002559</t>
  </si>
  <si>
    <t xml:space="preserve">29-02</t>
  </si>
  <si>
    <t xml:space="preserve">YB5000300</t>
  </si>
  <si>
    <t xml:space="preserve">29-03</t>
  </si>
  <si>
    <t xml:space="preserve">YB7000294</t>
  </si>
  <si>
    <t xml:space="preserve">29-04</t>
  </si>
  <si>
    <t xml:space="preserve">YB7000305</t>
  </si>
  <si>
    <t xml:space="preserve">29-05</t>
  </si>
  <si>
    <t xml:space="preserve">YB7000313</t>
  </si>
  <si>
    <t xml:space="preserve">29-06</t>
  </si>
  <si>
    <t xml:space="preserve">YB7000314</t>
  </si>
  <si>
    <t xml:space="preserve">30-01</t>
  </si>
  <si>
    <t xml:space="preserve">5497-02-1A4006</t>
  </si>
  <si>
    <t xml:space="preserve">NC7003702</t>
  </si>
  <si>
    <t xml:space="preserve">30-02</t>
  </si>
  <si>
    <t xml:space="preserve">YB5000421</t>
  </si>
  <si>
    <t xml:space="preserve">30-03</t>
  </si>
  <si>
    <t xml:space="preserve">YB7000862</t>
  </si>
  <si>
    <t xml:space="preserve">30-04</t>
  </si>
  <si>
    <t xml:space="preserve">YB7000865</t>
  </si>
  <si>
    <t xml:space="preserve">30-05</t>
  </si>
  <si>
    <t xml:space="preserve">YB7000867</t>
  </si>
  <si>
    <t xml:space="preserve">30-06</t>
  </si>
  <si>
    <t xml:space="preserve">YB7000868</t>
  </si>
  <si>
    <t xml:space="preserve">31-01</t>
  </si>
  <si>
    <t xml:space="preserve">5497-02-1A4007</t>
  </si>
  <si>
    <t xml:space="preserve">NC7002566</t>
  </si>
  <si>
    <t xml:space="preserve">31-02</t>
  </si>
  <si>
    <t xml:space="preserve">YB5000296</t>
  </si>
  <si>
    <t xml:space="preserve">31-03</t>
  </si>
  <si>
    <t xml:space="preserve">YB7000285</t>
  </si>
  <si>
    <t xml:space="preserve">31-04</t>
  </si>
  <si>
    <t xml:space="preserve">YB7000300</t>
  </si>
  <si>
    <t xml:space="preserve">31-05</t>
  </si>
  <si>
    <t xml:space="preserve">YB7000306</t>
  </si>
  <si>
    <t xml:space="preserve">31-06</t>
  </si>
  <si>
    <t xml:space="preserve">YB7000307</t>
  </si>
  <si>
    <t xml:space="preserve">31-07</t>
  </si>
  <si>
    <t xml:space="preserve">YB7000317</t>
  </si>
  <si>
    <t xml:space="preserve">31-08</t>
  </si>
  <si>
    <t xml:space="preserve">YB7000320</t>
  </si>
  <si>
    <t xml:space="preserve">31-09</t>
  </si>
  <si>
    <t xml:space="preserve">YB7000324</t>
  </si>
  <si>
    <t xml:space="preserve">219-01</t>
  </si>
  <si>
    <t xml:space="preserve">5497-02-1A4008</t>
  </si>
  <si>
    <t xml:space="preserve">NC7003725</t>
  </si>
  <si>
    <t xml:space="preserve">219-02</t>
  </si>
  <si>
    <t xml:space="preserve">YB5000430</t>
  </si>
  <si>
    <t xml:space="preserve">277-01</t>
  </si>
  <si>
    <t xml:space="preserve">5497-02-1A4009</t>
  </si>
  <si>
    <t xml:space="preserve">NC7003592</t>
  </si>
  <si>
    <t xml:space="preserve">277-02</t>
  </si>
  <si>
    <t xml:space="preserve">YB5000359</t>
  </si>
  <si>
    <t xml:space="preserve">330-01</t>
  </si>
  <si>
    <t xml:space="preserve">5497-02-1A4010</t>
  </si>
  <si>
    <t xml:space="preserve">NC7003581</t>
  </si>
  <si>
    <t xml:space="preserve">330-02</t>
  </si>
  <si>
    <t xml:space="preserve">YB5000358</t>
  </si>
  <si>
    <t xml:space="preserve">32-01</t>
  </si>
  <si>
    <t xml:space="preserve">5497-02-1A5001</t>
  </si>
  <si>
    <t xml:space="preserve">台北五部</t>
  </si>
  <si>
    <t xml:space="preserve">NC7003680</t>
  </si>
  <si>
    <t xml:space="preserve">32-02</t>
  </si>
  <si>
    <t xml:space="preserve">YB5000433</t>
  </si>
  <si>
    <t xml:space="preserve">32-03</t>
  </si>
  <si>
    <t xml:space="preserve">YB7000926</t>
  </si>
  <si>
    <t xml:space="preserve">32-04</t>
  </si>
  <si>
    <t xml:space="preserve">YB7000930</t>
  </si>
  <si>
    <t xml:space="preserve">32-05</t>
  </si>
  <si>
    <t xml:space="preserve">YB7000933</t>
  </si>
  <si>
    <t xml:space="preserve">32-06</t>
  </si>
  <si>
    <t xml:space="preserve">YB7000935</t>
  </si>
  <si>
    <t xml:space="preserve">32-07</t>
  </si>
  <si>
    <t xml:space="preserve">YB7000938</t>
  </si>
  <si>
    <t xml:space="preserve">32-08</t>
  </si>
  <si>
    <t xml:space="preserve">YB7000939</t>
  </si>
  <si>
    <t xml:space="preserve">32-09</t>
  </si>
  <si>
    <t xml:space="preserve">YB7000941</t>
  </si>
  <si>
    <t xml:space="preserve">36-01</t>
  </si>
  <si>
    <t xml:space="preserve">5497-02-1A5003</t>
  </si>
  <si>
    <t xml:space="preserve">NC7003368</t>
  </si>
  <si>
    <t xml:space="preserve">36-02</t>
  </si>
  <si>
    <t xml:space="preserve">YB5000188</t>
  </si>
  <si>
    <t xml:space="preserve">36-03</t>
  </si>
  <si>
    <t xml:space="preserve">YB7000170</t>
  </si>
  <si>
    <t xml:space="preserve">36-04</t>
  </si>
  <si>
    <t xml:space="preserve">YB7000172</t>
  </si>
  <si>
    <t xml:space="preserve">39-01</t>
  </si>
  <si>
    <t xml:space="preserve">5497-02-1A5004</t>
  </si>
  <si>
    <t xml:space="preserve">NC7003457</t>
  </si>
  <si>
    <t xml:space="preserve">39-02</t>
  </si>
  <si>
    <t xml:space="preserve">YB5000191</t>
  </si>
  <si>
    <t xml:space="preserve">39-03</t>
  </si>
  <si>
    <t xml:space="preserve">YB7000164</t>
  </si>
  <si>
    <t xml:space="preserve">39-04</t>
  </si>
  <si>
    <t xml:space="preserve">YB7000181</t>
  </si>
  <si>
    <t xml:space="preserve">39-05</t>
  </si>
  <si>
    <t xml:space="preserve">YB7000187</t>
  </si>
  <si>
    <t xml:space="preserve">39-06</t>
  </si>
  <si>
    <t xml:space="preserve">YB7000196</t>
  </si>
  <si>
    <t xml:space="preserve">306-01</t>
  </si>
  <si>
    <t xml:space="preserve">5497-02-1A5005</t>
  </si>
  <si>
    <t xml:space="preserve">NC7003345</t>
  </si>
  <si>
    <t xml:space="preserve">306-02</t>
  </si>
  <si>
    <t xml:space="preserve">YB5000186</t>
  </si>
  <si>
    <t xml:space="preserve">306-03</t>
  </si>
  <si>
    <t xml:space="preserve">YB7000150</t>
  </si>
  <si>
    <t xml:space="preserve">306-04</t>
  </si>
  <si>
    <t xml:space="preserve">YB7000178</t>
  </si>
  <si>
    <t xml:space="preserve">306-05</t>
  </si>
  <si>
    <t xml:space="preserve">YB7000195</t>
  </si>
  <si>
    <t xml:space="preserve">325-01</t>
  </si>
  <si>
    <t xml:space="preserve">5497-02-1A5007</t>
  </si>
  <si>
    <t xml:space="preserve">NC7003720</t>
  </si>
  <si>
    <t xml:space="preserve">325-02</t>
  </si>
  <si>
    <t xml:space="preserve">YB5000432</t>
  </si>
  <si>
    <t xml:space="preserve">327-01</t>
  </si>
  <si>
    <t xml:space="preserve">5497-02-1A5008</t>
  </si>
  <si>
    <t xml:space="preserve">NC7003369</t>
  </si>
  <si>
    <t xml:space="preserve">327-02</t>
  </si>
  <si>
    <t xml:space="preserve">YB5000189</t>
  </si>
  <si>
    <t xml:space="preserve">34-01</t>
  </si>
  <si>
    <t xml:space="preserve">5497-02-1A6001</t>
  </si>
  <si>
    <t xml:space="preserve">台北六部</t>
  </si>
  <si>
    <t xml:space="preserve">NC7003717</t>
  </si>
  <si>
    <t xml:space="preserve">34-02</t>
  </si>
  <si>
    <t xml:space="preserve">YB5000331</t>
  </si>
  <si>
    <t xml:space="preserve">34-03</t>
  </si>
  <si>
    <t xml:space="preserve">YB7000650</t>
  </si>
  <si>
    <t xml:space="preserve">34-04</t>
  </si>
  <si>
    <t xml:space="preserve">YB7000830</t>
  </si>
  <si>
    <t xml:space="preserve">34-05</t>
  </si>
  <si>
    <t xml:space="preserve">YB7000943</t>
  </si>
  <si>
    <t xml:space="preserve">35-01</t>
  </si>
  <si>
    <t xml:space="preserve">5497-02-1A6002</t>
  </si>
  <si>
    <t xml:space="preserve">NC7003682</t>
  </si>
  <si>
    <t xml:space="preserve">35-02</t>
  </si>
  <si>
    <t xml:space="preserve">YB5000485</t>
  </si>
  <si>
    <t xml:space="preserve">35-03</t>
  </si>
  <si>
    <t xml:space="preserve">YB7000565</t>
  </si>
  <si>
    <t xml:space="preserve">35-04</t>
  </si>
  <si>
    <t xml:space="preserve">YB7000572</t>
  </si>
  <si>
    <t xml:space="preserve">35-05</t>
  </si>
  <si>
    <t xml:space="preserve">YB7000582</t>
  </si>
  <si>
    <t xml:space="preserve">37-01</t>
  </si>
  <si>
    <t xml:space="preserve">5497-02-1A6003</t>
  </si>
  <si>
    <t xml:space="preserve">NC7003654</t>
  </si>
  <si>
    <t xml:space="preserve">37-02</t>
  </si>
  <si>
    <t xml:space="preserve">YB5000494</t>
  </si>
  <si>
    <t xml:space="preserve">37-03</t>
  </si>
  <si>
    <t xml:space="preserve">YB7000574</t>
  </si>
  <si>
    <t xml:space="preserve">37-04</t>
  </si>
  <si>
    <t xml:space="preserve">YB7000576</t>
  </si>
  <si>
    <t xml:space="preserve">37-05</t>
  </si>
  <si>
    <t xml:space="preserve">YB7000579</t>
  </si>
  <si>
    <t xml:space="preserve">38-01</t>
  </si>
  <si>
    <t xml:space="preserve">5497-02-1A6004</t>
  </si>
  <si>
    <t xml:space="preserve">NC7003685</t>
  </si>
  <si>
    <t xml:space="preserve">38-02</t>
  </si>
  <si>
    <t xml:space="preserve">YB5000492</t>
  </si>
  <si>
    <t xml:space="preserve">38-03</t>
  </si>
  <si>
    <t xml:space="preserve">YB7000609</t>
  </si>
  <si>
    <t xml:space="preserve">38-04</t>
  </si>
  <si>
    <t xml:space="preserve">YB7000624</t>
  </si>
  <si>
    <t xml:space="preserve">38-05</t>
  </si>
  <si>
    <t xml:space="preserve">YB7000643</t>
  </si>
  <si>
    <t xml:space="preserve">38-06</t>
  </si>
  <si>
    <t xml:space="preserve">YB7000652</t>
  </si>
  <si>
    <t xml:space="preserve">328-01</t>
  </si>
  <si>
    <t xml:space="preserve">5497-02-1A6006</t>
  </si>
  <si>
    <t xml:space="preserve">NC7003681</t>
  </si>
  <si>
    <t xml:space="preserve">328-02</t>
  </si>
  <si>
    <t xml:space="preserve">YB5000409</t>
  </si>
  <si>
    <t xml:space="preserve">328-03</t>
  </si>
  <si>
    <t xml:space="preserve">YB7000689</t>
  </si>
  <si>
    <t xml:space="preserve">328-04</t>
  </si>
  <si>
    <t xml:space="preserve">YB7000699</t>
  </si>
  <si>
    <t xml:space="preserve">328-05</t>
  </si>
  <si>
    <t xml:space="preserve">YB7000873</t>
  </si>
  <si>
    <t xml:space="preserve">1-01</t>
  </si>
  <si>
    <t xml:space="preserve">5497-02-2C0001</t>
  </si>
  <si>
    <t xml:space="preserve">營運二處</t>
  </si>
  <si>
    <t xml:space="preserve">基隆部</t>
  </si>
  <si>
    <t xml:space="preserve">NC7003276</t>
  </si>
  <si>
    <t xml:space="preserve">1-02</t>
  </si>
  <si>
    <t xml:space="preserve">YB5000338</t>
  </si>
  <si>
    <t xml:space="preserve">1-03</t>
  </si>
  <si>
    <t xml:space="preserve">YB7000446</t>
  </si>
  <si>
    <t xml:space="preserve">1-04</t>
  </si>
  <si>
    <t xml:space="preserve">YB7000456</t>
  </si>
  <si>
    <t xml:space="preserve">1-05</t>
  </si>
  <si>
    <t xml:space="preserve">YB7000459</t>
  </si>
  <si>
    <t xml:space="preserve">1-06</t>
  </si>
  <si>
    <t xml:space="preserve">YB7000461</t>
  </si>
  <si>
    <t xml:space="preserve">1-07</t>
  </si>
  <si>
    <t xml:space="preserve">YB7000462</t>
  </si>
  <si>
    <t xml:space="preserve">1-08</t>
  </si>
  <si>
    <t xml:space="preserve">YB7000484</t>
  </si>
  <si>
    <t xml:space="preserve">1-09</t>
  </si>
  <si>
    <t xml:space="preserve">YB7000498</t>
  </si>
  <si>
    <t xml:space="preserve">1-10</t>
  </si>
  <si>
    <t xml:space="preserve">YB7000500</t>
  </si>
  <si>
    <t xml:space="preserve">1-11</t>
  </si>
  <si>
    <t xml:space="preserve">YB7000502</t>
  </si>
  <si>
    <t xml:space="preserve">1-12</t>
  </si>
  <si>
    <t xml:space="preserve">YB7000504</t>
  </si>
  <si>
    <t xml:space="preserve">1-13</t>
  </si>
  <si>
    <t xml:space="preserve">YB7000506</t>
  </si>
  <si>
    <t xml:space="preserve">1-14</t>
  </si>
  <si>
    <t xml:space="preserve">YB7000516</t>
  </si>
  <si>
    <t xml:space="preserve">1-15</t>
  </si>
  <si>
    <t xml:space="preserve">YB7000517</t>
  </si>
  <si>
    <t xml:space="preserve">1-16</t>
  </si>
  <si>
    <t xml:space="preserve">YB7000523</t>
  </si>
  <si>
    <t xml:space="preserve">1-17</t>
  </si>
  <si>
    <t xml:space="preserve">YB7000526</t>
  </si>
  <si>
    <t xml:space="preserve">1-18</t>
  </si>
  <si>
    <t xml:space="preserve">YB7000538</t>
  </si>
  <si>
    <t xml:space="preserve">1-19</t>
  </si>
  <si>
    <t xml:space="preserve">YB7000539</t>
  </si>
  <si>
    <t xml:space="preserve">1-20</t>
  </si>
  <si>
    <t xml:space="preserve">YB7000704</t>
  </si>
  <si>
    <t xml:space="preserve">1-21</t>
  </si>
  <si>
    <t xml:space="preserve">YB7000706</t>
  </si>
  <si>
    <t xml:space="preserve">183-01</t>
  </si>
  <si>
    <t xml:space="preserve">5497-02-2C0005</t>
  </si>
  <si>
    <t xml:space="preserve">NC7003427</t>
  </si>
  <si>
    <t xml:space="preserve">183-02</t>
  </si>
  <si>
    <t xml:space="preserve">YB5000072</t>
  </si>
  <si>
    <t xml:space="preserve">183-03</t>
  </si>
  <si>
    <t xml:space="preserve">PHLKP02816</t>
  </si>
  <si>
    <t xml:space="preserve">183-04</t>
  </si>
  <si>
    <t xml:space="preserve">PHLKP02817</t>
  </si>
  <si>
    <t xml:space="preserve">183-05</t>
  </si>
  <si>
    <t xml:space="preserve">PHLKP02962</t>
  </si>
  <si>
    <t xml:space="preserve">189-01</t>
  </si>
  <si>
    <t xml:space="preserve">5497-02-2C0002</t>
  </si>
  <si>
    <t xml:space="preserve">NC7003338</t>
  </si>
  <si>
    <t xml:space="preserve">189-02</t>
  </si>
  <si>
    <t xml:space="preserve">YB5000222</t>
  </si>
  <si>
    <t xml:space="preserve">189-03</t>
  </si>
  <si>
    <t xml:space="preserve">YB7000501</t>
  </si>
  <si>
    <t xml:space="preserve">189-04</t>
  </si>
  <si>
    <t xml:space="preserve">YB7000505</t>
  </si>
  <si>
    <t xml:space="preserve">189-05</t>
  </si>
  <si>
    <t xml:space="preserve">YB7000507</t>
  </si>
  <si>
    <t xml:space="preserve">281-01</t>
  </si>
  <si>
    <t xml:space="preserve">5497-02-2C0004</t>
  </si>
  <si>
    <t xml:space="preserve">NC7003530</t>
  </si>
  <si>
    <t xml:space="preserve">281-02</t>
  </si>
  <si>
    <t xml:space="preserve">YB5000493</t>
  </si>
  <si>
    <t xml:space="preserve">281-03</t>
  </si>
  <si>
    <t xml:space="preserve">YB7000455</t>
  </si>
  <si>
    <t xml:space="preserve">281-04</t>
  </si>
  <si>
    <t xml:space="preserve">YB7000457</t>
  </si>
  <si>
    <t xml:space="preserve">281-05</t>
  </si>
  <si>
    <t xml:space="preserve">YB7000460</t>
  </si>
  <si>
    <t xml:space="preserve">281-06</t>
  </si>
  <si>
    <t xml:space="preserve">YB7000534</t>
  </si>
  <si>
    <t xml:space="preserve">281-07</t>
  </si>
  <si>
    <t xml:space="preserve">YB7000540</t>
  </si>
  <si>
    <t xml:space="preserve">282-01</t>
  </si>
  <si>
    <t xml:space="preserve">5497-02-2C0008</t>
  </si>
  <si>
    <t xml:space="preserve">NC7003421</t>
  </si>
  <si>
    <t xml:space="preserve">282-02</t>
  </si>
  <si>
    <t xml:space="preserve">YB5000414</t>
  </si>
  <si>
    <t xml:space="preserve">282-03</t>
  </si>
  <si>
    <t xml:space="preserve">YB7000186</t>
  </si>
  <si>
    <t xml:space="preserve">282-04</t>
  </si>
  <si>
    <t xml:space="preserve">YB7000206</t>
  </si>
  <si>
    <t xml:space="preserve">282-05</t>
  </si>
  <si>
    <t xml:space="preserve">YB7000969</t>
  </si>
  <si>
    <t xml:space="preserve">282-06</t>
  </si>
  <si>
    <t xml:space="preserve">YB7000971</t>
  </si>
  <si>
    <t xml:space="preserve">40-01</t>
  </si>
  <si>
    <t xml:space="preserve">5497-02-2C0003</t>
  </si>
  <si>
    <t xml:space="preserve">NC7003415</t>
  </si>
  <si>
    <t xml:space="preserve">40-02</t>
  </si>
  <si>
    <t xml:space="preserve">YB5000458</t>
  </si>
  <si>
    <t xml:space="preserve">40-03</t>
  </si>
  <si>
    <t xml:space="preserve">PHLKP01958</t>
  </si>
  <si>
    <t xml:space="preserve">40-04</t>
  </si>
  <si>
    <t xml:space="preserve">PHLKP02951</t>
  </si>
  <si>
    <t xml:space="preserve">40-05</t>
  </si>
  <si>
    <t xml:space="preserve">PHLKP02952</t>
  </si>
  <si>
    <t xml:space="preserve">41-01</t>
  </si>
  <si>
    <t xml:space="preserve">5497-02-2C0006</t>
  </si>
  <si>
    <t xml:space="preserve">NC7003750</t>
  </si>
  <si>
    <t xml:space="preserve">41-02</t>
  </si>
  <si>
    <t xml:space="preserve">YB7000849</t>
  </si>
  <si>
    <t xml:space="preserve">41-03</t>
  </si>
  <si>
    <t xml:space="preserve">YB7000852</t>
  </si>
  <si>
    <t xml:space="preserve">41-04</t>
  </si>
  <si>
    <t xml:space="preserve">YB7000856</t>
  </si>
  <si>
    <t xml:space="preserve">41-05</t>
  </si>
  <si>
    <t xml:space="preserve">YB7000906</t>
  </si>
  <si>
    <t xml:space="preserve">44-01</t>
  </si>
  <si>
    <t xml:space="preserve">5497-02-2C0007</t>
  </si>
  <si>
    <t xml:space="preserve">NC7003575</t>
  </si>
  <si>
    <t xml:space="preserve">44-06</t>
  </si>
  <si>
    <t xml:space="preserve">YB5000402</t>
  </si>
  <si>
    <t xml:space="preserve">44-02</t>
  </si>
  <si>
    <t xml:space="preserve">YB7000145</t>
  </si>
  <si>
    <t xml:space="preserve">44-03</t>
  </si>
  <si>
    <t xml:space="preserve">YB7000535</t>
  </si>
  <si>
    <t xml:space="preserve">44-04</t>
  </si>
  <si>
    <t xml:space="preserve">YB7000536</t>
  </si>
  <si>
    <t xml:space="preserve">44-05</t>
  </si>
  <si>
    <t xml:space="preserve">YB7000687</t>
  </si>
  <si>
    <t xml:space="preserve">48-01</t>
  </si>
  <si>
    <t xml:space="preserve">5497-02-2F2001</t>
  </si>
  <si>
    <t xml:space="preserve">新北一部</t>
  </si>
  <si>
    <t xml:space="preserve">NC7003348</t>
  </si>
  <si>
    <t xml:space="preserve">48-02</t>
  </si>
  <si>
    <t xml:space="preserve">YB7000073</t>
  </si>
  <si>
    <t xml:space="preserve">48-03</t>
  </si>
  <si>
    <t xml:space="preserve">YB7000190</t>
  </si>
  <si>
    <t xml:space="preserve">48-04</t>
  </si>
  <si>
    <t xml:space="preserve">YB7000204</t>
  </si>
  <si>
    <t xml:space="preserve">48-05</t>
  </si>
  <si>
    <t xml:space="preserve">YB7000209</t>
  </si>
  <si>
    <t xml:space="preserve">49-01</t>
  </si>
  <si>
    <t xml:space="preserve">5497-02-2F2002</t>
  </si>
  <si>
    <t xml:space="preserve">NC7003360</t>
  </si>
  <si>
    <t xml:space="preserve">49-02</t>
  </si>
  <si>
    <t xml:space="preserve">YB7000093</t>
  </si>
  <si>
    <t xml:space="preserve">49-03</t>
  </si>
  <si>
    <t xml:space="preserve">YB7000161</t>
  </si>
  <si>
    <t xml:space="preserve">49-04</t>
  </si>
  <si>
    <t xml:space="preserve">YB7000162</t>
  </si>
  <si>
    <t xml:space="preserve">50-01</t>
  </si>
  <si>
    <t xml:space="preserve">5497-02-2F2003</t>
  </si>
  <si>
    <t xml:space="preserve">NC7003609</t>
  </si>
  <si>
    <t xml:space="preserve">50-02</t>
  </si>
  <si>
    <t xml:space="preserve">YB5000343</t>
  </si>
  <si>
    <t xml:space="preserve">50-03</t>
  </si>
  <si>
    <t xml:space="preserve">PHLKQ02070</t>
  </si>
  <si>
    <t xml:space="preserve">50-04</t>
  </si>
  <si>
    <t xml:space="preserve">PHLKQ02071</t>
  </si>
  <si>
    <t xml:space="preserve">50-05</t>
  </si>
  <si>
    <t xml:space="preserve">PHLKQ02077</t>
  </si>
  <si>
    <t xml:space="preserve">50-06</t>
  </si>
  <si>
    <t xml:space="preserve">PHLKQ02080</t>
  </si>
  <si>
    <t xml:space="preserve">51-01</t>
  </si>
  <si>
    <t xml:space="preserve">5497-02-2F1003</t>
  </si>
  <si>
    <t xml:space="preserve">NC7003428</t>
  </si>
  <si>
    <t xml:space="preserve">51-02</t>
  </si>
  <si>
    <t xml:space="preserve">YB7000153</t>
  </si>
  <si>
    <t xml:space="preserve">51-03</t>
  </si>
  <si>
    <t xml:space="preserve">YB7000173</t>
  </si>
  <si>
    <t xml:space="preserve">51-04</t>
  </si>
  <si>
    <t xml:space="preserve">YB7000183</t>
  </si>
  <si>
    <t xml:space="preserve">51-05</t>
  </si>
  <si>
    <t xml:space="preserve">YB7000189</t>
  </si>
  <si>
    <t xml:space="preserve">52-01</t>
  </si>
  <si>
    <t xml:space="preserve">5497-02-2F1004</t>
  </si>
  <si>
    <t xml:space="preserve">NC7003430</t>
  </si>
  <si>
    <t xml:space="preserve">52-02</t>
  </si>
  <si>
    <t xml:space="preserve">YB5000202</t>
  </si>
  <si>
    <t xml:space="preserve">52-03</t>
  </si>
  <si>
    <t xml:space="preserve">YB7000088</t>
  </si>
  <si>
    <t xml:space="preserve">52-04</t>
  </si>
  <si>
    <t xml:space="preserve">YB7000095</t>
  </si>
  <si>
    <t xml:space="preserve">52-05</t>
  </si>
  <si>
    <t xml:space="preserve">YB7000185</t>
  </si>
  <si>
    <t xml:space="preserve">52-06</t>
  </si>
  <si>
    <t xml:space="preserve">YB7000200</t>
  </si>
  <si>
    <t xml:space="preserve">52-07</t>
  </si>
  <si>
    <t xml:space="preserve">YB7000203</t>
  </si>
  <si>
    <t xml:space="preserve">52-08</t>
  </si>
  <si>
    <t xml:space="preserve">YB7000207</t>
  </si>
  <si>
    <t xml:space="preserve">52-09</t>
  </si>
  <si>
    <t xml:space="preserve">YB7000216</t>
  </si>
  <si>
    <t xml:space="preserve">56-01</t>
  </si>
  <si>
    <t xml:space="preserve">5497-02-2F2005</t>
  </si>
  <si>
    <t xml:space="preserve">NC7003394</t>
  </si>
  <si>
    <t xml:space="preserve">56-02</t>
  </si>
  <si>
    <t xml:space="preserve">YB5000150</t>
  </si>
  <si>
    <t xml:space="preserve">56-03</t>
  </si>
  <si>
    <t xml:space="preserve">YB7000083</t>
  </si>
  <si>
    <t xml:space="preserve">56-04</t>
  </si>
  <si>
    <t xml:space="preserve">YB7000100</t>
  </si>
  <si>
    <t xml:space="preserve">56-05</t>
  </si>
  <si>
    <t xml:space="preserve">YB7000167</t>
  </si>
  <si>
    <t xml:space="preserve">56-06</t>
  </si>
  <si>
    <t xml:space="preserve">YB7000168</t>
  </si>
  <si>
    <t xml:space="preserve">262-01</t>
  </si>
  <si>
    <t xml:space="preserve">5497-02-2F1006</t>
  </si>
  <si>
    <t xml:space="preserve">NC7003712</t>
  </si>
  <si>
    <t xml:space="preserve">262-02</t>
  </si>
  <si>
    <t xml:space="preserve">YB5000332</t>
  </si>
  <si>
    <t xml:space="preserve">262-03</t>
  </si>
  <si>
    <t xml:space="preserve">YB7000708</t>
  </si>
  <si>
    <t xml:space="preserve">262-04</t>
  </si>
  <si>
    <t xml:space="preserve">YB7000215</t>
  </si>
  <si>
    <r>
      <rPr>
        <b val="true"/>
        <sz val="12"/>
        <color rgb="FF000000"/>
        <rFont val="微軟正黑體 Light"/>
        <family val="2"/>
        <charset val="136"/>
      </rPr>
      <t xml:space="preserve">114.08.01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</si>
  <si>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267-01</t>
  </si>
  <si>
    <t xml:space="preserve">5497-02-2F2007</t>
  </si>
  <si>
    <t xml:space="preserve">NC7003224</t>
  </si>
  <si>
    <t xml:space="preserve">267-02</t>
  </si>
  <si>
    <t xml:space="preserve">YB5000094</t>
  </si>
  <si>
    <t xml:space="preserve">268-01</t>
  </si>
  <si>
    <t xml:space="preserve">5497-02-2F2008</t>
  </si>
  <si>
    <t xml:space="preserve">NC7003351</t>
  </si>
  <si>
    <t xml:space="preserve">268-02</t>
  </si>
  <si>
    <t xml:space="preserve">YB5000198</t>
  </si>
  <si>
    <t xml:space="preserve">53-01</t>
  </si>
  <si>
    <t xml:space="preserve">5497-02-2F3001</t>
  </si>
  <si>
    <t xml:space="preserve">新北二部</t>
  </si>
  <si>
    <t xml:space="preserve">NC7003645</t>
  </si>
  <si>
    <t xml:space="preserve">53-02</t>
  </si>
  <si>
    <t xml:space="preserve">PHLKP01965</t>
  </si>
  <si>
    <t xml:space="preserve">53-03</t>
  </si>
  <si>
    <t xml:space="preserve">PHLKP02912</t>
  </si>
  <si>
    <t xml:space="preserve">53-04</t>
  </si>
  <si>
    <t xml:space="preserve">PHLKP02950</t>
  </si>
  <si>
    <t xml:space="preserve">53-05</t>
  </si>
  <si>
    <t xml:space="preserve">PHLKP02966</t>
  </si>
  <si>
    <t xml:space="preserve">54-01</t>
  </si>
  <si>
    <t xml:space="preserve">5497-02-2F3002</t>
  </si>
  <si>
    <t xml:space="preserve">NC7003527</t>
  </si>
  <si>
    <t xml:space="preserve">54-02</t>
  </si>
  <si>
    <t xml:space="preserve">YB7000453</t>
  </si>
  <si>
    <t xml:space="preserve">54-03</t>
  </si>
  <si>
    <t xml:space="preserve">YB7000454</t>
  </si>
  <si>
    <t xml:space="preserve">54-04</t>
  </si>
  <si>
    <t xml:space="preserve">YB7000485</t>
  </si>
  <si>
    <t xml:space="preserve">54-05</t>
  </si>
  <si>
    <t xml:space="preserve">YB7000486</t>
  </si>
  <si>
    <t xml:space="preserve">55-01</t>
  </si>
  <si>
    <t xml:space="preserve">5497-02-2F2004</t>
  </si>
  <si>
    <t xml:space="preserve">NC7003410</t>
  </si>
  <si>
    <t xml:space="preserve">55-02</t>
  </si>
  <si>
    <t xml:space="preserve">YB7000094</t>
  </si>
  <si>
    <t xml:space="preserve">55-03</t>
  </si>
  <si>
    <t xml:space="preserve">YB7000101</t>
  </si>
  <si>
    <t xml:space="preserve">55-04</t>
  </si>
  <si>
    <t xml:space="preserve">YB7000110</t>
  </si>
  <si>
    <t xml:space="preserve">55-05</t>
  </si>
  <si>
    <t xml:space="preserve">YB7000119</t>
  </si>
  <si>
    <t xml:space="preserve">57-01</t>
  </si>
  <si>
    <t xml:space="preserve">5497-02-2F3003</t>
  </si>
  <si>
    <t xml:space="preserve">NC7003709</t>
  </si>
  <si>
    <t xml:space="preserve">57-02</t>
  </si>
  <si>
    <t xml:space="preserve">YB7000618</t>
  </si>
  <si>
    <t xml:space="preserve">57-03</t>
  </si>
  <si>
    <t xml:space="preserve">YB7000622</t>
  </si>
  <si>
    <t xml:space="preserve">57-04</t>
  </si>
  <si>
    <t xml:space="preserve">YB7000627</t>
  </si>
  <si>
    <t xml:space="preserve">58-01</t>
  </si>
  <si>
    <t xml:space="preserve">5497-02-2F3004</t>
  </si>
  <si>
    <t xml:space="preserve">NC7003626</t>
  </si>
  <si>
    <t xml:space="preserve">58-02</t>
  </si>
  <si>
    <t xml:space="preserve">PHLKP02831</t>
  </si>
  <si>
    <t xml:space="preserve">58-03</t>
  </si>
  <si>
    <t xml:space="preserve">PHLKP02944</t>
  </si>
  <si>
    <t xml:space="preserve">58-04</t>
  </si>
  <si>
    <t xml:space="preserve">PHLKP02960</t>
  </si>
  <si>
    <t xml:space="preserve">58-05</t>
  </si>
  <si>
    <t xml:space="preserve">PHLKP02961</t>
  </si>
  <si>
    <t xml:space="preserve">58-06</t>
  </si>
  <si>
    <t xml:space="preserve">PHLKP02965</t>
  </si>
  <si>
    <r>
      <rPr>
        <b val="true"/>
        <sz val="12"/>
        <color rgb="FF000000"/>
        <rFont val="微軟正黑體 Light"/>
        <family val="2"/>
        <charset val="136"/>
      </rPr>
      <t xml:space="preserve">114.08.21</t>
    </r>
    <r>
      <rPr>
        <b val="true"/>
        <sz val="12"/>
        <color rgb="FF000000"/>
        <rFont val="新細明體"/>
        <family val="2"/>
        <charset val="136"/>
      </rPr>
      <t xml:space="preserve">撤機</t>
    </r>
  </si>
  <si>
    <t xml:space="preserve">59-01</t>
  </si>
  <si>
    <t xml:space="preserve">5497-02-2F2006</t>
  </si>
  <si>
    <t xml:space="preserve">NC7003667</t>
  </si>
  <si>
    <t xml:space="preserve">59-02</t>
  </si>
  <si>
    <t xml:space="preserve">YB7000648</t>
  </si>
  <si>
    <t xml:space="preserve">59-03</t>
  </si>
  <si>
    <t xml:space="preserve">YB7000665</t>
  </si>
  <si>
    <t xml:space="preserve">59-04</t>
  </si>
  <si>
    <t xml:space="preserve">YB7000667</t>
  </si>
  <si>
    <t xml:space="preserve">258-01</t>
  </si>
  <si>
    <t xml:space="preserve">5497-02-2F3005</t>
  </si>
  <si>
    <t xml:space="preserve">NC7003569</t>
  </si>
  <si>
    <t xml:space="preserve">258-02</t>
  </si>
  <si>
    <t xml:space="preserve">YB5000340</t>
  </si>
  <si>
    <t xml:space="preserve">258-03</t>
  </si>
  <si>
    <t xml:space="preserve">YB7000478</t>
  </si>
  <si>
    <t xml:space="preserve">258-04</t>
  </si>
  <si>
    <t xml:space="preserve">YB7000479</t>
  </si>
  <si>
    <t xml:space="preserve">258-05</t>
  </si>
  <si>
    <t xml:space="preserve">YB7000481</t>
  </si>
  <si>
    <t xml:space="preserve">258-06</t>
  </si>
  <si>
    <t xml:space="preserve">YB7000482</t>
  </si>
  <si>
    <t xml:space="preserve">259-01</t>
  </si>
  <si>
    <t xml:space="preserve">5497-02-2F3006</t>
  </si>
  <si>
    <t xml:space="preserve">NC7003696</t>
  </si>
  <si>
    <t xml:space="preserve">259-02</t>
  </si>
  <si>
    <t xml:space="preserve">YB5000217</t>
  </si>
  <si>
    <t xml:space="preserve">260-01</t>
  </si>
  <si>
    <t xml:space="preserve">5497-02-2F3007</t>
  </si>
  <si>
    <t xml:space="preserve">NC7003514</t>
  </si>
  <si>
    <t xml:space="preserve">260-02</t>
  </si>
  <si>
    <t xml:space="preserve">YB5000344</t>
  </si>
  <si>
    <t xml:space="preserve">260-03</t>
  </si>
  <si>
    <t xml:space="preserve">YB7000448</t>
  </si>
  <si>
    <t xml:space="preserve">260-04</t>
  </si>
  <si>
    <t xml:space="preserve">YB7000451</t>
  </si>
  <si>
    <t xml:space="preserve">260-05</t>
  </si>
  <si>
    <t xml:space="preserve">YB7000533</t>
  </si>
  <si>
    <t xml:space="preserve">46-01</t>
  </si>
  <si>
    <t xml:space="preserve">5497-02-2F1001</t>
  </si>
  <si>
    <t xml:space="preserve">新北三部</t>
  </si>
  <si>
    <t xml:space="preserve">NC7003639</t>
  </si>
  <si>
    <t xml:space="preserve">46-02</t>
  </si>
  <si>
    <t xml:space="preserve">YB7000722</t>
  </si>
  <si>
    <r>
      <rPr>
        <b val="true"/>
        <sz val="12"/>
        <color rgb="FF000000"/>
        <rFont val="微軟正黑體 Light"/>
        <family val="2"/>
        <charset val="136"/>
      </rPr>
      <t xml:space="preserve">114.07.14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</si>
  <si>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46-03</t>
  </si>
  <si>
    <t xml:space="preserve">YB7000878</t>
  </si>
  <si>
    <t xml:space="preserve">47-01</t>
  </si>
  <si>
    <t xml:space="preserve">5497-02-2F1002</t>
  </si>
  <si>
    <t xml:space="preserve">NC7003671</t>
  </si>
  <si>
    <t xml:space="preserve">47-02</t>
  </si>
  <si>
    <t xml:space="preserve">YB7000691</t>
  </si>
  <si>
    <t xml:space="preserve">47-03</t>
  </si>
  <si>
    <t xml:space="preserve">YB7000692</t>
  </si>
  <si>
    <t xml:space="preserve">47-04</t>
  </si>
  <si>
    <t xml:space="preserve">YB7000695</t>
  </si>
  <si>
    <t xml:space="preserve">65-01</t>
  </si>
  <si>
    <t xml:space="preserve">5497-02-2F4002</t>
  </si>
  <si>
    <t xml:space="preserve">NC7003608</t>
  </si>
  <si>
    <t xml:space="preserve">65-02</t>
  </si>
  <si>
    <t xml:space="preserve">YB5000348</t>
  </si>
  <si>
    <t xml:space="preserve">65-03</t>
  </si>
  <si>
    <t xml:space="preserve">PHLKP01832</t>
  </si>
  <si>
    <t xml:space="preserve">65-04</t>
  </si>
  <si>
    <t xml:space="preserve">PHLKP01841</t>
  </si>
  <si>
    <t xml:space="preserve">65-05</t>
  </si>
  <si>
    <t xml:space="preserve">PHLKP01845</t>
  </si>
  <si>
    <t xml:space="preserve">65-06</t>
  </si>
  <si>
    <t xml:space="preserve">PHLKP01846</t>
  </si>
  <si>
    <t xml:space="preserve">65-07</t>
  </si>
  <si>
    <t xml:space="preserve">PHLKP01848</t>
  </si>
  <si>
    <t xml:space="preserve">65-08</t>
  </si>
  <si>
    <t xml:space="preserve">PHLKP01849</t>
  </si>
  <si>
    <t xml:space="preserve">65-09</t>
  </si>
  <si>
    <t xml:space="preserve">PHLKP01850</t>
  </si>
  <si>
    <t xml:space="preserve">65-10</t>
  </si>
  <si>
    <t xml:space="preserve">PHLKP01851</t>
  </si>
  <si>
    <t xml:space="preserve">65-11</t>
  </si>
  <si>
    <t xml:space="preserve">PHLKP01853</t>
  </si>
  <si>
    <t xml:space="preserve">65-12</t>
  </si>
  <si>
    <t xml:space="preserve">PHLKP01856</t>
  </si>
  <si>
    <t xml:space="preserve">65-13</t>
  </si>
  <si>
    <t xml:space="preserve">PHLKP01858</t>
  </si>
  <si>
    <t xml:space="preserve">65-14</t>
  </si>
  <si>
    <t xml:space="preserve">PHLKP01871</t>
  </si>
  <si>
    <t xml:space="preserve">65-15</t>
  </si>
  <si>
    <t xml:space="preserve">PHLKP01874</t>
  </si>
  <si>
    <t xml:space="preserve">66-01</t>
  </si>
  <si>
    <t xml:space="preserve">5497-02-2F4003</t>
  </si>
  <si>
    <t xml:space="preserve">NC7003713</t>
  </si>
  <si>
    <t xml:space="preserve">66-02</t>
  </si>
  <si>
    <t xml:space="preserve">YB7000647</t>
  </si>
  <si>
    <t xml:space="preserve">66-03</t>
  </si>
  <si>
    <t xml:space="preserve">YB7000669</t>
  </si>
  <si>
    <t xml:space="preserve">66-04</t>
  </si>
  <si>
    <t xml:space="preserve">YB7000670</t>
  </si>
  <si>
    <t xml:space="preserve">67-01</t>
  </si>
  <si>
    <t xml:space="preserve">5497-02-2F4004</t>
  </si>
  <si>
    <t xml:space="preserve">NC7003532</t>
  </si>
  <si>
    <t xml:space="preserve">67-02</t>
  </si>
  <si>
    <t xml:space="preserve">YB7000475</t>
  </si>
  <si>
    <t xml:space="preserve">67-03</t>
  </si>
  <si>
    <t xml:space="preserve">YB7000477</t>
  </si>
  <si>
    <t xml:space="preserve">67-04</t>
  </si>
  <si>
    <t xml:space="preserve">YB7000480</t>
  </si>
  <si>
    <t xml:space="preserve">68-01</t>
  </si>
  <si>
    <t xml:space="preserve">5497-02-2F4005</t>
  </si>
  <si>
    <t xml:space="preserve">NC7003684</t>
  </si>
  <si>
    <t xml:space="preserve">68-02</t>
  </si>
  <si>
    <t xml:space="preserve">YB5000255</t>
  </si>
  <si>
    <t xml:space="preserve">68-03</t>
  </si>
  <si>
    <t xml:space="preserve">YB7000718</t>
  </si>
  <si>
    <t xml:space="preserve">68-04</t>
  </si>
  <si>
    <t xml:space="preserve">YB7000719</t>
  </si>
  <si>
    <t xml:space="preserve">68-05</t>
  </si>
  <si>
    <t xml:space="preserve">YB7000817</t>
  </si>
  <si>
    <t xml:space="preserve">261-01</t>
  </si>
  <si>
    <t xml:space="preserve">5497-02-2F1005</t>
  </si>
  <si>
    <t xml:space="preserve">NC7003397</t>
  </si>
  <si>
    <t xml:space="preserve">261-02</t>
  </si>
  <si>
    <t xml:space="preserve">YB5000204</t>
  </si>
  <si>
    <t xml:space="preserve">261-03</t>
  </si>
  <si>
    <t xml:space="preserve">YB7000081</t>
  </si>
  <si>
    <t xml:space="preserve">263-01</t>
  </si>
  <si>
    <t xml:space="preserve">5497-02-2F1007</t>
  </si>
  <si>
    <t xml:space="preserve">NC7003641</t>
  </si>
  <si>
    <t xml:space="preserve">263-02</t>
  </si>
  <si>
    <t xml:space="preserve">YB5000490</t>
  </si>
  <si>
    <t xml:space="preserve">265-01</t>
  </si>
  <si>
    <t xml:space="preserve">5497-02-2F4006</t>
  </si>
  <si>
    <t xml:space="preserve">NC7003768</t>
  </si>
  <si>
    <t xml:space="preserve">265-02</t>
  </si>
  <si>
    <t xml:space="preserve">YB5000420</t>
  </si>
  <si>
    <t xml:space="preserve">2-01</t>
  </si>
  <si>
    <t xml:space="preserve">5497-02-2F5001</t>
  </si>
  <si>
    <t xml:space="preserve">新北四部</t>
  </si>
  <si>
    <t xml:space="preserve">NC7003372</t>
  </si>
  <si>
    <t xml:space="preserve">2-02</t>
  </si>
  <si>
    <t xml:space="preserve">YB5000199</t>
  </si>
  <si>
    <t xml:space="preserve">2-03</t>
  </si>
  <si>
    <t xml:space="preserve">YB7000080</t>
  </si>
  <si>
    <t xml:space="preserve">2-04</t>
  </si>
  <si>
    <t xml:space="preserve">YB7000085</t>
  </si>
  <si>
    <t xml:space="preserve">2-05</t>
  </si>
  <si>
    <t xml:space="preserve">YB7000096</t>
  </si>
  <si>
    <t xml:space="preserve">2-06</t>
  </si>
  <si>
    <t xml:space="preserve">YB7000112</t>
  </si>
  <si>
    <t xml:space="preserve">2-07</t>
  </si>
  <si>
    <t xml:space="preserve">YB7000113</t>
  </si>
  <si>
    <t xml:space="preserve">2-08</t>
  </si>
  <si>
    <t xml:space="preserve">YB7000120</t>
  </si>
  <si>
    <t xml:space="preserve">2-09</t>
  </si>
  <si>
    <t xml:space="preserve">YB7000122</t>
  </si>
  <si>
    <t xml:space="preserve">2-10</t>
  </si>
  <si>
    <t xml:space="preserve">YB7000123</t>
  </si>
  <si>
    <t xml:space="preserve">2-11</t>
  </si>
  <si>
    <t xml:space="preserve">YB7000124</t>
  </si>
  <si>
    <t xml:space="preserve">2-12</t>
  </si>
  <si>
    <t xml:space="preserve">YB7000125</t>
  </si>
  <si>
    <t xml:space="preserve">2-13</t>
  </si>
  <si>
    <t xml:space="preserve">YB7000126</t>
  </si>
  <si>
    <t xml:space="preserve">2-14</t>
  </si>
  <si>
    <t xml:space="preserve">YB7000127</t>
  </si>
  <si>
    <t xml:space="preserve">2-15</t>
  </si>
  <si>
    <t xml:space="preserve">YB7000128</t>
  </si>
  <si>
    <t xml:space="preserve">2-16</t>
  </si>
  <si>
    <t xml:space="preserve">YB7000133</t>
  </si>
  <si>
    <t xml:space="preserve">2-17</t>
  </si>
  <si>
    <t xml:space="preserve">YB7000135</t>
  </si>
  <si>
    <t xml:space="preserve">2-18</t>
  </si>
  <si>
    <t xml:space="preserve">YB7000197</t>
  </si>
  <si>
    <t xml:space="preserve">2-19</t>
  </si>
  <si>
    <t xml:space="preserve">YB7000211</t>
  </si>
  <si>
    <t xml:space="preserve">2-20</t>
  </si>
  <si>
    <t xml:space="preserve">YB7000212</t>
  </si>
  <si>
    <t xml:space="preserve">2-21</t>
  </si>
  <si>
    <t xml:space="preserve">YB7000214</t>
  </si>
  <si>
    <t xml:space="preserve">60-01</t>
  </si>
  <si>
    <t xml:space="preserve">5497-02-2F5002</t>
  </si>
  <si>
    <t xml:space="preserve">NC7003391</t>
  </si>
  <si>
    <t xml:space="preserve">60-02</t>
  </si>
  <si>
    <t xml:space="preserve">YB7000084</t>
  </si>
  <si>
    <t xml:space="preserve">60-03</t>
  </si>
  <si>
    <t xml:space="preserve">YB7000089</t>
  </si>
  <si>
    <t xml:space="preserve">60-04</t>
  </si>
  <si>
    <t xml:space="preserve">YB7000142</t>
  </si>
  <si>
    <t xml:space="preserve">60-05</t>
  </si>
  <si>
    <t xml:space="preserve">YB7000193</t>
  </si>
  <si>
    <t xml:space="preserve">61-01</t>
  </si>
  <si>
    <t xml:space="preserve">5497-02-2F5003</t>
  </si>
  <si>
    <t xml:space="preserve">NC7003686</t>
  </si>
  <si>
    <t xml:space="preserve">61-02</t>
  </si>
  <si>
    <t xml:space="preserve">YB5000428</t>
  </si>
  <si>
    <t xml:space="preserve">61-03</t>
  </si>
  <si>
    <t xml:space="preserve">YB7000936</t>
  </si>
  <si>
    <t xml:space="preserve">61-04</t>
  </si>
  <si>
    <t xml:space="preserve">YB7000940</t>
  </si>
  <si>
    <t xml:space="preserve">61-05</t>
  </si>
  <si>
    <t xml:space="preserve">YB7000944</t>
  </si>
  <si>
    <t xml:space="preserve">62-01</t>
  </si>
  <si>
    <t xml:space="preserve">5497-02-2F4001</t>
  </si>
  <si>
    <t xml:space="preserve">NC7003721</t>
  </si>
  <si>
    <t xml:space="preserve">62-02</t>
  </si>
  <si>
    <t xml:space="preserve">YB7000542</t>
  </si>
  <si>
    <t xml:space="preserve">62-03</t>
  </si>
  <si>
    <t xml:space="preserve">YB7000549</t>
  </si>
  <si>
    <t xml:space="preserve">62-04</t>
  </si>
  <si>
    <t xml:space="preserve">YB7000550</t>
  </si>
  <si>
    <t xml:space="preserve">62-05</t>
  </si>
  <si>
    <t xml:space="preserve">YB7000832</t>
  </si>
  <si>
    <t xml:space="preserve">63-01</t>
  </si>
  <si>
    <t xml:space="preserve">5497-02-2F5004</t>
  </si>
  <si>
    <t xml:space="preserve">NC7003651</t>
  </si>
  <si>
    <t xml:space="preserve">63-02</t>
  </si>
  <si>
    <t xml:space="preserve">YB7000696</t>
  </si>
  <si>
    <t xml:space="preserve">63-03</t>
  </si>
  <si>
    <t xml:space="preserve">YB7000700</t>
  </si>
  <si>
    <t xml:space="preserve">63-04</t>
  </si>
  <si>
    <t xml:space="preserve">YB7000881</t>
  </si>
  <si>
    <t xml:space="preserve">64-01</t>
  </si>
  <si>
    <t xml:space="preserve">5497-02-2F5005</t>
  </si>
  <si>
    <t xml:space="preserve">NC7003386</t>
  </si>
  <si>
    <t xml:space="preserve">64-02</t>
  </si>
  <si>
    <t xml:space="preserve">YB5000200</t>
  </si>
  <si>
    <t xml:space="preserve">64-03</t>
  </si>
  <si>
    <t xml:space="preserve">YB7000082</t>
  </si>
  <si>
    <t xml:space="preserve">64-04</t>
  </si>
  <si>
    <t xml:space="preserve">YB7000086</t>
  </si>
  <si>
    <t xml:space="preserve">64-05</t>
  </si>
  <si>
    <t xml:space="preserve">YB7000129</t>
  </si>
  <si>
    <t xml:space="preserve">64-06</t>
  </si>
  <si>
    <t xml:space="preserve">YB7000213</t>
  </si>
  <si>
    <t xml:space="preserve">69-01</t>
  </si>
  <si>
    <t xml:space="preserve">5497-02-2F5006</t>
  </si>
  <si>
    <t xml:space="preserve">NC7003466</t>
  </si>
  <si>
    <t xml:space="preserve">69-02</t>
  </si>
  <si>
    <t xml:space="preserve">YB7000424</t>
  </si>
  <si>
    <t xml:space="preserve">69-03</t>
  </si>
  <si>
    <t xml:space="preserve">YB7000425</t>
  </si>
  <si>
    <t xml:space="preserve">69-04</t>
  </si>
  <si>
    <t xml:space="preserve">YB7000427</t>
  </si>
  <si>
    <t xml:space="preserve">264-01</t>
  </si>
  <si>
    <t xml:space="preserve">5497-02-2F5007</t>
  </si>
  <si>
    <t xml:space="preserve">NC7003342</t>
  </si>
  <si>
    <t xml:space="preserve">264-02</t>
  </si>
  <si>
    <t xml:space="preserve">YB5000105</t>
  </si>
  <si>
    <t xml:space="preserve">266-01</t>
  </si>
  <si>
    <t xml:space="preserve">5497-02-2F4007</t>
  </si>
  <si>
    <t xml:space="preserve">NC7003676</t>
  </si>
  <si>
    <t xml:space="preserve">266-02</t>
  </si>
  <si>
    <t xml:space="preserve">YB5000425</t>
  </si>
  <si>
    <t xml:space="preserve">269-01</t>
  </si>
  <si>
    <t xml:space="preserve">5497-02-2F5008</t>
  </si>
  <si>
    <t xml:space="preserve">NC7003723</t>
  </si>
  <si>
    <t xml:space="preserve">269-02</t>
  </si>
  <si>
    <t xml:space="preserve">YB5000431</t>
  </si>
  <si>
    <t xml:space="preserve">269-03</t>
  </si>
  <si>
    <t xml:space="preserve">YB7000821</t>
  </si>
  <si>
    <t xml:space="preserve">42-01</t>
  </si>
  <si>
    <t xml:space="preserve">5497-02-2G0001</t>
  </si>
  <si>
    <t xml:space="preserve">宜蘭部</t>
  </si>
  <si>
    <t xml:space="preserve">NC7003485</t>
  </si>
  <si>
    <t xml:space="preserve">42-02</t>
  </si>
  <si>
    <t xml:space="preserve">PHLKP02674</t>
  </si>
  <si>
    <t xml:space="preserve">42-03</t>
  </si>
  <si>
    <t xml:space="preserve">PHLKP02694</t>
  </si>
  <si>
    <t xml:space="preserve">42-04</t>
  </si>
  <si>
    <t xml:space="preserve">PHLKQ02696</t>
  </si>
  <si>
    <t xml:space="preserve">45-01</t>
  </si>
  <si>
    <t xml:space="preserve">5497-02-2G0002</t>
  </si>
  <si>
    <t xml:space="preserve">NC7003499</t>
  </si>
  <si>
    <t xml:space="preserve">45-02</t>
  </si>
  <si>
    <t xml:space="preserve">YB5000108</t>
  </si>
  <si>
    <t xml:space="preserve">45-03</t>
  </si>
  <si>
    <t xml:space="preserve">YB5000111</t>
  </si>
  <si>
    <t xml:space="preserve">45-04</t>
  </si>
  <si>
    <t xml:space="preserve">PHLKP01295</t>
  </si>
  <si>
    <t xml:space="preserve">45-05</t>
  </si>
  <si>
    <t xml:space="preserve">PHLKP01342</t>
  </si>
  <si>
    <t xml:space="preserve">45-06</t>
  </si>
  <si>
    <t xml:space="preserve">PHLKP02358</t>
  </si>
  <si>
    <t xml:space="preserve">45-07</t>
  </si>
  <si>
    <t xml:space="preserve">PHLKP02432</t>
  </si>
  <si>
    <t xml:space="preserve">45-08</t>
  </si>
  <si>
    <t xml:space="preserve">PHLKP02698</t>
  </si>
  <si>
    <t xml:space="preserve">45-09</t>
  </si>
  <si>
    <t xml:space="preserve">PHLKP02730</t>
  </si>
  <si>
    <t xml:space="preserve">45-10</t>
  </si>
  <si>
    <t xml:space="preserve">PHLKP02752</t>
  </si>
  <si>
    <t xml:space="preserve">45-11</t>
  </si>
  <si>
    <t xml:space="preserve">PHLKP02756</t>
  </si>
  <si>
    <t xml:space="preserve">45-12</t>
  </si>
  <si>
    <t xml:space="preserve">PHLKP02765</t>
  </si>
  <si>
    <t xml:space="preserve">45-13</t>
  </si>
  <si>
    <t xml:space="preserve">PHLKP02767</t>
  </si>
  <si>
    <t xml:space="preserve">45-14</t>
  </si>
  <si>
    <t xml:space="preserve">PHLKP02768</t>
  </si>
  <si>
    <t xml:space="preserve">45-15</t>
  </si>
  <si>
    <t xml:space="preserve">PHLKP02769</t>
  </si>
  <si>
    <t xml:space="preserve">45-16</t>
  </si>
  <si>
    <t xml:space="preserve">PHLKP02774</t>
  </si>
  <si>
    <t xml:space="preserve">205-01</t>
  </si>
  <si>
    <t xml:space="preserve">5497-02-2G0003</t>
  </si>
  <si>
    <t xml:space="preserve">NC7003461</t>
  </si>
  <si>
    <t xml:space="preserve">205-02</t>
  </si>
  <si>
    <t xml:space="preserve">YB5000110</t>
  </si>
  <si>
    <t xml:space="preserve">205-03</t>
  </si>
  <si>
    <t xml:space="preserve">PHLKP02760</t>
  </si>
  <si>
    <t xml:space="preserve">205-04</t>
  </si>
  <si>
    <t xml:space="preserve">PHLKP02762</t>
  </si>
  <si>
    <t xml:space="preserve">205-05</t>
  </si>
  <si>
    <t xml:space="preserve">PHLKP02772</t>
  </si>
  <si>
    <t xml:space="preserve">205-06</t>
  </si>
  <si>
    <t xml:space="preserve">PHLKP02776</t>
  </si>
  <si>
    <t xml:space="preserve">206-01</t>
  </si>
  <si>
    <t xml:space="preserve">5497-02-2G0004</t>
  </si>
  <si>
    <t xml:space="preserve">NC7003468</t>
  </si>
  <si>
    <t xml:space="preserve">206-02</t>
  </si>
  <si>
    <t xml:space="preserve">YB5000113</t>
  </si>
  <si>
    <t xml:space="preserve">206-03</t>
  </si>
  <si>
    <t xml:space="preserve">PHLKP02758</t>
  </si>
  <si>
    <t xml:space="preserve">207-01</t>
  </si>
  <si>
    <t xml:space="preserve">5497-02-2G0005</t>
  </si>
  <si>
    <t xml:space="preserve">NC7003467</t>
  </si>
  <si>
    <t xml:space="preserve">217-01</t>
  </si>
  <si>
    <t xml:space="preserve">5497-02-2G0007</t>
  </si>
  <si>
    <t xml:space="preserve">NC7003464</t>
  </si>
  <si>
    <t xml:space="preserve">217-02</t>
  </si>
  <si>
    <t xml:space="preserve">YB5000159</t>
  </si>
  <si>
    <t xml:space="preserve">217-03</t>
  </si>
  <si>
    <t xml:space="preserve">PHLKP02619</t>
  </si>
  <si>
    <t xml:space="preserve">337-01</t>
  </si>
  <si>
    <t xml:space="preserve">5497-02-2G0008</t>
  </si>
  <si>
    <t xml:space="preserve">NC7003489</t>
  </si>
  <si>
    <t xml:space="preserve">337-02</t>
  </si>
  <si>
    <t xml:space="preserve">YB5000107</t>
  </si>
  <si>
    <t xml:space="preserve">337-03</t>
  </si>
  <si>
    <t xml:space="preserve">YB5000116</t>
  </si>
  <si>
    <t xml:space="preserve">337-08</t>
  </si>
  <si>
    <t xml:space="preserve">PHLKP00294</t>
  </si>
  <si>
    <t xml:space="preserve">337-09</t>
  </si>
  <si>
    <t xml:space="preserve">PHLKP00752</t>
  </si>
  <si>
    <t xml:space="preserve">10</t>
  </si>
  <si>
    <t xml:space="preserve">337-10</t>
  </si>
  <si>
    <t xml:space="preserve">PHLKP00765</t>
  </si>
  <si>
    <t xml:space="preserve">337-04</t>
  </si>
  <si>
    <t xml:space="preserve">PHLKP02342</t>
  </si>
  <si>
    <t xml:space="preserve">337-05</t>
  </si>
  <si>
    <t xml:space="preserve">PHLKP02423</t>
  </si>
  <si>
    <t xml:space="preserve">337-06</t>
  </si>
  <si>
    <t xml:space="preserve">PHLKP02686</t>
  </si>
  <si>
    <t xml:space="preserve">337-07</t>
  </si>
  <si>
    <t xml:space="preserve">PHLKP02763</t>
  </si>
  <si>
    <t xml:space="preserve">43-01</t>
  </si>
  <si>
    <t xml:space="preserve">5497-02-2U0001</t>
  </si>
  <si>
    <t xml:space="preserve">花蓮部</t>
  </si>
  <si>
    <t xml:space="preserve">NC7003399</t>
  </si>
  <si>
    <t xml:space="preserve">43-02</t>
  </si>
  <si>
    <t xml:space="preserve">YB5000357</t>
  </si>
  <si>
    <t xml:space="preserve">43-03</t>
  </si>
  <si>
    <t xml:space="preserve">YB7000325</t>
  </si>
  <si>
    <t xml:space="preserve">43-04</t>
  </si>
  <si>
    <t xml:space="preserve">YB7000328</t>
  </si>
  <si>
    <t xml:space="preserve">43-05</t>
  </si>
  <si>
    <t xml:space="preserve">YB7000329</t>
  </si>
  <si>
    <t xml:space="preserve">43-06</t>
  </si>
  <si>
    <t xml:space="preserve">YB7000330</t>
  </si>
  <si>
    <t xml:space="preserve">43-07</t>
  </si>
  <si>
    <t xml:space="preserve">YB7000331</t>
  </si>
  <si>
    <t xml:space="preserve">43-08</t>
  </si>
  <si>
    <t xml:space="preserve">YB7000332</t>
  </si>
  <si>
    <t xml:space="preserve">43-09</t>
  </si>
  <si>
    <t xml:space="preserve">YB7000333</t>
  </si>
  <si>
    <t xml:space="preserve">43-10</t>
  </si>
  <si>
    <t xml:space="preserve">YB7000334</t>
  </si>
  <si>
    <t xml:space="preserve">43-11</t>
  </si>
  <si>
    <t xml:space="preserve">YB7000335</t>
  </si>
  <si>
    <t xml:space="preserve">43-12</t>
  </si>
  <si>
    <t xml:space="preserve">YB7000336</t>
  </si>
  <si>
    <t xml:space="preserve">43-13</t>
  </si>
  <si>
    <t xml:space="preserve">YB7000337</t>
  </si>
  <si>
    <t xml:space="preserve">43-14</t>
  </si>
  <si>
    <t xml:space="preserve">YB7000338</t>
  </si>
  <si>
    <t xml:space="preserve">43-15</t>
  </si>
  <si>
    <t xml:space="preserve">YB7000352</t>
  </si>
  <si>
    <t xml:space="preserve">43-16</t>
  </si>
  <si>
    <t xml:space="preserve">YB7000384</t>
  </si>
  <si>
    <t xml:space="preserve">43-17</t>
  </si>
  <si>
    <t xml:space="preserve">YB7000386</t>
  </si>
  <si>
    <t xml:space="preserve">43-18</t>
  </si>
  <si>
    <t xml:space="preserve">YB7000422</t>
  </si>
  <si>
    <t xml:space="preserve">246-01</t>
  </si>
  <si>
    <t xml:space="preserve">5497-02-2U0002</t>
  </si>
  <si>
    <t xml:space="preserve">NC7003377</t>
  </si>
  <si>
    <t xml:space="preserve">246-02</t>
  </si>
  <si>
    <t xml:space="preserve">YB7000375</t>
  </si>
  <si>
    <t xml:space="preserve">246-03</t>
  </si>
  <si>
    <t xml:space="preserve">YB7000376</t>
  </si>
  <si>
    <t xml:space="preserve">286-01</t>
  </si>
  <si>
    <t xml:space="preserve">5497-02-2U0003</t>
  </si>
  <si>
    <t xml:space="preserve">NC7003379</t>
  </si>
  <si>
    <t xml:space="preserve">286-02</t>
  </si>
  <si>
    <t xml:space="preserve">YB5000251</t>
  </si>
  <si>
    <t xml:space="preserve">286-03</t>
  </si>
  <si>
    <t xml:space="preserve">YB7000188</t>
  </si>
  <si>
    <t xml:space="preserve">287-01</t>
  </si>
  <si>
    <t xml:space="preserve">5497-02-2U0004</t>
  </si>
  <si>
    <t xml:space="preserve">NC7003401</t>
  </si>
  <si>
    <t xml:space="preserve">287-02</t>
  </si>
  <si>
    <t xml:space="preserve">YB5000355</t>
  </si>
  <si>
    <t xml:space="preserve">287-03</t>
  </si>
  <si>
    <t xml:space="preserve">YB7000372</t>
  </si>
  <si>
    <t xml:space="preserve">287-04</t>
  </si>
  <si>
    <t xml:space="preserve">YB7000380</t>
  </si>
  <si>
    <t xml:space="preserve">288-01</t>
  </si>
  <si>
    <t xml:space="preserve">5497-02-2U0005</t>
  </si>
  <si>
    <t xml:space="preserve">NC7003398</t>
  </si>
  <si>
    <t xml:space="preserve">288-02</t>
  </si>
  <si>
    <t xml:space="preserve">YB5000279</t>
  </si>
  <si>
    <t xml:space="preserve">288-03</t>
  </si>
  <si>
    <t xml:space="preserve">YB7000967</t>
  </si>
  <si>
    <t xml:space="preserve">289-01</t>
  </si>
  <si>
    <t xml:space="preserve">5497-02-2U0006</t>
  </si>
  <si>
    <t xml:space="preserve">NC7003404</t>
  </si>
  <si>
    <t xml:space="preserve">289-02</t>
  </si>
  <si>
    <t xml:space="preserve">YB5000278</t>
  </si>
  <si>
    <t xml:space="preserve">290-01</t>
  </si>
  <si>
    <t xml:space="preserve">5497-02-2U0007</t>
  </si>
  <si>
    <t xml:space="preserve">NC7003417</t>
  </si>
  <si>
    <r>
      <rPr>
        <b val="true"/>
        <sz val="12"/>
        <color rgb="FF000000"/>
        <rFont val="微軟正黑體 Light"/>
        <family val="2"/>
        <charset val="136"/>
      </rPr>
      <t xml:space="preserve">10</t>
    </r>
    <r>
      <rPr>
        <b val="true"/>
        <sz val="12"/>
        <color rgb="FF000000"/>
        <rFont val="新細明體"/>
        <family val="2"/>
        <charset val="136"/>
      </rPr>
      <t xml:space="preserve">月未抄表，故暫不計價</t>
    </r>
  </si>
  <si>
    <t xml:space="preserve">290-02</t>
  </si>
  <si>
    <t xml:space="preserve">YB7000377</t>
  </si>
  <si>
    <t xml:space="preserve">290-03</t>
  </si>
  <si>
    <t xml:space="preserve">YB7000378</t>
  </si>
  <si>
    <t xml:space="preserve">291-01</t>
  </si>
  <si>
    <t xml:space="preserve">5497-02-2U0008</t>
  </si>
  <si>
    <t xml:space="preserve">NC7003395</t>
  </si>
  <si>
    <t xml:space="preserve">291-02</t>
  </si>
  <si>
    <t xml:space="preserve">YB5000354</t>
  </si>
  <si>
    <t xml:space="preserve">395-01</t>
  </si>
  <si>
    <t xml:space="preserve">5497-02-2U0009</t>
  </si>
  <si>
    <t xml:space="preserve">YB5000260</t>
  </si>
  <si>
    <t xml:space="preserve">395-02</t>
  </si>
  <si>
    <t xml:space="preserve">YB7000097</t>
  </si>
  <si>
    <t xml:space="preserve">70-01</t>
  </si>
  <si>
    <t xml:space="preserve">5497-02-3H1001</t>
  </si>
  <si>
    <t xml:space="preserve">營運三處</t>
  </si>
  <si>
    <t xml:space="preserve">桃一部</t>
  </si>
  <si>
    <t xml:space="preserve">NC7003356</t>
  </si>
  <si>
    <t xml:space="preserve">70-02</t>
  </si>
  <si>
    <t xml:space="preserve">YB5000267</t>
  </si>
  <si>
    <t xml:space="preserve">70-03</t>
  </si>
  <si>
    <t xml:space="preserve">YB7000339</t>
  </si>
  <si>
    <t xml:space="preserve">70-04</t>
  </si>
  <si>
    <t xml:space="preserve">YB7000340</t>
  </si>
  <si>
    <t xml:space="preserve">70-05</t>
  </si>
  <si>
    <t xml:space="preserve">YB7000343</t>
  </si>
  <si>
    <t xml:space="preserve">71-01</t>
  </si>
  <si>
    <t xml:space="preserve">5497-02-3H1002</t>
  </si>
  <si>
    <t xml:space="preserve">NC7003659</t>
  </si>
  <si>
    <t xml:space="preserve">71-02</t>
  </si>
  <si>
    <t xml:space="preserve">YB5000347</t>
  </si>
  <si>
    <t xml:space="preserve">71-03</t>
  </si>
  <si>
    <t xml:space="preserve">PHLKP01921</t>
  </si>
  <si>
    <t xml:space="preserve">71-04</t>
  </si>
  <si>
    <t xml:space="preserve">PHLKP01941</t>
  </si>
  <si>
    <t xml:space="preserve">71-05</t>
  </si>
  <si>
    <t xml:space="preserve">PHLKP02821</t>
  </si>
  <si>
    <t xml:space="preserve">71-06</t>
  </si>
  <si>
    <t xml:space="preserve">PHLKP02956</t>
  </si>
  <si>
    <r>
      <rPr>
        <b val="true"/>
        <sz val="12"/>
        <color rgb="FF000000"/>
        <rFont val="微軟正黑體 Light"/>
        <family val="2"/>
        <charset val="136"/>
      </rPr>
      <t xml:space="preserve">114.10.17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</si>
  <si>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PHLKP02008</t>
  </si>
  <si>
    <t xml:space="preserve">73-01</t>
  </si>
  <si>
    <t xml:space="preserve">5497-02-3H1003</t>
  </si>
  <si>
    <t xml:space="preserve">NC7003516</t>
  </si>
  <si>
    <t xml:space="preserve">73-02</t>
  </si>
  <si>
    <t xml:space="preserve">YB5000439</t>
  </si>
  <si>
    <t xml:space="preserve">73-03</t>
  </si>
  <si>
    <t xml:space="preserve">YB7000441</t>
  </si>
  <si>
    <t xml:space="preserve">73-04</t>
  </si>
  <si>
    <t xml:space="preserve">YB7000442</t>
  </si>
  <si>
    <t xml:space="preserve">73-05</t>
  </si>
  <si>
    <t xml:space="preserve">YB7000444</t>
  </si>
  <si>
    <t xml:space="preserve">74-01</t>
  </si>
  <si>
    <t xml:space="preserve">5497-02-3H1004</t>
  </si>
  <si>
    <t xml:space="preserve">NC7003419</t>
  </si>
  <si>
    <t xml:space="preserve">74-02</t>
  </si>
  <si>
    <t xml:space="preserve">YB5000263</t>
  </si>
  <si>
    <t xml:space="preserve">74-03</t>
  </si>
  <si>
    <t xml:space="preserve">YB7000341</t>
  </si>
  <si>
    <t xml:space="preserve">74-04</t>
  </si>
  <si>
    <t xml:space="preserve">YB7000342</t>
  </si>
  <si>
    <t xml:space="preserve">75-01</t>
  </si>
  <si>
    <t xml:space="preserve">5497-02-3H1005</t>
  </si>
  <si>
    <t xml:space="preserve">NC7003764</t>
  </si>
  <si>
    <t xml:space="preserve">75-02</t>
  </si>
  <si>
    <t xml:space="preserve">YB7000545</t>
  </si>
  <si>
    <t xml:space="preserve">75-03</t>
  </si>
  <si>
    <t xml:space="preserve">YB7000602</t>
  </si>
  <si>
    <t xml:space="preserve">75-04</t>
  </si>
  <si>
    <t xml:space="preserve">YB7000779</t>
  </si>
  <si>
    <t xml:space="preserve">76-01</t>
  </si>
  <si>
    <t xml:space="preserve">5497-02-3H1006</t>
  </si>
  <si>
    <t xml:space="preserve">NC7003406</t>
  </si>
  <si>
    <t xml:space="preserve">76-02</t>
  </si>
  <si>
    <t xml:space="preserve">YB5000266</t>
  </si>
  <si>
    <t xml:space="preserve">76-03</t>
  </si>
  <si>
    <t xml:space="preserve">YB7000027</t>
  </si>
  <si>
    <t xml:space="preserve">76-04</t>
  </si>
  <si>
    <t xml:space="preserve">YB7000068</t>
  </si>
  <si>
    <t xml:space="preserve">76-05</t>
  </si>
  <si>
    <t xml:space="preserve">YB7000069</t>
  </si>
  <si>
    <t xml:space="preserve">77-01</t>
  </si>
  <si>
    <t xml:space="preserve">5497-02-3H1007</t>
  </si>
  <si>
    <t xml:space="preserve">NC7003610</t>
  </si>
  <si>
    <t xml:space="preserve">77-02</t>
  </si>
  <si>
    <t xml:space="preserve">PHLKP01936</t>
  </si>
  <si>
    <t xml:space="preserve">77-03</t>
  </si>
  <si>
    <t xml:space="preserve">PHLKP01955</t>
  </si>
  <si>
    <t xml:space="preserve">77-04</t>
  </si>
  <si>
    <t xml:space="preserve">PHLKP02824</t>
  </si>
  <si>
    <t xml:space="preserve">78-01</t>
  </si>
  <si>
    <t xml:space="preserve">5497-02-3H1008</t>
  </si>
  <si>
    <t xml:space="preserve">NC7003362</t>
  </si>
  <si>
    <t xml:space="preserve">78-02</t>
  </si>
  <si>
    <t xml:space="preserve">YB7000345</t>
  </si>
  <si>
    <t xml:space="preserve">78-03</t>
  </si>
  <si>
    <t xml:space="preserve">YB7000346</t>
  </si>
  <si>
    <t xml:space="preserve">78-04</t>
  </si>
  <si>
    <t xml:space="preserve">YB7000349</t>
  </si>
  <si>
    <t xml:space="preserve">79-01</t>
  </si>
  <si>
    <t xml:space="preserve">5497-02-3H1009</t>
  </si>
  <si>
    <t xml:space="preserve">NC7003607</t>
  </si>
  <si>
    <t xml:space="preserve">79-02</t>
  </si>
  <si>
    <t xml:space="preserve">YB5000460</t>
  </si>
  <si>
    <t xml:space="preserve">79-03</t>
  </si>
  <si>
    <t xml:space="preserve">PHLKP02182</t>
  </si>
  <si>
    <t xml:space="preserve">79-04</t>
  </si>
  <si>
    <t xml:space="preserve">PHLKP02191</t>
  </si>
  <si>
    <t xml:space="preserve">79-05</t>
  </si>
  <si>
    <t xml:space="preserve">PHLKP02826</t>
  </si>
  <si>
    <t xml:space="preserve">241-01</t>
  </si>
  <si>
    <t xml:space="preserve">5497-02-3H1010</t>
  </si>
  <si>
    <t xml:space="preserve">NC7003663</t>
  </si>
  <si>
    <t xml:space="preserve">241-02</t>
  </si>
  <si>
    <t xml:space="preserve">YB5000220</t>
  </si>
  <si>
    <t xml:space="preserve">243-01</t>
  </si>
  <si>
    <t xml:space="preserve">5497-02-3H1011</t>
  </si>
  <si>
    <t xml:space="preserve">NC7003435</t>
  </si>
  <si>
    <t xml:space="preserve">243-02</t>
  </si>
  <si>
    <t xml:space="preserve">YB5000262</t>
  </si>
  <si>
    <t xml:space="preserve">244-01</t>
  </si>
  <si>
    <t xml:space="preserve">5497-02-3H1012</t>
  </si>
  <si>
    <t xml:space="preserve">NC7003510</t>
  </si>
  <si>
    <t xml:space="preserve">244-02</t>
  </si>
  <si>
    <t xml:space="preserve">YB5000435</t>
  </si>
  <si>
    <t xml:space="preserve">72-01</t>
  </si>
  <si>
    <t xml:space="preserve">5497-02-3H2001</t>
  </si>
  <si>
    <t xml:space="preserve">桃二部</t>
  </si>
  <si>
    <t xml:space="preserve">NC7003714</t>
  </si>
  <si>
    <t xml:space="preserve">72-02</t>
  </si>
  <si>
    <t xml:space="preserve">YB7000754</t>
  </si>
  <si>
    <t xml:space="preserve">72-03</t>
  </si>
  <si>
    <t xml:space="preserve">YB7000763</t>
  </si>
  <si>
    <t xml:space="preserve">72-04</t>
  </si>
  <si>
    <t xml:space="preserve">YB7000764</t>
  </si>
  <si>
    <t xml:space="preserve">72-05</t>
  </si>
  <si>
    <t xml:space="preserve">YB7000765</t>
  </si>
  <si>
    <t xml:space="preserve">72-06</t>
  </si>
  <si>
    <t xml:space="preserve">YB7000766</t>
  </si>
  <si>
    <t xml:space="preserve">72-07</t>
  </si>
  <si>
    <t xml:space="preserve">YB7000767</t>
  </si>
  <si>
    <t xml:space="preserve">72-08</t>
  </si>
  <si>
    <t xml:space="preserve">YB7000768</t>
  </si>
  <si>
    <t xml:space="preserve">72-09</t>
  </si>
  <si>
    <t xml:space="preserve">YB7000769</t>
  </si>
  <si>
    <t xml:space="preserve">83-01</t>
  </si>
  <si>
    <t xml:space="preserve">5497-02-3H2002</t>
  </si>
  <si>
    <t xml:space="preserve">NC7003666</t>
  </si>
  <si>
    <t xml:space="preserve">83-02</t>
  </si>
  <si>
    <t xml:space="preserve">YB7000541</t>
  </si>
  <si>
    <t xml:space="preserve">83-03</t>
  </si>
  <si>
    <t xml:space="preserve">YB7000585</t>
  </si>
  <si>
    <t xml:space="preserve">83-04</t>
  </si>
  <si>
    <t xml:space="preserve">YB7000587</t>
  </si>
  <si>
    <t xml:space="preserve">84-01</t>
  </si>
  <si>
    <t xml:space="preserve">5497-02-3H2003</t>
  </si>
  <si>
    <t xml:space="preserve">NC7003364</t>
  </si>
  <si>
    <t xml:space="preserve">84-02</t>
  </si>
  <si>
    <t xml:space="preserve">YB5000261</t>
  </si>
  <si>
    <t xml:space="preserve">84-03</t>
  </si>
  <si>
    <t xml:space="preserve">YB7000036</t>
  </si>
  <si>
    <t xml:space="preserve">84-04</t>
  </si>
  <si>
    <t xml:space="preserve">YB7000041</t>
  </si>
  <si>
    <t xml:space="preserve">84-05</t>
  </si>
  <si>
    <t xml:space="preserve">YB7000048</t>
  </si>
  <si>
    <t xml:space="preserve">85-01</t>
  </si>
  <si>
    <t xml:space="preserve">5497-02-3H2004</t>
  </si>
  <si>
    <t xml:space="preserve">NC7003526</t>
  </si>
  <si>
    <t xml:space="preserve">85-02</t>
  </si>
  <si>
    <t xml:space="preserve">YB5000436</t>
  </si>
  <si>
    <t xml:space="preserve">85-03</t>
  </si>
  <si>
    <t xml:space="preserve">YB7000522</t>
  </si>
  <si>
    <t xml:space="preserve">85-04</t>
  </si>
  <si>
    <t xml:space="preserve">YB7000524</t>
  </si>
  <si>
    <t xml:space="preserve">85-05</t>
  </si>
  <si>
    <t xml:space="preserve">YB7000528</t>
  </si>
  <si>
    <t xml:space="preserve">138-01</t>
  </si>
  <si>
    <t xml:space="preserve">5497-02-3H2005</t>
  </si>
  <si>
    <t xml:space="preserve">NC7003611</t>
  </si>
  <si>
    <t xml:space="preserve">138-02</t>
  </si>
  <si>
    <t xml:space="preserve">YB5000325</t>
  </si>
  <si>
    <t xml:space="preserve">138-03</t>
  </si>
  <si>
    <r>
      <rPr>
        <b val="true"/>
        <sz val="12"/>
        <color rgb="FF000000"/>
        <rFont val="微軟正黑體 Light"/>
        <family val="2"/>
        <charset val="136"/>
      </rPr>
      <t xml:space="preserve">114.09.05-4620SDF</t>
    </r>
    <r>
      <rPr>
        <b val="true"/>
        <sz val="12"/>
        <color rgb="FF000000"/>
        <rFont val="新細明體"/>
        <family val="2"/>
        <charset val="136"/>
      </rPr>
      <t xml:space="preserve">換機</t>
    </r>
    <r>
      <rPr>
        <b val="true"/>
        <sz val="12"/>
        <color rgb="FF000000"/>
        <rFont val="微軟正黑體 Light"/>
        <family val="2"/>
        <charset val="136"/>
      </rPr>
      <t xml:space="preserve">4003</t>
    </r>
  </si>
  <si>
    <t xml:space="preserve">138-04</t>
  </si>
  <si>
    <t xml:space="preserve">PHLKP02190</t>
  </si>
  <si>
    <t xml:space="preserve">138-05</t>
  </si>
  <si>
    <t xml:space="preserve">PHLKP02194</t>
  </si>
  <si>
    <t xml:space="preserve">138-06</t>
  </si>
  <si>
    <t xml:space="preserve">PHLKQ02056</t>
  </si>
  <si>
    <t xml:space="preserve">138-07</t>
  </si>
  <si>
    <t xml:space="preserve">PHLKQ02057</t>
  </si>
  <si>
    <t xml:space="preserve">138-08</t>
  </si>
  <si>
    <t xml:space="preserve">PHLKQ02060</t>
  </si>
  <si>
    <t xml:space="preserve">138-09</t>
  </si>
  <si>
    <t xml:space="preserve">PHLKQ02061</t>
  </si>
  <si>
    <t xml:space="preserve">138-10</t>
  </si>
  <si>
    <t xml:space="preserve">PHLKQ02062</t>
  </si>
  <si>
    <t xml:space="preserve">138-11</t>
  </si>
  <si>
    <t xml:space="preserve">PHLKQ02063</t>
  </si>
  <si>
    <t xml:space="preserve">138-12</t>
  </si>
  <si>
    <t xml:space="preserve">PHLKQ02064</t>
  </si>
  <si>
    <t xml:space="preserve">138-13</t>
  </si>
  <si>
    <t xml:space="preserve">PHLKQ02065</t>
  </si>
  <si>
    <t xml:space="preserve">138-14</t>
  </si>
  <si>
    <t xml:space="preserve">PHLKQ02066</t>
  </si>
  <si>
    <t xml:space="preserve">138-15</t>
  </si>
  <si>
    <t xml:space="preserve">PHLKQ02068</t>
  </si>
  <si>
    <t xml:space="preserve">138-16</t>
  </si>
  <si>
    <t xml:space="preserve">PHLKQ02069</t>
  </si>
  <si>
    <t xml:space="preserve">138-17</t>
  </si>
  <si>
    <t xml:space="preserve">PHLKQ02072</t>
  </si>
  <si>
    <t xml:space="preserve">138-18</t>
  </si>
  <si>
    <t xml:space="preserve">PHLKQ02076</t>
  </si>
  <si>
    <t xml:space="preserve">138-19</t>
  </si>
  <si>
    <t xml:space="preserve">PHLKQ02079</t>
  </si>
  <si>
    <t xml:space="preserve">238-01</t>
  </si>
  <si>
    <t xml:space="preserve">5497-02-3H2006</t>
  </si>
  <si>
    <t xml:space="preserve">NC7003698</t>
  </si>
  <si>
    <t xml:space="preserve">238-02</t>
  </si>
  <si>
    <t xml:space="preserve">YB5000334</t>
  </si>
  <si>
    <t xml:space="preserve">242-01</t>
  </si>
  <si>
    <t xml:space="preserve">5497-02-3H2007</t>
  </si>
  <si>
    <t xml:space="preserve">NC7003722</t>
  </si>
  <si>
    <t xml:space="preserve">242-02</t>
  </si>
  <si>
    <t xml:space="preserve">YB5000298</t>
  </si>
  <si>
    <t xml:space="preserve">245-01</t>
  </si>
  <si>
    <t xml:space="preserve">5497-02-3H2008</t>
  </si>
  <si>
    <t xml:space="preserve">NC7003672</t>
  </si>
  <si>
    <t xml:space="preserve">245-02</t>
  </si>
  <si>
    <t xml:space="preserve">YB5000335</t>
  </si>
  <si>
    <t xml:space="preserve">80-01</t>
  </si>
  <si>
    <t xml:space="preserve">5497-02-3H3001</t>
  </si>
  <si>
    <t xml:space="preserve">桃三部</t>
  </si>
  <si>
    <t xml:space="preserve">NC7003429</t>
  </si>
  <si>
    <t xml:space="preserve">80-02</t>
  </si>
  <si>
    <t xml:space="preserve">YB5000265</t>
  </si>
  <si>
    <t xml:space="preserve">80-03</t>
  </si>
  <si>
    <t xml:space="preserve">YB7000326</t>
  </si>
  <si>
    <t xml:space="preserve">80-04</t>
  </si>
  <si>
    <t xml:space="preserve">YB7000344</t>
  </si>
  <si>
    <t xml:space="preserve">80-05</t>
  </si>
  <si>
    <t xml:space="preserve">YB7000347</t>
  </si>
  <si>
    <t xml:space="preserve">80-06</t>
  </si>
  <si>
    <t xml:space="preserve">YB7000350</t>
  </si>
  <si>
    <t xml:space="preserve">80-07</t>
  </si>
  <si>
    <t xml:space="preserve">YB7000391</t>
  </si>
  <si>
    <t xml:space="preserve">80-08</t>
  </si>
  <si>
    <t xml:space="preserve">YB7000403</t>
  </si>
  <si>
    <t xml:space="preserve">80-09</t>
  </si>
  <si>
    <t xml:space="preserve">YB7000429</t>
  </si>
  <si>
    <t xml:space="preserve">80-10</t>
  </si>
  <si>
    <t xml:space="preserve">YB7000431</t>
  </si>
  <si>
    <t xml:space="preserve">81-01</t>
  </si>
  <si>
    <t xml:space="preserve">5497-02-3H3002</t>
  </si>
  <si>
    <t xml:space="preserve">NC7003705</t>
  </si>
  <si>
    <t xml:space="preserve">81-02</t>
  </si>
  <si>
    <t xml:space="preserve">YB5000427</t>
  </si>
  <si>
    <t xml:space="preserve">81-03</t>
  </si>
  <si>
    <t xml:space="preserve">YB7000813</t>
  </si>
  <si>
    <t xml:space="preserve">81-04</t>
  </si>
  <si>
    <t xml:space="preserve">YB7000814</t>
  </si>
  <si>
    <t xml:space="preserve">81-05</t>
  </si>
  <si>
    <t xml:space="preserve">YB7000815</t>
  </si>
  <si>
    <t xml:space="preserve">82-01</t>
  </si>
  <si>
    <t xml:space="preserve">5497-02-3H3003</t>
  </si>
  <si>
    <t xml:space="preserve">NC7003715</t>
  </si>
  <si>
    <t xml:space="preserve">82-02</t>
  </si>
  <si>
    <t xml:space="preserve">YB5000429</t>
  </si>
  <si>
    <t xml:space="preserve">82-03</t>
  </si>
  <si>
    <t xml:space="preserve">YB7000791</t>
  </si>
  <si>
    <t xml:space="preserve">82-04</t>
  </si>
  <si>
    <t xml:space="preserve">YB7000811</t>
  </si>
  <si>
    <t xml:space="preserve">82-05</t>
  </si>
  <si>
    <t xml:space="preserve">YB7000812</t>
  </si>
  <si>
    <t xml:space="preserve">82-06</t>
  </si>
  <si>
    <t xml:space="preserve">YB7000816</t>
  </si>
  <si>
    <t xml:space="preserve">82-07</t>
  </si>
  <si>
    <t xml:space="preserve">YB7000820</t>
  </si>
  <si>
    <t xml:space="preserve">82-08</t>
  </si>
  <si>
    <t xml:space="preserve">YB7000823</t>
  </si>
  <si>
    <t xml:space="preserve">82-09</t>
  </si>
  <si>
    <t xml:space="preserve">YB7000831</t>
  </si>
  <si>
    <t xml:space="preserve">82-10</t>
  </si>
  <si>
    <t xml:space="preserve">YB7000871</t>
  </si>
  <si>
    <t xml:space="preserve">86-01</t>
  </si>
  <si>
    <t xml:space="preserve">5497-02-3H3004</t>
  </si>
  <si>
    <t xml:space="preserve">NC7003606</t>
  </si>
  <si>
    <t xml:space="preserve">86-02</t>
  </si>
  <si>
    <t xml:space="preserve">PHLKP02175</t>
  </si>
  <si>
    <t xml:space="preserve">86-03</t>
  </si>
  <si>
    <t xml:space="preserve">PHLKP02181</t>
  </si>
  <si>
    <t xml:space="preserve">86-04</t>
  </si>
  <si>
    <t xml:space="preserve">PHLKP02189</t>
  </si>
  <si>
    <t xml:space="preserve">87-01</t>
  </si>
  <si>
    <t xml:space="preserve">5497-02-3H3005</t>
  </si>
  <si>
    <t xml:space="preserve">NC7003480</t>
  </si>
  <si>
    <t xml:space="preserve">87-02</t>
  </si>
  <si>
    <t xml:space="preserve">YB5000146</t>
  </si>
  <si>
    <t xml:space="preserve">87-03</t>
  </si>
  <si>
    <t xml:space="preserve">YB7000199</t>
  </si>
  <si>
    <t xml:space="preserve">87-04</t>
  </si>
  <si>
    <t xml:space="preserve">YB7000208</t>
  </si>
  <si>
    <t xml:space="preserve">87-05</t>
  </si>
  <si>
    <t xml:space="preserve">YB7000210</t>
  </si>
  <si>
    <t xml:space="preserve">88-01</t>
  </si>
  <si>
    <t xml:space="preserve">5497-02-3H3006</t>
  </si>
  <si>
    <t xml:space="preserve">NC7003538</t>
  </si>
  <si>
    <t xml:space="preserve"> </t>
  </si>
  <si>
    <t xml:space="preserve">88-02</t>
  </si>
  <si>
    <t xml:space="preserve">YB5000441</t>
  </si>
  <si>
    <t xml:space="preserve">88-03</t>
  </si>
  <si>
    <t xml:space="preserve">YB7000434</t>
  </si>
  <si>
    <t xml:space="preserve">88-04</t>
  </si>
  <si>
    <t xml:space="preserve">YB7000436</t>
  </si>
  <si>
    <t xml:space="preserve">88-05</t>
  </si>
  <si>
    <t xml:space="preserve">YB7000440</t>
  </si>
  <si>
    <t xml:space="preserve">88-06</t>
  </si>
  <si>
    <t xml:space="preserve">YB7000443</t>
  </si>
  <si>
    <t xml:space="preserve">88-07</t>
  </si>
  <si>
    <t xml:space="preserve">YB7000445</t>
  </si>
  <si>
    <t xml:space="preserve">88-08</t>
  </si>
  <si>
    <t xml:space="preserve">YB7000447</t>
  </si>
  <si>
    <t xml:space="preserve">88-09</t>
  </si>
  <si>
    <t xml:space="preserve">YB7000449</t>
  </si>
  <si>
    <t xml:space="preserve">88-10</t>
  </si>
  <si>
    <t xml:space="preserve">YB7000493</t>
  </si>
  <si>
    <t xml:space="preserve">88-11</t>
  </si>
  <si>
    <t xml:space="preserve">YB7000496</t>
  </si>
  <si>
    <t xml:space="preserve">88-12</t>
  </si>
  <si>
    <t xml:space="preserve">YB7000532</t>
  </si>
  <si>
    <t xml:space="preserve">186-01</t>
  </si>
  <si>
    <t xml:space="preserve">5497-02-3H3007</t>
  </si>
  <si>
    <r>
      <rPr>
        <b val="true"/>
        <sz val="12"/>
        <color rgb="FF000000"/>
        <rFont val="新細明體"/>
        <family val="2"/>
        <charset val="136"/>
      </rPr>
      <t xml:space="preserve">桃園國際機
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一航入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</si>
  <si>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YB5000499</t>
  </si>
  <si>
    <r>
      <rPr>
        <b val="true"/>
        <sz val="12"/>
        <color rgb="FF000000"/>
        <rFont val="微軟正黑體 Light"/>
        <family val="2"/>
        <charset val="136"/>
      </rPr>
      <t xml:space="preserve">114.05.13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</si>
  <si>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186-02</t>
  </si>
  <si>
    <t xml:space="preserve">YB7000726</t>
  </si>
  <si>
    <t xml:space="preserve">186-03</t>
  </si>
  <si>
    <r>
      <rPr>
        <b val="true"/>
        <sz val="12"/>
        <color rgb="FF000000"/>
        <rFont val="新細明體"/>
        <family val="2"/>
        <charset val="136"/>
      </rPr>
      <t xml:space="preserve">桃園國際機
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一航出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</si>
  <si>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YB5000145</t>
  </si>
  <si>
    <t xml:space="preserve">186-04</t>
  </si>
  <si>
    <r>
      <rPr>
        <b val="true"/>
        <sz val="12"/>
        <color rgb="FF000000"/>
        <rFont val="新細明體"/>
        <family val="2"/>
        <charset val="136"/>
      </rPr>
      <t xml:space="preserve">桃園國際機場
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一航入管制區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</si>
  <si>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YB5000500</t>
  </si>
  <si>
    <t xml:space="preserve">186-05</t>
  </si>
  <si>
    <t xml:space="preserve">NC7003494</t>
  </si>
  <si>
    <t xml:space="preserve">186-06</t>
  </si>
  <si>
    <r>
      <rPr>
        <b val="true"/>
        <sz val="12"/>
        <color rgb="FF000000"/>
        <rFont val="新細明體"/>
        <family val="2"/>
        <charset val="136"/>
      </rPr>
      <t xml:space="preserve">桃園國際機
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二航出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</si>
  <si>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YB5000157</t>
  </si>
  <si>
    <t xml:space="preserve">186-07</t>
  </si>
  <si>
    <r>
      <rPr>
        <b val="true"/>
        <sz val="12"/>
        <color rgb="FF000000"/>
        <rFont val="新細明體"/>
        <family val="2"/>
        <charset val="136"/>
      </rPr>
      <t xml:space="preserve">桃園國際機
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二航入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</si>
  <si>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NC7003491</t>
  </si>
  <si>
    <t xml:space="preserve">186-08</t>
  </si>
  <si>
    <t xml:space="preserve">YB5000257</t>
  </si>
  <si>
    <t xml:space="preserve">186-09</t>
  </si>
  <si>
    <t xml:space="preserve">NC7003462</t>
  </si>
  <si>
    <t xml:space="preserve">239-01</t>
  </si>
  <si>
    <t xml:space="preserve">5497-02-3H3009</t>
  </si>
  <si>
    <t xml:space="preserve">NC7003688</t>
  </si>
  <si>
    <t xml:space="preserve">240-01</t>
  </si>
  <si>
    <t xml:space="preserve">5497-02-3H3010</t>
  </si>
  <si>
    <t xml:space="preserve">NC7003441</t>
  </si>
  <si>
    <t xml:space="preserve">240-02</t>
  </si>
  <si>
    <t xml:space="preserve">YB5000264</t>
  </si>
  <si>
    <t xml:space="preserve">4-01</t>
  </si>
  <si>
    <t xml:space="preserve">5497-02-3O0001</t>
  </si>
  <si>
    <t xml:space="preserve">新竹部</t>
  </si>
  <si>
    <t xml:space="preserve">NC7003383</t>
  </si>
  <si>
    <t xml:space="preserve">4-02</t>
  </si>
  <si>
    <t xml:space="preserve">YB5000125</t>
  </si>
  <si>
    <t xml:space="preserve">4-03</t>
  </si>
  <si>
    <t xml:space="preserve">YB5000201</t>
  </si>
  <si>
    <t xml:space="preserve">4-04</t>
  </si>
  <si>
    <t xml:space="preserve">PHLKP02297</t>
  </si>
  <si>
    <t xml:space="preserve">4-05</t>
  </si>
  <si>
    <t xml:space="preserve">PHLKP02338</t>
  </si>
  <si>
    <t xml:space="preserve">4-06</t>
  </si>
  <si>
    <t xml:space="preserve">PHLKP02346</t>
  </si>
  <si>
    <t xml:space="preserve">4-07</t>
  </si>
  <si>
    <t xml:space="preserve">PHLKP02348</t>
  </si>
  <si>
    <t xml:space="preserve">4-08</t>
  </si>
  <si>
    <t xml:space="preserve">PHLKP02349</t>
  </si>
  <si>
    <t xml:space="preserve">4-09</t>
  </si>
  <si>
    <t xml:space="preserve">PHLKP02351</t>
  </si>
  <si>
    <t xml:space="preserve">4-10</t>
  </si>
  <si>
    <t xml:space="preserve">PHLKP02354</t>
  </si>
  <si>
    <t xml:space="preserve">4-11</t>
  </si>
  <si>
    <t xml:space="preserve">PHLKP02379</t>
  </si>
  <si>
    <t xml:space="preserve">4-12</t>
  </si>
  <si>
    <t xml:space="preserve">PHLKP02382</t>
  </si>
  <si>
    <t xml:space="preserve">4-13</t>
  </si>
  <si>
    <t xml:space="preserve">PHLKP02383</t>
  </si>
  <si>
    <t xml:space="preserve">4-14</t>
  </si>
  <si>
    <t xml:space="preserve">PHLKP02384</t>
  </si>
  <si>
    <t xml:space="preserve">4-15</t>
  </si>
  <si>
    <t xml:space="preserve">PHLKP02386</t>
  </si>
  <si>
    <t xml:space="preserve">4-16</t>
  </si>
  <si>
    <t xml:space="preserve">PHLKP02389</t>
  </si>
  <si>
    <t xml:space="preserve">4-17</t>
  </si>
  <si>
    <t xml:space="preserve">PHLKP02391</t>
  </si>
  <si>
    <t xml:space="preserve">4-18</t>
  </si>
  <si>
    <t xml:space="preserve">PHLKP02542</t>
  </si>
  <si>
    <t xml:space="preserve">4-19</t>
  </si>
  <si>
    <t xml:space="preserve">PHLKQ02325</t>
  </si>
  <si>
    <t xml:space="preserve">90-01</t>
  </si>
  <si>
    <t xml:space="preserve">5497-02-3O0002</t>
  </si>
  <si>
    <t xml:space="preserve">NC7003601</t>
  </si>
  <si>
    <t xml:space="preserve">90-02</t>
  </si>
  <si>
    <t xml:space="preserve">YB5000339</t>
  </si>
  <si>
    <t xml:space="preserve">90-03</t>
  </si>
  <si>
    <t xml:space="preserve">PHLKQ02263</t>
  </si>
  <si>
    <t xml:space="preserve">90-04</t>
  </si>
  <si>
    <t xml:space="preserve">PHLKQ02280</t>
  </si>
  <si>
    <t xml:space="preserve">90-05</t>
  </si>
  <si>
    <t xml:space="preserve">PHLKQ02287</t>
  </si>
  <si>
    <t xml:space="preserve">90-06</t>
  </si>
  <si>
    <t xml:space="preserve">PHLKQ02291</t>
  </si>
  <si>
    <t xml:space="preserve">90-07</t>
  </si>
  <si>
    <t xml:space="preserve">PHLKQ02300</t>
  </si>
  <si>
    <t xml:space="preserve">90-08</t>
  </si>
  <si>
    <t xml:space="preserve">PHLKQ02307</t>
  </si>
  <si>
    <t xml:space="preserve">91-01</t>
  </si>
  <si>
    <t xml:space="preserve">5497-02-3O0003</t>
  </si>
  <si>
    <t xml:space="preserve">NC7003598</t>
  </si>
  <si>
    <t xml:space="preserve">12</t>
  </si>
  <si>
    <t xml:space="preserve">91-12</t>
  </si>
  <si>
    <t xml:space="preserve">YB5000349</t>
  </si>
  <si>
    <t xml:space="preserve">91-02</t>
  </si>
  <si>
    <t xml:space="preserve">PHLKQ02231</t>
  </si>
  <si>
    <t xml:space="preserve">91-03</t>
  </si>
  <si>
    <t xml:space="preserve">PHLKQ02277</t>
  </si>
  <si>
    <t xml:space="preserve">91-04</t>
  </si>
  <si>
    <t xml:space="preserve">PHLKQ02281</t>
  </si>
  <si>
    <t xml:space="preserve">91-05</t>
  </si>
  <si>
    <t xml:space="preserve">PHLKQ02282</t>
  </si>
  <si>
    <t xml:space="preserve">91-06</t>
  </si>
  <si>
    <t xml:space="preserve">PHLKQ02285</t>
  </si>
  <si>
    <t xml:space="preserve">91-07</t>
  </si>
  <si>
    <t xml:space="preserve">PHLKQ02294</t>
  </si>
  <si>
    <t xml:space="preserve">91-08</t>
  </si>
  <si>
    <t xml:space="preserve">PHLKQ02295</t>
  </si>
  <si>
    <t xml:space="preserve">91-09</t>
  </si>
  <si>
    <t xml:space="preserve">PHLKQ02296</t>
  </si>
  <si>
    <t xml:space="preserve">91-10</t>
  </si>
  <si>
    <t xml:space="preserve">PHLKQ02302</t>
  </si>
  <si>
    <t xml:space="preserve">11</t>
  </si>
  <si>
    <t xml:space="preserve">91-11</t>
  </si>
  <si>
    <t xml:space="preserve">PHLKQ02304</t>
  </si>
  <si>
    <t xml:space="preserve">92-01</t>
  </si>
  <si>
    <t xml:space="preserve">5497-02-3O0004</t>
  </si>
  <si>
    <t xml:space="preserve">NC7003550</t>
  </si>
  <si>
    <t xml:space="preserve">92-02</t>
  </si>
  <si>
    <t xml:space="preserve">PHLKP03000</t>
  </si>
  <si>
    <t xml:space="preserve">92-03</t>
  </si>
  <si>
    <t xml:space="preserve">PHLKP03007</t>
  </si>
  <si>
    <t xml:space="preserve">92-04</t>
  </si>
  <si>
    <t xml:space="preserve">PHLKP03009</t>
  </si>
  <si>
    <t xml:space="preserve">92-05</t>
  </si>
  <si>
    <t xml:space="preserve">PHLKP03013</t>
  </si>
  <si>
    <t xml:space="preserve">93-01</t>
  </si>
  <si>
    <t xml:space="preserve">5497-02-3O0005</t>
  </si>
  <si>
    <t xml:space="preserve">NC7003414</t>
  </si>
  <si>
    <t xml:space="preserve">93-02</t>
  </si>
  <si>
    <t xml:space="preserve">YB5000203</t>
  </si>
  <si>
    <t xml:space="preserve">93-03</t>
  </si>
  <si>
    <t xml:space="preserve">PHLKP02388</t>
  </si>
  <si>
    <t xml:space="preserve">93-04</t>
  </si>
  <si>
    <t xml:space="preserve">PHLKP02418</t>
  </si>
  <si>
    <t xml:space="preserve">93-05</t>
  </si>
  <si>
    <t xml:space="preserve">PHLKP02545</t>
  </si>
  <si>
    <t xml:space="preserve">93-06</t>
  </si>
  <si>
    <t xml:space="preserve">PHLKP02723</t>
  </si>
  <si>
    <t xml:space="preserve">93-07</t>
  </si>
  <si>
    <t xml:space="preserve">PHLKQ02324</t>
  </si>
  <si>
    <t xml:space="preserve">96-01</t>
  </si>
  <si>
    <t xml:space="preserve">5497-02-3O0006</t>
  </si>
  <si>
    <t xml:space="preserve">NC7003381</t>
  </si>
  <si>
    <t xml:space="preserve">96-02</t>
  </si>
  <si>
    <t xml:space="preserve">PHLKP02285</t>
  </si>
  <si>
    <t xml:space="preserve">96-03</t>
  </si>
  <si>
    <t xml:space="preserve">PHLKP02286</t>
  </si>
  <si>
    <t xml:space="preserve">96-04</t>
  </si>
  <si>
    <t xml:space="preserve">PHLKP02380</t>
  </si>
  <si>
    <t xml:space="preserve">96-05</t>
  </si>
  <si>
    <t xml:space="preserve">PHLKP02387</t>
  </si>
  <si>
    <t xml:space="preserve">96-06</t>
  </si>
  <si>
    <t xml:space="preserve">PHLKQ02316</t>
  </si>
  <si>
    <t xml:space="preserve">96-07</t>
  </si>
  <si>
    <t xml:space="preserve">PHLKQ02345</t>
  </si>
  <si>
    <t xml:space="preserve">96-08</t>
  </si>
  <si>
    <t xml:space="preserve">PHLKQ02353</t>
  </si>
  <si>
    <t xml:space="preserve">96-09</t>
  </si>
  <si>
    <t xml:space="preserve">PHLKQ02393</t>
  </si>
  <si>
    <t xml:space="preserve">96-10</t>
  </si>
  <si>
    <t xml:space="preserve">PHLKQ02541</t>
  </si>
  <si>
    <t xml:space="preserve">195-01</t>
  </si>
  <si>
    <t xml:space="preserve">5497-02-3O0007</t>
  </si>
  <si>
    <t xml:space="preserve">NC7003556</t>
  </si>
  <si>
    <t xml:space="preserve">195-02</t>
  </si>
  <si>
    <t xml:space="preserve">YB5000336</t>
  </si>
  <si>
    <t xml:space="preserve">197-01</t>
  </si>
  <si>
    <t xml:space="preserve">5497-02-3O0009</t>
  </si>
  <si>
    <t xml:space="preserve">NC7003574</t>
  </si>
  <si>
    <t xml:space="preserve">197-02</t>
  </si>
  <si>
    <t xml:space="preserve">YB5000448</t>
  </si>
  <si>
    <t xml:space="preserve">198-01</t>
  </si>
  <si>
    <t xml:space="preserve">5497-02-3O0010</t>
  </si>
  <si>
    <t xml:space="preserve">NC7003748</t>
  </si>
  <si>
    <t xml:space="preserve">199-01</t>
  </si>
  <si>
    <t xml:space="preserve">5497-02-3O0011</t>
  </si>
  <si>
    <t xml:space="preserve">NC7003643</t>
  </si>
  <si>
    <t xml:space="preserve">200-01</t>
  </si>
  <si>
    <t xml:space="preserve">5497-02-3O0012</t>
  </si>
  <si>
    <t xml:space="preserve">NC7003675</t>
  </si>
  <si>
    <t xml:space="preserve">201-01</t>
  </si>
  <si>
    <t xml:space="preserve">5497-02-3O0013</t>
  </si>
  <si>
    <t xml:space="preserve">NC7003387</t>
  </si>
  <si>
    <t xml:space="preserve">202-01</t>
  </si>
  <si>
    <t xml:space="preserve">5497-02-3O0014</t>
  </si>
  <si>
    <t xml:space="preserve">NC7003537</t>
  </si>
  <si>
    <t xml:space="preserve">202-02</t>
  </si>
  <si>
    <t xml:space="preserve">YB5000410</t>
  </si>
  <si>
    <t xml:space="preserve">399-01</t>
  </si>
  <si>
    <t xml:space="preserve">5497-02-3O0015</t>
  </si>
  <si>
    <t xml:space="preserve">NC7003524</t>
  </si>
  <si>
    <t xml:space="preserve">399-02</t>
  </si>
  <si>
    <t xml:space="preserve">YB5000337</t>
  </si>
  <si>
    <t xml:space="preserve">399-03</t>
  </si>
  <si>
    <t xml:space="preserve">PHLKQ02276</t>
  </si>
  <si>
    <t xml:space="preserve">399-04</t>
  </si>
  <si>
    <t xml:space="preserve">PHLKQ02283</t>
  </si>
  <si>
    <t xml:space="preserve">399-05</t>
  </si>
  <si>
    <t xml:space="preserve">PHLKQ02284</t>
  </si>
  <si>
    <t xml:space="preserve">399-06</t>
  </si>
  <si>
    <t xml:space="preserve">PHLKQ02297</t>
  </si>
  <si>
    <t xml:space="preserve">399-07</t>
  </si>
  <si>
    <t xml:space="preserve">PHLKQ02303</t>
  </si>
  <si>
    <t xml:space="preserve">89-01</t>
  </si>
  <si>
    <t xml:space="preserve">5497-02-3K0001</t>
  </si>
  <si>
    <t xml:space="preserve">苗栗部</t>
  </si>
  <si>
    <t xml:space="preserve">NC7003583</t>
  </si>
  <si>
    <t xml:space="preserve">89-02</t>
  </si>
  <si>
    <t xml:space="preserve">YB5000353</t>
  </si>
  <si>
    <t xml:space="preserve">89-03</t>
  </si>
  <si>
    <t xml:space="preserve">PHLKP01859</t>
  </si>
  <si>
    <t xml:space="preserve">89-04</t>
  </si>
  <si>
    <t xml:space="preserve">PHLKP01865</t>
  </si>
  <si>
    <t xml:space="preserve">89-05</t>
  </si>
  <si>
    <t xml:space="preserve">PHLKP01868</t>
  </si>
  <si>
    <t xml:space="preserve">94-01</t>
  </si>
  <si>
    <t xml:space="preserve">5497-02-3K0002</t>
  </si>
  <si>
    <t xml:space="preserve">NC7003577</t>
  </si>
  <si>
    <t xml:space="preserve">94-02</t>
  </si>
  <si>
    <t xml:space="preserve">YB5000310</t>
  </si>
  <si>
    <t xml:space="preserve">94-03</t>
  </si>
  <si>
    <t xml:space="preserve">PHLKP00526</t>
  </si>
  <si>
    <t xml:space="preserve">94-04</t>
  </si>
  <si>
    <t xml:space="preserve">PHLKP00528</t>
  </si>
  <si>
    <t xml:space="preserve">94-05</t>
  </si>
  <si>
    <t xml:space="preserve">PHLKP00534</t>
  </si>
  <si>
    <t xml:space="preserve">94-06</t>
  </si>
  <si>
    <t xml:space="preserve">PHLKP00535</t>
  </si>
  <si>
    <t xml:space="preserve">94-07</t>
  </si>
  <si>
    <t xml:space="preserve">PHLKP00536</t>
  </si>
  <si>
    <t xml:space="preserve">94-08</t>
  </si>
  <si>
    <t xml:space="preserve">PHLKP00538</t>
  </si>
  <si>
    <t xml:space="preserve">94-09</t>
  </si>
  <si>
    <t xml:space="preserve">PHLKP00653</t>
  </si>
  <si>
    <t xml:space="preserve">94-10</t>
  </si>
  <si>
    <t xml:space="preserve">PHLKP00658</t>
  </si>
  <si>
    <t xml:space="preserve">94-11</t>
  </si>
  <si>
    <t xml:space="preserve">PHLKP00659</t>
  </si>
  <si>
    <t xml:space="preserve">94-12</t>
  </si>
  <si>
    <t xml:space="preserve">PHLKP00662</t>
  </si>
  <si>
    <t xml:space="preserve">94-13</t>
  </si>
  <si>
    <t xml:space="preserve">PHLKP00663</t>
  </si>
  <si>
    <t xml:space="preserve">94-14</t>
  </si>
  <si>
    <t xml:space="preserve">PHLKP00664</t>
  </si>
  <si>
    <t xml:space="preserve">94-15</t>
  </si>
  <si>
    <t xml:space="preserve">PHLKP00665</t>
  </si>
  <si>
    <t xml:space="preserve">94-16</t>
  </si>
  <si>
    <t xml:space="preserve">PHLKP00670</t>
  </si>
  <si>
    <t xml:space="preserve">94-17</t>
  </si>
  <si>
    <t xml:space="preserve">PHLKP00672</t>
  </si>
  <si>
    <t xml:space="preserve">94-18</t>
  </si>
  <si>
    <t xml:space="preserve">PHLKP00673</t>
  </si>
  <si>
    <t xml:space="preserve">95-01</t>
  </si>
  <si>
    <t xml:space="preserve">5497-02-3K0003</t>
  </si>
  <si>
    <t xml:space="preserve">NC7003551</t>
  </si>
  <si>
    <t xml:space="preserve">95-02</t>
  </si>
  <si>
    <t xml:space="preserve">YB5000291</t>
  </si>
  <si>
    <t xml:space="preserve">95-03</t>
  </si>
  <si>
    <t xml:space="preserve">PHLKP01569</t>
  </si>
  <si>
    <t xml:space="preserve">95-04</t>
  </si>
  <si>
    <t xml:space="preserve">PHLKP01582</t>
  </si>
  <si>
    <t xml:space="preserve">95-05</t>
  </si>
  <si>
    <t xml:space="preserve">PHLKP01601</t>
  </si>
  <si>
    <t xml:space="preserve">95-06</t>
  </si>
  <si>
    <t xml:space="preserve">PHLKP01610</t>
  </si>
  <si>
    <t xml:space="preserve">95-07</t>
  </si>
  <si>
    <t xml:space="preserve">PHLKP01613</t>
  </si>
  <si>
    <t xml:space="preserve">95-08</t>
  </si>
  <si>
    <t xml:space="preserve">PHLKP01616</t>
  </si>
  <si>
    <t xml:space="preserve">95-09</t>
  </si>
  <si>
    <t xml:space="preserve">PHLKP01617</t>
  </si>
  <si>
    <t xml:space="preserve">95-10</t>
  </si>
  <si>
    <t xml:space="preserve">PHLKP01618</t>
  </si>
  <si>
    <t xml:space="preserve">229-01</t>
  </si>
  <si>
    <t xml:space="preserve">5497-02-3K0004</t>
  </si>
  <si>
    <t xml:space="preserve">NC7003600</t>
  </si>
  <si>
    <t xml:space="preserve">229-02</t>
  </si>
  <si>
    <t xml:space="preserve">YB5000315</t>
  </si>
  <si>
    <t xml:space="preserve">230-01</t>
  </si>
  <si>
    <t xml:space="preserve">5497-02-3K0005</t>
  </si>
  <si>
    <t xml:space="preserve">NC7003366</t>
  </si>
  <si>
    <t xml:space="preserve">230-02</t>
  </si>
  <si>
    <t xml:space="preserve">YB5000194</t>
  </si>
  <si>
    <t xml:space="preserve">230-03</t>
  </si>
  <si>
    <t xml:space="preserve">PHLKP02310</t>
  </si>
  <si>
    <t xml:space="preserve">231-01</t>
  </si>
  <si>
    <t xml:space="preserve">5497-02-3K0006</t>
  </si>
  <si>
    <t xml:space="preserve">NC7003699</t>
  </si>
  <si>
    <t xml:space="preserve">231-02</t>
  </si>
  <si>
    <t xml:space="preserve">YB5000132</t>
  </si>
  <si>
    <t xml:space="preserve">231-03</t>
  </si>
  <si>
    <t xml:space="preserve">PHLKP01110</t>
  </si>
  <si>
    <t xml:space="preserve">232-01</t>
  </si>
  <si>
    <t xml:space="preserve">5497-02-3K0007</t>
  </si>
  <si>
    <t xml:space="preserve">NC7003619</t>
  </si>
  <si>
    <t xml:space="preserve">232-02</t>
  </si>
  <si>
    <t xml:space="preserve">YB5000437</t>
  </si>
  <si>
    <t xml:space="preserve">233-01</t>
  </si>
  <si>
    <t xml:space="preserve">5497-02-3K0008</t>
  </si>
  <si>
    <t xml:space="preserve">NC7003640</t>
  </si>
  <si>
    <t xml:space="preserve">233-02</t>
  </si>
  <si>
    <t xml:space="preserve">YB5000240</t>
  </si>
  <si>
    <t xml:space="preserve">234-01</t>
  </si>
  <si>
    <t xml:space="preserve">5497-02-3K0009</t>
  </si>
  <si>
    <t xml:space="preserve">NC7003506</t>
  </si>
  <si>
    <t xml:space="preserve">234-02</t>
  </si>
  <si>
    <t xml:space="preserve">YB5000314</t>
  </si>
  <si>
    <t xml:space="preserve">237-01</t>
  </si>
  <si>
    <t xml:space="preserve">5497-02-3K0012</t>
  </si>
  <si>
    <t xml:space="preserve">NC7003703</t>
  </si>
  <si>
    <t xml:space="preserve">237-02</t>
  </si>
  <si>
    <t xml:space="preserve">YB5000129</t>
  </si>
  <si>
    <t xml:space="preserve">97-01</t>
  </si>
  <si>
    <t xml:space="preserve">5497-02-4B1001</t>
  </si>
  <si>
    <t xml:space="preserve">營運四處</t>
  </si>
  <si>
    <t xml:space="preserve">中一部</t>
  </si>
  <si>
    <t xml:space="preserve">NC7003412</t>
  </si>
  <si>
    <t xml:space="preserve">97-02</t>
  </si>
  <si>
    <t xml:space="preserve">YB5000306</t>
  </si>
  <si>
    <t xml:space="preserve">97-03</t>
  </si>
  <si>
    <t xml:space="preserve">YB7000169</t>
  </si>
  <si>
    <t xml:space="preserve">97-04</t>
  </si>
  <si>
    <t xml:space="preserve">YB7000174</t>
  </si>
  <si>
    <t xml:space="preserve">98-01</t>
  </si>
  <si>
    <t xml:space="preserve">5497-02-4B1002</t>
  </si>
  <si>
    <t xml:space="preserve">NC7003697</t>
  </si>
  <si>
    <t xml:space="preserve">98-02</t>
  </si>
  <si>
    <t xml:space="preserve">YB5000453</t>
  </si>
  <si>
    <t xml:space="preserve">98-03</t>
  </si>
  <si>
    <t xml:space="preserve">PHLKP01619</t>
  </si>
  <si>
    <t xml:space="preserve">98-04</t>
  </si>
  <si>
    <t xml:space="preserve">PHLKP01626</t>
  </si>
  <si>
    <t xml:space="preserve">98-05</t>
  </si>
  <si>
    <t xml:space="preserve">PHLKP01628</t>
  </si>
  <si>
    <t xml:space="preserve">98-06</t>
  </si>
  <si>
    <t xml:space="preserve">PHLKP01630</t>
  </si>
  <si>
    <t xml:space="preserve">98-07</t>
  </si>
  <si>
    <t xml:space="preserve">PHLKP01636</t>
  </si>
  <si>
    <t xml:space="preserve">98-08</t>
  </si>
  <si>
    <t xml:space="preserve">PHLKP01642</t>
  </si>
  <si>
    <t xml:space="preserve">108-01</t>
  </si>
  <si>
    <t xml:space="preserve">5497-02-4B1003</t>
  </si>
  <si>
    <t xml:space="preserve">NC7003620</t>
  </si>
  <si>
    <t xml:space="preserve">108-02</t>
  </si>
  <si>
    <t xml:space="preserve">YB5000444</t>
  </si>
  <si>
    <t xml:space="preserve">108-03</t>
  </si>
  <si>
    <t xml:space="preserve">YB5000447</t>
  </si>
  <si>
    <t xml:space="preserve">108-04</t>
  </si>
  <si>
    <t xml:space="preserve">YB7000551</t>
  </si>
  <si>
    <r>
      <rPr>
        <b val="true"/>
        <sz val="12"/>
        <color rgb="FF000000"/>
        <rFont val="微軟正黑體 Light"/>
        <family val="2"/>
        <charset val="136"/>
      </rPr>
      <t xml:space="preserve">114.07.02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</si>
  <si>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108-05</t>
  </si>
  <si>
    <t xml:space="preserve">YB7000685</t>
  </si>
  <si>
    <t xml:space="preserve">108-06</t>
  </si>
  <si>
    <t xml:space="preserve">YB7000713</t>
  </si>
  <si>
    <t xml:space="preserve">108-07</t>
  </si>
  <si>
    <t xml:space="preserve">YB7000714</t>
  </si>
  <si>
    <t xml:space="preserve">108-08</t>
  </si>
  <si>
    <t xml:space="preserve">YB7000717</t>
  </si>
  <si>
    <t xml:space="preserve">108-09</t>
  </si>
  <si>
    <t xml:space="preserve">YB7000721</t>
  </si>
  <si>
    <t xml:space="preserve">110-01</t>
  </si>
  <si>
    <t xml:space="preserve">5497-02-4B1004</t>
  </si>
  <si>
    <t xml:space="preserve">NC7002570</t>
  </si>
  <si>
    <t xml:space="preserve">110-02</t>
  </si>
  <si>
    <t xml:space="preserve">YB5000228</t>
  </si>
  <si>
    <t xml:space="preserve">110-03</t>
  </si>
  <si>
    <t xml:space="preserve">YB7000140</t>
  </si>
  <si>
    <t xml:space="preserve">110-04</t>
  </si>
  <si>
    <t xml:space="preserve">YB7000165</t>
  </si>
  <si>
    <t xml:space="preserve">110-05</t>
  </si>
  <si>
    <t xml:space="preserve">YB7000166</t>
  </si>
  <si>
    <t xml:space="preserve">111-01</t>
  </si>
  <si>
    <t xml:space="preserve">5497-02-4B1005</t>
  </si>
  <si>
    <t xml:space="preserve">NC7003613</t>
  </si>
  <si>
    <t xml:space="preserve">111-02</t>
  </si>
  <si>
    <t xml:space="preserve">YB5000457</t>
  </si>
  <si>
    <t xml:space="preserve">111-03</t>
  </si>
  <si>
    <t xml:space="preserve">PHLKP01632</t>
  </si>
  <si>
    <t xml:space="preserve">111-04</t>
  </si>
  <si>
    <t xml:space="preserve">PHLKP01646</t>
  </si>
  <si>
    <t xml:space="preserve">111-05</t>
  </si>
  <si>
    <t xml:space="preserve">PHLKP01647</t>
  </si>
  <si>
    <t xml:space="preserve">114-01</t>
  </si>
  <si>
    <t xml:space="preserve">5497-02-4B1006</t>
  </si>
  <si>
    <t xml:space="preserve">NC7002567</t>
  </si>
  <si>
    <t xml:space="preserve">114-02</t>
  </si>
  <si>
    <t xml:space="preserve">YB5000226</t>
  </si>
  <si>
    <t xml:space="preserve">114-03</t>
  </si>
  <si>
    <t xml:space="preserve">YB7000247</t>
  </si>
  <si>
    <t xml:space="preserve">114-04</t>
  </si>
  <si>
    <t xml:space="preserve">YB7000277</t>
  </si>
  <si>
    <t xml:space="preserve">114-05</t>
  </si>
  <si>
    <t xml:space="preserve">YB7000289</t>
  </si>
  <si>
    <t xml:space="preserve">116-01</t>
  </si>
  <si>
    <t xml:space="preserve">5497-02-4B1007</t>
  </si>
  <si>
    <t xml:space="preserve">NC7003678</t>
  </si>
  <si>
    <t xml:space="preserve">116-02</t>
  </si>
  <si>
    <t xml:space="preserve">YB5000417</t>
  </si>
  <si>
    <t xml:space="preserve">116-03</t>
  </si>
  <si>
    <t xml:space="preserve">YB7000564</t>
  </si>
  <si>
    <t xml:space="preserve">116-04</t>
  </si>
  <si>
    <t xml:space="preserve">YB7000641</t>
  </si>
  <si>
    <t xml:space="preserve">116-05</t>
  </si>
  <si>
    <t xml:space="preserve">YB7000646</t>
  </si>
  <si>
    <t xml:space="preserve">123-01</t>
  </si>
  <si>
    <t xml:space="preserve">5497-02-4B1009</t>
  </si>
  <si>
    <t xml:space="preserve">NC7003650</t>
  </si>
  <si>
    <t xml:space="preserve">123-02</t>
  </si>
  <si>
    <t xml:space="preserve">YB5000126</t>
  </si>
  <si>
    <t xml:space="preserve">123-03</t>
  </si>
  <si>
    <t xml:space="preserve">PHLKP02187</t>
  </si>
  <si>
    <t xml:space="preserve">123-04</t>
  </si>
  <si>
    <t xml:space="preserve">PHLKP02188</t>
  </si>
  <si>
    <t xml:space="preserve">123-05</t>
  </si>
  <si>
    <t xml:space="preserve">PHLKP03165</t>
  </si>
  <si>
    <t xml:space="preserve">209-01</t>
  </si>
  <si>
    <t xml:space="preserve">5497-02-4B1010</t>
  </si>
  <si>
    <t xml:space="preserve">NC7002556</t>
  </si>
  <si>
    <t xml:space="preserve">209-02</t>
  </si>
  <si>
    <t xml:space="preserve">YB5000292</t>
  </si>
  <si>
    <t xml:space="preserve">209-03</t>
  </si>
  <si>
    <t xml:space="preserve">YB7000154</t>
  </si>
  <si>
    <t xml:space="preserve">209-04</t>
  </si>
  <si>
    <t xml:space="preserve">YB7000155</t>
  </si>
  <si>
    <t xml:space="preserve">209-05</t>
  </si>
  <si>
    <t xml:space="preserve">YB7000157</t>
  </si>
  <si>
    <t xml:space="preserve">209-06</t>
  </si>
  <si>
    <t xml:space="preserve">YB7000283</t>
  </si>
  <si>
    <t xml:space="preserve">211-01</t>
  </si>
  <si>
    <t xml:space="preserve">5497-02-4B1011</t>
  </si>
  <si>
    <t xml:space="preserve">NC7003673</t>
  </si>
  <si>
    <t xml:space="preserve">211-02</t>
  </si>
  <si>
    <t xml:space="preserve">YB5000384</t>
  </si>
  <si>
    <t xml:space="preserve">255-01</t>
  </si>
  <si>
    <t xml:space="preserve">5497-02-4B1012</t>
  </si>
  <si>
    <t xml:space="preserve">NC7003770</t>
  </si>
  <si>
    <t xml:space="preserve">255-02</t>
  </si>
  <si>
    <t xml:space="preserve">YB5000254</t>
  </si>
  <si>
    <t xml:space="preserve">255-03</t>
  </si>
  <si>
    <t xml:space="preserve">YB7000555</t>
  </si>
  <si>
    <t xml:space="preserve">255-04</t>
  </si>
  <si>
    <t xml:space="preserve">YB7000608</t>
  </si>
  <si>
    <t xml:space="preserve">102-01</t>
  </si>
  <si>
    <t xml:space="preserve">5497-02-4B2001</t>
  </si>
  <si>
    <t xml:space="preserve">中二部</t>
  </si>
  <si>
    <t xml:space="preserve">NC7003735</t>
  </si>
  <si>
    <t xml:space="preserve">102-02</t>
  </si>
  <si>
    <t xml:space="preserve">YB5000231</t>
  </si>
  <si>
    <t xml:space="preserve">102-03</t>
  </si>
  <si>
    <t xml:space="preserve">YB7000842</t>
  </si>
  <si>
    <t xml:space="preserve">102-04</t>
  </si>
  <si>
    <t xml:space="preserve">YB7000853</t>
  </si>
  <si>
    <t xml:space="preserve">105-01</t>
  </si>
  <si>
    <t xml:space="preserve">5497-02-4B2002</t>
  </si>
  <si>
    <t xml:space="preserve">NC7003328</t>
  </si>
  <si>
    <t xml:space="preserve">105-02</t>
  </si>
  <si>
    <t xml:space="preserve">YB5000224</t>
  </si>
  <si>
    <t xml:space="preserve">105-03</t>
  </si>
  <si>
    <t xml:space="preserve">YB7000297</t>
  </si>
  <si>
    <t xml:space="preserve">105-04</t>
  </si>
  <si>
    <t xml:space="preserve">YB7000303</t>
  </si>
  <si>
    <t xml:space="preserve">119-01</t>
  </si>
  <si>
    <t xml:space="preserve">5497-02-4B2003</t>
  </si>
  <si>
    <t xml:space="preserve">NC7003765</t>
  </si>
  <si>
    <t xml:space="preserve">119-02</t>
  </si>
  <si>
    <t xml:space="preserve">YB5000423</t>
  </si>
  <si>
    <t xml:space="preserve">119-03</t>
  </si>
  <si>
    <t xml:space="preserve">YB7000597</t>
  </si>
  <si>
    <t xml:space="preserve">119-04</t>
  </si>
  <si>
    <t xml:space="preserve">YB7000598</t>
  </si>
  <si>
    <t xml:space="preserve">119-05</t>
  </si>
  <si>
    <t xml:space="preserve">YB7000599</t>
  </si>
  <si>
    <t xml:space="preserve">119-06</t>
  </si>
  <si>
    <t xml:space="preserve">YB7000603</t>
  </si>
  <si>
    <t xml:space="preserve">124-01</t>
  </si>
  <si>
    <t xml:space="preserve">5497-02-4B2004</t>
  </si>
  <si>
    <t xml:space="preserve">NC7003731</t>
  </si>
  <si>
    <t xml:space="preserve">124-02</t>
  </si>
  <si>
    <t xml:space="preserve">YB5000249</t>
  </si>
  <si>
    <t xml:space="preserve">124-03</t>
  </si>
  <si>
    <t xml:space="preserve">YB7000553</t>
  </si>
  <si>
    <t xml:space="preserve">124-04</t>
  </si>
  <si>
    <t xml:space="preserve">YB7000606</t>
  </si>
  <si>
    <t xml:space="preserve">278-01</t>
  </si>
  <si>
    <t xml:space="preserve">5497-02-4B2005</t>
  </si>
  <si>
    <t xml:space="preserve">NC7003732</t>
  </si>
  <si>
    <t xml:space="preserve">278-02</t>
  </si>
  <si>
    <t xml:space="preserve">YB5000233</t>
  </si>
  <si>
    <t xml:space="preserve">278-03</t>
  </si>
  <si>
    <t xml:space="preserve">YB7000710</t>
  </si>
  <si>
    <t xml:space="preserve">278-04</t>
  </si>
  <si>
    <t xml:space="preserve">YB7000921</t>
  </si>
  <si>
    <t xml:space="preserve">278-05</t>
  </si>
  <si>
    <t xml:space="preserve">YB7000923</t>
  </si>
  <si>
    <t xml:space="preserve">333-01</t>
  </si>
  <si>
    <t xml:space="preserve">5497-02-4B2006</t>
  </si>
  <si>
    <t xml:space="preserve">NC7003376</t>
  </si>
  <si>
    <t xml:space="preserve">333-02</t>
  </si>
  <si>
    <t xml:space="preserve">YB5000311</t>
  </si>
  <si>
    <t xml:space="preserve">333-03</t>
  </si>
  <si>
    <t xml:space="preserve">YB7000363</t>
  </si>
  <si>
    <t xml:space="preserve">333-04</t>
  </si>
  <si>
    <t xml:space="preserve">YB7000863</t>
  </si>
  <si>
    <t xml:space="preserve">333-05</t>
  </si>
  <si>
    <t xml:space="preserve">YB7000869</t>
  </si>
  <si>
    <t xml:space="preserve">334-01</t>
  </si>
  <si>
    <t xml:space="preserve">5497-02-4B2007</t>
  </si>
  <si>
    <t xml:space="preserve">NC7003595</t>
  </si>
  <si>
    <t xml:space="preserve">334-02</t>
  </si>
  <si>
    <t xml:space="preserve">YB5000214</t>
  </si>
  <si>
    <t xml:space="preserve">334-03</t>
  </si>
  <si>
    <t xml:space="preserve">YB7000286</t>
  </si>
  <si>
    <t xml:space="preserve">334-04</t>
  </si>
  <si>
    <t xml:space="preserve">YB7000291</t>
  </si>
  <si>
    <t xml:space="preserve">334-05</t>
  </si>
  <si>
    <t xml:space="preserve">YB7000293</t>
  </si>
  <si>
    <t xml:space="preserve">370-01</t>
  </si>
  <si>
    <t xml:space="preserve">5497-02-4B2008</t>
  </si>
  <si>
    <t xml:space="preserve">NC7003769</t>
  </si>
  <si>
    <t xml:space="preserve">370-02</t>
  </si>
  <si>
    <t xml:space="preserve">YB5000229</t>
  </si>
  <si>
    <t xml:space="preserve">370-03</t>
  </si>
  <si>
    <t xml:space="preserve">YB7000920</t>
  </si>
  <si>
    <t xml:space="preserve">370-04</t>
  </si>
  <si>
    <t xml:space="preserve">YB7000922</t>
  </si>
  <si>
    <t xml:space="preserve">370-05</t>
  </si>
  <si>
    <t xml:space="preserve">YB7000925</t>
  </si>
  <si>
    <t xml:space="preserve">394-01</t>
  </si>
  <si>
    <t xml:space="preserve">5497-02-4B2009</t>
  </si>
  <si>
    <t xml:space="preserve">NC7003756</t>
  </si>
  <si>
    <t xml:space="preserve">394-02</t>
  </si>
  <si>
    <t xml:space="preserve">YB5000232</t>
  </si>
  <si>
    <t xml:space="preserve">394-03</t>
  </si>
  <si>
    <t xml:space="preserve">YB7000559</t>
  </si>
  <si>
    <t xml:space="preserve">394-04</t>
  </si>
  <si>
    <t xml:space="preserve">YB7000924</t>
  </si>
  <si>
    <t xml:space="preserve">394-05</t>
  </si>
  <si>
    <t xml:space="preserve">YB7000928</t>
  </si>
  <si>
    <t xml:space="preserve">394-06</t>
  </si>
  <si>
    <t xml:space="preserve">YB7000934</t>
  </si>
  <si>
    <t xml:space="preserve">404-01</t>
  </si>
  <si>
    <t xml:space="preserve">5497-02-4B2011</t>
  </si>
  <si>
    <t xml:space="preserve">NC7003562</t>
  </si>
  <si>
    <t xml:space="preserve">404-02</t>
  </si>
  <si>
    <t xml:space="preserve">YB5000317</t>
  </si>
  <si>
    <t xml:space="preserve">411-01</t>
  </si>
  <si>
    <t xml:space="preserve">5497-02-4B2012</t>
  </si>
  <si>
    <t xml:space="preserve">NC7003589</t>
  </si>
  <si>
    <t xml:space="preserve">411-02</t>
  </si>
  <si>
    <t xml:space="preserve">YB5000289</t>
  </si>
  <si>
    <t xml:space="preserve">411-03</t>
  </si>
  <si>
    <t xml:space="preserve">YB7000709</t>
  </si>
  <si>
    <t xml:space="preserve">99-01</t>
  </si>
  <si>
    <t xml:space="preserve">5497-02-4B3001</t>
  </si>
  <si>
    <t xml:space="preserve">中三部</t>
  </si>
  <si>
    <t xml:space="preserve">NC7003665</t>
  </si>
  <si>
    <t xml:space="preserve">99-02</t>
  </si>
  <si>
    <t xml:space="preserve">YB5000383</t>
  </si>
  <si>
    <t xml:space="preserve">99-03</t>
  </si>
  <si>
    <t xml:space="preserve">YB7000547</t>
  </si>
  <si>
    <t xml:space="preserve">99-04</t>
  </si>
  <si>
    <t xml:space="preserve">YB7000575</t>
  </si>
  <si>
    <t xml:space="preserve">100-01</t>
  </si>
  <si>
    <t xml:space="preserve">5497-02-4B3002</t>
  </si>
  <si>
    <t xml:space="preserve">NC7003303</t>
  </si>
  <si>
    <t xml:space="preserve">100-02</t>
  </si>
  <si>
    <t xml:space="preserve">YB5000295</t>
  </si>
  <si>
    <t xml:space="preserve">100-03</t>
  </si>
  <si>
    <t xml:space="preserve">YB7000156</t>
  </si>
  <si>
    <t xml:space="preserve">100-04</t>
  </si>
  <si>
    <t xml:space="preserve">YB7000158</t>
  </si>
  <si>
    <t xml:space="preserve">100-05</t>
  </si>
  <si>
    <t xml:space="preserve">YB7000163</t>
  </si>
  <si>
    <t xml:space="preserve">101-01</t>
  </si>
  <si>
    <t xml:space="preserve">5497-02-4B3003</t>
  </si>
  <si>
    <t xml:space="preserve">NC7003766</t>
  </si>
  <si>
    <t xml:space="preserve">101-02</t>
  </si>
  <si>
    <t xml:space="preserve">YB5000322</t>
  </si>
  <si>
    <t xml:space="preserve">101-03</t>
  </si>
  <si>
    <t xml:space="preserve">YB7000872</t>
  </si>
  <si>
    <t xml:space="preserve">101-04</t>
  </si>
  <si>
    <t xml:space="preserve">YB7000875</t>
  </si>
  <si>
    <t xml:space="preserve">103-01</t>
  </si>
  <si>
    <t xml:space="preserve">5497-02-4B3004</t>
  </si>
  <si>
    <t xml:space="preserve">NC7003652</t>
  </si>
  <si>
    <t xml:space="preserve">103-02</t>
  </si>
  <si>
    <t xml:space="preserve">YB5000381</t>
  </si>
  <si>
    <t xml:space="preserve">103-03</t>
  </si>
  <si>
    <t xml:space="preserve">YB7000562</t>
  </si>
  <si>
    <t xml:space="preserve">103-04</t>
  </si>
  <si>
    <t xml:space="preserve">YB7000567</t>
  </si>
  <si>
    <t xml:space="preserve">104-01</t>
  </si>
  <si>
    <t xml:space="preserve">5497-02-4B3005</t>
  </si>
  <si>
    <t xml:space="preserve">NC7003749</t>
  </si>
  <si>
    <t xml:space="preserve">104-02</t>
  </si>
  <si>
    <t xml:space="preserve">YB5000377</t>
  </si>
  <si>
    <t xml:space="preserve">104-03</t>
  </si>
  <si>
    <t xml:space="preserve">YB7000848</t>
  </si>
  <si>
    <t xml:space="preserve">104-04</t>
  </si>
  <si>
    <t xml:space="preserve">YB7000850</t>
  </si>
  <si>
    <t xml:space="preserve">104-05</t>
  </si>
  <si>
    <t xml:space="preserve">YB7000855</t>
  </si>
  <si>
    <t xml:space="preserve">104-06</t>
  </si>
  <si>
    <t xml:space="preserve">YB7000905</t>
  </si>
  <si>
    <t xml:space="preserve">106-01</t>
  </si>
  <si>
    <t xml:space="preserve">5497-02-4B3006</t>
  </si>
  <si>
    <t xml:space="preserve">NC7003739</t>
  </si>
  <si>
    <t xml:space="preserve">106-02</t>
  </si>
  <si>
    <t xml:space="preserve">YB5000370</t>
  </si>
  <si>
    <t xml:space="preserve">106-03</t>
  </si>
  <si>
    <t xml:space="preserve">YB7000854</t>
  </si>
  <si>
    <t xml:space="preserve">106-04</t>
  </si>
  <si>
    <t xml:space="preserve">YB7000887</t>
  </si>
  <si>
    <t xml:space="preserve">106-05</t>
  </si>
  <si>
    <t xml:space="preserve">YB7000892</t>
  </si>
  <si>
    <t xml:space="preserve">113-01</t>
  </si>
  <si>
    <t xml:space="preserve">5497-02-4B3007</t>
  </si>
  <si>
    <t xml:space="preserve">NC7003283</t>
  </si>
  <si>
    <t xml:space="preserve">113-02</t>
  </si>
  <si>
    <t xml:space="preserve">YB5000287</t>
  </si>
  <si>
    <t xml:space="preserve">113-03</t>
  </si>
  <si>
    <t xml:space="preserve">YB7000152</t>
  </si>
  <si>
    <t xml:space="preserve">113-04</t>
  </si>
  <si>
    <t xml:space="preserve">YB7000159</t>
  </si>
  <si>
    <t xml:space="preserve">113-05</t>
  </si>
  <si>
    <t xml:space="preserve">YB7000160</t>
  </si>
  <si>
    <t xml:space="preserve">256-01</t>
  </si>
  <si>
    <t xml:space="preserve">5497-02-4B3008</t>
  </si>
  <si>
    <t xml:space="preserve">NC7003776</t>
  </si>
  <si>
    <t xml:space="preserve">256-02</t>
  </si>
  <si>
    <t xml:space="preserve">YB5000323</t>
  </si>
  <si>
    <t xml:space="preserve">332-01</t>
  </si>
  <si>
    <t xml:space="preserve">5497-02-4B3010</t>
  </si>
  <si>
    <t xml:space="preserve">YB5000451</t>
  </si>
  <si>
    <t xml:space="preserve">332-02</t>
  </si>
  <si>
    <t xml:space="preserve">YB7000724</t>
  </si>
  <si>
    <t xml:space="preserve">391-01</t>
  </si>
  <si>
    <t xml:space="preserve">5497-02-4B3011</t>
  </si>
  <si>
    <t xml:space="preserve">NC7003747</t>
  </si>
  <si>
    <t xml:space="preserve">391-02</t>
  </si>
  <si>
    <t xml:space="preserve">YB5000236</t>
  </si>
  <si>
    <t xml:space="preserve">391-03</t>
  </si>
  <si>
    <t xml:space="preserve">YB7000557</t>
  </si>
  <si>
    <t xml:space="preserve">391-04</t>
  </si>
  <si>
    <t xml:space="preserve">YB7000711</t>
  </si>
  <si>
    <t xml:space="preserve">391-05</t>
  </si>
  <si>
    <t xml:space="preserve">YB7000949</t>
  </si>
  <si>
    <t xml:space="preserve">391-06</t>
  </si>
  <si>
    <t xml:space="preserve">YB7000954</t>
  </si>
  <si>
    <t xml:space="preserve">391-07</t>
  </si>
  <si>
    <t xml:space="preserve">YB7000962</t>
  </si>
  <si>
    <t xml:space="preserve">396-01</t>
  </si>
  <si>
    <t xml:space="preserve">5497-02-4B3012</t>
  </si>
  <si>
    <t xml:space="preserve">NC7003347</t>
  </si>
  <si>
    <t xml:space="preserve">396-02</t>
  </si>
  <si>
    <t xml:space="preserve">YB5000379</t>
  </si>
  <si>
    <t xml:space="preserve">397-01</t>
  </si>
  <si>
    <t xml:space="preserve">5497-02-4B3013</t>
  </si>
  <si>
    <t xml:space="preserve">YB5000210</t>
  </si>
  <si>
    <t xml:space="preserve">107-01</t>
  </si>
  <si>
    <t xml:space="preserve">5497-02-4B4001</t>
  </si>
  <si>
    <t xml:space="preserve">中四部</t>
  </si>
  <si>
    <t xml:space="preserve">NC7003357</t>
  </si>
  <si>
    <t xml:space="preserve">107-02</t>
  </si>
  <si>
    <t xml:space="preserve">YB5000141</t>
  </si>
  <si>
    <t xml:space="preserve">107-03</t>
  </si>
  <si>
    <t xml:space="preserve">YB7000076</t>
  </si>
  <si>
    <t xml:space="preserve">107-04</t>
  </si>
  <si>
    <t xml:space="preserve">YB7000132</t>
  </si>
  <si>
    <t xml:space="preserve">109-01</t>
  </si>
  <si>
    <t xml:space="preserve">5497-02-4B4002</t>
  </si>
  <si>
    <t xml:space="preserve">NC7003690</t>
  </si>
  <si>
    <t xml:space="preserve">109-02</t>
  </si>
  <si>
    <t xml:space="preserve">YB5000382</t>
  </si>
  <si>
    <t xml:space="preserve">109-03</t>
  </si>
  <si>
    <t xml:space="preserve">YB7000571</t>
  </si>
  <si>
    <t xml:space="preserve">109-04</t>
  </si>
  <si>
    <t xml:space="preserve">YB7000578</t>
  </si>
  <si>
    <t xml:space="preserve">109-05</t>
  </si>
  <si>
    <t xml:space="preserve">YB7000581</t>
  </si>
  <si>
    <t xml:space="preserve">112-01</t>
  </si>
  <si>
    <t xml:space="preserve">5497-02-4B4003</t>
  </si>
  <si>
    <t xml:space="preserve">NC7003706</t>
  </si>
  <si>
    <t xml:space="preserve">112-02</t>
  </si>
  <si>
    <t xml:space="preserve">YB5000380</t>
  </si>
  <si>
    <t xml:space="preserve">112-03</t>
  </si>
  <si>
    <t xml:space="preserve">YB7000573</t>
  </si>
  <si>
    <t xml:space="preserve">112-04</t>
  </si>
  <si>
    <t xml:space="preserve">YB7000577</t>
  </si>
  <si>
    <t xml:space="preserve">115-01</t>
  </si>
  <si>
    <t xml:space="preserve">5497-02-4B4004</t>
  </si>
  <si>
    <t xml:space="preserve">NC7003269</t>
  </si>
  <si>
    <t xml:space="preserve">115-02</t>
  </si>
  <si>
    <t xml:space="preserve">YB5000294</t>
  </si>
  <si>
    <t xml:space="preserve">115-03</t>
  </si>
  <si>
    <t xml:space="preserve">YB7000299</t>
  </si>
  <si>
    <t xml:space="preserve">115-04</t>
  </si>
  <si>
    <t xml:space="preserve">YB7000304</t>
  </si>
  <si>
    <t xml:space="preserve">117-01</t>
  </si>
  <si>
    <t xml:space="preserve">5497-02-4B4005</t>
  </si>
  <si>
    <t xml:space="preserve">NC7003273</t>
  </si>
  <si>
    <t xml:space="preserve">117-02</t>
  </si>
  <si>
    <t xml:space="preserve">YB7000250</t>
  </si>
  <si>
    <t xml:space="preserve">117-03</t>
  </si>
  <si>
    <t xml:space="preserve">YB7000282</t>
  </si>
  <si>
    <t xml:space="preserve">117-04</t>
  </si>
  <si>
    <t xml:space="preserve">YB7000287</t>
  </si>
  <si>
    <t xml:space="preserve">117-05</t>
  </si>
  <si>
    <t xml:space="preserve">YB7000288</t>
  </si>
  <si>
    <t xml:space="preserve">117-06</t>
  </si>
  <si>
    <t xml:space="preserve">YB7000302</t>
  </si>
  <si>
    <t xml:space="preserve">121-01</t>
  </si>
  <si>
    <t xml:space="preserve">5497-02-4B4006</t>
  </si>
  <si>
    <t xml:space="preserve">NC7003622</t>
  </si>
  <si>
    <t xml:space="preserve">121-02</t>
  </si>
  <si>
    <t xml:space="preserve">YB5000456</t>
  </si>
  <si>
    <t xml:space="preserve">121-03</t>
  </si>
  <si>
    <t xml:space="preserve">PHLKP01643</t>
  </si>
  <si>
    <t xml:space="preserve">121-04</t>
  </si>
  <si>
    <t xml:space="preserve">PHLKP01645</t>
  </si>
  <si>
    <t xml:space="preserve">122-01</t>
  </si>
  <si>
    <t xml:space="preserve">5497-02-4B4007</t>
  </si>
  <si>
    <t xml:space="preserve">NC7002601</t>
  </si>
  <si>
    <t xml:space="preserve">122-02</t>
  </si>
  <si>
    <t xml:space="preserve">YB5000245</t>
  </si>
  <si>
    <t xml:space="preserve">122-03</t>
  </si>
  <si>
    <t xml:space="preserve">YB7000290</t>
  </si>
  <si>
    <t xml:space="preserve">122-04</t>
  </si>
  <si>
    <t xml:space="preserve">YB7000292</t>
  </si>
  <si>
    <t xml:space="preserve">126-01</t>
  </si>
  <si>
    <t xml:space="preserve">5497-02-4B4008</t>
  </si>
  <si>
    <t xml:space="preserve">NC7003741</t>
  </si>
  <si>
    <t xml:space="preserve">126-02</t>
  </si>
  <si>
    <t xml:space="preserve">YB5000235</t>
  </si>
  <si>
    <t xml:space="preserve">126-03</t>
  </si>
  <si>
    <t xml:space="preserve">YB7000931</t>
  </si>
  <si>
    <t xml:space="preserve">127-01</t>
  </si>
  <si>
    <t xml:space="preserve">5497-02-4B4009</t>
  </si>
  <si>
    <t xml:space="preserve">NC7003772</t>
  </si>
  <si>
    <t xml:space="preserve">127-02</t>
  </si>
  <si>
    <t xml:space="preserve">YB5000227</t>
  </si>
  <si>
    <t xml:space="preserve">127-03</t>
  </si>
  <si>
    <t xml:space="preserve">YB7000556</t>
  </si>
  <si>
    <t xml:space="preserve">127-04</t>
  </si>
  <si>
    <t xml:space="preserve">YB7000558</t>
  </si>
  <si>
    <t xml:space="preserve">210-01</t>
  </si>
  <si>
    <t xml:space="preserve">5497-02-4B4010</t>
  </si>
  <si>
    <t xml:space="preserve">NC7003752</t>
  </si>
  <si>
    <t xml:space="preserve">210-02</t>
  </si>
  <si>
    <t xml:space="preserve">YB5000312</t>
  </si>
  <si>
    <t xml:space="preserve">253-01</t>
  </si>
  <si>
    <t xml:space="preserve">5497-02-4B4011</t>
  </si>
  <si>
    <t xml:space="preserve">NC7003344</t>
  </si>
  <si>
    <t xml:space="preserve">253-02</t>
  </si>
  <si>
    <t xml:space="preserve">YB5000281</t>
  </si>
  <si>
    <t xml:space="preserve">253-03</t>
  </si>
  <si>
    <t xml:space="preserve">YB7000139</t>
  </si>
  <si>
    <t xml:space="preserve">253-04</t>
  </si>
  <si>
    <t xml:space="preserve">YB7000175</t>
  </si>
  <si>
    <t xml:space="preserve">253-05</t>
  </si>
  <si>
    <t xml:space="preserve">YB7000182</t>
  </si>
  <si>
    <t xml:space="preserve">253-06</t>
  </si>
  <si>
    <t xml:space="preserve">YB7000194</t>
  </si>
  <si>
    <t xml:space="preserve">254-01</t>
  </si>
  <si>
    <t xml:space="preserve">5497-02-4B4012</t>
  </si>
  <si>
    <t xml:space="preserve">NC7003780</t>
  </si>
  <si>
    <t xml:space="preserve">254-02</t>
  </si>
  <si>
    <t xml:space="preserve">YB5000309</t>
  </si>
  <si>
    <t xml:space="preserve">254-03</t>
  </si>
  <si>
    <t xml:space="preserve">YB5000318</t>
  </si>
  <si>
    <t xml:space="preserve">254-04</t>
  </si>
  <si>
    <t xml:space="preserve">YB7000740</t>
  </si>
  <si>
    <t xml:space="preserve">254-05</t>
  </si>
  <si>
    <t xml:space="preserve">YB7000750</t>
  </si>
  <si>
    <t xml:space="preserve">254-06</t>
  </si>
  <si>
    <t xml:space="preserve">YB7000753</t>
  </si>
  <si>
    <t xml:space="preserve">254-07</t>
  </si>
  <si>
    <t xml:space="preserve">YB7000755</t>
  </si>
  <si>
    <t xml:space="preserve">254-08</t>
  </si>
  <si>
    <t xml:space="preserve">YB7000758</t>
  </si>
  <si>
    <t xml:space="preserve">254-09</t>
  </si>
  <si>
    <t xml:space="preserve">YB7000759</t>
  </si>
  <si>
    <t xml:space="preserve">254-10</t>
  </si>
  <si>
    <t xml:space="preserve">YB7000834</t>
  </si>
  <si>
    <t xml:space="preserve">254-11</t>
  </si>
  <si>
    <t xml:space="preserve">YB7000835</t>
  </si>
  <si>
    <t xml:space="preserve">335-01</t>
  </si>
  <si>
    <t xml:space="preserve">5497-02-4B4013</t>
  </si>
  <si>
    <t xml:space="preserve">NC7003742</t>
  </si>
  <si>
    <t xml:space="preserve">335-02</t>
  </si>
  <si>
    <t xml:space="preserve">YB5000230</t>
  </si>
  <si>
    <t xml:space="preserve">335-03</t>
  </si>
  <si>
    <t xml:space="preserve">YB7000686</t>
  </si>
  <si>
    <t xml:space="preserve">335-04</t>
  </si>
  <si>
    <t xml:space="preserve">YB7000927</t>
  </si>
  <si>
    <t xml:space="preserve">335-05</t>
  </si>
  <si>
    <t xml:space="preserve">YB7000929</t>
  </si>
  <si>
    <t xml:space="preserve">335-06</t>
  </si>
  <si>
    <t xml:space="preserve">YB7000932</t>
  </si>
  <si>
    <t xml:space="preserve">132-01</t>
  </si>
  <si>
    <t xml:space="preserve">5497-02-4N1002</t>
  </si>
  <si>
    <t xml:space="preserve">彰化一部</t>
  </si>
  <si>
    <t xml:space="preserve">NC7003350</t>
  </si>
  <si>
    <t xml:space="preserve">132-02</t>
  </si>
  <si>
    <t xml:space="preserve">PHLKP02497</t>
  </si>
  <si>
    <t xml:space="preserve">132-03</t>
  </si>
  <si>
    <t xml:space="preserve">PHLKP02555</t>
  </si>
  <si>
    <t xml:space="preserve">132-04</t>
  </si>
  <si>
    <t xml:space="preserve">PHLKP02563</t>
  </si>
  <si>
    <t xml:space="preserve">134-01</t>
  </si>
  <si>
    <t xml:space="preserve">5497-02-4N1003</t>
  </si>
  <si>
    <t xml:space="preserve">NC7003586</t>
  </si>
  <si>
    <t xml:space="preserve">134-02</t>
  </si>
  <si>
    <t xml:space="preserve">YB5000290</t>
  </si>
  <si>
    <t xml:space="preserve">134-03</t>
  </si>
  <si>
    <t xml:space="preserve">PHLKP01472</t>
  </si>
  <si>
    <t xml:space="preserve">134-04</t>
  </si>
  <si>
    <t xml:space="preserve">PHLKP01475</t>
  </si>
  <si>
    <t xml:space="preserve">134-05</t>
  </si>
  <si>
    <t xml:space="preserve">PHLKP01476</t>
  </si>
  <si>
    <t xml:space="preserve">134-06</t>
  </si>
  <si>
    <t xml:space="preserve">PHLKP01483</t>
  </si>
  <si>
    <t xml:space="preserve">134-07</t>
  </si>
  <si>
    <t xml:space="preserve">PHLKP01488</t>
  </si>
  <si>
    <t xml:space="preserve">134-08</t>
  </si>
  <si>
    <t xml:space="preserve">PHLKP03152</t>
  </si>
  <si>
    <t xml:space="preserve">136-01</t>
  </si>
  <si>
    <t xml:space="preserve">5497-02-4N1004</t>
  </si>
  <si>
    <t xml:space="preserve">NC7003482</t>
  </si>
  <si>
    <t xml:space="preserve">136-02</t>
  </si>
  <si>
    <t xml:space="preserve">PHLKP02547</t>
  </si>
  <si>
    <t xml:space="preserve">136-03</t>
  </si>
  <si>
    <t xml:space="preserve">PHLKP02640</t>
  </si>
  <si>
    <t xml:space="preserve">136-04</t>
  </si>
  <si>
    <t xml:space="preserve">PHLKP02641</t>
  </si>
  <si>
    <t xml:space="preserve">136-05</t>
  </si>
  <si>
    <t xml:space="preserve">PHLKP02645</t>
  </si>
  <si>
    <t xml:space="preserve">136-06</t>
  </si>
  <si>
    <t xml:space="preserve">PHLKP02699</t>
  </si>
  <si>
    <t xml:space="preserve">190-01</t>
  </si>
  <si>
    <t xml:space="preserve">5497-02-4N1005</t>
  </si>
  <si>
    <t xml:space="preserve">NC7003539</t>
  </si>
  <si>
    <t xml:space="preserve">190-02</t>
  </si>
  <si>
    <t xml:space="preserve">PHLKP01491</t>
  </si>
  <si>
    <t xml:space="preserve">190-03</t>
  </si>
  <si>
    <t xml:space="preserve">PHLKP01493</t>
  </si>
  <si>
    <t xml:space="preserve">190-04</t>
  </si>
  <si>
    <t xml:space="preserve">PHLKP01494</t>
  </si>
  <si>
    <t xml:space="preserve">190-05</t>
  </si>
  <si>
    <t xml:space="preserve">PHLKP01502</t>
  </si>
  <si>
    <t xml:space="preserve">190-06</t>
  </si>
  <si>
    <t xml:space="preserve">PHLKP01503</t>
  </si>
  <si>
    <t xml:space="preserve">190-07</t>
  </si>
  <si>
    <t xml:space="preserve">PHLKP01504</t>
  </si>
  <si>
    <t xml:space="preserve">213-01</t>
  </si>
  <si>
    <t xml:space="preserve">5497-02-4N1006</t>
  </si>
  <si>
    <t xml:space="preserve">NC7003552</t>
  </si>
  <si>
    <t xml:space="preserve">213-02</t>
  </si>
  <si>
    <t xml:space="preserve">PHLKP02024</t>
  </si>
  <si>
    <t xml:space="preserve">213-03</t>
  </si>
  <si>
    <t xml:space="preserve">PHLKP02028</t>
  </si>
  <si>
    <t xml:space="preserve">213-04</t>
  </si>
  <si>
    <t xml:space="preserve">PHLKP02051</t>
  </si>
  <si>
    <t xml:space="preserve">247-01</t>
  </si>
  <si>
    <t xml:space="preserve">5497-02-4N1007</t>
  </si>
  <si>
    <t xml:space="preserve">NC7003614</t>
  </si>
  <si>
    <t xml:space="preserve">247-02</t>
  </si>
  <si>
    <t xml:space="preserve">YB5000368</t>
  </si>
  <si>
    <t xml:space="preserve">247-03</t>
  </si>
  <si>
    <t xml:space="preserve">PHLKP03092</t>
  </si>
  <si>
    <t xml:space="preserve">247-04</t>
  </si>
  <si>
    <t xml:space="preserve">PHLKP03127</t>
  </si>
  <si>
    <t xml:space="preserve">250-01</t>
  </si>
  <si>
    <t xml:space="preserve">5497-02-4N1008</t>
  </si>
  <si>
    <t xml:space="preserve">NC7003724</t>
  </si>
  <si>
    <t xml:space="preserve">250-02</t>
  </si>
  <si>
    <t xml:space="preserve">YB5000242</t>
  </si>
  <si>
    <t xml:space="preserve">250-03</t>
  </si>
  <si>
    <t xml:space="preserve">PHLKP03111</t>
  </si>
  <si>
    <t xml:space="preserve">250-04</t>
  </si>
  <si>
    <t xml:space="preserve">PHLKP03115</t>
  </si>
  <si>
    <t xml:space="preserve">250-05</t>
  </si>
  <si>
    <t xml:space="preserve">PHLKP03130</t>
  </si>
  <si>
    <t xml:space="preserve">251-01</t>
  </si>
  <si>
    <t xml:space="preserve">5497-02-4N1009</t>
  </si>
  <si>
    <t xml:space="preserve">NC7003632</t>
  </si>
  <si>
    <t xml:space="preserve">251-02</t>
  </si>
  <si>
    <t xml:space="preserve">YB5000366</t>
  </si>
  <si>
    <t xml:space="preserve">251-03</t>
  </si>
  <si>
    <t xml:space="preserve">PHLKP03119</t>
  </si>
  <si>
    <t xml:space="preserve">251-04</t>
  </si>
  <si>
    <t xml:space="preserve">PHLKP03120</t>
  </si>
  <si>
    <t xml:space="preserve">298-01</t>
  </si>
  <si>
    <t xml:space="preserve">5497-02-4N1010</t>
  </si>
  <si>
    <t xml:space="preserve">NC7003711</t>
  </si>
  <si>
    <t xml:space="preserve">298-02</t>
  </si>
  <si>
    <t xml:space="preserve">YB5000243</t>
  </si>
  <si>
    <t xml:space="preserve">298-03</t>
  </si>
  <si>
    <t xml:space="preserve">PHLKP03131</t>
  </si>
  <si>
    <t xml:space="preserve">298-04</t>
  </si>
  <si>
    <t xml:space="preserve">PHLKQ01943</t>
  </si>
  <si>
    <t xml:space="preserve">298-05</t>
  </si>
  <si>
    <t xml:space="preserve">PHLKQ01955</t>
  </si>
  <si>
    <t xml:space="preserve">353-01</t>
  </si>
  <si>
    <t xml:space="preserve">5497-02-4N1011</t>
  </si>
  <si>
    <t xml:space="preserve">NC7003668</t>
  </si>
  <si>
    <t xml:space="preserve">353-02</t>
  </si>
  <si>
    <t xml:space="preserve">YB5000361</t>
  </si>
  <si>
    <t xml:space="preserve">353-03</t>
  </si>
  <si>
    <t xml:space="preserve">PHLKP03109</t>
  </si>
  <si>
    <t xml:space="preserve">353-04</t>
  </si>
  <si>
    <t xml:space="preserve">PHLKP03118</t>
  </si>
  <si>
    <t xml:space="preserve">353-05</t>
  </si>
  <si>
    <t xml:space="preserve">PHLKP03124</t>
  </si>
  <si>
    <t xml:space="preserve">353-06</t>
  </si>
  <si>
    <t xml:space="preserve">PHLKP03125</t>
  </si>
  <si>
    <t xml:space="preserve">401-01</t>
  </si>
  <si>
    <t xml:space="preserve">5497-02-4N1012</t>
  </si>
  <si>
    <t xml:space="preserve">NC7003354</t>
  </si>
  <si>
    <t xml:space="preserve">401-02</t>
  </si>
  <si>
    <t xml:space="preserve">YB5000197</t>
  </si>
  <si>
    <t xml:space="preserve">401-03</t>
  </si>
  <si>
    <t xml:space="preserve">PHLKP02309</t>
  </si>
  <si>
    <t xml:space="preserve">401-04</t>
  </si>
  <si>
    <t xml:space="preserve">PHLKP02441</t>
  </si>
  <si>
    <t xml:space="preserve">401-05</t>
  </si>
  <si>
    <t xml:space="preserve">PHLKP02644</t>
  </si>
  <si>
    <t xml:space="preserve">401-06</t>
  </si>
  <si>
    <t xml:space="preserve">PHLKP02654</t>
  </si>
  <si>
    <t xml:space="preserve">401-07</t>
  </si>
  <si>
    <t xml:space="preserve">PHLKP02656</t>
  </si>
  <si>
    <t xml:space="preserve">401-08</t>
  </si>
  <si>
    <t xml:space="preserve">PHLKP02689</t>
  </si>
  <si>
    <t xml:space="preserve">401-09</t>
  </si>
  <si>
    <t xml:space="preserve">PHLKP02705</t>
  </si>
  <si>
    <t xml:space="preserve">401-10</t>
  </si>
  <si>
    <t xml:space="preserve">PHLKP02709</t>
  </si>
  <si>
    <t xml:space="preserve">401-11</t>
  </si>
  <si>
    <t xml:space="preserve">PHLKP02720</t>
  </si>
  <si>
    <t xml:space="preserve">401-12</t>
  </si>
  <si>
    <t xml:space="preserve">PHLKQ02264</t>
  </si>
  <si>
    <t xml:space="preserve">128-01</t>
  </si>
  <si>
    <t xml:space="preserve">5497-02-4N2001</t>
  </si>
  <si>
    <t xml:space="preserve">彰化二部</t>
  </si>
  <si>
    <t xml:space="preserve">NC7003490</t>
  </si>
  <si>
    <t xml:space="preserve">128-02</t>
  </si>
  <si>
    <t xml:space="preserve">PHLKP02161</t>
  </si>
  <si>
    <t xml:space="preserve">128-03</t>
  </si>
  <si>
    <t xml:space="preserve">PHLKP02162</t>
  </si>
  <si>
    <t xml:space="preserve">131-01</t>
  </si>
  <si>
    <t xml:space="preserve">5497-02-4N2002</t>
  </si>
  <si>
    <t xml:space="preserve">NC7003528</t>
  </si>
  <si>
    <t xml:space="preserve">131-02</t>
  </si>
  <si>
    <t xml:space="preserve">PHLKP02032</t>
  </si>
  <si>
    <t xml:space="preserve">131-03</t>
  </si>
  <si>
    <t xml:space="preserve">PHLKP02035</t>
  </si>
  <si>
    <t xml:space="preserve">131-04</t>
  </si>
  <si>
    <t xml:space="preserve">PHLKP02048</t>
  </si>
  <si>
    <t xml:space="preserve">131-05</t>
  </si>
  <si>
    <t xml:space="preserve">PHLKQ02042</t>
  </si>
  <si>
    <t xml:space="preserve">131-06</t>
  </si>
  <si>
    <t xml:space="preserve">PHLKQ02044</t>
  </si>
  <si>
    <t xml:space="preserve">131-07</t>
  </si>
  <si>
    <t xml:space="preserve">PHLKQ02047</t>
  </si>
  <si>
    <t xml:space="preserve">137-01</t>
  </si>
  <si>
    <t xml:space="preserve">5497-02-4N2003</t>
  </si>
  <si>
    <t xml:space="preserve">NC7003670</t>
  </si>
  <si>
    <t xml:space="preserve">137-02</t>
  </si>
  <si>
    <t xml:space="preserve">YB5000445</t>
  </si>
  <si>
    <t xml:space="preserve">137-03</t>
  </si>
  <si>
    <t xml:space="preserve">PHLKP01119</t>
  </si>
  <si>
    <t xml:space="preserve">137-04</t>
  </si>
  <si>
    <t xml:space="preserve">PHLKP03072</t>
  </si>
  <si>
    <t xml:space="preserve">137-05</t>
  </si>
  <si>
    <t xml:space="preserve">PHLKP03083</t>
  </si>
  <si>
    <t xml:space="preserve">248-01</t>
  </si>
  <si>
    <t xml:space="preserve">5497-02-4N2004</t>
  </si>
  <si>
    <t xml:space="preserve">NC7003660</t>
  </si>
  <si>
    <t xml:space="preserve">248-02</t>
  </si>
  <si>
    <t xml:space="preserve">YB5000365</t>
  </si>
  <si>
    <t xml:space="preserve">248-03</t>
  </si>
  <si>
    <t xml:space="preserve">PHLKP03114</t>
  </si>
  <si>
    <t xml:space="preserve">248-04</t>
  </si>
  <si>
    <t xml:space="preserve">PHLKP03123</t>
  </si>
  <si>
    <t xml:space="preserve">249-01</t>
  </si>
  <si>
    <t xml:space="preserve">5497-02-4N2005</t>
  </si>
  <si>
    <t xml:space="preserve">NC7003520</t>
  </si>
  <si>
    <t xml:space="preserve">249-02</t>
  </si>
  <si>
    <t xml:space="preserve">YB5000478</t>
  </si>
  <si>
    <t xml:space="preserve">249-03</t>
  </si>
  <si>
    <t xml:space="preserve">PHLKP00531</t>
  </si>
  <si>
    <t xml:space="preserve">249-04</t>
  </si>
  <si>
    <t xml:space="preserve">PHLKP01507</t>
  </si>
  <si>
    <t xml:space="preserve">249-05</t>
  </si>
  <si>
    <t xml:space="preserve">PHLKP01510</t>
  </si>
  <si>
    <t xml:space="preserve">252-01</t>
  </si>
  <si>
    <t xml:space="preserve">5497-02-4N2006</t>
  </si>
  <si>
    <t xml:space="preserve">NC7003689</t>
  </si>
  <si>
    <t xml:space="preserve">252-02</t>
  </si>
  <si>
    <t xml:space="preserve">YB5000241</t>
  </si>
  <si>
    <t xml:space="preserve">252-03</t>
  </si>
  <si>
    <t xml:space="preserve">PHLKP01114</t>
  </si>
  <si>
    <t xml:space="preserve">252-04</t>
  </si>
  <si>
    <t xml:space="preserve">PHLKP03068</t>
  </si>
  <si>
    <t xml:space="preserve">252-05</t>
  </si>
  <si>
    <t xml:space="preserve">PHLKP03133</t>
  </si>
  <si>
    <t xml:space="preserve">299-01</t>
  </si>
  <si>
    <t xml:space="preserve">5497-02-4N2007</t>
  </si>
  <si>
    <t xml:space="preserve">NC7003555</t>
  </si>
  <si>
    <t xml:space="preserve">299-02</t>
  </si>
  <si>
    <t xml:space="preserve">YB5000449</t>
  </si>
  <si>
    <t xml:space="preserve">299-03</t>
  </si>
  <si>
    <t xml:space="preserve">PHLKP00520</t>
  </si>
  <si>
    <t xml:space="preserve">299-04</t>
  </si>
  <si>
    <t xml:space="preserve">PHLKP01498</t>
  </si>
  <si>
    <t xml:space="preserve">299-05</t>
  </si>
  <si>
    <t xml:space="preserve">PHLKP01499</t>
  </si>
  <si>
    <t xml:space="preserve">299-06</t>
  </si>
  <si>
    <t xml:space="preserve">PHLKP01501</t>
  </si>
  <si>
    <t xml:space="preserve">350-01</t>
  </si>
  <si>
    <t xml:space="preserve">5497-02-4N2008</t>
  </si>
  <si>
    <t xml:space="preserve">NC7003695</t>
  </si>
  <si>
    <t xml:space="preserve">350-02</t>
  </si>
  <si>
    <t xml:space="preserve">YB5000367</t>
  </si>
  <si>
    <t xml:space="preserve">350-03</t>
  </si>
  <si>
    <t xml:space="preserve">PHLKP03076</t>
  </si>
  <si>
    <t xml:space="preserve">350-04</t>
  </si>
  <si>
    <t xml:space="preserve">PHLKP03078</t>
  </si>
  <si>
    <t xml:space="preserve">355-01</t>
  </si>
  <si>
    <t xml:space="preserve">5497-02-4N2009</t>
  </si>
  <si>
    <t xml:space="preserve">NC7003728</t>
  </si>
  <si>
    <t xml:space="preserve">355-02</t>
  </si>
  <si>
    <t xml:space="preserve">YB5000244</t>
  </si>
  <si>
    <t xml:space="preserve">355-03</t>
  </si>
  <si>
    <t xml:space="preserve">PHLKP01455</t>
  </si>
  <si>
    <t xml:space="preserve">355-04</t>
  </si>
  <si>
    <t xml:space="preserve">PHLKP01462</t>
  </si>
  <si>
    <t xml:space="preserve">355-05</t>
  </si>
  <si>
    <t xml:space="preserve">PHLKQ01944</t>
  </si>
  <si>
    <t xml:space="preserve">375-01</t>
  </si>
  <si>
    <t xml:space="preserve">5497-02-4N2010</t>
  </si>
  <si>
    <t xml:space="preserve">NC7003545</t>
  </si>
  <si>
    <t xml:space="preserve">375-02</t>
  </si>
  <si>
    <t xml:space="preserve">YB5000282</t>
  </si>
  <si>
    <t xml:space="preserve">375-03</t>
  </si>
  <si>
    <t xml:space="preserve">PHLKP02025</t>
  </si>
  <si>
    <t xml:space="preserve">375-04</t>
  </si>
  <si>
    <t xml:space="preserve">PHLKP02026</t>
  </si>
  <si>
    <t xml:space="preserve">375-05</t>
  </si>
  <si>
    <t xml:space="preserve">PHLKP02030</t>
  </si>
  <si>
    <t xml:space="preserve">410-01</t>
  </si>
  <si>
    <t xml:space="preserve">5497-02-4N2011</t>
  </si>
  <si>
    <t xml:space="preserve">NC7003396</t>
  </si>
  <si>
    <t xml:space="preserve">410-02</t>
  </si>
  <si>
    <t xml:space="preserve">YB5000280</t>
  </si>
  <si>
    <t xml:space="preserve">410-03</t>
  </si>
  <si>
    <t xml:space="preserve">PHLKP01465</t>
  </si>
  <si>
    <t xml:space="preserve">410-04</t>
  </si>
  <si>
    <t xml:space="preserve">PHLKP01466</t>
  </si>
  <si>
    <t xml:space="preserve">410-05</t>
  </si>
  <si>
    <t xml:space="preserve">PHLKP01470</t>
  </si>
  <si>
    <t xml:space="preserve">410-06</t>
  </si>
  <si>
    <t xml:space="preserve">PHLKP01471</t>
  </si>
  <si>
    <t xml:space="preserve">410-07</t>
  </si>
  <si>
    <t xml:space="preserve">PHLKP01473</t>
  </si>
  <si>
    <t xml:space="preserve">410-08</t>
  </si>
  <si>
    <t xml:space="preserve">PHLKP01477</t>
  </si>
  <si>
    <t xml:space="preserve">410-09</t>
  </si>
  <si>
    <t xml:space="preserve">PHLKP01478</t>
  </si>
  <si>
    <t xml:space="preserve">410-10</t>
  </si>
  <si>
    <t xml:space="preserve">PHLKP01479</t>
  </si>
  <si>
    <t xml:space="preserve">410-11</t>
  </si>
  <si>
    <t xml:space="preserve">PHLKP01481</t>
  </si>
  <si>
    <t xml:space="preserve">410-12</t>
  </si>
  <si>
    <t xml:space="preserve">PHLKP01482</t>
  </si>
  <si>
    <t xml:space="preserve">120-01</t>
  </si>
  <si>
    <t xml:space="preserve">5497-02-5M0001</t>
  </si>
  <si>
    <t xml:space="preserve">營運五處</t>
  </si>
  <si>
    <t xml:space="preserve">南投部</t>
  </si>
  <si>
    <t xml:space="preserve">NC7003571</t>
  </si>
  <si>
    <t xml:space="preserve">120-02</t>
  </si>
  <si>
    <t xml:space="preserve">YB5000362</t>
  </si>
  <si>
    <t xml:space="preserve">120-03</t>
  </si>
  <si>
    <t xml:space="preserve">PHLKP01814</t>
  </si>
  <si>
    <t xml:space="preserve">120-04</t>
  </si>
  <si>
    <t xml:space="preserve">PHLKP01867</t>
  </si>
  <si>
    <t xml:space="preserve">120-05</t>
  </si>
  <si>
    <t xml:space="preserve">PHLKP02967</t>
  </si>
  <si>
    <t xml:space="preserve">120-06</t>
  </si>
  <si>
    <t xml:space="preserve">PHLKP03005</t>
  </si>
  <si>
    <t xml:space="preserve">125-01</t>
  </si>
  <si>
    <t xml:space="preserve">5497-02-5M0002</t>
  </si>
  <si>
    <t xml:space="preserve">NC7003512</t>
  </si>
  <si>
    <t xml:space="preserve">125-02</t>
  </si>
  <si>
    <t xml:space="preserve">YB5000360</t>
  </si>
  <si>
    <t xml:space="preserve">125-03</t>
  </si>
  <si>
    <t xml:space="preserve">PHLKP01823</t>
  </si>
  <si>
    <t xml:space="preserve">125-04</t>
  </si>
  <si>
    <t xml:space="preserve">PHLKP01854</t>
  </si>
  <si>
    <t xml:space="preserve">125-05</t>
  </si>
  <si>
    <t xml:space="preserve">PHLKP01855</t>
  </si>
  <si>
    <t xml:space="preserve">125-06</t>
  </si>
  <si>
    <t xml:space="preserve">PHLKP01861</t>
  </si>
  <si>
    <t xml:space="preserve">125-07</t>
  </si>
  <si>
    <t xml:space="preserve">PHLKP01862</t>
  </si>
  <si>
    <t xml:space="preserve">125-08</t>
  </si>
  <si>
    <t xml:space="preserve">PHLKP01870</t>
  </si>
  <si>
    <t xml:space="preserve">125-09</t>
  </si>
  <si>
    <t xml:space="preserve">PHLKP01873</t>
  </si>
  <si>
    <t xml:space="preserve">214-01</t>
  </si>
  <si>
    <t xml:space="preserve">5497-02-5M0003</t>
  </si>
  <si>
    <t xml:space="preserve">PHLKP03107</t>
  </si>
  <si>
    <t xml:space="preserve">214-02</t>
  </si>
  <si>
    <t xml:space="preserve">PHLKP03108</t>
  </si>
  <si>
    <t xml:space="preserve">214-03</t>
  </si>
  <si>
    <t xml:space="preserve">PHLKP03113</t>
  </si>
  <si>
    <t xml:space="preserve">215-01</t>
  </si>
  <si>
    <t xml:space="preserve">5497-02-5M0004</t>
  </si>
  <si>
    <t xml:space="preserve">NC7003708</t>
  </si>
  <si>
    <t xml:space="preserve">215-02</t>
  </si>
  <si>
    <t xml:space="preserve">YB5000128</t>
  </si>
  <si>
    <t xml:space="preserve">215-03</t>
  </si>
  <si>
    <t xml:space="preserve">PHLKP03106</t>
  </si>
  <si>
    <t xml:space="preserve">215-04</t>
  </si>
  <si>
    <t xml:space="preserve">PHLKP03122</t>
  </si>
  <si>
    <t xml:space="preserve">292-01</t>
  </si>
  <si>
    <t xml:space="preserve">5497-02-5M0005</t>
  </si>
  <si>
    <t xml:space="preserve">NC7003617</t>
  </si>
  <si>
    <t xml:space="preserve">292-02</t>
  </si>
  <si>
    <t xml:space="preserve">PHLKP03116</t>
  </si>
  <si>
    <t xml:space="preserve">292-03</t>
  </si>
  <si>
    <t xml:space="preserve">PHLKP03117</t>
  </si>
  <si>
    <t xml:space="preserve">300-01</t>
  </si>
  <si>
    <t xml:space="preserve">5497-02-5M0006</t>
  </si>
  <si>
    <t xml:space="preserve">NC7003567</t>
  </si>
  <si>
    <t xml:space="preserve">300-02</t>
  </si>
  <si>
    <t xml:space="preserve">PHLKP01468</t>
  </si>
  <si>
    <t xml:space="preserve">300-03</t>
  </si>
  <si>
    <t xml:space="preserve">PHLKP01497</t>
  </si>
  <si>
    <t xml:space="preserve">304-01</t>
  </si>
  <si>
    <t xml:space="preserve">5497-02-5M0007</t>
  </si>
  <si>
    <t xml:space="preserve">NC7003623</t>
  </si>
  <si>
    <t xml:space="preserve">304-02</t>
  </si>
  <si>
    <t xml:space="preserve">PHLKP03126</t>
  </si>
  <si>
    <t xml:space="preserve">304-03</t>
  </si>
  <si>
    <t xml:space="preserve">PHLKP03128</t>
  </si>
  <si>
    <t xml:space="preserve">304-04</t>
  </si>
  <si>
    <t xml:space="preserve">PHLKP03129</t>
  </si>
  <si>
    <t xml:space="preserve">311-01</t>
  </si>
  <si>
    <t xml:space="preserve">5497-02-5M0008</t>
  </si>
  <si>
    <t xml:space="preserve">NC7003661</t>
  </si>
  <si>
    <t xml:space="preserve">311-02</t>
  </si>
  <si>
    <t xml:space="preserve">YB5000319</t>
  </si>
  <si>
    <t xml:space="preserve">311-03</t>
  </si>
  <si>
    <t xml:space="preserve">PHLKP01115</t>
  </si>
  <si>
    <t xml:space="preserve">311-04</t>
  </si>
  <si>
    <t xml:space="preserve">PHLKP03066</t>
  </si>
  <si>
    <t xml:space="preserve">311-05</t>
  </si>
  <si>
    <t xml:space="preserve">PHLKP03075</t>
  </si>
  <si>
    <t xml:space="preserve">311-06</t>
  </si>
  <si>
    <t xml:space="preserve">PHLKP03077</t>
  </si>
  <si>
    <t xml:space="preserve">371-01</t>
  </si>
  <si>
    <t xml:space="preserve">5497-02-5M0009</t>
  </si>
  <si>
    <t xml:space="preserve">NC7003594</t>
  </si>
  <si>
    <t xml:space="preserve">371-02</t>
  </si>
  <si>
    <t xml:space="preserve">YB5000209</t>
  </si>
  <si>
    <t xml:space="preserve">371-03</t>
  </si>
  <si>
    <t xml:space="preserve">PHLKP00539</t>
  </si>
  <si>
    <t xml:space="preserve">371-04</t>
  </si>
  <si>
    <t xml:space="preserve">PHLKP01705</t>
  </si>
  <si>
    <t xml:space="preserve">378-01</t>
  </si>
  <si>
    <t xml:space="preserve">5497-02-5M0010</t>
  </si>
  <si>
    <t xml:space="preserve">NC7003604</t>
  </si>
  <si>
    <t xml:space="preserve">378-02</t>
  </si>
  <si>
    <t xml:space="preserve">PHLKP02043</t>
  </si>
  <si>
    <t xml:space="preserve">378-03</t>
  </si>
  <si>
    <t xml:space="preserve">PHLKP02052</t>
  </si>
  <si>
    <t xml:space="preserve">378-04</t>
  </si>
  <si>
    <t xml:space="preserve">PHLKQ02055</t>
  </si>
  <si>
    <t xml:space="preserve">381-01</t>
  </si>
  <si>
    <t xml:space="preserve">5497-02-5M0011</t>
  </si>
  <si>
    <t xml:space="preserve">NC7003542</t>
  </si>
  <si>
    <t xml:space="preserve">381-02</t>
  </si>
  <si>
    <t xml:space="preserve">YB5000438</t>
  </si>
  <si>
    <t xml:space="preserve">381-03</t>
  </si>
  <si>
    <t xml:space="preserve">PHLKP01467</t>
  </si>
  <si>
    <t xml:space="preserve">381-04</t>
  </si>
  <si>
    <t xml:space="preserve">PHLKP01492</t>
  </si>
  <si>
    <t xml:space="preserve">381-05</t>
  </si>
  <si>
    <t xml:space="preserve">PHLKP01495</t>
  </si>
  <si>
    <t xml:space="preserve">381-06</t>
  </si>
  <si>
    <t xml:space="preserve">PHLKP01505</t>
  </si>
  <si>
    <t xml:space="preserve">381-07</t>
  </si>
  <si>
    <t xml:space="preserve">PHLKP01506</t>
  </si>
  <si>
    <t xml:space="preserve">381-08</t>
  </si>
  <si>
    <t xml:space="preserve">PHLKP01508</t>
  </si>
  <si>
    <t xml:space="preserve">387-01</t>
  </si>
  <si>
    <t xml:space="preserve">5497-02-5M0012</t>
  </si>
  <si>
    <t xml:space="preserve">PHLKP03104</t>
  </si>
  <si>
    <t xml:space="preserve">387-02</t>
  </si>
  <si>
    <t xml:space="preserve">PHLKP03105</t>
  </si>
  <si>
    <t xml:space="preserve">388-01</t>
  </si>
  <si>
    <t xml:space="preserve">5497-02-5M0013</t>
  </si>
  <si>
    <t xml:space="preserve">PHLKP02683</t>
  </si>
  <si>
    <t xml:space="preserve">402-01</t>
  </si>
  <si>
    <t xml:space="preserve">5497-02-5M0014</t>
  </si>
  <si>
    <t xml:space="preserve">NC7003535</t>
  </si>
  <si>
    <t xml:space="preserve">402-02</t>
  </si>
  <si>
    <t xml:space="preserve">YB5000363</t>
  </si>
  <si>
    <t xml:space="preserve">402-06</t>
  </si>
  <si>
    <t xml:space="preserve">PHLKP00477</t>
  </si>
  <si>
    <t xml:space="preserve">402-03</t>
  </si>
  <si>
    <t xml:space="preserve">PHLKP02027</t>
  </si>
  <si>
    <t xml:space="preserve">402-04</t>
  </si>
  <si>
    <t xml:space="preserve">PHLKP02031</t>
  </si>
  <si>
    <t xml:space="preserve">402-05</t>
  </si>
  <si>
    <t xml:space="preserve">PHLKP02040</t>
  </si>
  <si>
    <t xml:space="preserve">413-01</t>
  </si>
  <si>
    <t xml:space="preserve">5497-02-5M0015</t>
  </si>
  <si>
    <t xml:space="preserve">NC7003553</t>
  </si>
  <si>
    <t xml:space="preserve">413-02</t>
  </si>
  <si>
    <t xml:space="preserve">YB5000284</t>
  </si>
  <si>
    <t xml:space="preserve">414-01</t>
  </si>
  <si>
    <t xml:space="preserve">5497-02-5M0016</t>
  </si>
  <si>
    <t xml:space="preserve">NC7003596</t>
  </si>
  <si>
    <t xml:space="preserve">414-02</t>
  </si>
  <si>
    <t xml:space="preserve">YB5000364</t>
  </si>
  <si>
    <t xml:space="preserve">420-01</t>
  </si>
  <si>
    <t xml:space="preserve">5497-02-5M0018</t>
  </si>
  <si>
    <t xml:space="preserve">霧社</t>
  </si>
  <si>
    <t xml:space="preserve">YB5000057</t>
  </si>
  <si>
    <t xml:space="preserve">130-01</t>
  </si>
  <si>
    <t xml:space="preserve">5497-02-5P0001</t>
  </si>
  <si>
    <t xml:space="preserve">雲林部</t>
  </si>
  <si>
    <t xml:space="preserve">NC7003522</t>
  </si>
  <si>
    <t xml:space="preserve">130-02</t>
  </si>
  <si>
    <t xml:space="preserve">PHLKQ02286</t>
  </si>
  <si>
    <t xml:space="preserve">130-03</t>
  </si>
  <si>
    <t xml:space="preserve">PHLKQ02288</t>
  </si>
  <si>
    <t xml:space="preserve">130-04</t>
  </si>
  <si>
    <t xml:space="preserve">PHLKQ02289</t>
  </si>
  <si>
    <t xml:space="preserve">130-05</t>
  </si>
  <si>
    <t xml:space="preserve">PHLKQ02293</t>
  </si>
  <si>
    <t xml:space="preserve">130-06</t>
  </si>
  <si>
    <t xml:space="preserve">PHLKQ02301</t>
  </si>
  <si>
    <t xml:space="preserve">133-01</t>
  </si>
  <si>
    <t xml:space="preserve">5497-02-5P0002</t>
  </si>
  <si>
    <t xml:space="preserve">NC7003380</t>
  </si>
  <si>
    <t xml:space="preserve">133-02</t>
  </si>
  <si>
    <t xml:space="preserve">PHLKP01670</t>
  </si>
  <si>
    <t xml:space="preserve">133-03</t>
  </si>
  <si>
    <t xml:space="preserve">PHLKP01702</t>
  </si>
  <si>
    <t xml:space="preserve">133-04</t>
  </si>
  <si>
    <t xml:space="preserve">PHLKP02296</t>
  </si>
  <si>
    <t xml:space="preserve">133-05</t>
  </si>
  <si>
    <t xml:space="preserve">PHLKP02666</t>
  </si>
  <si>
    <t xml:space="preserve">135-01</t>
  </si>
  <si>
    <t xml:space="preserve">5497-02-5P0003</t>
  </si>
  <si>
    <t xml:space="preserve">NC7003753</t>
  </si>
  <si>
    <t xml:space="preserve">135-02</t>
  </si>
  <si>
    <t xml:space="preserve">YB5000250</t>
  </si>
  <si>
    <t xml:space="preserve">135-03</t>
  </si>
  <si>
    <t xml:space="preserve">PHLKP01552</t>
  </si>
  <si>
    <t xml:space="preserve">135-04</t>
  </si>
  <si>
    <t xml:space="preserve">PHLKQ01942</t>
  </si>
  <si>
    <t xml:space="preserve">135-05</t>
  </si>
  <si>
    <t xml:space="preserve">PHLKQ01945</t>
  </si>
  <si>
    <t xml:space="preserve">191-01</t>
  </si>
  <si>
    <t xml:space="preserve">5497-02-5P0004</t>
  </si>
  <si>
    <t xml:space="preserve">NC7003664</t>
  </si>
  <si>
    <t xml:space="preserve">191-02</t>
  </si>
  <si>
    <t xml:space="preserve">PHLKP01105</t>
  </si>
  <si>
    <t xml:space="preserve">191-03</t>
  </si>
  <si>
    <t xml:space="preserve">PHLKP01108</t>
  </si>
  <si>
    <t xml:space="preserve">191-04</t>
  </si>
  <si>
    <t xml:space="preserve">PHLKQ01957</t>
  </si>
  <si>
    <t xml:space="preserve">192-01</t>
  </si>
  <si>
    <t xml:space="preserve">5497-02-5P0005</t>
  </si>
  <si>
    <t xml:space="preserve">NC7003701</t>
  </si>
  <si>
    <t xml:space="preserve">192-02</t>
  </si>
  <si>
    <t xml:space="preserve">YB5000239</t>
  </si>
  <si>
    <t xml:space="preserve">192-03</t>
  </si>
  <si>
    <t xml:space="preserve">PHLKP00583</t>
  </si>
  <si>
    <t xml:space="preserve">192-04</t>
  </si>
  <si>
    <t xml:space="preserve">PHLKP00621</t>
  </si>
  <si>
    <t xml:space="preserve">193-01</t>
  </si>
  <si>
    <t xml:space="preserve">5497-02-5P0006</t>
  </si>
  <si>
    <t xml:space="preserve">NC7003361</t>
  </si>
  <si>
    <t xml:space="preserve">193-02</t>
  </si>
  <si>
    <t xml:space="preserve">YB5000160</t>
  </si>
  <si>
    <t xml:space="preserve">193-03</t>
  </si>
  <si>
    <t xml:space="preserve">PHLKP02649</t>
  </si>
  <si>
    <t xml:space="preserve">193-04</t>
  </si>
  <si>
    <t xml:space="preserve">PHLKP02655</t>
  </si>
  <si>
    <t xml:space="preserve">194-01</t>
  </si>
  <si>
    <t xml:space="preserve">5497-02-5P0007</t>
  </si>
  <si>
    <t xml:space="preserve">NC7003738</t>
  </si>
  <si>
    <t xml:space="preserve">194-02</t>
  </si>
  <si>
    <t xml:space="preserve">YB5000221</t>
  </si>
  <si>
    <t xml:space="preserve">194-03</t>
  </si>
  <si>
    <t xml:space="preserve">PHLKP01456</t>
  </si>
  <si>
    <t xml:space="preserve">194-04</t>
  </si>
  <si>
    <t xml:space="preserve">PHLKQ01952</t>
  </si>
  <si>
    <t xml:space="preserve">257-01</t>
  </si>
  <si>
    <t xml:space="preserve">5497-02-5P0008</t>
  </si>
  <si>
    <t xml:space="preserve">NC7003737</t>
  </si>
  <si>
    <t xml:space="preserve">257-02</t>
  </si>
  <si>
    <t xml:space="preserve">YB5000248</t>
  </si>
  <si>
    <t xml:space="preserve">257-03</t>
  </si>
  <si>
    <t xml:space="preserve">PHLKQ01940</t>
  </si>
  <si>
    <t xml:space="preserve">360-01</t>
  </si>
  <si>
    <t xml:space="preserve">5497-02-5P0009</t>
  </si>
  <si>
    <t xml:space="preserve">NC7003353</t>
  </si>
  <si>
    <t xml:space="preserve">360-02</t>
  </si>
  <si>
    <t xml:space="preserve">YB5000307</t>
  </si>
  <si>
    <t xml:space="preserve">360-03</t>
  </si>
  <si>
    <t xml:space="preserve">PHLKP01463</t>
  </si>
  <si>
    <t xml:space="preserve">360-04</t>
  </si>
  <si>
    <t xml:space="preserve">PHLKP01484</t>
  </si>
  <si>
    <t xml:space="preserve">365-01</t>
  </si>
  <si>
    <t xml:space="preserve">5497-02-5P0010</t>
  </si>
  <si>
    <t xml:space="preserve">NC7003612</t>
  </si>
  <si>
    <t xml:space="preserve">365-02</t>
  </si>
  <si>
    <t xml:space="preserve">YB5000486</t>
  </si>
  <si>
    <t xml:space="preserve">365-03</t>
  </si>
  <si>
    <t xml:space="preserve">PHLKP01118</t>
  </si>
  <si>
    <t xml:space="preserve">365-04</t>
  </si>
  <si>
    <t xml:space="preserve">PHLKQ01951</t>
  </si>
  <si>
    <t xml:space="preserve">366-01</t>
  </si>
  <si>
    <t xml:space="preserve">5497-02-5P0011</t>
  </si>
  <si>
    <t xml:space="preserve">NC7003693</t>
  </si>
  <si>
    <t xml:space="preserve">366-02</t>
  </si>
  <si>
    <t xml:space="preserve">YB5000234</t>
  </si>
  <si>
    <t xml:space="preserve">366-03</t>
  </si>
  <si>
    <t xml:space="preserve">PHLKP00551</t>
  </si>
  <si>
    <t xml:space="preserve">366-04</t>
  </si>
  <si>
    <t xml:space="preserve">PHLKP00572</t>
  </si>
  <si>
    <t xml:space="preserve">366-05</t>
  </si>
  <si>
    <t xml:space="preserve">PHLKP00573</t>
  </si>
  <si>
    <t xml:space="preserve">366-06</t>
  </si>
  <si>
    <t xml:space="preserve">PHLKP00578</t>
  </si>
  <si>
    <t xml:space="preserve">366-07</t>
  </si>
  <si>
    <t xml:space="preserve">PHLKP00579</t>
  </si>
  <si>
    <t xml:space="preserve">366-08</t>
  </si>
  <si>
    <t xml:space="preserve">PHLKP00580</t>
  </si>
  <si>
    <t xml:space="preserve">366-09</t>
  </si>
  <si>
    <t xml:space="preserve">PHLKP00582</t>
  </si>
  <si>
    <t xml:space="preserve">367-01</t>
  </si>
  <si>
    <t xml:space="preserve">5497-02-5P0012</t>
  </si>
  <si>
    <t xml:space="preserve">NC7003496</t>
  </si>
  <si>
    <t xml:space="preserve">367-02</t>
  </si>
  <si>
    <t xml:space="preserve">YB5000308</t>
  </si>
  <si>
    <t xml:space="preserve">367-03</t>
  </si>
  <si>
    <t xml:space="preserve">PHLKP01684</t>
  </si>
  <si>
    <t xml:space="preserve">367-04</t>
  </si>
  <si>
    <t xml:space="preserve">PHLKP01692</t>
  </si>
  <si>
    <t xml:space="preserve">367-05</t>
  </si>
  <si>
    <t xml:space="preserve">PHLKP01701</t>
  </si>
  <si>
    <t xml:space="preserve">367-06</t>
  </si>
  <si>
    <t xml:space="preserve">PHLKP01706</t>
  </si>
  <si>
    <t xml:space="preserve">367-07</t>
  </si>
  <si>
    <t xml:space="preserve">PHLKP02693</t>
  </si>
  <si>
    <t xml:space="preserve">369-01</t>
  </si>
  <si>
    <t xml:space="preserve">5497-02-5P0013</t>
  </si>
  <si>
    <t xml:space="preserve">NC7003649</t>
  </si>
  <si>
    <t xml:space="preserve">369-02</t>
  </si>
  <si>
    <t xml:space="preserve">YB5000484</t>
  </si>
  <si>
    <t xml:space="preserve">369-03</t>
  </si>
  <si>
    <t xml:space="preserve">PHLKP00571</t>
  </si>
  <si>
    <t xml:space="preserve">369-04</t>
  </si>
  <si>
    <t xml:space="preserve">PHLKP00575</t>
  </si>
  <si>
    <t xml:space="preserve">369-05</t>
  </si>
  <si>
    <t xml:space="preserve">PHLKP00576</t>
  </si>
  <si>
    <t xml:space="preserve">372-01</t>
  </si>
  <si>
    <t xml:space="preserve">5497-02-5P0014</t>
  </si>
  <si>
    <t xml:space="preserve">NC7003637</t>
  </si>
  <si>
    <t xml:space="preserve">372-02</t>
  </si>
  <si>
    <t xml:space="preserve">YB5000479</t>
  </si>
  <si>
    <t xml:space="preserve">372-03</t>
  </si>
  <si>
    <t xml:space="preserve">PHLKP00568</t>
  </si>
  <si>
    <t xml:space="preserve">372-04</t>
  </si>
  <si>
    <t xml:space="preserve">PHLKP00569</t>
  </si>
  <si>
    <t xml:space="preserve">372-05</t>
  </si>
  <si>
    <t xml:space="preserve">PHLKP00570</t>
  </si>
  <si>
    <t xml:space="preserve">372-06</t>
  </si>
  <si>
    <t xml:space="preserve">PHLKP00577</t>
  </si>
  <si>
    <t xml:space="preserve">383-01</t>
  </si>
  <si>
    <t xml:space="preserve">5497-02-5P0015</t>
  </si>
  <si>
    <t xml:space="preserve">NC7003658</t>
  </si>
  <si>
    <t xml:space="preserve">383-02</t>
  </si>
  <si>
    <t xml:space="preserve">YB5000238</t>
  </si>
  <si>
    <t xml:space="preserve">383-03</t>
  </si>
  <si>
    <t xml:space="preserve">PHLKP01103</t>
  </si>
  <si>
    <t xml:space="preserve">383-04</t>
  </si>
  <si>
    <t xml:space="preserve">PHLKP01116</t>
  </si>
  <si>
    <t xml:space="preserve">384-01</t>
  </si>
  <si>
    <t xml:space="preserve">5497-02-5P0016</t>
  </si>
  <si>
    <t xml:space="preserve">NC7003662</t>
  </si>
  <si>
    <t xml:space="preserve">384-02</t>
  </si>
  <si>
    <t xml:space="preserve">YB5000329</t>
  </si>
  <si>
    <t xml:space="preserve">384-03</t>
  </si>
  <si>
    <t xml:space="preserve">PHLKQ01950</t>
  </si>
  <si>
    <t xml:space="preserve">384-04</t>
  </si>
  <si>
    <t xml:space="preserve">PHLKQ01953</t>
  </si>
  <si>
    <t xml:space="preserve">384-05</t>
  </si>
  <si>
    <t xml:space="preserve">PHLKQ01958</t>
  </si>
  <si>
    <t xml:space="preserve">392-01</t>
  </si>
  <si>
    <t xml:space="preserve">5497-02-5P0017</t>
  </si>
  <si>
    <t xml:space="preserve">YB5000464</t>
  </si>
  <si>
    <t xml:space="preserve">392-02</t>
  </si>
  <si>
    <t xml:space="preserve">PHLKP01551</t>
  </si>
  <si>
    <t xml:space="preserve">392-03</t>
  </si>
  <si>
    <t xml:space="preserve">PHLKP01553</t>
  </si>
  <si>
    <t xml:space="preserve">405-01</t>
  </si>
  <si>
    <t xml:space="preserve">5497-02-5P0018</t>
  </si>
  <si>
    <t xml:space="preserve">YB5000137</t>
  </si>
  <si>
    <t xml:space="preserve">405-02</t>
  </si>
  <si>
    <t xml:space="preserve">PHLKP02427</t>
  </si>
  <si>
    <t xml:space="preserve">405-03</t>
  </si>
  <si>
    <t xml:space="preserve">PHLKP02647</t>
  </si>
  <si>
    <t xml:space="preserve">407-01</t>
  </si>
  <si>
    <t xml:space="preserve">5497-02-5P0019</t>
  </si>
  <si>
    <t xml:space="preserve">NC7003849</t>
  </si>
  <si>
    <t xml:space="preserve">407-02</t>
  </si>
  <si>
    <t xml:space="preserve">YB5000407</t>
  </si>
  <si>
    <t xml:space="preserve">407-03</t>
  </si>
  <si>
    <t xml:space="preserve">PHLKP00560</t>
  </si>
  <si>
    <t xml:space="preserve">407-04</t>
  </si>
  <si>
    <t xml:space="preserve">PHLKP00581</t>
  </si>
  <si>
    <t xml:space="preserve">407-05</t>
  </si>
  <si>
    <t xml:space="preserve">PHLKP00585</t>
  </si>
  <si>
    <t xml:space="preserve">416-01</t>
  </si>
  <si>
    <t xml:space="preserve">5497-02-5P0022</t>
  </si>
  <si>
    <t xml:space="preserve">YB500466</t>
  </si>
  <si>
    <t xml:space="preserve">417-01</t>
  </si>
  <si>
    <t xml:space="preserve">5497-02-5P0023</t>
  </si>
  <si>
    <t xml:space="preserve">NC7003824</t>
  </si>
  <si>
    <t xml:space="preserve">417-02</t>
  </si>
  <si>
    <t xml:space="preserve">YB5000461</t>
  </si>
  <si>
    <t xml:space="preserve">417-03</t>
  </si>
  <si>
    <t xml:space="preserve">YB7000151</t>
  </si>
  <si>
    <t xml:space="preserve">418-01</t>
  </si>
  <si>
    <t xml:space="preserve">5497-02-5P0024</t>
  </si>
  <si>
    <t xml:space="preserve">YB5000446</t>
  </si>
  <si>
    <t xml:space="preserve">145-01</t>
  </si>
  <si>
    <t xml:space="preserve">5497-02-5I0001</t>
  </si>
  <si>
    <t xml:space="preserve">嘉義部</t>
  </si>
  <si>
    <t xml:space="preserve">NC7003508</t>
  </si>
  <si>
    <t xml:space="preserve">145-02</t>
  </si>
  <si>
    <t xml:space="preserve">YB5000275</t>
  </si>
  <si>
    <t xml:space="preserve">145-03</t>
  </si>
  <si>
    <t xml:space="preserve">PHLKP00657</t>
  </si>
  <si>
    <t xml:space="preserve">145-04</t>
  </si>
  <si>
    <t xml:space="preserve">PHLKP00660</t>
  </si>
  <si>
    <t xml:space="preserve">145-05</t>
  </si>
  <si>
    <t xml:space="preserve">PHLKP00661</t>
  </si>
  <si>
    <t xml:space="preserve">145-06</t>
  </si>
  <si>
    <t xml:space="preserve">PHLKP00666</t>
  </si>
  <si>
    <t xml:space="preserve">220-01</t>
  </si>
  <si>
    <t xml:space="preserve">5497-02-5I0003</t>
  </si>
  <si>
    <t xml:space="preserve">NC7003549</t>
  </si>
  <si>
    <t xml:space="preserve">220-02</t>
  </si>
  <si>
    <t xml:space="preserve">YB5000276</t>
  </si>
  <si>
    <t xml:space="preserve">221-01</t>
  </si>
  <si>
    <t xml:space="preserve">5497-02-5I0004</t>
  </si>
  <si>
    <t xml:space="preserve">NC7003582</t>
  </si>
  <si>
    <t xml:space="preserve">221-02</t>
  </si>
  <si>
    <t xml:space="preserve">YB5000268</t>
  </si>
  <si>
    <t xml:space="preserve">222-01</t>
  </si>
  <si>
    <t xml:space="preserve">5497-02-5I0005</t>
  </si>
  <si>
    <t xml:space="preserve">NC7003486</t>
  </si>
  <si>
    <t xml:space="preserve">222-02</t>
  </si>
  <si>
    <t xml:space="preserve">YB5000114</t>
  </si>
  <si>
    <t xml:space="preserve">226-01</t>
  </si>
  <si>
    <t xml:space="preserve">5497-02-5I0009</t>
  </si>
  <si>
    <t xml:space="preserve">NC7003495</t>
  </si>
  <si>
    <t xml:space="preserve">226-02</t>
  </si>
  <si>
    <t xml:space="preserve">YB5000163</t>
  </si>
  <si>
    <t xml:space="preserve">270-01</t>
  </si>
  <si>
    <t xml:space="preserve">5497-02-5I0012</t>
  </si>
  <si>
    <t xml:space="preserve">NC7003363</t>
  </si>
  <si>
    <t xml:space="preserve">270-02</t>
  </si>
  <si>
    <t xml:space="preserve">YB5000195</t>
  </si>
  <si>
    <t xml:space="preserve">273-01</t>
  </si>
  <si>
    <t xml:space="preserve">5497-02-5I0013</t>
  </si>
  <si>
    <t xml:space="preserve">NC7003578</t>
  </si>
  <si>
    <t xml:space="preserve">273-02</t>
  </si>
  <si>
    <t xml:space="preserve">YB5000313</t>
  </si>
  <si>
    <t xml:space="preserve">274-01</t>
  </si>
  <si>
    <t xml:space="preserve">5497-02-5I0014</t>
  </si>
  <si>
    <t xml:space="preserve">NC7003358</t>
  </si>
  <si>
    <t xml:space="preserve">274-02</t>
  </si>
  <si>
    <t xml:space="preserve">YB5000196</t>
  </si>
  <si>
    <t xml:space="preserve">275-01</t>
  </si>
  <si>
    <t xml:space="preserve">5497-02-5I0015</t>
  </si>
  <si>
    <t xml:space="preserve">NC7003341</t>
  </si>
  <si>
    <t xml:space="preserve">275-02</t>
  </si>
  <si>
    <t xml:space="preserve">YB5000192</t>
  </si>
  <si>
    <t xml:space="preserve">275-03</t>
  </si>
  <si>
    <t xml:space="preserve">PHLKP03151</t>
  </si>
  <si>
    <t xml:space="preserve">276-01</t>
  </si>
  <si>
    <t xml:space="preserve">5497-02-5I0016</t>
  </si>
  <si>
    <t xml:space="preserve">NC7003422</t>
  </si>
  <si>
    <t xml:space="preserve">276-02</t>
  </si>
  <si>
    <t xml:space="preserve">YB5000328</t>
  </si>
  <si>
    <t xml:space="preserve">310-01</t>
  </si>
  <si>
    <t xml:space="preserve">5497-02-5I0017</t>
  </si>
  <si>
    <t xml:space="preserve">NC7003504</t>
  </si>
  <si>
    <t xml:space="preserve">338-01</t>
  </si>
  <si>
    <t xml:space="preserve">5497-02-5I0018</t>
  </si>
  <si>
    <t xml:space="preserve">NC7003500</t>
  </si>
  <si>
    <t xml:space="preserve">338-02</t>
  </si>
  <si>
    <t xml:space="preserve">YB5000269</t>
  </si>
  <si>
    <t xml:space="preserve">363-01</t>
  </si>
  <si>
    <t xml:space="preserve">5497-02-5I0019</t>
  </si>
  <si>
    <t xml:space="preserve">NC7003478</t>
  </si>
  <si>
    <t xml:space="preserve">363-02</t>
  </si>
  <si>
    <t xml:space="preserve">YB5000158</t>
  </si>
  <si>
    <t xml:space="preserve">364-01</t>
  </si>
  <si>
    <t xml:space="preserve">5497-02-5I0020</t>
  </si>
  <si>
    <t xml:space="preserve">NC7003568</t>
  </si>
  <si>
    <t xml:space="preserve">364-02</t>
  </si>
  <si>
    <t xml:space="preserve">YB5000270</t>
  </si>
  <si>
    <t xml:space="preserve">426-01</t>
  </si>
  <si>
    <t xml:space="preserve">5497-02-5I0002</t>
  </si>
  <si>
    <t xml:space="preserve">NC7003565</t>
  </si>
  <si>
    <t xml:space="preserve">426-02</t>
  </si>
  <si>
    <t xml:space="preserve">PHLKP00537</t>
  </si>
  <si>
    <t xml:space="preserve">426-03</t>
  </si>
  <si>
    <t xml:space="preserve">PHLKP00540</t>
  </si>
  <si>
    <t xml:space="preserve">426-04</t>
  </si>
  <si>
    <t xml:space="preserve">PHLKP00668</t>
  </si>
  <si>
    <t xml:space="preserve">426-05</t>
  </si>
  <si>
    <t xml:space="preserve">PHLKP00669</t>
  </si>
  <si>
    <t xml:space="preserve">426-06</t>
  </si>
  <si>
    <t xml:space="preserve">PHLKP00671</t>
  </si>
  <si>
    <t xml:space="preserve">426-07</t>
  </si>
  <si>
    <t xml:space="preserve">PHLKP00674</t>
  </si>
  <si>
    <t xml:space="preserve">144-01</t>
  </si>
  <si>
    <t xml:space="preserve">5497-02-5D1001</t>
  </si>
  <si>
    <t xml:space="preserve">南一部</t>
  </si>
  <si>
    <t xml:space="preserve">NC7003669</t>
  </si>
  <si>
    <r>
      <rPr>
        <b val="true"/>
        <sz val="12"/>
        <color rgb="FF000000"/>
        <rFont val="新細明體"/>
        <family val="2"/>
        <charset val="136"/>
      </rPr>
      <t xml:space="preserve">九月黑白</t>
    </r>
    <r>
      <rPr>
        <b val="true"/>
        <sz val="12"/>
        <color rgb="FF000000"/>
        <rFont val="微軟正黑體 Light"/>
        <family val="2"/>
        <charset val="136"/>
      </rPr>
      <t xml:space="preserve">1592</t>
    </r>
    <r>
      <rPr>
        <b val="true"/>
        <sz val="12"/>
        <color rgb="FF000000"/>
        <rFont val="新細明體"/>
        <family val="2"/>
        <charset val="136"/>
      </rPr>
      <t xml:space="preserve">誤</t>
    </r>
    <r>
      <rPr>
        <b val="true"/>
        <sz val="12"/>
        <color rgb="FF000000"/>
        <rFont val="微軟正黑體 Light"/>
        <family val="2"/>
        <charset val="136"/>
      </rPr>
      <t xml:space="preserve">KEY</t>
    </r>
    <r>
      <rPr>
        <b val="true"/>
        <sz val="12"/>
        <color rgb="FF000000"/>
        <rFont val="新細明體"/>
        <family val="2"/>
        <charset val="136"/>
      </rPr>
      <t xml:space="preserve">為</t>
    </r>
    <r>
      <rPr>
        <b val="true"/>
        <sz val="12"/>
        <color rgb="FF000000"/>
        <rFont val="微軟正黑體 Light"/>
        <family val="2"/>
        <charset val="136"/>
      </rPr>
      <t xml:space="preserve">15921
</t>
    </r>
    <r>
      <rPr>
        <b val="true"/>
        <sz val="12"/>
        <color rgb="FF000000"/>
        <rFont val="新細明體"/>
        <family val="2"/>
        <charset val="136"/>
      </rPr>
      <t xml:space="preserve">九、十月僅掛帳
待抵帳至正數再開收收款</t>
    </r>
  </si>
  <si>
    <t xml:space="preserve">144-02</t>
  </si>
  <si>
    <t xml:space="preserve">YB5000481</t>
  </si>
  <si>
    <t xml:space="preserve">144-03</t>
  </si>
  <si>
    <t xml:space="preserve">YB7000563</t>
  </si>
  <si>
    <t xml:space="preserve">144-04</t>
  </si>
  <si>
    <t xml:space="preserve">YB7000568</t>
  </si>
  <si>
    <t xml:space="preserve">144-05</t>
  </si>
  <si>
    <t xml:space="preserve">YB7000569</t>
  </si>
  <si>
    <t xml:space="preserve">144-06</t>
  </si>
  <si>
    <t xml:space="preserve">YB7000913</t>
  </si>
  <si>
    <t xml:space="preserve">144-07</t>
  </si>
  <si>
    <t xml:space="preserve">YB7000960</t>
  </si>
  <si>
    <t xml:space="preserve">152-01</t>
  </si>
  <si>
    <t xml:space="preserve">5497-02-5D1002</t>
  </si>
  <si>
    <t xml:space="preserve">NC7003329</t>
  </si>
  <si>
    <t xml:space="preserve">152-02</t>
  </si>
  <si>
    <t xml:space="preserve">YB5000219</t>
  </si>
  <si>
    <t xml:space="preserve">152-03</t>
  </si>
  <si>
    <t xml:space="preserve">YB7000476</t>
  </si>
  <si>
    <t xml:space="preserve">152-04</t>
  </si>
  <si>
    <t xml:space="preserve">YB7000489</t>
  </si>
  <si>
    <t xml:space="preserve">152-05</t>
  </si>
  <si>
    <t xml:space="preserve">YB7000503</t>
  </si>
  <si>
    <t xml:space="preserve">152-06</t>
  </si>
  <si>
    <t xml:space="preserve">YB7000511</t>
  </si>
  <si>
    <t xml:space="preserve">152-07</t>
  </si>
  <si>
    <t xml:space="preserve">YB7000521</t>
  </si>
  <si>
    <t xml:space="preserve">152-08</t>
  </si>
  <si>
    <t xml:space="preserve">YB7000525</t>
  </si>
  <si>
    <t xml:space="preserve">152-09</t>
  </si>
  <si>
    <t xml:space="preserve">YB7000529</t>
  </si>
  <si>
    <t xml:space="preserve">152-10</t>
  </si>
  <si>
    <t xml:space="preserve">YB7000530</t>
  </si>
  <si>
    <t xml:space="preserve">153-01</t>
  </si>
  <si>
    <t xml:space="preserve">5497-02-5D1003</t>
  </si>
  <si>
    <t xml:space="preserve">NC7003629</t>
  </si>
  <si>
    <t xml:space="preserve">153-02</t>
  </si>
  <si>
    <t xml:space="preserve">YB5000237</t>
  </si>
  <si>
    <t xml:space="preserve">153-03</t>
  </si>
  <si>
    <t xml:space="preserve">YB7000588</t>
  </si>
  <si>
    <t xml:space="preserve">153-04</t>
  </si>
  <si>
    <t xml:space="preserve">YB7000591</t>
  </si>
  <si>
    <t xml:space="preserve">153-05</t>
  </si>
  <si>
    <t xml:space="preserve">YB7000593</t>
  </si>
  <si>
    <t xml:space="preserve">153-06</t>
  </si>
  <si>
    <t xml:space="preserve">YB7000883</t>
  </si>
  <si>
    <t xml:space="preserve">153-07</t>
  </si>
  <si>
    <t xml:space="preserve">YB7000907</t>
  </si>
  <si>
    <t xml:space="preserve">154-01</t>
  </si>
  <si>
    <t xml:space="preserve">5497-02-5D1004</t>
  </si>
  <si>
    <t xml:space="preserve">NC7003784</t>
  </si>
  <si>
    <t xml:space="preserve">154-02</t>
  </si>
  <si>
    <t xml:space="preserve">YB7000552</t>
  </si>
  <si>
    <t xml:space="preserve">154-03</t>
  </si>
  <si>
    <t xml:space="preserve">YB7000554</t>
  </si>
  <si>
    <t xml:space="preserve">154-04</t>
  </si>
  <si>
    <t xml:space="preserve">YB7000601</t>
  </si>
  <si>
    <t xml:space="preserve">154-05</t>
  </si>
  <si>
    <t xml:space="preserve">YB7000607</t>
  </si>
  <si>
    <t xml:space="preserve">203-01</t>
  </si>
  <si>
    <t xml:space="preserve">5497-02-5D1005</t>
  </si>
  <si>
    <t xml:space="preserve">NC7003521</t>
  </si>
  <si>
    <t xml:space="preserve">203-02</t>
  </si>
  <si>
    <t xml:space="preserve">YB5000273</t>
  </si>
  <si>
    <t xml:space="preserve">203-03</t>
  </si>
  <si>
    <t xml:space="preserve">YB7000021</t>
  </si>
  <si>
    <t xml:space="preserve">203-04</t>
  </si>
  <si>
    <t xml:space="preserve">YB7000428</t>
  </si>
  <si>
    <t xml:space="preserve">204-01</t>
  </si>
  <si>
    <t xml:space="preserve">5497-02-5D1006</t>
  </si>
  <si>
    <t xml:space="preserve">NC7003679</t>
  </si>
  <si>
    <t xml:space="preserve">204-02</t>
  </si>
  <si>
    <t xml:space="preserve">YB5000324</t>
  </si>
  <si>
    <t xml:space="preserve">204-03</t>
  </si>
  <si>
    <t xml:space="preserve">YB7000130</t>
  </si>
  <si>
    <t xml:space="preserve">204-04</t>
  </si>
  <si>
    <t xml:space="preserve">YB7001176</t>
  </si>
  <si>
    <t xml:space="preserve">271-01</t>
  </si>
  <si>
    <t xml:space="preserve">5497-02-5D1007</t>
  </si>
  <si>
    <t xml:space="preserve">NC7003405</t>
  </si>
  <si>
    <t xml:space="preserve">271-02</t>
  </si>
  <si>
    <t xml:space="preserve">YB5000283</t>
  </si>
  <si>
    <t xml:space="preserve">271-03</t>
  </si>
  <si>
    <t xml:space="preserve">YB7000074</t>
  </si>
  <si>
    <t xml:space="preserve">271-04</t>
  </si>
  <si>
    <t xml:space="preserve">YB7000184</t>
  </si>
  <si>
    <t xml:space="preserve">271-05</t>
  </si>
  <si>
    <t xml:space="preserve">YB7000271</t>
  </si>
  <si>
    <t xml:space="preserve">271-06</t>
  </si>
  <si>
    <t xml:space="preserve">YB7000379</t>
  </si>
  <si>
    <t xml:space="preserve">280-01</t>
  </si>
  <si>
    <t xml:space="preserve">5497-02-5D1008</t>
  </si>
  <si>
    <t xml:space="preserve">NC7003779</t>
  </si>
  <si>
    <t xml:space="preserve">280-02</t>
  </si>
  <si>
    <t xml:space="preserve">YB5000252</t>
  </si>
  <si>
    <t xml:space="preserve">331-01</t>
  </si>
  <si>
    <t xml:space="preserve">5497-02-5D1009</t>
  </si>
  <si>
    <t xml:space="preserve">NC7003648</t>
  </si>
  <si>
    <t xml:space="preserve">331-02</t>
  </si>
  <si>
    <t xml:space="preserve">YB5000468</t>
  </si>
  <si>
    <t xml:space="preserve">331-03</t>
  </si>
  <si>
    <t xml:space="preserve">YB7000561</t>
  </si>
  <si>
    <t xml:space="preserve">412-01</t>
  </si>
  <si>
    <t xml:space="preserve">5497-02-5D1012</t>
  </si>
  <si>
    <t xml:space="preserve">NC7003850</t>
  </si>
  <si>
    <t xml:space="preserve">412-02</t>
  </si>
  <si>
    <t xml:space="preserve">YB7000527</t>
  </si>
  <si>
    <t xml:space="preserve">412-03</t>
  </si>
  <si>
    <t xml:space="preserve">YB7000531</t>
  </si>
  <si>
    <t xml:space="preserve">139-01</t>
  </si>
  <si>
    <t xml:space="preserve">5497-02-5D2001</t>
  </si>
  <si>
    <t xml:space="preserve">南二部</t>
  </si>
  <si>
    <t xml:space="preserve">NC7003700</t>
  </si>
  <si>
    <t xml:space="preserve">139-02</t>
  </si>
  <si>
    <t xml:space="preserve">YB7000604</t>
  </si>
  <si>
    <t xml:space="preserve">139-03</t>
  </si>
  <si>
    <t xml:space="preserve">YB7000635</t>
  </si>
  <si>
    <t xml:space="preserve">139-04</t>
  </si>
  <si>
    <t xml:space="preserve">YB7000638</t>
  </si>
  <si>
    <t xml:space="preserve">139-05</t>
  </si>
  <si>
    <t xml:space="preserve">YB7000639</t>
  </si>
  <si>
    <t xml:space="preserve">140-01</t>
  </si>
  <si>
    <t xml:space="preserve">5497-02-5D2002</t>
  </si>
  <si>
    <t xml:space="preserve">NC7003446</t>
  </si>
  <si>
    <t xml:space="preserve">140-02</t>
  </si>
  <si>
    <t xml:space="preserve">YB5000143</t>
  </si>
  <si>
    <t xml:space="preserve">140-03</t>
  </si>
  <si>
    <t xml:space="preserve">PHLKP01615</t>
  </si>
  <si>
    <t xml:space="preserve">140-04</t>
  </si>
  <si>
    <t xml:space="preserve">PHLKP01621</t>
  </si>
  <si>
    <t xml:space="preserve">140-05</t>
  </si>
  <si>
    <t xml:space="preserve">PHLKP01623</t>
  </si>
  <si>
    <t xml:space="preserve">140-06</t>
  </si>
  <si>
    <t xml:space="preserve">PHLKP01624</t>
  </si>
  <si>
    <t xml:space="preserve">140-07</t>
  </si>
  <si>
    <t xml:space="preserve">PHLKP01625</t>
  </si>
  <si>
    <t xml:space="preserve">140-08</t>
  </si>
  <si>
    <t xml:space="preserve">PHLKP01627</t>
  </si>
  <si>
    <t xml:space="preserve">140-09</t>
  </si>
  <si>
    <t xml:space="preserve">PHLKP01629</t>
  </si>
  <si>
    <t xml:space="preserve">140-10</t>
  </si>
  <si>
    <t xml:space="preserve">PHLKP01633</t>
  </si>
  <si>
    <t xml:space="preserve">140-11</t>
  </si>
  <si>
    <t xml:space="preserve">PHLKP01634</t>
  </si>
  <si>
    <t xml:space="preserve">142-01</t>
  </si>
  <si>
    <t xml:space="preserve">5497-02-5D2003</t>
  </si>
  <si>
    <t xml:space="preserve">NC7003710</t>
  </si>
  <si>
    <t xml:space="preserve">142-02</t>
  </si>
  <si>
    <t xml:space="preserve">YB7000583</t>
  </si>
  <si>
    <t xml:space="preserve">142-03</t>
  </si>
  <si>
    <t xml:space="preserve">YB7000636</t>
  </si>
  <si>
    <t xml:space="preserve">142-04</t>
  </si>
  <si>
    <t xml:space="preserve">YB7000640</t>
  </si>
  <si>
    <t xml:space="preserve">143-01</t>
  </si>
  <si>
    <t xml:space="preserve">5497-02-5D2004</t>
  </si>
  <si>
    <t xml:space="preserve">NC7003707</t>
  </si>
  <si>
    <t xml:space="preserve">143-02</t>
  </si>
  <si>
    <t xml:space="preserve">YB7000673</t>
  </si>
  <si>
    <t xml:space="preserve">143-03</t>
  </si>
  <si>
    <t xml:space="preserve">YB7000760</t>
  </si>
  <si>
    <t xml:space="preserve">143-04</t>
  </si>
  <si>
    <t xml:space="preserve">YB7000833</t>
  </si>
  <si>
    <t xml:space="preserve">143-05</t>
  </si>
  <si>
    <t xml:space="preserve">YB7000838</t>
  </si>
  <si>
    <t xml:space="preserve">146-01</t>
  </si>
  <si>
    <t xml:space="preserve">5497-02-5D2005</t>
  </si>
  <si>
    <t xml:space="preserve">NC7003438</t>
  </si>
  <si>
    <t xml:space="preserve">146-02</t>
  </si>
  <si>
    <t xml:space="preserve">YB5000223</t>
  </si>
  <si>
    <t xml:space="preserve">146-03</t>
  </si>
  <si>
    <t xml:space="preserve">YB7000248</t>
  </si>
  <si>
    <t xml:space="preserve">146-04</t>
  </si>
  <si>
    <t xml:space="preserve">YB7000252</t>
  </si>
  <si>
    <t xml:space="preserve">146-05</t>
  </si>
  <si>
    <t xml:space="preserve">YB7000253</t>
  </si>
  <si>
    <t xml:space="preserve">146-06</t>
  </si>
  <si>
    <t xml:space="preserve">YB7000492</t>
  </si>
  <si>
    <t xml:space="preserve">146-07</t>
  </si>
  <si>
    <t xml:space="preserve">YB7000494</t>
  </si>
  <si>
    <t xml:space="preserve">279-01</t>
  </si>
  <si>
    <t xml:space="preserve">5497-02-5D2006</t>
  </si>
  <si>
    <t xml:space="preserve">NC7003716</t>
  </si>
  <si>
    <t xml:space="preserve">門市誤使機器鎖機，採張數換算天數張數</t>
  </si>
  <si>
    <t xml:space="preserve">279-02</t>
  </si>
  <si>
    <t xml:space="preserve">YB5000404</t>
  </si>
  <si>
    <t xml:space="preserve">279-03</t>
  </si>
  <si>
    <t xml:space="preserve">YB7000544</t>
  </si>
  <si>
    <t xml:space="preserve">279-04</t>
  </si>
  <si>
    <t xml:space="preserve">YB7000621</t>
  </si>
  <si>
    <t xml:space="preserve">279-05</t>
  </si>
  <si>
    <t xml:space="preserve">YB7000633</t>
  </si>
  <si>
    <t xml:space="preserve">279-06</t>
  </si>
  <si>
    <t xml:space="preserve">YB7000637</t>
  </si>
  <si>
    <t xml:space="preserve">279-07</t>
  </si>
  <si>
    <t xml:space="preserve">YB7000645</t>
  </si>
  <si>
    <t xml:space="preserve">293-01</t>
  </si>
  <si>
    <t xml:space="preserve">5497-02-5D2007</t>
  </si>
  <si>
    <t xml:space="preserve">NC7003459</t>
  </si>
  <si>
    <t xml:space="preserve">293-02</t>
  </si>
  <si>
    <t xml:space="preserve">YB5000455</t>
  </si>
  <si>
    <t xml:space="preserve">293-03</t>
  </si>
  <si>
    <t xml:space="preserve">PHLKP01637</t>
  </si>
  <si>
    <t xml:space="preserve">293-04</t>
  </si>
  <si>
    <t xml:space="preserve">PHLKP01638</t>
  </si>
  <si>
    <t xml:space="preserve">293-05</t>
  </si>
  <si>
    <t xml:space="preserve">PHLKP01639</t>
  </si>
  <si>
    <t xml:space="preserve">309-01</t>
  </si>
  <si>
    <t xml:space="preserve">5497-02-5D2009</t>
  </si>
  <si>
    <t xml:space="preserve">NC7003587</t>
  </si>
  <si>
    <t xml:space="preserve">309-02</t>
  </si>
  <si>
    <t xml:space="preserve">PHLKP01631</t>
  </si>
  <si>
    <t xml:space="preserve">309-03</t>
  </si>
  <si>
    <t xml:space="preserve">PHLKP01635</t>
  </si>
  <si>
    <t xml:space="preserve">352-01</t>
  </si>
  <si>
    <t xml:space="preserve">5497-02-5D2015</t>
  </si>
  <si>
    <t xml:space="preserve">NC7003726</t>
  </si>
  <si>
    <t xml:space="preserve">352-02</t>
  </si>
  <si>
    <t xml:space="preserve">YB5000604</t>
  </si>
  <si>
    <t xml:space="preserve">374-01</t>
  </si>
  <si>
    <t xml:space="preserve">5497-02-5D2016</t>
  </si>
  <si>
    <t xml:space="preserve">NC7003476</t>
  </si>
  <si>
    <t xml:space="preserve">374-02</t>
  </si>
  <si>
    <t xml:space="preserve">YB5000452</t>
  </si>
  <si>
    <t xml:space="preserve">374-03</t>
  </si>
  <si>
    <t xml:space="preserve">PHLKP01640</t>
  </si>
  <si>
    <t xml:space="preserve">374-04</t>
  </si>
  <si>
    <t xml:space="preserve">PHLKP01641</t>
  </si>
  <si>
    <t xml:space="preserve">374-05</t>
  </si>
  <si>
    <t xml:space="preserve">PHLKP03155</t>
  </si>
  <si>
    <t xml:space="preserve">141-01</t>
  </si>
  <si>
    <t xml:space="preserve">5497-02-5D3001</t>
  </si>
  <si>
    <t xml:space="preserve">南三部</t>
  </si>
  <si>
    <t xml:space="preserve">NC7003718</t>
  </si>
  <si>
    <t xml:space="preserve">141-02</t>
  </si>
  <si>
    <t xml:space="preserve">YB5000345</t>
  </si>
  <si>
    <t xml:space="preserve">141-03</t>
  </si>
  <si>
    <t xml:space="preserve">YB7000771</t>
  </si>
  <si>
    <t xml:space="preserve">141-04</t>
  </si>
  <si>
    <t xml:space="preserve">YB7000772</t>
  </si>
  <si>
    <t xml:space="preserve">141-05</t>
  </si>
  <si>
    <t xml:space="preserve">YB7000773</t>
  </si>
  <si>
    <t xml:space="preserve">141-06</t>
  </si>
  <si>
    <t xml:space="preserve">YB7000836</t>
  </si>
  <si>
    <t xml:space="preserve">141-07</t>
  </si>
  <si>
    <t xml:space="preserve">YB7000846</t>
  </si>
  <si>
    <t xml:space="preserve">147-01</t>
  </si>
  <si>
    <t xml:space="preserve">5497-02-5D3002</t>
  </si>
  <si>
    <t xml:space="preserve">NC7003634</t>
  </si>
  <si>
    <t xml:space="preserve">147-02</t>
  </si>
  <si>
    <t xml:space="preserve">YB5000215</t>
  </si>
  <si>
    <t xml:space="preserve">147-03</t>
  </si>
  <si>
    <t xml:space="preserve">YB7000592</t>
  </si>
  <si>
    <t xml:space="preserve">147-04</t>
  </si>
  <si>
    <t xml:space="preserve">YB7000594</t>
  </si>
  <si>
    <t xml:space="preserve">147-05</t>
  </si>
  <si>
    <t xml:space="preserve">YB7000595</t>
  </si>
  <si>
    <t xml:space="preserve">147-06</t>
  </si>
  <si>
    <t xml:space="preserve">YB7000901</t>
  </si>
  <si>
    <t xml:space="preserve">147-07</t>
  </si>
  <si>
    <t xml:space="preserve">YB7000904</t>
  </si>
  <si>
    <t xml:space="preserve">148-01</t>
  </si>
  <si>
    <t xml:space="preserve">5497-02-5D3003</t>
  </si>
  <si>
    <t xml:space="preserve">NC7003656</t>
  </si>
  <si>
    <t xml:space="preserve">148-02</t>
  </si>
  <si>
    <t xml:space="preserve">YB5000482</t>
  </si>
  <si>
    <t xml:space="preserve">148-03</t>
  </si>
  <si>
    <t xml:space="preserve">YB7000548</t>
  </si>
  <si>
    <t xml:space="preserve">148-04</t>
  </si>
  <si>
    <t xml:space="preserve">YB7000861</t>
  </si>
  <si>
    <t xml:space="preserve">148-05</t>
  </si>
  <si>
    <t xml:space="preserve">YB7000896</t>
  </si>
  <si>
    <t xml:space="preserve">149-01</t>
  </si>
  <si>
    <t xml:space="preserve">5497-02-5D3004</t>
  </si>
  <si>
    <t xml:space="preserve">NC7003783</t>
  </si>
  <si>
    <t xml:space="preserve">149-02</t>
  </si>
  <si>
    <t xml:space="preserve">YB5000246</t>
  </si>
  <si>
    <t xml:space="preserve">149-03</t>
  </si>
  <si>
    <t xml:space="preserve">YB7000586</t>
  </si>
  <si>
    <t xml:space="preserve">149-04</t>
  </si>
  <si>
    <t xml:space="preserve">YB7000590</t>
  </si>
  <si>
    <t xml:space="preserve">149-05</t>
  </si>
  <si>
    <t xml:space="preserve">YB7000596</t>
  </si>
  <si>
    <t xml:space="preserve">150-01</t>
  </si>
  <si>
    <t xml:space="preserve">5497-02-5D3005</t>
  </si>
  <si>
    <t xml:space="preserve">NC7003795</t>
  </si>
  <si>
    <t xml:space="preserve">150-02</t>
  </si>
  <si>
    <t xml:space="preserve">YB5000303</t>
  </si>
  <si>
    <t xml:space="preserve">150-03</t>
  </si>
  <si>
    <t xml:space="preserve">YB7000736</t>
  </si>
  <si>
    <t xml:space="preserve">150-04</t>
  </si>
  <si>
    <t xml:space="preserve">YB7000751</t>
  </si>
  <si>
    <t xml:space="preserve">150-05</t>
  </si>
  <si>
    <t xml:space="preserve">YB7000752</t>
  </si>
  <si>
    <t xml:space="preserve">150-06</t>
  </si>
  <si>
    <t xml:space="preserve">YB7000757</t>
  </si>
  <si>
    <t xml:space="preserve">150-07</t>
  </si>
  <si>
    <t xml:space="preserve">YB7000761</t>
  </si>
  <si>
    <t xml:space="preserve">150-08</t>
  </si>
  <si>
    <t xml:space="preserve">YB7000762</t>
  </si>
  <si>
    <t xml:space="preserve">150-09</t>
  </si>
  <si>
    <t xml:space="preserve">YB7000843</t>
  </si>
  <si>
    <t xml:space="preserve">150-10</t>
  </si>
  <si>
    <t xml:space="preserve">YB7000844</t>
  </si>
  <si>
    <t xml:space="preserve">151-01</t>
  </si>
  <si>
    <t xml:space="preserve">5497-02-5D3006</t>
  </si>
  <si>
    <t xml:space="preserve">NC7003355</t>
  </si>
  <si>
    <t xml:space="preserve">151-02</t>
  </si>
  <si>
    <t xml:space="preserve">YB5000418</t>
  </si>
  <si>
    <t xml:space="preserve">151-03</t>
  </si>
  <si>
    <t xml:space="preserve">YB7000176</t>
  </si>
  <si>
    <t xml:space="preserve">151-04</t>
  </si>
  <si>
    <t xml:space="preserve">YB7000177</t>
  </si>
  <si>
    <t xml:space="preserve">151-05</t>
  </si>
  <si>
    <t xml:space="preserve">YB7000179</t>
  </si>
  <si>
    <t xml:space="preserve">151-06</t>
  </si>
  <si>
    <t xml:space="preserve">YB7000180</t>
  </si>
  <si>
    <t xml:space="preserve">151-07</t>
  </si>
  <si>
    <t xml:space="preserve">YB7000192</t>
  </si>
  <si>
    <t xml:space="preserve">151-08</t>
  </si>
  <si>
    <t xml:space="preserve">YB7000885</t>
  </si>
  <si>
    <r>
      <rPr>
        <b val="true"/>
        <sz val="12"/>
        <color rgb="FF000000"/>
        <rFont val="微軟正黑體 Light"/>
        <family val="2"/>
        <charset val="136"/>
      </rPr>
      <t xml:space="preserve">114.06.30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</si>
  <si>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295-01</t>
  </si>
  <si>
    <t xml:space="preserve">5497-02-5D3007</t>
  </si>
  <si>
    <t xml:space="preserve">NC7003488</t>
  </si>
  <si>
    <t xml:space="preserve">295-02</t>
  </si>
  <si>
    <t xml:space="preserve">YB7000092</t>
  </si>
  <si>
    <t xml:space="preserve">295-03</t>
  </si>
  <si>
    <t xml:space="preserve">YB7000362</t>
  </si>
  <si>
    <t xml:space="preserve">297-01</t>
  </si>
  <si>
    <t xml:space="preserve">5497-02-5D3008</t>
  </si>
  <si>
    <t xml:space="preserve">NC7003655</t>
  </si>
  <si>
    <t xml:space="preserve">305-01</t>
  </si>
  <si>
    <t xml:space="preserve">5497-02-5D3009</t>
  </si>
  <si>
    <t xml:space="preserve">NC7003692</t>
  </si>
  <si>
    <t xml:space="preserve">305-02</t>
  </si>
  <si>
    <t xml:space="preserve">YB5000218</t>
  </si>
  <si>
    <t xml:space="preserve">423-01</t>
  </si>
  <si>
    <t xml:space="preserve">5497-02-5D3010</t>
  </si>
  <si>
    <t xml:space="preserve">佳里</t>
  </si>
  <si>
    <t xml:space="preserve">NC7003964</t>
  </si>
  <si>
    <t xml:space="preserve">423-02</t>
  </si>
  <si>
    <t xml:space="preserve">YB7000945</t>
  </si>
  <si>
    <t xml:space="preserve">423-03</t>
  </si>
  <si>
    <t xml:space="preserve">YB7001174</t>
  </si>
  <si>
    <t xml:space="preserve">423-04</t>
  </si>
  <si>
    <t xml:space="preserve">YB7001178</t>
  </si>
  <si>
    <t xml:space="preserve">423-05</t>
  </si>
  <si>
    <t xml:space="preserve">YB7001179</t>
  </si>
  <si>
    <t xml:space="preserve">424-01</t>
  </si>
  <si>
    <t xml:space="preserve">5497-02-5D3011</t>
  </si>
  <si>
    <t xml:space="preserve">北門</t>
  </si>
  <si>
    <t xml:space="preserve">NC7003899</t>
  </si>
  <si>
    <t xml:space="preserve">424-02</t>
  </si>
  <si>
    <t xml:space="preserve">YB5000406</t>
  </si>
  <si>
    <t xml:space="preserve">155-01</t>
  </si>
  <si>
    <t xml:space="preserve">5497-02-6E1001</t>
  </si>
  <si>
    <t xml:space="preserve">營運六處</t>
  </si>
  <si>
    <t xml:space="preserve">高一部</t>
  </si>
  <si>
    <t xml:space="preserve">NC7003378</t>
  </si>
  <si>
    <t xml:space="preserve">155-02</t>
  </si>
  <si>
    <t xml:space="preserve">YB5000106</t>
  </si>
  <si>
    <t xml:space="preserve">155-03</t>
  </si>
  <si>
    <t xml:space="preserve">YB7000219</t>
  </si>
  <si>
    <t xml:space="preserve">155-04</t>
  </si>
  <si>
    <t xml:space="preserve">YB7000226</t>
  </si>
  <si>
    <t xml:space="preserve">155-05</t>
  </si>
  <si>
    <t xml:space="preserve">YB7000227</t>
  </si>
  <si>
    <t xml:space="preserve">155-06</t>
  </si>
  <si>
    <t xml:space="preserve">YB7000228</t>
  </si>
  <si>
    <t xml:space="preserve">155-07</t>
  </si>
  <si>
    <t xml:space="preserve">YB7000229</t>
  </si>
  <si>
    <t xml:space="preserve">155-08</t>
  </si>
  <si>
    <t xml:space="preserve">YB7000230</t>
  </si>
  <si>
    <t xml:space="preserve">156-01</t>
  </si>
  <si>
    <t xml:space="preserve">5497-02-6E1002</t>
  </si>
  <si>
    <t xml:space="preserve">NC7003373</t>
  </si>
  <si>
    <t xml:space="preserve">156-02</t>
  </si>
  <si>
    <t xml:space="preserve">YB7000239</t>
  </si>
  <si>
    <t xml:space="preserve">156-03</t>
  </si>
  <si>
    <t xml:space="preserve">YB7000274</t>
  </si>
  <si>
    <t xml:space="preserve">156-04</t>
  </si>
  <si>
    <t xml:space="preserve">YB7000275</t>
  </si>
  <si>
    <t xml:space="preserve">156-05</t>
  </si>
  <si>
    <t xml:space="preserve">YB7000276</t>
  </si>
  <si>
    <t xml:space="preserve">156-06</t>
  </si>
  <si>
    <t xml:space="preserve">YB7000281</t>
  </si>
  <si>
    <t xml:space="preserve">158-01</t>
  </si>
  <si>
    <t xml:space="preserve">5497-02-6E1003</t>
  </si>
  <si>
    <t xml:space="preserve">NC7003400</t>
  </si>
  <si>
    <t xml:space="preserve">158-02</t>
  </si>
  <si>
    <t xml:space="preserve">YB7000411</t>
  </si>
  <si>
    <t xml:space="preserve">158-03</t>
  </si>
  <si>
    <t xml:space="preserve">YB7000412</t>
  </si>
  <si>
    <t xml:space="preserve">158-04</t>
  </si>
  <si>
    <t xml:space="preserve">YB7000415</t>
  </si>
  <si>
    <t xml:space="preserve">158-05</t>
  </si>
  <si>
    <t xml:space="preserve">YB7000416</t>
  </si>
  <si>
    <t xml:space="preserve">158-06</t>
  </si>
  <si>
    <t xml:space="preserve">YB7000419</t>
  </si>
  <si>
    <t xml:space="preserve">158-07</t>
  </si>
  <si>
    <t xml:space="preserve">YB7000420</t>
  </si>
  <si>
    <t xml:space="preserve">160-01</t>
  </si>
  <si>
    <t xml:space="preserve">5497-02-6E2003</t>
  </si>
  <si>
    <t xml:space="preserve">NC7003624</t>
  </si>
  <si>
    <t xml:space="preserve">160-02</t>
  </si>
  <si>
    <t xml:space="preserve">YB7000690</t>
  </si>
  <si>
    <t xml:space="preserve">160-03</t>
  </si>
  <si>
    <t xml:space="preserve">YB7000693</t>
  </si>
  <si>
    <t xml:space="preserve">160-04</t>
  </si>
  <si>
    <t xml:space="preserve">YB7000697</t>
  </si>
  <si>
    <t xml:space="preserve">160-05</t>
  </si>
  <si>
    <t xml:space="preserve">YB7000870</t>
  </si>
  <si>
    <t xml:space="preserve">161-01</t>
  </si>
  <si>
    <t xml:space="preserve">5497-02-6E1004</t>
  </si>
  <si>
    <t xml:space="preserve">NC7003564</t>
  </si>
  <si>
    <t xml:space="preserve">161-02</t>
  </si>
  <si>
    <t xml:space="preserve">YB7000388</t>
  </si>
  <si>
    <t xml:space="preserve">161-03</t>
  </si>
  <si>
    <t xml:space="preserve">YB7000393</t>
  </si>
  <si>
    <t xml:space="preserve">161-04</t>
  </si>
  <si>
    <t xml:space="preserve">YB7000395</t>
  </si>
  <si>
    <t xml:space="preserve">161-05</t>
  </si>
  <si>
    <t xml:space="preserve">YB7000396</t>
  </si>
  <si>
    <t xml:space="preserve">161-06</t>
  </si>
  <si>
    <t xml:space="preserve">YB7000400</t>
  </si>
  <si>
    <t xml:space="preserve">169-01</t>
  </si>
  <si>
    <t xml:space="preserve">5497-02-6E2005</t>
  </si>
  <si>
    <t xml:space="preserve">NC7003761</t>
  </si>
  <si>
    <t xml:space="preserve">169-02</t>
  </si>
  <si>
    <t xml:space="preserve">YB7000543</t>
  </si>
  <si>
    <t xml:space="preserve">169-03</t>
  </si>
  <si>
    <t xml:space="preserve">YB7000600</t>
  </si>
  <si>
    <t xml:space="preserve">169-04</t>
  </si>
  <si>
    <t xml:space="preserve">YB7000610</t>
  </si>
  <si>
    <t xml:space="preserve">169-05</t>
  </si>
  <si>
    <t xml:space="preserve">YB7000612</t>
  </si>
  <si>
    <t xml:space="preserve">169-06</t>
  </si>
  <si>
    <t xml:space="preserve">YB7000614</t>
  </si>
  <si>
    <t xml:space="preserve">169-07</t>
  </si>
  <si>
    <t xml:space="preserve">YB7000620</t>
  </si>
  <si>
    <t xml:space="preserve">169-08</t>
  </si>
  <si>
    <t xml:space="preserve">YB7000880</t>
  </si>
  <si>
    <t xml:space="preserve">175-01</t>
  </si>
  <si>
    <t xml:space="preserve">5497-02-6E1005</t>
  </si>
  <si>
    <t xml:space="preserve">NC7003730</t>
  </si>
  <si>
    <t xml:space="preserve">175-02</t>
  </si>
  <si>
    <t xml:space="preserve">YB5000371</t>
  </si>
  <si>
    <t xml:space="preserve">175-03</t>
  </si>
  <si>
    <t xml:space="preserve">YB7000900</t>
  </si>
  <si>
    <t xml:space="preserve">175-04</t>
  </si>
  <si>
    <t xml:space="preserve">YB7000903</t>
  </si>
  <si>
    <t xml:space="preserve">175-05</t>
  </si>
  <si>
    <t xml:space="preserve">YB7000910</t>
  </si>
  <si>
    <t xml:space="preserve">175-06</t>
  </si>
  <si>
    <t xml:space="preserve">YB7000914</t>
  </si>
  <si>
    <t xml:space="preserve">175-07</t>
  </si>
  <si>
    <t xml:space="preserve">YB7000917</t>
  </si>
  <si>
    <t xml:space="preserve">175-08</t>
  </si>
  <si>
    <t xml:space="preserve">YB7000918</t>
  </si>
  <si>
    <t xml:space="preserve">340-01</t>
  </si>
  <si>
    <t xml:space="preserve">5497-02-6E1006</t>
  </si>
  <si>
    <t xml:space="preserve">YB5000184</t>
  </si>
  <si>
    <t xml:space="preserve">340-02</t>
  </si>
  <si>
    <t xml:space="preserve">YB7000026</t>
  </si>
  <si>
    <t xml:space="preserve">340-03</t>
  </si>
  <si>
    <t xml:space="preserve">YB7000198</t>
  </si>
  <si>
    <t xml:space="preserve">340-04</t>
  </si>
  <si>
    <t xml:space="preserve">YB7000201</t>
  </si>
  <si>
    <t xml:space="preserve">340-05</t>
  </si>
  <si>
    <t xml:space="preserve">YB7000202</t>
  </si>
  <si>
    <t xml:space="preserve">340-06</t>
  </si>
  <si>
    <t xml:space="preserve">YB7000269</t>
  </si>
  <si>
    <t xml:space="preserve">340-07</t>
  </si>
  <si>
    <t xml:space="preserve">YB7000279</t>
  </si>
  <si>
    <t xml:space="preserve">359-01</t>
  </si>
  <si>
    <t xml:space="preserve">5497-02-6E1008</t>
  </si>
  <si>
    <t xml:space="preserve">YB5000465</t>
  </si>
  <si>
    <t xml:space="preserve">359-02</t>
  </si>
  <si>
    <t xml:space="preserve">YB7000570</t>
  </si>
  <si>
    <t xml:space="preserve">359-03</t>
  </si>
  <si>
    <t xml:space="preserve">YB7000965</t>
  </si>
  <si>
    <t xml:space="preserve">390-01</t>
  </si>
  <si>
    <t xml:space="preserve">5497-02-6E1009</t>
  </si>
  <si>
    <t xml:space="preserve">NC7003418</t>
  </si>
  <si>
    <t xml:space="preserve">390-02</t>
  </si>
  <si>
    <t xml:space="preserve">YB7000256</t>
  </si>
  <si>
    <t xml:space="preserve">390-03</t>
  </si>
  <si>
    <t xml:space="preserve">YB7000264</t>
  </si>
  <si>
    <t xml:space="preserve">390-04</t>
  </si>
  <si>
    <t xml:space="preserve">YB7000280</t>
  </si>
  <si>
    <t xml:space="preserve">390-05</t>
  </si>
  <si>
    <t xml:space="preserve">YB7000698</t>
  </si>
  <si>
    <t xml:space="preserve">390-06</t>
  </si>
  <si>
    <t xml:space="preserve">YB7001185</t>
  </si>
  <si>
    <t xml:space="preserve">390-07</t>
  </si>
  <si>
    <t xml:space="preserve">YB7001187</t>
  </si>
  <si>
    <t xml:space="preserve">390-08</t>
  </si>
  <si>
    <t xml:space="preserve">YB7001188</t>
  </si>
  <si>
    <t xml:space="preserve">400-01</t>
  </si>
  <si>
    <t xml:space="preserve">5497-02-6E1010</t>
  </si>
  <si>
    <t xml:space="preserve">NC7003733</t>
  </si>
  <si>
    <t xml:space="preserve">400-02</t>
  </si>
  <si>
    <t xml:space="preserve">YB5000373</t>
  </si>
  <si>
    <t xml:space="preserve">400-03</t>
  </si>
  <si>
    <t xml:space="preserve">YB7000937</t>
  </si>
  <si>
    <t xml:space="preserve">400-04</t>
  </si>
  <si>
    <t xml:space="preserve">YB7000948</t>
  </si>
  <si>
    <t xml:space="preserve">400-05</t>
  </si>
  <si>
    <t xml:space="preserve">YB7000950</t>
  </si>
  <si>
    <t xml:space="preserve">400-06</t>
  </si>
  <si>
    <t xml:space="preserve">YB7000952</t>
  </si>
  <si>
    <t xml:space="preserve">400-07</t>
  </si>
  <si>
    <t xml:space="preserve">YB7000955</t>
  </si>
  <si>
    <t xml:space="preserve">400-08</t>
  </si>
  <si>
    <t xml:space="preserve">YB7000464</t>
  </si>
  <si>
    <t xml:space="preserve">400-09</t>
  </si>
  <si>
    <t xml:space="preserve">YB7000465</t>
  </si>
  <si>
    <t xml:space="preserve">400-10</t>
  </si>
  <si>
    <t xml:space="preserve">YB7000488</t>
  </si>
  <si>
    <t xml:space="preserve">409-01</t>
  </si>
  <si>
    <t xml:space="preserve">5497-02-6E1011</t>
  </si>
  <si>
    <t xml:space="preserve">NC7003437</t>
  </si>
  <si>
    <t xml:space="preserve">409-02</t>
  </si>
  <si>
    <t xml:space="preserve">YB5000178</t>
  </si>
  <si>
    <t xml:space="preserve">162-01</t>
  </si>
  <si>
    <t xml:space="preserve">5497-02-6E3001</t>
  </si>
  <si>
    <t xml:space="preserve">高二部</t>
  </si>
  <si>
    <t xml:space="preserve">NC7003529</t>
  </si>
  <si>
    <t xml:space="preserve">162-02</t>
  </si>
  <si>
    <t xml:space="preserve">YB5000442</t>
  </si>
  <si>
    <t xml:space="preserve">162-03</t>
  </si>
  <si>
    <t xml:space="preserve">YB7000433</t>
  </si>
  <si>
    <t xml:space="preserve">162-04</t>
  </si>
  <si>
    <t xml:space="preserve">YB7000450</t>
  </si>
  <si>
    <t xml:space="preserve">162-05</t>
  </si>
  <si>
    <t xml:space="preserve">YB7000466</t>
  </si>
  <si>
    <t xml:space="preserve">162-06</t>
  </si>
  <si>
    <t xml:space="preserve">YB7000468</t>
  </si>
  <si>
    <t xml:space="preserve">162-07</t>
  </si>
  <si>
    <t xml:space="preserve">YB7000473</t>
  </si>
  <si>
    <t xml:space="preserve">164-01</t>
  </si>
  <si>
    <t xml:space="preserve">5497-02-6E3002</t>
  </si>
  <si>
    <t xml:space="preserve">NC7003755</t>
  </si>
  <si>
    <t xml:space="preserve">164-02</t>
  </si>
  <si>
    <t xml:space="preserve">YB5000286</t>
  </si>
  <si>
    <t xml:space="preserve">164-03</t>
  </si>
  <si>
    <t xml:space="preserve">YB7000613</t>
  </si>
  <si>
    <t xml:space="preserve">164-04</t>
  </si>
  <si>
    <t xml:space="preserve">YB7000615</t>
  </si>
  <si>
    <t xml:space="preserve">164-05</t>
  </si>
  <si>
    <t xml:space="preserve">YB7000616</t>
  </si>
  <si>
    <t xml:space="preserve">164-06</t>
  </si>
  <si>
    <t xml:space="preserve">YB7000617</t>
  </si>
  <si>
    <t xml:space="preserve">164-07</t>
  </si>
  <si>
    <t xml:space="preserve">YB7000619</t>
  </si>
  <si>
    <t xml:space="preserve">164-08</t>
  </si>
  <si>
    <t xml:space="preserve">YB7000623</t>
  </si>
  <si>
    <t xml:space="preserve">168-01</t>
  </si>
  <si>
    <t xml:space="preserve">5497-02-6E3004</t>
  </si>
  <si>
    <t xml:space="preserve">NC7003533</t>
  </si>
  <si>
    <t xml:space="preserve">168-02</t>
  </si>
  <si>
    <t xml:space="preserve">YB5000206</t>
  </si>
  <si>
    <t xml:space="preserve">168-03</t>
  </si>
  <si>
    <t xml:space="preserve">YB7000235</t>
  </si>
  <si>
    <t xml:space="preserve">168-04</t>
  </si>
  <si>
    <t xml:space="preserve">YB7000240</t>
  </si>
  <si>
    <t xml:space="preserve">168-05</t>
  </si>
  <si>
    <t xml:space="preserve">YB7000244</t>
  </si>
  <si>
    <t xml:space="preserve">168-06</t>
  </si>
  <si>
    <t xml:space="preserve">YB7000255</t>
  </si>
  <si>
    <t xml:space="preserve">170-01</t>
  </si>
  <si>
    <t xml:space="preserve">5497-02-6E3005</t>
  </si>
  <si>
    <t xml:space="preserve">NC7003384</t>
  </si>
  <si>
    <t xml:space="preserve">170-02</t>
  </si>
  <si>
    <t xml:space="preserve">YB5000180</t>
  </si>
  <si>
    <t xml:space="preserve">170-03</t>
  </si>
  <si>
    <t xml:space="preserve">YB7000220</t>
  </si>
  <si>
    <t xml:space="preserve">170-04</t>
  </si>
  <si>
    <t xml:space="preserve">YB7000232</t>
  </si>
  <si>
    <t xml:space="preserve">170-05</t>
  </si>
  <si>
    <t xml:space="preserve">YB7000237</t>
  </si>
  <si>
    <t xml:space="preserve">170-06</t>
  </si>
  <si>
    <t xml:space="preserve">YB7000242</t>
  </si>
  <si>
    <t xml:space="preserve">218-06</t>
  </si>
  <si>
    <t xml:space="preserve">5497-02-6E3006</t>
  </si>
  <si>
    <t xml:space="preserve">NC7003719</t>
  </si>
  <si>
    <t xml:space="preserve">218-01</t>
  </si>
  <si>
    <t xml:space="preserve">YB5000174</t>
  </si>
  <si>
    <t xml:space="preserve">218-02</t>
  </si>
  <si>
    <t xml:space="preserve">YB7000259</t>
  </si>
  <si>
    <t xml:space="preserve">218-03</t>
  </si>
  <si>
    <t xml:space="preserve">YB7000261</t>
  </si>
  <si>
    <t xml:space="preserve">218-04</t>
  </si>
  <si>
    <t xml:space="preserve">YB7000263</t>
  </si>
  <si>
    <t xml:space="preserve">218-05</t>
  </si>
  <si>
    <t xml:space="preserve">YB7000265</t>
  </si>
  <si>
    <t xml:space="preserve">349-01</t>
  </si>
  <si>
    <t xml:space="preserve">5497-02-6E3008</t>
  </si>
  <si>
    <t xml:space="preserve">YB5000173</t>
  </si>
  <si>
    <t xml:space="preserve">403-01</t>
  </si>
  <si>
    <t xml:space="preserve">5497-02-6E3009</t>
  </si>
  <si>
    <t xml:space="preserve">YB5000176</t>
  </si>
  <si>
    <t xml:space="preserve">425-01</t>
  </si>
  <si>
    <t xml:space="preserve">5497-02-6E3010</t>
  </si>
  <si>
    <t xml:space="preserve">鹽埕</t>
  </si>
  <si>
    <t xml:space="preserve">NC7003946</t>
  </si>
  <si>
    <t xml:space="preserve">425-02</t>
  </si>
  <si>
    <t xml:space="preserve">YB7000171</t>
  </si>
  <si>
    <t xml:space="preserve">159-01</t>
  </si>
  <si>
    <t xml:space="preserve">5497-02-6E2002</t>
  </si>
  <si>
    <t xml:space="preserve">高三部</t>
  </si>
  <si>
    <t xml:space="preserve">NC7003413</t>
  </si>
  <si>
    <t xml:space="preserve">159-02</t>
  </si>
  <si>
    <t xml:space="preserve">YB7000221</t>
  </si>
  <si>
    <t xml:space="preserve">159-03</t>
  </si>
  <si>
    <t xml:space="preserve">YB7000223</t>
  </si>
  <si>
    <t xml:space="preserve">159-04</t>
  </si>
  <si>
    <t xml:space="preserve">YB7000224</t>
  </si>
  <si>
    <t xml:space="preserve">159-05</t>
  </si>
  <si>
    <t xml:space="preserve">YB7000225</t>
  </si>
  <si>
    <t xml:space="preserve">159-06</t>
  </si>
  <si>
    <t xml:space="preserve">YB7000231</t>
  </si>
  <si>
    <t xml:space="preserve">159-07</t>
  </si>
  <si>
    <t xml:space="preserve">YB7000234</t>
  </si>
  <si>
    <t xml:space="preserve">163-01</t>
  </si>
  <si>
    <t xml:space="preserve">5497-02-6E4001</t>
  </si>
  <si>
    <t xml:space="preserve">NC7003621</t>
  </si>
  <si>
    <t xml:space="preserve">163-02</t>
  </si>
  <si>
    <t xml:space="preserve">YB5000256</t>
  </si>
  <si>
    <t xml:space="preserve">163-03</t>
  </si>
  <si>
    <t xml:space="preserve">YB7000715</t>
  </si>
  <si>
    <t xml:space="preserve">163-04</t>
  </si>
  <si>
    <t xml:space="preserve">YB7000723</t>
  </si>
  <si>
    <t xml:space="preserve">163-05</t>
  </si>
  <si>
    <t xml:space="preserve">YB7000725</t>
  </si>
  <si>
    <t xml:space="preserve">163-06</t>
  </si>
  <si>
    <t xml:space="preserve">YB7000732</t>
  </si>
  <si>
    <t xml:space="preserve">167-01</t>
  </si>
  <si>
    <t xml:space="preserve">5497-02-6E4002</t>
  </si>
  <si>
    <t xml:space="preserve">NC7003773</t>
  </si>
  <si>
    <t xml:space="preserve">167-02</t>
  </si>
  <si>
    <t xml:space="preserve">YB5000327</t>
  </si>
  <si>
    <t xml:space="preserve">167-03</t>
  </si>
  <si>
    <t xml:space="preserve">YB7000546</t>
  </si>
  <si>
    <t xml:space="preserve">167-04</t>
  </si>
  <si>
    <t xml:space="preserve">YB7000657</t>
  </si>
  <si>
    <t xml:space="preserve">167-05</t>
  </si>
  <si>
    <t xml:space="preserve">YB7000668</t>
  </si>
  <si>
    <t xml:space="preserve">167-06</t>
  </si>
  <si>
    <t xml:space="preserve">YB7000676</t>
  </si>
  <si>
    <t xml:space="preserve">167-07</t>
  </si>
  <si>
    <t xml:space="preserve">YB7000677</t>
  </si>
  <si>
    <t xml:space="preserve">167-08</t>
  </si>
  <si>
    <t xml:space="preserve">YB7000678</t>
  </si>
  <si>
    <t xml:space="preserve">167-09</t>
  </si>
  <si>
    <t xml:space="preserve">YB7000679</t>
  </si>
  <si>
    <t xml:space="preserve">167-10</t>
  </si>
  <si>
    <t xml:space="preserve">YB7000680</t>
  </si>
  <si>
    <t xml:space="preserve">167-11</t>
  </si>
  <si>
    <t xml:space="preserve">YB7000681</t>
  </si>
  <si>
    <t xml:space="preserve">167-12</t>
  </si>
  <si>
    <t xml:space="preserve">YB7000682</t>
  </si>
  <si>
    <t xml:space="preserve">167-13</t>
  </si>
  <si>
    <t xml:space="preserve">YB7000683</t>
  </si>
  <si>
    <t xml:space="preserve">167-14</t>
  </si>
  <si>
    <t xml:space="preserve">YB7000684</t>
  </si>
  <si>
    <t xml:space="preserve">171-01</t>
  </si>
  <si>
    <t xml:space="preserve">5497-02-6E4003</t>
  </si>
  <si>
    <t xml:space="preserve">NC7003729</t>
  </si>
  <si>
    <t xml:space="preserve">171-02</t>
  </si>
  <si>
    <t xml:space="preserve">YB5000375</t>
  </si>
  <si>
    <t xml:space="preserve">171-03</t>
  </si>
  <si>
    <t xml:space="preserve">YB7000897</t>
  </si>
  <si>
    <t xml:space="preserve">171-04</t>
  </si>
  <si>
    <t xml:space="preserve">YB7000898</t>
  </si>
  <si>
    <t xml:space="preserve">171-05</t>
  </si>
  <si>
    <t xml:space="preserve">YB7000899</t>
  </si>
  <si>
    <t xml:space="preserve">171-06</t>
  </si>
  <si>
    <t xml:space="preserve">YB7000902</t>
  </si>
  <si>
    <t xml:space="preserve">171-07</t>
  </si>
  <si>
    <t xml:space="preserve">YB7000916</t>
  </si>
  <si>
    <t xml:space="preserve">172-01</t>
  </si>
  <si>
    <t xml:space="preserve">5497-02-6E4004</t>
  </si>
  <si>
    <t xml:space="preserve">NC7003743</t>
  </si>
  <si>
    <t xml:space="preserve">172-02</t>
  </si>
  <si>
    <t xml:space="preserve">YB5000374</t>
  </si>
  <si>
    <t xml:space="preserve">172-03</t>
  </si>
  <si>
    <t xml:space="preserve">YB7000908</t>
  </si>
  <si>
    <t xml:space="preserve">172-04</t>
  </si>
  <si>
    <t xml:space="preserve">YB7000909</t>
  </si>
  <si>
    <t xml:space="preserve">172-05</t>
  </si>
  <si>
    <t xml:space="preserve">YB7000911</t>
  </si>
  <si>
    <t xml:space="preserve">172-06</t>
  </si>
  <si>
    <t xml:space="preserve">YB7000915</t>
  </si>
  <si>
    <t xml:space="preserve">172-07</t>
  </si>
  <si>
    <t xml:space="preserve">YB7000919</t>
  </si>
  <si>
    <t xml:space="preserve">173-01</t>
  </si>
  <si>
    <t xml:space="preserve">5497-02-6E4005</t>
  </si>
  <si>
    <t xml:space="preserve">NC7003597</t>
  </si>
  <si>
    <t xml:space="preserve">173-02</t>
  </si>
  <si>
    <t xml:space="preserve">YB5000153</t>
  </si>
  <si>
    <t xml:space="preserve">173-03</t>
  </si>
  <si>
    <t xml:space="preserve">YB7000397</t>
  </si>
  <si>
    <t xml:space="preserve">173-04</t>
  </si>
  <si>
    <t xml:space="preserve">YB7000398</t>
  </si>
  <si>
    <t xml:space="preserve">173-05</t>
  </si>
  <si>
    <t xml:space="preserve">YB7000426</t>
  </si>
  <si>
    <t xml:space="preserve">173-06</t>
  </si>
  <si>
    <t xml:space="preserve">YB7000432</t>
  </si>
  <si>
    <t xml:space="preserve">342-01</t>
  </si>
  <si>
    <t xml:space="preserve">5497-02-6E4006</t>
  </si>
  <si>
    <t xml:space="preserve">NC7003691</t>
  </si>
  <si>
    <t xml:space="preserve">342-02</t>
  </si>
  <si>
    <t xml:space="preserve">YB5000258</t>
  </si>
  <si>
    <t xml:space="preserve">342-03</t>
  </si>
  <si>
    <t xml:space="preserve">YB7000728</t>
  </si>
  <si>
    <t xml:space="preserve">342-04</t>
  </si>
  <si>
    <t xml:space="preserve">YB7000735</t>
  </si>
  <si>
    <t xml:space="preserve">343-01</t>
  </si>
  <si>
    <t xml:space="preserve">5497-02-6E4007</t>
  </si>
  <si>
    <t xml:space="preserve">NC7003392</t>
  </si>
  <si>
    <t xml:space="preserve">343-02</t>
  </si>
  <si>
    <t xml:space="preserve">YB5000175</t>
  </si>
  <si>
    <t xml:space="preserve">343-03</t>
  </si>
  <si>
    <t xml:space="preserve">YB7000272</t>
  </si>
  <si>
    <t xml:space="preserve">343-04</t>
  </si>
  <si>
    <t xml:space="preserve">YB7000278</t>
  </si>
  <si>
    <t xml:space="preserve">343-05</t>
  </si>
  <si>
    <t xml:space="preserve">YB7000912</t>
  </si>
  <si>
    <t xml:space="preserve">343-06</t>
  </si>
  <si>
    <t xml:space="preserve">YB7000972</t>
  </si>
  <si>
    <t xml:space="preserve">343-07</t>
  </si>
  <si>
    <t xml:space="preserve">YB7001177</t>
  </si>
  <si>
    <t xml:space="preserve">343-08</t>
  </si>
  <si>
    <t xml:space="preserve">YB7001180</t>
  </si>
  <si>
    <t xml:space="preserve">345-01</t>
  </si>
  <si>
    <t xml:space="preserve">5497-02-6E4008</t>
  </si>
  <si>
    <t xml:space="preserve">NC7003408</t>
  </si>
  <si>
    <t xml:space="preserve">345-02</t>
  </si>
  <si>
    <t xml:space="preserve">YB5000208</t>
  </si>
  <si>
    <t xml:space="preserve">345-03</t>
  </si>
  <si>
    <t xml:space="preserve">YB7000266</t>
  </si>
  <si>
    <t xml:space="preserve">345-04</t>
  </si>
  <si>
    <t xml:space="preserve">YB7000560</t>
  </si>
  <si>
    <t xml:space="preserve">347-01</t>
  </si>
  <si>
    <t xml:space="preserve">5497-02-6E4009</t>
  </si>
  <si>
    <t xml:space="preserve">NC7003382</t>
  </si>
  <si>
    <t xml:space="preserve">347-02</t>
  </si>
  <si>
    <t xml:space="preserve">YB5000179</t>
  </si>
  <si>
    <t xml:space="preserve">348-01</t>
  </si>
  <si>
    <t xml:space="preserve">5497-02-6E4010</t>
  </si>
  <si>
    <t xml:space="preserve">NC7003393</t>
  </si>
  <si>
    <t xml:space="preserve">348-02</t>
  </si>
  <si>
    <t xml:space="preserve">YB5000177</t>
  </si>
  <si>
    <t xml:space="preserve">361-01</t>
  </si>
  <si>
    <t xml:space="preserve">5497-02-6E2006</t>
  </si>
  <si>
    <t xml:space="preserve">NC7003593</t>
  </si>
  <si>
    <t xml:space="preserve">361-02</t>
  </si>
  <si>
    <t xml:space="preserve">YB5000207</t>
  </si>
  <si>
    <t xml:space="preserve">361-03</t>
  </si>
  <si>
    <t xml:space="preserve">YB7000217</t>
  </si>
  <si>
    <t xml:space="preserve">361-04</t>
  </si>
  <si>
    <t xml:space="preserve">YB7000260</t>
  </si>
  <si>
    <t xml:space="preserve">361-05</t>
  </si>
  <si>
    <t xml:space="preserve">YB7000262</t>
  </si>
  <si>
    <t xml:space="preserve">361-06</t>
  </si>
  <si>
    <t xml:space="preserve">YB7000267</t>
  </si>
  <si>
    <t xml:space="preserve">386-01</t>
  </si>
  <si>
    <t xml:space="preserve">5497-02-6E4011</t>
  </si>
  <si>
    <t xml:space="preserve">NC7003751</t>
  </si>
  <si>
    <t xml:space="preserve">393-01</t>
  </si>
  <si>
    <t xml:space="preserve">5497-02-6E4012</t>
  </si>
  <si>
    <t xml:space="preserve">YB5000463</t>
  </si>
  <si>
    <t xml:space="preserve">393-02</t>
  </si>
  <si>
    <t xml:space="preserve">YB5000467</t>
  </si>
  <si>
    <t xml:space="preserve">157-01</t>
  </si>
  <si>
    <t xml:space="preserve">5497-02-6E2001</t>
  </si>
  <si>
    <t xml:space="preserve">高四部</t>
  </si>
  <si>
    <t xml:space="preserve">NC7003416</t>
  </si>
  <si>
    <t xml:space="preserve">157-02</t>
  </si>
  <si>
    <t xml:space="preserve">YB5000205</t>
  </si>
  <si>
    <t xml:space="preserve">157-03</t>
  </si>
  <si>
    <t xml:space="preserve">YB7000268</t>
  </si>
  <si>
    <t xml:space="preserve">157-04</t>
  </si>
  <si>
    <t xml:space="preserve">YB7000270</t>
  </si>
  <si>
    <t xml:space="preserve">157-05</t>
  </si>
  <si>
    <t xml:space="preserve">YB7000413</t>
  </si>
  <si>
    <t xml:space="preserve">157-06</t>
  </si>
  <si>
    <t xml:space="preserve">YB7000414</t>
  </si>
  <si>
    <t xml:space="preserve">157-07</t>
  </si>
  <si>
    <t xml:space="preserve">YB7000417</t>
  </si>
  <si>
    <t xml:space="preserve">157-08</t>
  </si>
  <si>
    <t xml:space="preserve">YB7000418</t>
  </si>
  <si>
    <t xml:space="preserve">157-09</t>
  </si>
  <si>
    <t xml:space="preserve">YB7000421</t>
  </si>
  <si>
    <t xml:space="preserve">157-10</t>
  </si>
  <si>
    <t xml:space="preserve">YB7000423</t>
  </si>
  <si>
    <t xml:space="preserve">157-11</t>
  </si>
  <si>
    <t xml:space="preserve">YB7000430</t>
  </si>
  <si>
    <t xml:space="preserve">165-01</t>
  </si>
  <si>
    <t xml:space="preserve">5497-02-6E2004</t>
  </si>
  <si>
    <t xml:space="preserve">NC7003793</t>
  </si>
  <si>
    <t xml:space="preserve">165-02</t>
  </si>
  <si>
    <t xml:space="preserve">YB5000326</t>
  </si>
  <si>
    <t xml:space="preserve">165-03</t>
  </si>
  <si>
    <t xml:space="preserve">YB7000651</t>
  </si>
  <si>
    <t xml:space="preserve">165-04</t>
  </si>
  <si>
    <t xml:space="preserve">YB7000720</t>
  </si>
  <si>
    <t xml:space="preserve">165-05</t>
  </si>
  <si>
    <t xml:space="preserve">YB7000774</t>
  </si>
  <si>
    <t xml:space="preserve">165-06</t>
  </si>
  <si>
    <t xml:space="preserve">YB7000775</t>
  </si>
  <si>
    <t xml:space="preserve">165-07</t>
  </si>
  <si>
    <t xml:space="preserve">YB7000777</t>
  </si>
  <si>
    <t xml:space="preserve">165-08</t>
  </si>
  <si>
    <t xml:space="preserve">YB7000857</t>
  </si>
  <si>
    <t xml:space="preserve">165-09</t>
  </si>
  <si>
    <t xml:space="preserve">YB7000859</t>
  </si>
  <si>
    <t xml:space="preserve">165-10</t>
  </si>
  <si>
    <t xml:space="preserve">YB7000879</t>
  </si>
  <si>
    <t xml:space="preserve">165-11</t>
  </si>
  <si>
    <t xml:space="preserve">YB7000966</t>
  </si>
  <si>
    <t xml:space="preserve">174-01</t>
  </si>
  <si>
    <t xml:space="preserve">5497-02-6E5001</t>
  </si>
  <si>
    <t xml:space="preserve">NC7003385</t>
  </si>
  <si>
    <t xml:space="preserve">174-02</t>
  </si>
  <si>
    <t xml:space="preserve">YB5000181</t>
  </si>
  <si>
    <t xml:space="preserve">174-03</t>
  </si>
  <si>
    <t xml:space="preserve">YB7000236</t>
  </si>
  <si>
    <t xml:space="preserve">174-04</t>
  </si>
  <si>
    <t xml:space="preserve">YB7000238</t>
  </si>
  <si>
    <t xml:space="preserve">174-05</t>
  </si>
  <si>
    <t xml:space="preserve">YB7000241</t>
  </si>
  <si>
    <t xml:space="preserve">174-06</t>
  </si>
  <si>
    <t xml:space="preserve">YB7000243</t>
  </si>
  <si>
    <t xml:space="preserve">174-07</t>
  </si>
  <si>
    <t xml:space="preserve">YB7000245</t>
  </si>
  <si>
    <t xml:space="preserve">174-08</t>
  </si>
  <si>
    <t xml:space="preserve">YB7000249</t>
  </si>
  <si>
    <t xml:space="preserve">174-09</t>
  </si>
  <si>
    <t xml:space="preserve">YB7000257</t>
  </si>
  <si>
    <t xml:space="preserve">174-10</t>
  </si>
  <si>
    <t xml:space="preserve">YB7000258</t>
  </si>
  <si>
    <t xml:space="preserve">177-01</t>
  </si>
  <si>
    <t xml:space="preserve">5497-02-6E5002</t>
  </si>
  <si>
    <t xml:space="preserve">NC7003541</t>
  </si>
  <si>
    <t xml:space="preserve">177-02</t>
  </si>
  <si>
    <t xml:space="preserve">YB5000440</t>
  </si>
  <si>
    <t xml:space="preserve">177-03</t>
  </si>
  <si>
    <t xml:space="preserve">YB7000458</t>
  </si>
  <si>
    <t xml:space="preserve">177-04</t>
  </si>
  <si>
    <t xml:space="preserve">YB7000467</t>
  </si>
  <si>
    <t xml:space="preserve">177-05</t>
  </si>
  <si>
    <t xml:space="preserve">YB7000469</t>
  </si>
  <si>
    <t xml:space="preserve">177-06</t>
  </si>
  <si>
    <t xml:space="preserve">YB7000471</t>
  </si>
  <si>
    <t xml:space="preserve">177-07</t>
  </si>
  <si>
    <t xml:space="preserve">YB7000472</t>
  </si>
  <si>
    <t xml:space="preserve">177-08</t>
  </si>
  <si>
    <t xml:space="preserve">YB7000474</t>
  </si>
  <si>
    <t xml:space="preserve">177-09</t>
  </si>
  <si>
    <t xml:space="preserve">YB7000487</t>
  </si>
  <si>
    <t xml:space="preserve">177-10</t>
  </si>
  <si>
    <t xml:space="preserve">YB7000491</t>
  </si>
  <si>
    <t xml:space="preserve">177-11</t>
  </si>
  <si>
    <t xml:space="preserve">YB7000497</t>
  </si>
  <si>
    <t xml:space="preserve">178-01</t>
  </si>
  <si>
    <t xml:space="preserve">5497-02-6E5003</t>
  </si>
  <si>
    <t xml:space="preserve">NC7003646</t>
  </si>
  <si>
    <t xml:space="preserve">178-02</t>
  </si>
  <si>
    <t xml:space="preserve">YB5000144</t>
  </si>
  <si>
    <r>
      <rPr>
        <b val="true"/>
        <sz val="12"/>
        <color rgb="FF000000"/>
        <rFont val="微軟正黑體 Light"/>
        <family val="2"/>
        <charset val="136"/>
      </rPr>
      <t xml:space="preserve">114.05.06</t>
    </r>
    <r>
      <rPr>
        <b val="true"/>
        <sz val="12"/>
        <color rgb="FF000000"/>
        <rFont val="新細明體"/>
        <family val="2"/>
        <charset val="136"/>
      </rPr>
      <t xml:space="preserve">換機</t>
    </r>
  </si>
  <si>
    <t xml:space="preserve">178-03</t>
  </si>
  <si>
    <t xml:space="preserve">YB7000942</t>
  </si>
  <si>
    <t xml:space="preserve">178-04</t>
  </si>
  <si>
    <t xml:space="preserve">YB7000956</t>
  </si>
  <si>
    <t xml:space="preserve">178-05</t>
  </si>
  <si>
    <t xml:space="preserve">YB7000957</t>
  </si>
  <si>
    <t xml:space="preserve">178-06</t>
  </si>
  <si>
    <t xml:space="preserve">YB7000958</t>
  </si>
  <si>
    <t xml:space="preserve">178-07</t>
  </si>
  <si>
    <t xml:space="preserve">YB7000959</t>
  </si>
  <si>
    <t xml:space="preserve">178-08</t>
  </si>
  <si>
    <t xml:space="preserve">YB7000961</t>
  </si>
  <si>
    <t xml:space="preserve">178-09</t>
  </si>
  <si>
    <t xml:space="preserve">YB7000963</t>
  </si>
  <si>
    <t xml:space="preserve">178-10</t>
  </si>
  <si>
    <t xml:space="preserve">YB7000964</t>
  </si>
  <si>
    <t xml:space="preserve">179-01</t>
  </si>
  <si>
    <t xml:space="preserve">5497-02-6E5004</t>
  </si>
  <si>
    <t xml:space="preserve">NC7003409</t>
  </si>
  <si>
    <t xml:space="preserve">179-02</t>
  </si>
  <si>
    <t xml:space="preserve">YB7000358</t>
  </si>
  <si>
    <t xml:space="preserve">179-03</t>
  </si>
  <si>
    <t xml:space="preserve">YB7000360</t>
  </si>
  <si>
    <t xml:space="preserve">179-04</t>
  </si>
  <si>
    <t xml:space="preserve">YB7000389</t>
  </si>
  <si>
    <t xml:space="preserve">179-05</t>
  </si>
  <si>
    <t xml:space="preserve">YB7000392</t>
  </si>
  <si>
    <t xml:space="preserve">179-06</t>
  </si>
  <si>
    <t xml:space="preserve">YB7000394</t>
  </si>
  <si>
    <t xml:space="preserve">182-01</t>
  </si>
  <si>
    <t xml:space="preserve">5497-02-6E5005</t>
  </si>
  <si>
    <t xml:space="preserve">NC7003534</t>
  </si>
  <si>
    <t xml:space="preserve">182-02</t>
  </si>
  <si>
    <t xml:space="preserve">YB5000443</t>
  </si>
  <si>
    <t xml:space="preserve">182-03</t>
  </si>
  <si>
    <t xml:space="preserve">YB7000435</t>
  </si>
  <si>
    <t xml:space="preserve">182-04</t>
  </si>
  <si>
    <t xml:space="preserve">YB7000437</t>
  </si>
  <si>
    <t xml:space="preserve">182-05</t>
  </si>
  <si>
    <t xml:space="preserve">YB7000452</t>
  </si>
  <si>
    <t xml:space="preserve">182-06</t>
  </si>
  <si>
    <t xml:space="preserve">YB7000490</t>
  </si>
  <si>
    <t xml:space="preserve">182-07</t>
  </si>
  <si>
    <t xml:space="preserve">YB7000495</t>
  </si>
  <si>
    <t xml:space="preserve">339-01</t>
  </si>
  <si>
    <t xml:space="preserve">5497-02-6E5006</t>
  </si>
  <si>
    <t xml:space="preserve">NC7003627</t>
  </si>
  <si>
    <t xml:space="preserve">339-02</t>
  </si>
  <si>
    <t xml:space="preserve">YB5000488</t>
  </si>
  <si>
    <t xml:space="preserve">339-03</t>
  </si>
  <si>
    <t xml:space="preserve">YB7000796</t>
  </si>
  <si>
    <t xml:space="preserve">339-04</t>
  </si>
  <si>
    <t xml:space="preserve">YB7000801</t>
  </si>
  <si>
    <t xml:space="preserve">339-05</t>
  </si>
  <si>
    <t xml:space="preserve">YB7000802</t>
  </si>
  <si>
    <t xml:space="preserve">339-06</t>
  </si>
  <si>
    <t xml:space="preserve">YB7000803</t>
  </si>
  <si>
    <t xml:space="preserve">341-01</t>
  </si>
  <si>
    <t xml:space="preserve">5497-02-6E5007</t>
  </si>
  <si>
    <t xml:space="preserve">NC7003402</t>
  </si>
  <si>
    <t xml:space="preserve">341-02</t>
  </si>
  <si>
    <t xml:space="preserve">YB5000171</t>
  </si>
  <si>
    <t xml:space="preserve">341-03</t>
  </si>
  <si>
    <t xml:space="preserve">YB7000797</t>
  </si>
  <si>
    <t xml:space="preserve">346-01</t>
  </si>
  <si>
    <t xml:space="preserve">5497-02-6E5008</t>
  </si>
  <si>
    <t xml:space="preserve">YB5000247</t>
  </si>
  <si>
    <t xml:space="preserve">346-02</t>
  </si>
  <si>
    <t xml:space="preserve">YB7000824</t>
  </si>
  <si>
    <t xml:space="preserve">419-01</t>
  </si>
  <si>
    <t xml:space="preserve">5497-02-6E5010</t>
  </si>
  <si>
    <t xml:space="preserve">九曲堂</t>
  </si>
  <si>
    <t xml:space="preserve">YB5000274</t>
  </si>
  <si>
    <t xml:space="preserve">176-01</t>
  </si>
  <si>
    <t xml:space="preserve">5497-02-6T0001</t>
  </si>
  <si>
    <t xml:space="preserve">屏東部</t>
  </si>
  <si>
    <t xml:space="preserve">NC7003465</t>
  </si>
  <si>
    <t xml:space="preserve">176-02</t>
  </si>
  <si>
    <t xml:space="preserve">YB5000112</t>
  </si>
  <si>
    <t xml:space="preserve">176-03</t>
  </si>
  <si>
    <t xml:space="preserve">PHLKP02639</t>
  </si>
  <si>
    <t xml:space="preserve">176-04</t>
  </si>
  <si>
    <t xml:space="preserve">PHLKP02708</t>
  </si>
  <si>
    <t xml:space="preserve">176-05</t>
  </si>
  <si>
    <t xml:space="preserve">PHLKQ02089</t>
  </si>
  <si>
    <t xml:space="preserve">176-06</t>
  </si>
  <si>
    <t xml:space="preserve">PHLKQ02090</t>
  </si>
  <si>
    <t xml:space="preserve">176-07</t>
  </si>
  <si>
    <t xml:space="preserve">PHLKQ02091</t>
  </si>
  <si>
    <t xml:space="preserve">176-08</t>
  </si>
  <si>
    <t xml:space="preserve">PHLKQ02095</t>
  </si>
  <si>
    <t xml:space="preserve">180-01</t>
  </si>
  <si>
    <t xml:space="preserve">5497-02-6T0002</t>
  </si>
  <si>
    <t xml:space="preserve">NC7003407</t>
  </si>
  <si>
    <t xml:space="preserve">180-02</t>
  </si>
  <si>
    <t xml:space="preserve">PHLKP01699</t>
  </si>
  <si>
    <t xml:space="preserve">180-03</t>
  </si>
  <si>
    <t xml:space="preserve">PHLKP02298</t>
  </si>
  <si>
    <t xml:space="preserve">180-04</t>
  </si>
  <si>
    <t xml:space="preserve">PHLKP02500</t>
  </si>
  <si>
    <t xml:space="preserve">180-05</t>
  </si>
  <si>
    <t xml:space="preserve">PHLKP02505</t>
  </si>
  <si>
    <t xml:space="preserve">181-01</t>
  </si>
  <si>
    <t xml:space="preserve">5497-02-6T0003</t>
  </si>
  <si>
    <t xml:space="preserve">NC7003374</t>
  </si>
  <si>
    <t xml:space="preserve">181-02</t>
  </si>
  <si>
    <t xml:space="preserve">YB5000302</t>
  </si>
  <si>
    <t xml:space="preserve">181-03</t>
  </si>
  <si>
    <t xml:space="preserve">PHLKP01464</t>
  </si>
  <si>
    <t xml:space="preserve">181-04</t>
  </si>
  <si>
    <t xml:space="preserve">PHLKP01469</t>
  </si>
  <si>
    <t xml:space="preserve">181-05</t>
  </si>
  <si>
    <t xml:space="preserve">PHLKP01480</t>
  </si>
  <si>
    <t xml:space="preserve">181-06</t>
  </si>
  <si>
    <t xml:space="preserve">PHLKP01485</t>
  </si>
  <si>
    <t xml:space="preserve">181-07</t>
  </si>
  <si>
    <t xml:space="preserve">PHLKP01486</t>
  </si>
  <si>
    <t xml:space="preserve">181-08</t>
  </si>
  <si>
    <t xml:space="preserve">PHLKP01487</t>
  </si>
  <si>
    <t xml:space="preserve">181-09</t>
  </si>
  <si>
    <t xml:space="preserve">PHLKP01489</t>
  </si>
  <si>
    <t xml:space="preserve">181-10</t>
  </si>
  <si>
    <t xml:space="preserve">PHLKP01490</t>
  </si>
  <si>
    <t xml:space="preserve">181-11</t>
  </si>
  <si>
    <t xml:space="preserve">PHLKP02426</t>
  </si>
  <si>
    <t xml:space="preserve">302-01</t>
  </si>
  <si>
    <t xml:space="preserve">5497-02-6T0005</t>
  </si>
  <si>
    <t xml:space="preserve">NC7003474</t>
  </si>
  <si>
    <t xml:space="preserve">303-01</t>
  </si>
  <si>
    <t xml:space="preserve">5497-02-6T0006</t>
  </si>
  <si>
    <t xml:space="preserve">NC7003487</t>
  </si>
  <si>
    <t xml:space="preserve">303-02</t>
  </si>
  <si>
    <t xml:space="preserve">YB5000412</t>
  </si>
  <si>
    <t xml:space="preserve">303-03</t>
  </si>
  <si>
    <t xml:space="preserve">PHLKQ02094</t>
  </si>
  <si>
    <t xml:space="preserve">376-01</t>
  </si>
  <si>
    <t xml:space="preserve">5497-02-6T0008</t>
  </si>
  <si>
    <t xml:space="preserve">NC7003503</t>
  </si>
  <si>
    <t xml:space="preserve">377-01</t>
  </si>
  <si>
    <t xml:space="preserve">5497-02-6T0009</t>
  </si>
  <si>
    <t xml:space="preserve">NC7003493</t>
  </si>
  <si>
    <t xml:space="preserve">377-02</t>
  </si>
  <si>
    <t xml:space="preserve">YB5000411</t>
  </si>
  <si>
    <t xml:space="preserve">379-01</t>
  </si>
  <si>
    <t xml:space="preserve">5497-02-6T0010</t>
  </si>
  <si>
    <t xml:space="preserve">NC7003505</t>
  </si>
  <si>
    <t xml:space="preserve">380-01</t>
  </si>
  <si>
    <t xml:space="preserve">5497-02-6T0011</t>
  </si>
  <si>
    <t xml:space="preserve">NC7003479</t>
  </si>
  <si>
    <t xml:space="preserve">382-01</t>
  </si>
  <si>
    <t xml:space="preserve">5497-02-6T0012</t>
  </si>
  <si>
    <t xml:space="preserve">YB5000161</t>
  </si>
  <si>
    <t xml:space="preserve">385-01</t>
  </si>
  <si>
    <t xml:space="preserve">5497-02-6T0013</t>
  </si>
  <si>
    <t xml:space="preserve">NC7003469</t>
  </si>
  <si>
    <t xml:space="preserve">389-01</t>
  </si>
  <si>
    <t xml:space="preserve">5497-02-6T0014</t>
  </si>
  <si>
    <t xml:space="preserve">YB5000162</t>
  </si>
  <si>
    <t xml:space="preserve">427-01</t>
  </si>
  <si>
    <t xml:space="preserve">5497-02-6T0015</t>
  </si>
  <si>
    <t xml:space="preserve">屏東</t>
  </si>
  <si>
    <t xml:space="preserve">NCY003647</t>
  </si>
  <si>
    <t xml:space="preserve">362-01</t>
  </si>
  <si>
    <t xml:space="preserve">5497-02-6V0004</t>
  </si>
  <si>
    <t xml:space="preserve">台東部</t>
  </si>
  <si>
    <t xml:space="preserve">NC7003481</t>
  </si>
  <si>
    <t xml:space="preserve">362-02</t>
  </si>
  <si>
    <t xml:space="preserve">YB5000301</t>
  </si>
  <si>
    <t xml:space="preserve">362-03</t>
  </si>
  <si>
    <t xml:space="preserve">YB7000136</t>
  </si>
  <si>
    <t xml:space="preserve">362-04</t>
  </si>
  <si>
    <t xml:space="preserve">YB7000138</t>
  </si>
  <si>
    <t xml:space="preserve">362-05</t>
  </si>
  <si>
    <t xml:space="preserve">YB7000141</t>
  </si>
  <si>
    <t xml:space="preserve">362-06</t>
  </si>
  <si>
    <t xml:space="preserve">YB7000149</t>
  </si>
  <si>
    <t xml:space="preserve">362-07</t>
  </si>
  <si>
    <t xml:space="preserve">YB7000327</t>
  </si>
  <si>
    <t xml:space="preserve">362-08</t>
  </si>
  <si>
    <t xml:space="preserve">YB7000351</t>
  </si>
  <si>
    <t xml:space="preserve">362-09</t>
  </si>
  <si>
    <t xml:space="preserve">YB7000354</t>
  </si>
  <si>
    <t xml:space="preserve">362-10</t>
  </si>
  <si>
    <t xml:space="preserve">YB7000355</t>
  </si>
  <si>
    <t xml:space="preserve">362-11</t>
  </si>
  <si>
    <t xml:space="preserve">YB7000356</t>
  </si>
  <si>
    <t xml:space="preserve">362-12</t>
  </si>
  <si>
    <t xml:space="preserve">YB7000357</t>
  </si>
  <si>
    <t xml:space="preserve">362-13</t>
  </si>
  <si>
    <t xml:space="preserve">YB7000359</t>
  </si>
  <si>
    <t xml:space="preserve">362-14</t>
  </si>
  <si>
    <t xml:space="preserve">YB7000361</t>
  </si>
  <si>
    <t xml:space="preserve">362-15</t>
  </si>
  <si>
    <t xml:space="preserve">YB7000364</t>
  </si>
  <si>
    <t xml:space="preserve">362-16</t>
  </si>
  <si>
    <t xml:space="preserve">YB7000365</t>
  </si>
  <si>
    <t xml:space="preserve">406-01</t>
  </si>
  <si>
    <t xml:space="preserve">5497-02-6V0005</t>
  </si>
  <si>
    <t xml:space="preserve">NC7003954</t>
  </si>
  <si>
    <t xml:space="preserve">406-02</t>
  </si>
  <si>
    <t xml:space="preserve">YB5000299</t>
  </si>
  <si>
    <t xml:space="preserve">406-03</t>
  </si>
  <si>
    <t xml:space="preserve">YB7000946</t>
  </si>
  <si>
    <t xml:space="preserve">406-04</t>
  </si>
  <si>
    <t xml:space="preserve">YB7000947</t>
  </si>
  <si>
    <t xml:space="preserve">398-01</t>
  </si>
  <si>
    <t xml:space="preserve">5497-02-4B2010</t>
  </si>
  <si>
    <t xml:space="preserve">YB5000520</t>
  </si>
  <si>
    <t xml:space="preserve">312-01</t>
  </si>
  <si>
    <t xml:space="preserve">5497-02-5D2010</t>
  </si>
  <si>
    <t xml:space="preserve">NC7003584</t>
  </si>
  <si>
    <t xml:space="preserve">312-02</t>
  </si>
  <si>
    <t xml:space="preserve">YB5000454</t>
  </si>
  <si>
    <t xml:space="preserve">312-03</t>
  </si>
  <si>
    <t xml:space="preserve">PHLKP02274</t>
  </si>
  <si>
    <t xml:space="preserve">312-04</t>
  </si>
  <si>
    <t xml:space="preserve">PHLKP02279</t>
  </si>
  <si>
    <t xml:space="preserve">312-05</t>
  </si>
  <si>
    <t xml:space="preserve">PHLKP02301</t>
  </si>
  <si>
    <t xml:space="preserve">312-06</t>
  </si>
  <si>
    <t xml:space="preserve">PHLKP02303</t>
  </si>
  <si>
    <t xml:space="preserve">312-07</t>
  </si>
  <si>
    <t xml:space="preserve">PHLKP02304</t>
  </si>
  <si>
    <t xml:space="preserve">312-08</t>
  </si>
  <si>
    <t xml:space="preserve">PHLKP02685</t>
  </si>
  <si>
    <t xml:space="preserve">312-09</t>
  </si>
  <si>
    <t xml:space="preserve">PHLKQ02318</t>
  </si>
  <si>
    <t xml:space="preserve">313-01</t>
  </si>
  <si>
    <t xml:space="preserve">5497-02-5D2011</t>
  </si>
  <si>
    <t xml:space="preserve">PHLKP02300</t>
  </si>
  <si>
    <t xml:space="preserve">314-01</t>
  </si>
  <si>
    <t xml:space="preserve">5497-02-5D2012</t>
  </si>
  <si>
    <t xml:space="preserve">PHLKQ02320</t>
  </si>
  <si>
    <t xml:space="preserve">315-01</t>
  </si>
  <si>
    <t xml:space="preserve">5497-02-5D2013</t>
  </si>
  <si>
    <t xml:space="preserve">PHLKQ02322</t>
  </si>
  <si>
    <t xml:space="preserve">316-01</t>
  </si>
  <si>
    <t xml:space="preserve">5497-02-5D2014</t>
  </si>
  <si>
    <t xml:space="preserve">PHLKQ02326</t>
  </si>
  <si>
    <t xml:space="preserve">336-01</t>
  </si>
  <si>
    <t xml:space="preserve">5497-02-6E3007</t>
  </si>
  <si>
    <t xml:space="preserve">NC7003674</t>
  </si>
  <si>
    <t xml:space="preserve">368-01</t>
  </si>
  <si>
    <t xml:space="preserve">5497-02-6T0007</t>
  </si>
  <si>
    <t xml:space="preserve">NC7003388</t>
  </si>
  <si>
    <t xml:space="preserve">368-02</t>
  </si>
  <si>
    <t xml:space="preserve">PHLKQ02323</t>
  </si>
  <si>
    <t xml:space="preserve">428-01</t>
  </si>
  <si>
    <t xml:space="preserve">5497-02-6E3011</t>
  </si>
  <si>
    <t xml:space="preserve">金湖</t>
  </si>
  <si>
    <t xml:space="preserve">NC7004089</t>
  </si>
  <si>
    <t xml:space="preserve">188-01</t>
  </si>
  <si>
    <t xml:space="preserve">5497-02-7S4002</t>
  </si>
  <si>
    <t xml:space="preserve">通路行銷處</t>
  </si>
  <si>
    <t xml:space="preserve">管理三部</t>
  </si>
  <si>
    <t xml:space="preserve">NC7003615</t>
  </si>
  <si>
    <t xml:space="preserve">212-01</t>
  </si>
  <si>
    <t xml:space="preserve">5497-02-7S4001</t>
  </si>
  <si>
    <t xml:space="preserve">YB5000450</t>
  </si>
  <si>
    <r>
      <rPr>
        <b val="true"/>
        <sz val="12"/>
        <color rgb="FF000000"/>
        <rFont val="微軟正黑體 Light"/>
        <family val="2"/>
        <charset val="136"/>
      </rPr>
      <t xml:space="preserve">1-6</t>
    </r>
    <r>
      <rPr>
        <b val="true"/>
        <sz val="12"/>
        <color rgb="FF000000"/>
        <rFont val="新細明體"/>
        <family val="2"/>
        <charset val="136"/>
      </rPr>
      <t xml:space="preserve">月張數多計，待抵扣到正數才計價</t>
    </r>
  </si>
  <si>
    <t xml:space="preserve">185-02</t>
  </si>
  <si>
    <t xml:space="preserve">5497-02-7H3001</t>
  </si>
  <si>
    <t xml:space="preserve">通路營運三處</t>
  </si>
  <si>
    <r>
      <rPr>
        <b val="true"/>
        <sz val="12"/>
        <color rgb="FF000000"/>
        <rFont val="新細明體"/>
        <family val="2"/>
        <charset val="136"/>
      </rPr>
      <t xml:space="preserve">桃園辦公室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中壢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</si>
  <si>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NC7003603</t>
  </si>
  <si>
    <r>
      <rPr>
        <b val="true"/>
        <sz val="12"/>
        <color rgb="FF000000"/>
        <rFont val="微軟正黑體 Light"/>
        <family val="2"/>
        <charset val="136"/>
      </rPr>
      <t xml:space="preserve">1~6</t>
    </r>
    <r>
      <rPr>
        <b val="true"/>
        <sz val="12"/>
        <color rgb="FF000000"/>
        <rFont val="新細明體"/>
        <family val="2"/>
        <charset val="136"/>
      </rPr>
      <t xml:space="preserve">月
列印量
扣除</t>
    </r>
    <r>
      <rPr>
        <b val="true"/>
        <sz val="12"/>
        <color rgb="FF000000"/>
        <rFont val="微軟正黑體 Light"/>
        <family val="2"/>
        <charset val="136"/>
      </rPr>
      <t xml:space="preserve">3%</t>
    </r>
    <r>
      <rPr>
        <b val="true"/>
        <sz val="12"/>
        <color rgb="FF000000"/>
        <rFont val="新細明體"/>
        <family val="2"/>
        <charset val="136"/>
      </rPr>
      <t xml:space="preserve">誤印率</t>
    </r>
  </si>
  <si>
    <t xml:space="preserve">黑色</t>
  </si>
  <si>
    <t xml:space="preserve">彩色</t>
  </si>
  <si>
    <t xml:space="preserve">1-6月</t>
  </si>
  <si>
    <t xml:space="preserve">7月</t>
  </si>
  <si>
    <t xml:space="preserve">初始
總頁數</t>
  </si>
  <si>
    <t xml:space="preserve">本月
總頁數</t>
  </si>
  <si>
    <r>
      <rPr>
        <b val="true"/>
        <sz val="12"/>
        <color rgb="FF000000"/>
        <rFont val="微軟正黑體 Light"/>
        <family val="2"/>
        <charset val="136"/>
      </rPr>
      <t xml:space="preserve">7</t>
    </r>
    <r>
      <rPr>
        <b val="true"/>
        <sz val="12"/>
        <color rgb="FF000000"/>
        <rFont val="新細明體"/>
        <family val="2"/>
        <charset val="136"/>
      </rPr>
      <t xml:space="preserve">月
列印量</t>
    </r>
  </si>
  <si>
    <r>
      <rPr>
        <b val="true"/>
        <sz val="12"/>
        <color rgb="FF000000"/>
        <rFont val="微軟正黑體 Light"/>
        <family val="2"/>
        <charset val="136"/>
      </rPr>
      <t xml:space="preserve">7</t>
    </r>
    <r>
      <rPr>
        <b val="true"/>
        <sz val="12"/>
        <color rgb="FF000000"/>
        <rFont val="新細明體"/>
        <family val="2"/>
        <charset val="136"/>
      </rPr>
      <t xml:space="preserve">月
列印量
扣除</t>
    </r>
    <r>
      <rPr>
        <b val="true"/>
        <sz val="12"/>
        <color rgb="FF000000"/>
        <rFont val="微軟正黑體 Light"/>
        <family val="2"/>
        <charset val="136"/>
      </rPr>
      <t xml:space="preserve">3%</t>
    </r>
    <r>
      <rPr>
        <b val="true"/>
        <sz val="12"/>
        <color rgb="FF000000"/>
        <rFont val="新細明體"/>
        <family val="2"/>
        <charset val="136"/>
      </rPr>
      <t xml:space="preserve">誤印率</t>
    </r>
  </si>
  <si>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單</t>
    </r>
    <r>
      <rPr>
        <b val="true"/>
        <sz val="12"/>
        <color rgb="FF000000"/>
        <rFont val="微軟正黑體 Light"/>
        <family val="2"/>
        <charset val="136"/>
      </rPr>
      <t xml:space="preserve">)</t>
    </r>
    <r>
      <rPr>
        <b val="true"/>
        <sz val="12"/>
        <color rgb="FF000000"/>
        <rFont val="新細明體"/>
        <family val="2"/>
        <charset val="136"/>
      </rPr>
      <t xml:space="preserve">門市列印量
扣除</t>
    </r>
    <r>
      <rPr>
        <b val="true"/>
        <sz val="12"/>
        <color rgb="FF000000"/>
        <rFont val="微軟正黑體 Light"/>
        <family val="2"/>
        <charset val="136"/>
      </rPr>
      <t xml:space="preserve">3%</t>
    </r>
    <r>
      <rPr>
        <b val="true"/>
        <sz val="12"/>
        <color rgb="FF000000"/>
        <rFont val="新細明體"/>
        <family val="2"/>
        <charset val="136"/>
      </rPr>
      <t xml:space="preserve">誤印率</t>
    </r>
  </si>
  <si>
    <r>
      <rPr>
        <b val="true"/>
        <sz val="12"/>
        <color rgb="FF000000"/>
        <rFont val="新細明體"/>
        <family val="2"/>
        <charset val="136"/>
      </rPr>
      <t xml:space="preserve">黑色單價
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含稅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</si>
  <si>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單</t>
    </r>
    <r>
      <rPr>
        <b val="true"/>
        <sz val="12"/>
        <color rgb="FF000000"/>
        <rFont val="微軟正黑體 Light"/>
        <family val="2"/>
        <charset val="136"/>
      </rPr>
      <t xml:space="preserve">)</t>
    </r>
    <r>
      <rPr>
        <b val="true"/>
        <sz val="12"/>
        <color rgb="FF000000"/>
        <rFont val="新細明體"/>
        <family val="2"/>
        <charset val="136"/>
      </rPr>
      <t xml:space="preserve">門市黑色
列印費用</t>
    </r>
  </si>
  <si>
    <r>
      <rPr>
        <b val="true"/>
        <sz val="12"/>
        <color rgb="FF000000"/>
        <rFont val="新細明體"/>
        <family val="2"/>
        <charset val="136"/>
      </rPr>
      <t xml:space="preserve">彩色單價
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含稅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</si>
  <si>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單</t>
    </r>
    <r>
      <rPr>
        <b val="true"/>
        <sz val="12"/>
        <color rgb="FF000000"/>
        <rFont val="微軟正黑體 Light"/>
        <family val="2"/>
        <charset val="136"/>
      </rPr>
      <t xml:space="preserve">)</t>
    </r>
    <r>
      <rPr>
        <b val="true"/>
        <sz val="12"/>
        <color rgb="FF000000"/>
        <rFont val="新細明體"/>
        <family val="2"/>
        <charset val="136"/>
      </rPr>
      <t xml:space="preserve">門市彩色
列印費用</t>
    </r>
  </si>
  <si>
    <t xml:space="preserve">1163</t>
  </si>
  <si>
    <t xml:space="preserve">129-01</t>
  </si>
  <si>
    <t xml:space="preserve">5497-02-4N1001</t>
  </si>
  <si>
    <t xml:space="preserve">1164</t>
  </si>
  <si>
    <t xml:space="preserve">129-02</t>
  </si>
  <si>
    <t xml:space="preserve">1165</t>
  </si>
  <si>
    <t xml:space="preserve">129-03</t>
  </si>
  <si>
    <t xml:space="preserve">1166</t>
  </si>
  <si>
    <t xml:space="preserve">129-04</t>
  </si>
  <si>
    <t xml:space="preserve">8月</t>
  </si>
  <si>
    <t xml:space="preserve">9月</t>
  </si>
  <si>
    <r>
      <rPr>
        <b val="true"/>
        <sz val="12"/>
        <color rgb="FF000000"/>
        <rFont val="微軟正黑體 Light"/>
        <family val="2"/>
        <charset val="136"/>
      </rPr>
      <t xml:space="preserve">1-6</t>
    </r>
    <r>
      <rPr>
        <b val="true"/>
        <sz val="12"/>
        <color rgb="FF000000"/>
        <rFont val="新細明體"/>
        <family val="2"/>
        <charset val="136"/>
      </rPr>
      <t xml:space="preserve">月
總頁數</t>
    </r>
  </si>
  <si>
    <r>
      <rPr>
        <b val="true"/>
        <sz val="12"/>
        <color rgb="FF000000"/>
        <rFont val="微軟正黑體 Light"/>
        <family val="2"/>
        <charset val="136"/>
      </rPr>
      <t xml:space="preserve">1-6</t>
    </r>
    <r>
      <rPr>
        <b val="true"/>
        <sz val="12"/>
        <color rgb="FF000000"/>
        <rFont val="新細明體"/>
        <family val="2"/>
        <charset val="136"/>
      </rPr>
      <t xml:space="preserve">月
列印量</t>
    </r>
  </si>
  <si>
    <r>
      <rPr>
        <b val="true"/>
        <sz val="12"/>
        <color rgb="FF000000"/>
        <rFont val="微軟正黑體 Light"/>
        <family val="2"/>
        <charset val="136"/>
      </rPr>
      <t xml:space="preserve">1-6</t>
    </r>
    <r>
      <rPr>
        <b val="true"/>
        <sz val="12"/>
        <color rgb="FF000000"/>
        <rFont val="新細明體"/>
        <family val="2"/>
        <charset val="136"/>
      </rPr>
      <t xml:space="preserve">月
列印量
扣除</t>
    </r>
    <r>
      <rPr>
        <b val="true"/>
        <sz val="12"/>
        <color rgb="FF000000"/>
        <rFont val="微軟正黑體 Light"/>
        <family val="2"/>
        <charset val="136"/>
      </rPr>
      <t xml:space="preserve">3%</t>
    </r>
    <r>
      <rPr>
        <b val="true"/>
        <sz val="12"/>
        <color rgb="FF000000"/>
        <rFont val="新細明體"/>
        <family val="2"/>
        <charset val="136"/>
      </rPr>
      <t xml:space="preserve">誤印率</t>
    </r>
  </si>
  <si>
    <r>
      <rPr>
        <b val="true"/>
        <sz val="12"/>
        <color rgb="FF000000"/>
        <rFont val="微軟正黑體 Light"/>
        <family val="2"/>
        <charset val="136"/>
      </rPr>
      <t xml:space="preserve">7</t>
    </r>
    <r>
      <rPr>
        <b val="true"/>
        <sz val="12"/>
        <color rgb="FF000000"/>
        <rFont val="新細明體"/>
        <family val="2"/>
        <charset val="136"/>
      </rPr>
      <t xml:space="preserve">月
總頁數</t>
    </r>
  </si>
  <si>
    <r>
      <rPr>
        <b val="true"/>
        <sz val="12"/>
        <color rgb="FF000000"/>
        <rFont val="微軟正黑體 Light"/>
        <family val="2"/>
        <charset val="136"/>
      </rPr>
      <t xml:space="preserve">8</t>
    </r>
    <r>
      <rPr>
        <b val="true"/>
        <sz val="12"/>
        <color rgb="FF000000"/>
        <rFont val="新細明體"/>
        <family val="2"/>
        <charset val="136"/>
      </rPr>
      <t xml:space="preserve">月
總頁數</t>
    </r>
  </si>
  <si>
    <r>
      <rPr>
        <b val="true"/>
        <sz val="12"/>
        <color rgb="FF000000"/>
        <rFont val="微軟正黑體 Light"/>
        <family val="2"/>
        <charset val="136"/>
      </rPr>
      <t xml:space="preserve">8</t>
    </r>
    <r>
      <rPr>
        <b val="true"/>
        <sz val="12"/>
        <color rgb="FF000000"/>
        <rFont val="新細明體"/>
        <family val="2"/>
        <charset val="136"/>
      </rPr>
      <t xml:space="preserve">月
列印量</t>
    </r>
  </si>
  <si>
    <r>
      <rPr>
        <b val="true"/>
        <sz val="12"/>
        <color rgb="FF000000"/>
        <rFont val="微軟正黑體 Light"/>
        <family val="2"/>
        <charset val="136"/>
      </rPr>
      <t xml:space="preserve">8</t>
    </r>
    <r>
      <rPr>
        <b val="true"/>
        <sz val="12"/>
        <color rgb="FF000000"/>
        <rFont val="新細明體"/>
        <family val="2"/>
        <charset val="136"/>
      </rPr>
      <t xml:space="preserve">月
列印量
扣除</t>
    </r>
    <r>
      <rPr>
        <b val="true"/>
        <sz val="12"/>
        <color rgb="FF000000"/>
        <rFont val="微軟正黑體 Light"/>
        <family val="2"/>
        <charset val="136"/>
      </rPr>
      <t xml:space="preserve">3%</t>
    </r>
    <r>
      <rPr>
        <b val="true"/>
        <sz val="12"/>
        <color rgb="FF000000"/>
        <rFont val="新細明體"/>
        <family val="2"/>
        <charset val="136"/>
      </rPr>
      <t xml:space="preserve">誤印率</t>
    </r>
  </si>
  <si>
    <r>
      <rPr>
        <b val="true"/>
        <sz val="12"/>
        <color rgb="FF000000"/>
        <rFont val="微軟正黑體 Light"/>
        <family val="2"/>
        <charset val="136"/>
      </rPr>
      <t xml:space="preserve">9</t>
    </r>
    <r>
      <rPr>
        <b val="true"/>
        <sz val="12"/>
        <color rgb="FF000000"/>
        <rFont val="新細明體"/>
        <family val="2"/>
        <charset val="136"/>
      </rPr>
      <t xml:space="preserve">月
列印量</t>
    </r>
  </si>
  <si>
    <r>
      <rPr>
        <b val="true"/>
        <sz val="12"/>
        <color rgb="FF000000"/>
        <rFont val="微軟正黑體 Light"/>
        <family val="2"/>
        <charset val="136"/>
      </rPr>
      <t xml:space="preserve">9</t>
    </r>
    <r>
      <rPr>
        <b val="true"/>
        <sz val="12"/>
        <color rgb="FF000000"/>
        <rFont val="新細明體"/>
        <family val="2"/>
        <charset val="136"/>
      </rPr>
      <t xml:space="preserve">月
列印量
扣除</t>
    </r>
    <r>
      <rPr>
        <b val="true"/>
        <sz val="12"/>
        <color rgb="FF000000"/>
        <rFont val="微軟正黑體 Light"/>
        <family val="2"/>
        <charset val="136"/>
      </rPr>
      <t xml:space="preserve">3%</t>
    </r>
    <r>
      <rPr>
        <b val="true"/>
        <sz val="12"/>
        <color rgb="FF000000"/>
        <rFont val="新細明體"/>
        <family val="2"/>
        <charset val="136"/>
      </rPr>
      <t xml:space="preserve">誤印率</t>
    </r>
  </si>
  <si>
    <t xml:space="preserve">1</t>
  </si>
  <si>
    <t xml:space="preserve">2</t>
  </si>
  <si>
    <t xml:space="preserve">3</t>
  </si>
  <si>
    <r>
      <rPr>
        <b val="true"/>
        <sz val="12"/>
        <color rgb="FF000000"/>
        <rFont val="新細明體"/>
        <family val="1"/>
        <charset val="136"/>
      </rPr>
      <t xml:space="preserve">門市</t>
    </r>
    <r>
      <rPr>
        <b val="true"/>
        <sz val="12"/>
        <color rgb="FF000000"/>
        <rFont val="微軟正黑體 Light"/>
        <family val="2"/>
        <charset val="136"/>
      </rPr>
      <t xml:space="preserve">/</t>
    </r>
    <r>
      <rPr>
        <b val="true"/>
        <sz val="12"/>
        <color rgb="FF000000"/>
        <rFont val="新細明體"/>
        <family val="1"/>
        <charset val="136"/>
      </rPr>
      <t xml:space="preserve">辦公室總計</t>
    </r>
  </si>
  <si>
    <t xml:space="preserve">黑色列印量</t>
  </si>
  <si>
    <t xml:space="preserve">彩色列印量</t>
  </si>
  <si>
    <r>
      <rPr>
        <b val="true"/>
        <sz val="12"/>
        <color rgb="FF000000"/>
        <rFont val="新細明體"/>
        <family val="1"/>
        <charset val="136"/>
      </rPr>
      <t xml:space="preserve">機器台數</t>
    </r>
    <r>
      <rPr>
        <b val="true"/>
        <sz val="12"/>
        <color rgb="FF000000"/>
        <rFont val="微軟正黑體 Light"/>
        <family val="2"/>
        <charset val="136"/>
      </rPr>
      <t xml:space="preserve">/</t>
    </r>
    <r>
      <rPr>
        <b val="true"/>
        <sz val="12"/>
        <color rgb="FF000000"/>
        <rFont val="新細明體"/>
        <family val="1"/>
        <charset val="136"/>
      </rPr>
      <t xml:space="preserve">列印小計</t>
    </r>
  </si>
  <si>
    <r>
      <rPr>
        <b val="true"/>
        <sz val="12"/>
        <color rgb="FF000000"/>
        <rFont val="新細明體"/>
        <family val="1"/>
        <charset val="136"/>
      </rPr>
      <t xml:space="preserve">黑色小計</t>
    </r>
    <r>
      <rPr>
        <b val="true"/>
        <sz val="12"/>
        <color rgb="FF000000"/>
        <rFont val="微軟正黑體 Light"/>
        <family val="2"/>
        <charset val="136"/>
      </rPr>
      <t xml:space="preserve">/</t>
    </r>
    <r>
      <rPr>
        <b val="true"/>
        <sz val="12"/>
        <color rgb="FF000000"/>
        <rFont val="新細明體"/>
        <family val="1"/>
        <charset val="136"/>
      </rPr>
      <t xml:space="preserve">彩色小計</t>
    </r>
  </si>
  <si>
    <r>
      <rPr>
        <b val="true"/>
        <sz val="12"/>
        <color rgb="FF000000"/>
        <rFont val="新細明體"/>
        <family val="1"/>
        <charset val="136"/>
      </rPr>
      <t xml:space="preserve">門市</t>
    </r>
    <r>
      <rPr>
        <b val="true"/>
        <sz val="12"/>
        <color rgb="FF000000"/>
        <rFont val="微軟正黑體 Light"/>
        <family val="2"/>
        <charset val="136"/>
      </rPr>
      <t xml:space="preserve">/</t>
    </r>
    <r>
      <rPr>
        <b val="true"/>
        <sz val="12"/>
        <color rgb="FF000000"/>
        <rFont val="新細明體"/>
        <family val="1"/>
        <charset val="136"/>
      </rPr>
      <t xml:space="preserve">辦公室小計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1"/>
        <charset val="136"/>
      </rPr>
      <t xml:space="preserve">含稅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</si>
  <si>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t xml:space="preserve">小計</t>
  </si>
  <si>
    <t xml:space="preserve">稅金</t>
  </si>
  <si>
    <t xml:space="preserve">總額</t>
  </si>
  <si>
    <t xml:space="preserve">編碼</t>
  </si>
  <si>
    <t xml:space="preserve">人員</t>
  </si>
  <si>
    <t xml:space="preserve">ZV1</t>
  </si>
  <si>
    <t xml:space="preserve">ZF</t>
  </si>
  <si>
    <t xml:space="preserve">I</t>
  </si>
  <si>
    <t xml:space="preserve">ZV2</t>
  </si>
  <si>
    <t xml:space="preserve">ZP</t>
  </si>
  <si>
    <t xml:space="preserve">ZC</t>
  </si>
  <si>
    <t xml:space="preserve">ZE</t>
  </si>
  <si>
    <t xml:space="preserve">Z25</t>
  </si>
  <si>
    <r>
      <rPr>
        <b val="true"/>
        <sz val="12"/>
        <color rgb="FF000000"/>
        <rFont val="微軟正黑體 Light"/>
        <family val="2"/>
        <charset val="136"/>
      </rPr>
      <t xml:space="preserve">ZV2-</t>
    </r>
    <r>
      <rPr>
        <b val="true"/>
        <sz val="12"/>
        <color rgb="FF000000"/>
        <rFont val="新細明體"/>
        <family val="2"/>
        <charset val="136"/>
      </rPr>
      <t xml:space="preserve">客</t>
    </r>
  </si>
  <si>
    <r>
      <rPr>
        <b val="true"/>
        <sz val="12"/>
        <color rgb="FF000000"/>
        <rFont val="新細明體"/>
        <family val="2"/>
        <charset val="136"/>
      </rPr>
      <t xml:space="preserve">桃園國際機場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一航入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</si>
  <si>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新細明體"/>
        <family val="2"/>
        <charset val="136"/>
      </rPr>
      <t xml:space="preserve">桃園國際機場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一航出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</si>
  <si>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新細明體"/>
        <family val="2"/>
        <charset val="136"/>
      </rPr>
      <t xml:space="preserve">桃園國際機場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一航入管制區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</si>
  <si>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新細明體"/>
        <family val="2"/>
        <charset val="136"/>
      </rPr>
      <t xml:space="preserve">桃園國際機場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二航出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</si>
  <si>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新細明體"/>
        <family val="2"/>
        <charset val="136"/>
      </rPr>
      <t xml:space="preserve">桃園國際機場</t>
    </r>
    <r>
      <rPr>
        <b val="true"/>
        <sz val="12"/>
        <color rgb="FF000000"/>
        <rFont val="微軟正黑體 Light"/>
        <family val="2"/>
        <charset val="136"/>
      </rPr>
      <t xml:space="preserve">(</t>
    </r>
    <r>
      <rPr>
        <b val="true"/>
        <sz val="12"/>
        <color rgb="FF000000"/>
        <rFont val="新細明體"/>
        <family val="2"/>
        <charset val="136"/>
      </rPr>
      <t xml:space="preserve">二航入</t>
    </r>
    <r>
      <rPr>
        <b val="true"/>
        <sz val="12"/>
        <color rgb="FF000000"/>
        <rFont val="微軟正黑體 Light"/>
        <family val="2"/>
        <charset val="136"/>
      </rPr>
      <t xml:space="preserve">)</t>
    </r>
  </si>
  <si>
    <r>
      <rPr>
        <b val="true"/>
        <sz val="12"/>
        <color rgb="FF000000"/>
        <rFont val="微軟正黑體 Light"/>
        <family val="2"/>
        <charset val="136"/>
      </rPr>
      <t xml:space="preserve">Z25-</t>
    </r>
    <r>
      <rPr>
        <b val="true"/>
        <sz val="12"/>
        <color rgb="FF000000"/>
        <rFont val="新細明體"/>
        <family val="2"/>
        <charset val="136"/>
      </rPr>
      <t xml:space="preserve">客</t>
    </r>
  </si>
  <si>
    <r>
      <rPr>
        <b val="true"/>
        <sz val="12"/>
        <color rgb="FF000000"/>
        <rFont val="微軟正黑體 Light"/>
        <family val="2"/>
        <charset val="136"/>
      </rPr>
      <t xml:space="preserve">ZP-</t>
    </r>
    <r>
      <rPr>
        <b val="true"/>
        <sz val="12"/>
        <color rgb="FF000000"/>
        <rFont val="新細明體"/>
        <family val="2"/>
        <charset val="136"/>
      </rPr>
      <t xml:space="preserve">客</t>
    </r>
  </si>
  <si>
    <t xml:space="preserve">連</t>
  </si>
  <si>
    <t xml:space="preserve">番路</t>
  </si>
  <si>
    <t xml:space="preserve">貢寮</t>
  </si>
  <si>
    <t xml:space="preserve">合計</t>
  </si>
  <si>
    <t xml:space="preserve">A</t>
  </si>
  <si>
    <t xml:space="preserve">台北</t>
  </si>
  <si>
    <t xml:space="preserve">N</t>
  </si>
  <si>
    <t xml:space="preserve">B</t>
  </si>
  <si>
    <t xml:space="preserve">台中</t>
  </si>
  <si>
    <t xml:space="preserve">O</t>
  </si>
  <si>
    <t xml:space="preserve">新竹市</t>
  </si>
  <si>
    <t xml:space="preserve">C</t>
  </si>
  <si>
    <t xml:space="preserve">P</t>
  </si>
  <si>
    <t xml:space="preserve">雲林</t>
  </si>
  <si>
    <t xml:space="preserve">D</t>
  </si>
  <si>
    <t xml:space="preserve">Q</t>
  </si>
  <si>
    <t xml:space="preserve">嘉義縣</t>
  </si>
  <si>
    <t xml:space="preserve">E</t>
  </si>
  <si>
    <t xml:space="preserve">R</t>
  </si>
  <si>
    <t xml:space="preserve">管理</t>
  </si>
  <si>
    <t xml:space="preserve">F</t>
  </si>
  <si>
    <t xml:space="preserve">新北</t>
  </si>
  <si>
    <t xml:space="preserve">S</t>
  </si>
  <si>
    <t xml:space="preserve">行銷</t>
  </si>
  <si>
    <t xml:space="preserve">G</t>
  </si>
  <si>
    <t xml:space="preserve">T</t>
  </si>
  <si>
    <t xml:space="preserve">H</t>
  </si>
  <si>
    <t xml:space="preserve">U</t>
  </si>
  <si>
    <t xml:space="preserve">嘉義市</t>
  </si>
  <si>
    <t xml:space="preserve">V</t>
  </si>
  <si>
    <t xml:space="preserve">J</t>
  </si>
  <si>
    <t xml:space="preserve">新竹縣</t>
  </si>
  <si>
    <t xml:space="preserve">W</t>
  </si>
  <si>
    <t xml:space="preserve">金門</t>
  </si>
  <si>
    <t xml:space="preserve">K</t>
  </si>
  <si>
    <t xml:space="preserve">X</t>
  </si>
  <si>
    <t xml:space="preserve">澎湖</t>
  </si>
  <si>
    <t xml:space="preserve">L</t>
  </si>
  <si>
    <t xml:space="preserve">通路營運</t>
  </si>
  <si>
    <t xml:space="preserve">Y</t>
  </si>
  <si>
    <t xml:space="preserve">M</t>
  </si>
  <si>
    <t xml:space="preserve">Z</t>
  </si>
  <si>
    <t xml:space="preserve">連江</t>
  </si>
  <si>
    <t xml:space="preserve">1~6</t>
  </si>
  <si>
    <t xml:space="preserve">營業處</t>
  </si>
  <si>
    <t xml:space="preserve">通路</t>
  </si>
  <si>
    <t xml:space="preserve">項目名稱</t>
  </si>
  <si>
    <t xml:space="preserve">租賃數量</t>
  </si>
  <si>
    <t xml:space="preserve">列印單價(含稅)</t>
  </si>
  <si>
    <t xml:space="preserve">黑白單張</t>
  </si>
  <si>
    <t xml:space="preserve">彩色單張</t>
  </si>
  <si>
    <t xml:space="preserve">(黑白)單功能事務機
型號:
環章編號:</t>
  </si>
  <si>
    <t xml:space="preserve">事務機計數器跳表次數之計算，不論紙張大小、黑白或彩色，每次影印一律以每張(1次)計數(單面計數1次，雙面計數2次)</t>
  </si>
  <si>
    <t xml:space="preserve">(黑白)多功能事務機
型號:
環章編號:</t>
  </si>
  <si>
    <t xml:space="preserve">(彩色)多功能事務機
型號:
環章編號:</t>
  </si>
  <si>
    <t xml:space="preserve">4年(48個月)總金額合計新臺幣</t>
  </si>
  <si>
    <t xml:space="preserve">元</t>
  </si>
  <si>
    <t xml:space="preserve">合約期間:裝機日至118年1月4日，後續續約1年。</t>
  </si>
  <si>
    <t xml:space="preserve">案  號：113GA011號於114年1月16日開標，自決標日起至118年1月4日止，共48期，無論實際裝機時間長短，</t>
  </si>
  <si>
    <t xml:space="preserve">本契約租賃期間屆滿即所有機台停止租賃，如雙方合作良好，本公司得視需求於契約屆滿前30日通知得標</t>
  </si>
  <si>
    <t xml:space="preserve">廠商依本契約相同條件續約一年，並以一次為限。</t>
  </si>
  <si>
    <t xml:space="preserve">*計費方式:無月租費，列印實印實收需扣誤印率3%，主機板故障取前三個月平均用量。</t>
  </si>
  <si>
    <t xml:space="preserve">*每月5日前提供請款資料(工程師抄表單電子檔、用量頁電子檔、Excel表)給李欣慈，20日開電子發票e-mail:carali@honghwa.com.tw李欣慈。</t>
  </si>
  <si>
    <t xml:space="preserve">*人損另報價李欣慈，口頭告知機器進水或蟑螂機不維修以換機處理。</t>
  </si>
  <si>
    <t xml:space="preserve">*長假或過年提供值班表。</t>
  </si>
  <si>
    <t xml:space="preserve">*年底會提早關帳，要確認開發票時間。</t>
  </si>
  <si>
    <t xml:space="preserve">*空匣需工程師抄表回收，遺失空匣支付300元未稅。</t>
  </si>
  <si>
    <t xml:space="preserve">  遺失全新碳粉匣依照"共同共應契約的公告價格"收費。(114/3/5 jason e-mail欣慈)</t>
  </si>
  <si>
    <t xml:space="preserve">*danny提出希望閉點或移機請提早半個月通知。</t>
  </si>
  <si>
    <t xml:space="preserve">*全案驗收提供裝機確認書+初始用量頁電子檔免紙本，裝機確認書+初始用量頁為一組，多台即照順序掃在一起，門市為一個檔案，安裝完畢一次給(以處、部區分)。</t>
  </si>
  <si>
    <t xml:space="preserve">序號</t>
  </si>
  <si>
    <t xml:space="preserve">設備編號</t>
  </si>
  <si>
    <t xml:space="preserve">惠傑申請型號</t>
  </si>
  <si>
    <t xml:space="preserve">現有型號</t>
  </si>
  <si>
    <t xml:space="preserve">地址</t>
  </si>
  <si>
    <t xml:space="preserve">電話</t>
  </si>
  <si>
    <t xml:space="preserve">營業時間</t>
  </si>
  <si>
    <t xml:space="preserve">AT701</t>
  </si>
  <si>
    <t xml:space="preserve">L6400DW</t>
  </si>
  <si>
    <t xml:space="preserve">黑白單功能</t>
  </si>
  <si>
    <t xml:space="preserve">基隆市仁愛區仁一路321號</t>
  </si>
  <si>
    <t xml:space="preserve">02-24210467</t>
  </si>
  <si>
    <t xml:space="preserve">週一至週五 09:00~21:00
週六至週日 13:00~21:00</t>
  </si>
  <si>
    <t xml:space="preserve">AT704</t>
  </si>
  <si>
    <t xml:space="preserve">AT705</t>
  </si>
  <si>
    <t xml:space="preserve">4</t>
  </si>
  <si>
    <t xml:space="preserve">AT706</t>
  </si>
  <si>
    <t xml:space="preserve">5</t>
  </si>
  <si>
    <t xml:space="preserve">AT707</t>
  </si>
  <si>
    <t xml:space="preserve">6</t>
  </si>
  <si>
    <t xml:space="preserve">AT708</t>
  </si>
  <si>
    <t xml:space="preserve">7</t>
  </si>
  <si>
    <t xml:space="preserve">AT709</t>
  </si>
  <si>
    <t xml:space="preserve">8</t>
  </si>
  <si>
    <t xml:space="preserve">AT710</t>
  </si>
  <si>
    <t xml:space="preserve">9</t>
  </si>
  <si>
    <t xml:space="preserve">AT711</t>
  </si>
  <si>
    <t xml:space="preserve">AT712</t>
  </si>
  <si>
    <t xml:space="preserve">AT713</t>
  </si>
  <si>
    <t xml:space="preserve">AT714</t>
  </si>
  <si>
    <t xml:space="preserve">13</t>
  </si>
  <si>
    <t xml:space="preserve">AT715</t>
  </si>
  <si>
    <t xml:space="preserve">14</t>
  </si>
  <si>
    <t xml:space="preserve">AT716</t>
  </si>
  <si>
    <t xml:space="preserve">15</t>
  </si>
  <si>
    <t xml:space="preserve">AT717</t>
  </si>
  <si>
    <t xml:space="preserve">16</t>
  </si>
  <si>
    <t xml:space="preserve">AT718</t>
  </si>
  <si>
    <t xml:space="preserve">17</t>
  </si>
  <si>
    <t xml:space="preserve">AT719</t>
  </si>
  <si>
    <t xml:space="preserve">18</t>
  </si>
  <si>
    <t xml:space="preserve">AT725</t>
  </si>
  <si>
    <t xml:space="preserve">L6900DW</t>
  </si>
  <si>
    <t xml:space="preserve">黑白多功能</t>
  </si>
  <si>
    <t xml:space="preserve">19</t>
  </si>
  <si>
    <t xml:space="preserve">AY795</t>
  </si>
  <si>
    <t xml:space="preserve">L3750CDW</t>
  </si>
  <si>
    <t xml:space="preserve">彩色多功能</t>
  </si>
  <si>
    <t xml:space="preserve">20</t>
  </si>
  <si>
    <t xml:space="preserve">AQ897</t>
  </si>
  <si>
    <t xml:space="preserve">新北五部</t>
  </si>
  <si>
    <t xml:space="preserve">新北市三重區重新路三段27號</t>
  </si>
  <si>
    <t xml:space="preserve">02-89712002</t>
  </si>
  <si>
    <t xml:space="preserve">週一至週五09:00~21:00
週六至週日10:00~19:00</t>
  </si>
  <si>
    <t xml:space="preserve">21</t>
  </si>
  <si>
    <t xml:space="preserve">AQ898</t>
  </si>
  <si>
    <t xml:space="preserve">22</t>
  </si>
  <si>
    <t xml:space="preserve">AQ899</t>
  </si>
  <si>
    <t xml:space="preserve">23</t>
  </si>
  <si>
    <t xml:space="preserve">AQ900</t>
  </si>
  <si>
    <t xml:space="preserve">24</t>
  </si>
  <si>
    <t xml:space="preserve">AS609</t>
  </si>
  <si>
    <t xml:space="preserve">25</t>
  </si>
  <si>
    <t xml:space="preserve">AS610</t>
  </si>
  <si>
    <t xml:space="preserve">26</t>
  </si>
  <si>
    <t xml:space="preserve">AS611</t>
  </si>
  <si>
    <t xml:space="preserve">27</t>
  </si>
  <si>
    <t xml:space="preserve">AS612</t>
  </si>
  <si>
    <t xml:space="preserve">28</t>
  </si>
  <si>
    <t xml:space="preserve">AS613</t>
  </si>
  <si>
    <t xml:space="preserve">29</t>
  </si>
  <si>
    <t xml:space="preserve">AS614</t>
  </si>
  <si>
    <t xml:space="preserve">30</t>
  </si>
  <si>
    <t xml:space="preserve">AS615</t>
  </si>
  <si>
    <t xml:space="preserve">31</t>
  </si>
  <si>
    <t xml:space="preserve">AS616</t>
  </si>
  <si>
    <t xml:space="preserve">32</t>
  </si>
  <si>
    <t xml:space="preserve">AS617</t>
  </si>
  <si>
    <t xml:space="preserve">33</t>
  </si>
  <si>
    <t xml:space="preserve">AS618</t>
  </si>
  <si>
    <t xml:space="preserve">34</t>
  </si>
  <si>
    <t xml:space="preserve">AS619</t>
  </si>
  <si>
    <t xml:space="preserve">35</t>
  </si>
  <si>
    <t xml:space="preserve">AS620</t>
  </si>
  <si>
    <t xml:space="preserve">36</t>
  </si>
  <si>
    <t xml:space="preserve">AS621</t>
  </si>
  <si>
    <t xml:space="preserve">37</t>
  </si>
  <si>
    <t xml:space="preserve">AS622</t>
  </si>
  <si>
    <t xml:space="preserve">38</t>
  </si>
  <si>
    <t xml:space="preserve">AS623</t>
  </si>
  <si>
    <t xml:space="preserve">39</t>
  </si>
  <si>
    <t xml:space="preserve">AS624</t>
  </si>
  <si>
    <t xml:space="preserve">40</t>
  </si>
  <si>
    <t xml:space="preserve">AS625</t>
  </si>
  <si>
    <t xml:space="preserve">41</t>
  </si>
  <si>
    <t xml:space="preserve">AS329</t>
  </si>
  <si>
    <t xml:space="preserve">台北市信義區松仁路130號</t>
  </si>
  <si>
    <t xml:space="preserve">02-27200110</t>
  </si>
  <si>
    <t xml:space="preserve">週一至週日10:00~21:00</t>
  </si>
  <si>
    <t xml:space="preserve">42</t>
  </si>
  <si>
    <t xml:space="preserve">AS328</t>
  </si>
  <si>
    <t xml:space="preserve">43</t>
  </si>
  <si>
    <t xml:space="preserve">AS318</t>
  </si>
  <si>
    <t xml:space="preserve">44</t>
  </si>
  <si>
    <t xml:space="preserve">AS319</t>
  </si>
  <si>
    <t xml:space="preserve">45</t>
  </si>
  <si>
    <t xml:space="preserve">AS320</t>
  </si>
  <si>
    <t xml:space="preserve">46</t>
  </si>
  <si>
    <t xml:space="preserve">AS321</t>
  </si>
  <si>
    <t xml:space="preserve">47</t>
  </si>
  <si>
    <t xml:space="preserve">AS322</t>
  </si>
  <si>
    <t xml:space="preserve">48</t>
  </si>
  <si>
    <t xml:space="preserve">AS324</t>
  </si>
  <si>
    <t xml:space="preserve">49</t>
  </si>
  <si>
    <t xml:space="preserve">AS331</t>
  </si>
  <si>
    <t xml:space="preserve">50</t>
  </si>
  <si>
    <t xml:space="preserve">AS332</t>
  </si>
  <si>
    <t xml:space="preserve">51</t>
  </si>
  <si>
    <t xml:space="preserve">AS333</t>
  </si>
  <si>
    <t xml:space="preserve">52</t>
  </si>
  <si>
    <t xml:space="preserve">AQ576</t>
  </si>
  <si>
    <t xml:space="preserve">新竹市東區林森路22號</t>
  </si>
  <si>
    <t xml:space="preserve">03-5212516</t>
  </si>
  <si>
    <t xml:space="preserve">53</t>
  </si>
  <si>
    <t xml:space="preserve">AQ577</t>
  </si>
  <si>
    <t xml:space="preserve">54</t>
  </si>
  <si>
    <t xml:space="preserve">AQ578</t>
  </si>
  <si>
    <t xml:space="preserve">55</t>
  </si>
  <si>
    <t xml:space="preserve">AQ579</t>
  </si>
  <si>
    <t xml:space="preserve">56</t>
  </si>
  <si>
    <t xml:space="preserve">AQ580</t>
  </si>
  <si>
    <t xml:space="preserve">57</t>
  </si>
  <si>
    <t xml:space="preserve">AQ581</t>
  </si>
  <si>
    <t xml:space="preserve">58</t>
  </si>
  <si>
    <t xml:space="preserve">AQ582</t>
  </si>
  <si>
    <t xml:space="preserve">59</t>
  </si>
  <si>
    <t xml:space="preserve">AQ583</t>
  </si>
  <si>
    <t xml:space="preserve">60</t>
  </si>
  <si>
    <t xml:space="preserve">AQ584</t>
  </si>
  <si>
    <t xml:space="preserve">61</t>
  </si>
  <si>
    <t xml:space="preserve">AQ585</t>
  </si>
  <si>
    <t xml:space="preserve">62</t>
  </si>
  <si>
    <t xml:space="preserve">AQ586</t>
  </si>
  <si>
    <t xml:space="preserve">63</t>
  </si>
  <si>
    <t xml:space="preserve">AQ587</t>
  </si>
  <si>
    <t xml:space="preserve">64</t>
  </si>
  <si>
    <t xml:space="preserve">AQ588</t>
  </si>
  <si>
    <t xml:space="preserve">65</t>
  </si>
  <si>
    <t xml:space="preserve">AQ589</t>
  </si>
  <si>
    <t xml:space="preserve">66</t>
  </si>
  <si>
    <t xml:space="preserve">AQ590</t>
  </si>
  <si>
    <t xml:space="preserve">67</t>
  </si>
  <si>
    <t xml:space="preserve">AQ591</t>
  </si>
  <si>
    <t xml:space="preserve">68</t>
  </si>
  <si>
    <t xml:space="preserve">AQ592</t>
  </si>
  <si>
    <t xml:space="preserve">69</t>
  </si>
  <si>
    <t xml:space="preserve">AQ593</t>
  </si>
  <si>
    <t xml:space="preserve">70</t>
  </si>
  <si>
    <t xml:space="preserve">BF191</t>
  </si>
  <si>
    <t xml:space="preserve">4012i</t>
  </si>
  <si>
    <t xml:space="preserve">黑白複合機</t>
  </si>
  <si>
    <t xml:space="preserve">71</t>
  </si>
  <si>
    <t xml:space="preserve">AQ651</t>
  </si>
  <si>
    <t xml:space="preserve">台北市大安區愛國東路35-1號</t>
  </si>
  <si>
    <t xml:space="preserve">02-23968166</t>
  </si>
  <si>
    <t xml:space="preserve">週一至週五11:00~20:00
週六13:00~18:00</t>
  </si>
  <si>
    <t xml:space="preserve">72</t>
  </si>
  <si>
    <t xml:space="preserve">AQ652</t>
  </si>
  <si>
    <t xml:space="preserve">73</t>
  </si>
  <si>
    <t xml:space="preserve">AQ653</t>
  </si>
  <si>
    <t xml:space="preserve">74</t>
  </si>
  <si>
    <t xml:space="preserve">AQ654</t>
  </si>
  <si>
    <t xml:space="preserve">75</t>
  </si>
  <si>
    <t xml:space="preserve">AQ655</t>
  </si>
  <si>
    <t xml:space="preserve">76</t>
  </si>
  <si>
    <t xml:space="preserve">AQ656</t>
  </si>
  <si>
    <t xml:space="preserve">77</t>
  </si>
  <si>
    <t xml:space="preserve">AQ657</t>
  </si>
  <si>
    <t xml:space="preserve">78</t>
  </si>
  <si>
    <t xml:space="preserve">AQ661</t>
  </si>
  <si>
    <t xml:space="preserve">79</t>
  </si>
  <si>
    <t xml:space="preserve">AQ662</t>
  </si>
  <si>
    <t xml:space="preserve">80</t>
  </si>
  <si>
    <t xml:space="preserve">AQ663</t>
  </si>
  <si>
    <t xml:space="preserve">81</t>
  </si>
  <si>
    <t xml:space="preserve">AQ664</t>
  </si>
  <si>
    <t xml:space="preserve">82</t>
  </si>
  <si>
    <t xml:space="preserve">AQ665</t>
  </si>
  <si>
    <t xml:space="preserve">83</t>
  </si>
  <si>
    <t xml:space="preserve">AQ666</t>
  </si>
  <si>
    <t xml:space="preserve">84</t>
  </si>
  <si>
    <t xml:space="preserve">AQ667</t>
  </si>
  <si>
    <t xml:space="preserve">85</t>
  </si>
  <si>
    <t xml:space="preserve">AQ668</t>
  </si>
  <si>
    <t xml:space="preserve">86</t>
  </si>
  <si>
    <t xml:space="preserve">AQ669</t>
  </si>
  <si>
    <t xml:space="preserve">87</t>
  </si>
  <si>
    <t xml:space="preserve">AQ670</t>
  </si>
  <si>
    <t xml:space="preserve">88</t>
  </si>
  <si>
    <t xml:space="preserve">AV075</t>
  </si>
  <si>
    <t xml:space="preserve">89</t>
  </si>
  <si>
    <t xml:space="preserve">AT286</t>
  </si>
  <si>
    <t xml:space="preserve">台北市中山區長春路27號</t>
  </si>
  <si>
    <t xml:space="preserve">02-25813443</t>
  </si>
  <si>
    <t xml:space="preserve">週一至週五09:00~21:00
週六13:00~21:00
週日13:00~17:00</t>
  </si>
  <si>
    <t xml:space="preserve">90</t>
  </si>
  <si>
    <t xml:space="preserve">AT277</t>
  </si>
  <si>
    <t xml:space="preserve">91</t>
  </si>
  <si>
    <t xml:space="preserve">AT278</t>
  </si>
  <si>
    <t xml:space="preserve">92</t>
  </si>
  <si>
    <t xml:space="preserve">AT279</t>
  </si>
  <si>
    <t xml:space="preserve">93</t>
  </si>
  <si>
    <t xml:space="preserve">AT282</t>
  </si>
  <si>
    <t xml:space="preserve">94</t>
  </si>
  <si>
    <t xml:space="preserve">AT283</t>
  </si>
  <si>
    <t xml:space="preserve">95</t>
  </si>
  <si>
    <t xml:space="preserve">AT284</t>
  </si>
  <si>
    <t xml:space="preserve">96</t>
  </si>
  <si>
    <t xml:space="preserve">AT285</t>
  </si>
  <si>
    <t xml:space="preserve">97</t>
  </si>
  <si>
    <t xml:space="preserve">AT288</t>
  </si>
  <si>
    <t xml:space="preserve">98</t>
  </si>
  <si>
    <t xml:space="preserve">AT292</t>
  </si>
  <si>
    <t xml:space="preserve">99</t>
  </si>
  <si>
    <t xml:space="preserve">AT293</t>
  </si>
  <si>
    <t xml:space="preserve">100</t>
  </si>
  <si>
    <t xml:space="preserve">AT295</t>
  </si>
  <si>
    <t xml:space="preserve">101</t>
  </si>
  <si>
    <t xml:space="preserve">AT296</t>
  </si>
  <si>
    <t xml:space="preserve">102</t>
  </si>
  <si>
    <t xml:space="preserve">AT297</t>
  </si>
  <si>
    <t xml:space="preserve">103</t>
  </si>
  <si>
    <t xml:space="preserve">AT298</t>
  </si>
  <si>
    <t xml:space="preserve">104</t>
  </si>
  <si>
    <t xml:space="preserve">AT299</t>
  </si>
  <si>
    <t xml:space="preserve">105</t>
  </si>
  <si>
    <t xml:space="preserve">AT300</t>
  </si>
  <si>
    <t xml:space="preserve">106</t>
  </si>
  <si>
    <t xml:space="preserve">AT733</t>
  </si>
  <si>
    <t xml:space="preserve">107</t>
  </si>
  <si>
    <t xml:space="preserve">AT732</t>
  </si>
  <si>
    <t xml:space="preserve">108</t>
  </si>
  <si>
    <t xml:space="preserve">AT186</t>
  </si>
  <si>
    <t xml:space="preserve">新北市新店區民權路48號</t>
  </si>
  <si>
    <t xml:space="preserve">02-89110668</t>
  </si>
  <si>
    <t xml:space="preserve">週一至週日11:00~21:00</t>
  </si>
  <si>
    <t xml:space="preserve">109</t>
  </si>
  <si>
    <t xml:space="preserve">AT190</t>
  </si>
  <si>
    <t xml:space="preserve">110</t>
  </si>
  <si>
    <t xml:space="preserve">AT188</t>
  </si>
  <si>
    <t xml:space="preserve">111</t>
  </si>
  <si>
    <t xml:space="preserve">AT187</t>
  </si>
  <si>
    <t xml:space="preserve">112</t>
  </si>
  <si>
    <t xml:space="preserve">AT189</t>
  </si>
  <si>
    <t xml:space="preserve">113</t>
  </si>
  <si>
    <t xml:space="preserve">AY866</t>
  </si>
  <si>
    <t xml:space="preserve">114</t>
  </si>
  <si>
    <t xml:space="preserve">AQ175</t>
  </si>
  <si>
    <t xml:space="preserve">台北市中正區羅斯福路四段76號</t>
  </si>
  <si>
    <t xml:space="preserve">02-23698868</t>
  </si>
  <si>
    <t xml:space="preserve">115</t>
  </si>
  <si>
    <t xml:space="preserve">AQ632</t>
  </si>
  <si>
    <t xml:space="preserve">116</t>
  </si>
  <si>
    <t xml:space="preserve">AQ633</t>
  </si>
  <si>
    <t xml:space="preserve">117</t>
  </si>
  <si>
    <t xml:space="preserve">AQ634</t>
  </si>
  <si>
    <t xml:space="preserve">118</t>
  </si>
  <si>
    <t xml:space="preserve">AQ635</t>
  </si>
  <si>
    <t xml:space="preserve">119</t>
  </si>
  <si>
    <t xml:space="preserve">AQ636</t>
  </si>
  <si>
    <t xml:space="preserve">120</t>
  </si>
  <si>
    <t xml:space="preserve">AQ637</t>
  </si>
  <si>
    <t xml:space="preserve">121</t>
  </si>
  <si>
    <t xml:space="preserve">AQ643</t>
  </si>
  <si>
    <t xml:space="preserve">台北市文山區木新路三段200號</t>
  </si>
  <si>
    <t xml:space="preserve">02-29399919</t>
  </si>
  <si>
    <t xml:space="preserve">週一至週日12:00~21:00</t>
  </si>
  <si>
    <t xml:space="preserve">122</t>
  </si>
  <si>
    <t xml:space="preserve">AT256</t>
  </si>
  <si>
    <t xml:space="preserve">123</t>
  </si>
  <si>
    <t xml:space="preserve">AT255</t>
  </si>
  <si>
    <t xml:space="preserve">124</t>
  </si>
  <si>
    <t xml:space="preserve">AT191</t>
  </si>
  <si>
    <t xml:space="preserve">125</t>
  </si>
  <si>
    <t xml:space="preserve">AT253</t>
  </si>
  <si>
    <t xml:space="preserve">126</t>
  </si>
  <si>
    <t xml:space="preserve">AT730</t>
  </si>
  <si>
    <t xml:space="preserve">台北市大安區和平東路一段182之2號</t>
  </si>
  <si>
    <t xml:space="preserve">02-23688688</t>
  </si>
  <si>
    <t xml:space="preserve">127</t>
  </si>
  <si>
    <t xml:space="preserve">AT729</t>
  </si>
  <si>
    <t xml:space="preserve">128</t>
  </si>
  <si>
    <t xml:space="preserve">AT728</t>
  </si>
  <si>
    <t xml:space="preserve">129</t>
  </si>
  <si>
    <t xml:space="preserve">AT727</t>
  </si>
  <si>
    <t xml:space="preserve">130</t>
  </si>
  <si>
    <t xml:space="preserve">AT726</t>
  </si>
  <si>
    <t xml:space="preserve">131</t>
  </si>
  <si>
    <t xml:space="preserve">AT181</t>
  </si>
  <si>
    <t xml:space="preserve">台北市文山區景文街60號</t>
  </si>
  <si>
    <t xml:space="preserve">02-89353637</t>
  </si>
  <si>
    <t xml:space="preserve">132</t>
  </si>
  <si>
    <t xml:space="preserve">AT182</t>
  </si>
  <si>
    <t xml:space="preserve">133</t>
  </si>
  <si>
    <t xml:space="preserve">AT183</t>
  </si>
  <si>
    <t xml:space="preserve">134</t>
  </si>
  <si>
    <t xml:space="preserve">AT184</t>
  </si>
  <si>
    <t xml:space="preserve">135</t>
  </si>
  <si>
    <t xml:space="preserve">AT185</t>
  </si>
  <si>
    <t xml:space="preserve">136</t>
  </si>
  <si>
    <t xml:space="preserve">AQ631</t>
  </si>
  <si>
    <t xml:space="preserve">137</t>
  </si>
  <si>
    <t xml:space="preserve">AQ162</t>
  </si>
  <si>
    <t xml:space="preserve">新北市新店區北新路一段72號</t>
  </si>
  <si>
    <t xml:space="preserve">02-89446107</t>
  </si>
  <si>
    <t xml:space="preserve">週一至週五 09:00~20:00
週六 09:00~18:00</t>
  </si>
  <si>
    <t xml:space="preserve">138</t>
  </si>
  <si>
    <t xml:space="preserve">AQ163</t>
  </si>
  <si>
    <t xml:space="preserve">139</t>
  </si>
  <si>
    <t xml:space="preserve">AQ164</t>
  </si>
  <si>
    <t xml:space="preserve">140</t>
  </si>
  <si>
    <t xml:space="preserve">AQ165</t>
  </si>
  <si>
    <t xml:space="preserve">141</t>
  </si>
  <si>
    <t xml:space="preserve">AQ168</t>
  </si>
  <si>
    <t xml:space="preserve">142</t>
  </si>
  <si>
    <t xml:space="preserve">AQ169</t>
  </si>
  <si>
    <t xml:space="preserve">143</t>
  </si>
  <si>
    <t xml:space="preserve">AQ170</t>
  </si>
  <si>
    <t xml:space="preserve">144</t>
  </si>
  <si>
    <t xml:space="preserve">AQ171</t>
  </si>
  <si>
    <t xml:space="preserve">145</t>
  </si>
  <si>
    <t xml:space="preserve">AQ172</t>
  </si>
  <si>
    <t xml:space="preserve">146</t>
  </si>
  <si>
    <t xml:space="preserve">AQ176</t>
  </si>
  <si>
    <t xml:space="preserve">147</t>
  </si>
  <si>
    <t xml:space="preserve">AQ177</t>
  </si>
  <si>
    <t xml:space="preserve">148</t>
  </si>
  <si>
    <t xml:space="preserve">AQ178</t>
  </si>
  <si>
    <t xml:space="preserve">149</t>
  </si>
  <si>
    <t xml:space="preserve">AQ179</t>
  </si>
  <si>
    <t xml:space="preserve">150</t>
  </si>
  <si>
    <t xml:space="preserve">AQ639</t>
  </si>
  <si>
    <t xml:space="preserve">151</t>
  </si>
  <si>
    <t xml:space="preserve">AT061</t>
  </si>
  <si>
    <t xml:space="preserve">台北市大安區信義路四段89之1號</t>
  </si>
  <si>
    <t xml:space="preserve">02-23252369</t>
  </si>
  <si>
    <t xml:space="preserve">週一至週五09:00~19:00
週六13:00~18:00</t>
  </si>
  <si>
    <t xml:space="preserve">152</t>
  </si>
  <si>
    <t xml:space="preserve">AT062</t>
  </si>
  <si>
    <t xml:space="preserve">153</t>
  </si>
  <si>
    <t xml:space="preserve">AT063</t>
  </si>
  <si>
    <t xml:space="preserve">154</t>
  </si>
  <si>
    <t xml:space="preserve">AT064</t>
  </si>
  <si>
    <t xml:space="preserve">155</t>
  </si>
  <si>
    <t xml:space="preserve">AT065</t>
  </si>
  <si>
    <t xml:space="preserve">156</t>
  </si>
  <si>
    <t xml:space="preserve">AT066</t>
  </si>
  <si>
    <t xml:space="preserve">157</t>
  </si>
  <si>
    <t xml:space="preserve">AT067</t>
  </si>
  <si>
    <t xml:space="preserve">158</t>
  </si>
  <si>
    <t xml:space="preserve">AT068</t>
  </si>
  <si>
    <t xml:space="preserve">159</t>
  </si>
  <si>
    <t xml:space="preserve">AT069</t>
  </si>
  <si>
    <t xml:space="preserve">160</t>
  </si>
  <si>
    <t xml:space="preserve">AT070</t>
  </si>
  <si>
    <t xml:space="preserve">161</t>
  </si>
  <si>
    <t xml:space="preserve">AV280</t>
  </si>
  <si>
    <t xml:space="preserve">162</t>
  </si>
  <si>
    <t xml:space="preserve">AQ658</t>
  </si>
  <si>
    <t xml:space="preserve">台北市中正區市民大道三段2號1樓</t>
  </si>
  <si>
    <t xml:space="preserve">02-23958998</t>
  </si>
  <si>
    <t xml:space="preserve">週日至週四11:00~21:30
週五至週六11:00~22:00
(例假日前一天比照五至六)</t>
  </si>
  <si>
    <t xml:space="preserve">163</t>
  </si>
  <si>
    <t xml:space="preserve">AQ659</t>
  </si>
  <si>
    <t xml:space="preserve">164</t>
  </si>
  <si>
    <t xml:space="preserve">AQ660</t>
  </si>
  <si>
    <t xml:space="preserve">165</t>
  </si>
  <si>
    <t xml:space="preserve">AT257</t>
  </si>
  <si>
    <t xml:space="preserve">166</t>
  </si>
  <si>
    <t xml:space="preserve">AT258</t>
  </si>
  <si>
    <t xml:space="preserve">167</t>
  </si>
  <si>
    <t xml:space="preserve">AT259</t>
  </si>
  <si>
    <t xml:space="preserve">168</t>
  </si>
  <si>
    <t xml:space="preserve">AT260</t>
  </si>
  <si>
    <t xml:space="preserve">169</t>
  </si>
  <si>
    <t xml:space="preserve">AT006</t>
  </si>
  <si>
    <t xml:space="preserve">台北市中正區公園路18號</t>
  </si>
  <si>
    <t xml:space="preserve">02-23708688</t>
  </si>
  <si>
    <t xml:space="preserve">170</t>
  </si>
  <si>
    <t xml:space="preserve">AT007</t>
  </si>
  <si>
    <t xml:space="preserve">測機安裝門市</t>
  </si>
  <si>
    <t xml:space="preserve">171</t>
  </si>
  <si>
    <t xml:space="preserve">AT008</t>
  </si>
  <si>
    <t xml:space="preserve">172</t>
  </si>
  <si>
    <t xml:space="preserve">AT009</t>
  </si>
  <si>
    <t xml:space="preserve">173</t>
  </si>
  <si>
    <t xml:space="preserve">AT010</t>
  </si>
  <si>
    <t xml:space="preserve">174</t>
  </si>
  <si>
    <t xml:space="preserve">AT011</t>
  </si>
  <si>
    <t xml:space="preserve">175</t>
  </si>
  <si>
    <t xml:space="preserve">AT193</t>
  </si>
  <si>
    <t xml:space="preserve">台北市中正區仁愛路一段42號</t>
  </si>
  <si>
    <t xml:space="preserve">02-23442475</t>
  </si>
  <si>
    <t xml:space="preserve">週一至週六09:00~18:00</t>
  </si>
  <si>
    <t xml:space="preserve">176</t>
  </si>
  <si>
    <t xml:space="preserve">AT195</t>
  </si>
  <si>
    <t xml:space="preserve">177</t>
  </si>
  <si>
    <t xml:space="preserve">AT196</t>
  </si>
  <si>
    <t xml:space="preserve">178</t>
  </si>
  <si>
    <t xml:space="preserve">AT197</t>
  </si>
  <si>
    <t xml:space="preserve">179</t>
  </si>
  <si>
    <t xml:space="preserve">AT198</t>
  </si>
  <si>
    <t xml:space="preserve">180</t>
  </si>
  <si>
    <t xml:space="preserve">AT199</t>
  </si>
  <si>
    <t xml:space="preserve">181</t>
  </si>
  <si>
    <t xml:space="preserve">AT200</t>
  </si>
  <si>
    <t xml:space="preserve">182</t>
  </si>
  <si>
    <t xml:space="preserve">AT231</t>
  </si>
  <si>
    <t xml:space="preserve">183</t>
  </si>
  <si>
    <t xml:space="preserve">AT232</t>
  </si>
  <si>
    <t xml:space="preserve">184</t>
  </si>
  <si>
    <t xml:space="preserve">AT233</t>
  </si>
  <si>
    <t xml:space="preserve">185</t>
  </si>
  <si>
    <t xml:space="preserve">AT234</t>
  </si>
  <si>
    <t xml:space="preserve">186</t>
  </si>
  <si>
    <t xml:space="preserve">AT235</t>
  </si>
  <si>
    <t xml:space="preserve">187</t>
  </si>
  <si>
    <t xml:space="preserve">AT237</t>
  </si>
  <si>
    <t xml:space="preserve">188</t>
  </si>
  <si>
    <t xml:space="preserve">AT238</t>
  </si>
  <si>
    <t xml:space="preserve">189</t>
  </si>
  <si>
    <t xml:space="preserve">AT239</t>
  </si>
  <si>
    <t xml:space="preserve">190</t>
  </si>
  <si>
    <t xml:space="preserve">AT240</t>
  </si>
  <si>
    <t xml:space="preserve">191</t>
  </si>
  <si>
    <t xml:space="preserve">AT241</t>
  </si>
  <si>
    <t xml:space="preserve">192</t>
  </si>
  <si>
    <t xml:space="preserve">AT242</t>
  </si>
  <si>
    <t xml:space="preserve">193</t>
  </si>
  <si>
    <t xml:space="preserve">AT100</t>
  </si>
  <si>
    <t xml:space="preserve">台北市大安區通化街177號</t>
  </si>
  <si>
    <t xml:space="preserve">02-23776886</t>
  </si>
  <si>
    <t xml:space="preserve">194</t>
  </si>
  <si>
    <t xml:space="preserve">AT161</t>
  </si>
  <si>
    <t xml:space="preserve">195</t>
  </si>
  <si>
    <t xml:space="preserve">AT162</t>
  </si>
  <si>
    <t xml:space="preserve">196</t>
  </si>
  <si>
    <t xml:space="preserve">AT163</t>
  </si>
  <si>
    <t xml:space="preserve">197</t>
  </si>
  <si>
    <t xml:space="preserve">AT164</t>
  </si>
  <si>
    <t xml:space="preserve">198</t>
  </si>
  <si>
    <t xml:space="preserve">AT165</t>
  </si>
  <si>
    <t xml:space="preserve">199</t>
  </si>
  <si>
    <t xml:space="preserve">AY300</t>
  </si>
  <si>
    <t xml:space="preserve">台北市萬華區昆明街126號</t>
  </si>
  <si>
    <t xml:space="preserve">02-23812168</t>
  </si>
  <si>
    <t xml:space="preserve">200</t>
  </si>
  <si>
    <t xml:space="preserve">AT002</t>
  </si>
  <si>
    <t xml:space="preserve">201</t>
  </si>
  <si>
    <t xml:space="preserve">AT003</t>
  </si>
  <si>
    <t xml:space="preserve">202</t>
  </si>
  <si>
    <t xml:space="preserve">AT004</t>
  </si>
  <si>
    <t xml:space="preserve">203</t>
  </si>
  <si>
    <t xml:space="preserve">AT005</t>
  </si>
  <si>
    <t xml:space="preserve">204</t>
  </si>
  <si>
    <t xml:space="preserve">AT037</t>
  </si>
  <si>
    <t xml:space="preserve">台北市信義區永吉路521號</t>
  </si>
  <si>
    <t xml:space="preserve">02-27666288</t>
  </si>
  <si>
    <t xml:space="preserve">205</t>
  </si>
  <si>
    <t xml:space="preserve">AT038</t>
  </si>
  <si>
    <t xml:space="preserve">206</t>
  </si>
  <si>
    <t xml:space="preserve">BK808</t>
  </si>
  <si>
    <t xml:space="preserve">207</t>
  </si>
  <si>
    <t xml:space="preserve">AT040</t>
  </si>
  <si>
    <t xml:space="preserve">208</t>
  </si>
  <si>
    <t xml:space="preserve">AT021</t>
  </si>
  <si>
    <t xml:space="preserve">台北市內湖區內湖路一段596號</t>
  </si>
  <si>
    <t xml:space="preserve">02-26593135</t>
  </si>
  <si>
    <t xml:space="preserve">週一至週五09:00~19:00
週六09:00~13:00</t>
  </si>
  <si>
    <t xml:space="preserve">209</t>
  </si>
  <si>
    <t xml:space="preserve">AT022</t>
  </si>
  <si>
    <t xml:space="preserve">210</t>
  </si>
  <si>
    <t xml:space="preserve">AT023</t>
  </si>
  <si>
    <t xml:space="preserve">211</t>
  </si>
  <si>
    <t xml:space="preserve">AT024</t>
  </si>
  <si>
    <t xml:space="preserve">212</t>
  </si>
  <si>
    <t xml:space="preserve">AT025</t>
  </si>
  <si>
    <t xml:space="preserve">213</t>
  </si>
  <si>
    <t xml:space="preserve">AT026</t>
  </si>
  <si>
    <t xml:space="preserve">214</t>
  </si>
  <si>
    <t xml:space="preserve">AT027</t>
  </si>
  <si>
    <t xml:space="preserve">215</t>
  </si>
  <si>
    <t xml:space="preserve">AT028</t>
  </si>
  <si>
    <t xml:space="preserve">216</t>
  </si>
  <si>
    <t xml:space="preserve">AT029</t>
  </si>
  <si>
    <t xml:space="preserve">217</t>
  </si>
  <si>
    <t xml:space="preserve">AT076</t>
  </si>
  <si>
    <t xml:space="preserve">218</t>
  </si>
  <si>
    <t xml:space="preserve">AT078</t>
  </si>
  <si>
    <t xml:space="preserve">219</t>
  </si>
  <si>
    <t xml:space="preserve">AT079</t>
  </si>
  <si>
    <t xml:space="preserve">220</t>
  </si>
  <si>
    <t xml:space="preserve">AT080</t>
  </si>
  <si>
    <t xml:space="preserve">221</t>
  </si>
  <si>
    <t xml:space="preserve">AT967</t>
  </si>
  <si>
    <t xml:space="preserve">222</t>
  </si>
  <si>
    <t xml:space="preserve">AT018</t>
  </si>
  <si>
    <t xml:space="preserve">台北市內湖區成功路三段135號</t>
  </si>
  <si>
    <t xml:space="preserve">02-87928828</t>
  </si>
  <si>
    <t xml:space="preserve">223</t>
  </si>
  <si>
    <t xml:space="preserve">AT019</t>
  </si>
  <si>
    <t xml:space="preserve">224</t>
  </si>
  <si>
    <t xml:space="preserve">AT020</t>
  </si>
  <si>
    <t xml:space="preserve">225</t>
  </si>
  <si>
    <t xml:space="preserve">AT030</t>
  </si>
  <si>
    <t xml:space="preserve">226</t>
  </si>
  <si>
    <t xml:space="preserve">AT031</t>
  </si>
  <si>
    <t xml:space="preserve">台北市松山區民生東路五段206號</t>
  </si>
  <si>
    <t xml:space="preserve">02-27628868</t>
  </si>
  <si>
    <t xml:space="preserve">227</t>
  </si>
  <si>
    <t xml:space="preserve">AT032</t>
  </si>
  <si>
    <t xml:space="preserve">228</t>
  </si>
  <si>
    <t xml:space="preserve">AT033</t>
  </si>
  <si>
    <t xml:space="preserve">229</t>
  </si>
  <si>
    <t xml:space="preserve">AT034</t>
  </si>
  <si>
    <t xml:space="preserve">230</t>
  </si>
  <si>
    <t xml:space="preserve">AT035</t>
  </si>
  <si>
    <t xml:space="preserve">231</t>
  </si>
  <si>
    <t xml:space="preserve">BK013</t>
  </si>
  <si>
    <t xml:space="preserve">232</t>
  </si>
  <si>
    <t xml:space="preserve">AT243</t>
  </si>
  <si>
    <t xml:space="preserve">台北市信義區仁愛路四段420-1號</t>
  </si>
  <si>
    <t xml:space="preserve">02-23456166</t>
  </si>
  <si>
    <t xml:space="preserve">233</t>
  </si>
  <si>
    <t xml:space="preserve">AT244</t>
  </si>
  <si>
    <t xml:space="preserve">234</t>
  </si>
  <si>
    <t xml:space="preserve">AT245</t>
  </si>
  <si>
    <t xml:space="preserve">235</t>
  </si>
  <si>
    <t xml:space="preserve">AT246</t>
  </si>
  <si>
    <t xml:space="preserve">236</t>
  </si>
  <si>
    <t xml:space="preserve">AT247</t>
  </si>
  <si>
    <t xml:space="preserve">237</t>
  </si>
  <si>
    <t xml:space="preserve">AT071</t>
  </si>
  <si>
    <t xml:space="preserve">台北市內湖區東湖路33巷1號</t>
  </si>
  <si>
    <t xml:space="preserve">02-26308123</t>
  </si>
  <si>
    <t xml:space="preserve">238</t>
  </si>
  <si>
    <t xml:space="preserve">AT072</t>
  </si>
  <si>
    <t xml:space="preserve">239</t>
  </si>
  <si>
    <t xml:space="preserve">AT073</t>
  </si>
  <si>
    <t xml:space="preserve">240</t>
  </si>
  <si>
    <t xml:space="preserve">AT074</t>
  </si>
  <si>
    <t xml:space="preserve">241</t>
  </si>
  <si>
    <t xml:space="preserve">AT075</t>
  </si>
  <si>
    <t xml:space="preserve">242</t>
  </si>
  <si>
    <t xml:space="preserve">AT166</t>
  </si>
  <si>
    <t xml:space="preserve">台北市松山區南京東路五段135號</t>
  </si>
  <si>
    <t xml:space="preserve">02-27687166</t>
  </si>
  <si>
    <t xml:space="preserve">週一至週五11:00~21:00
週六至週日11:00~20:00</t>
  </si>
  <si>
    <t xml:space="preserve">243</t>
  </si>
  <si>
    <t xml:space="preserve">AT167</t>
  </si>
  <si>
    <t xml:space="preserve">244</t>
  </si>
  <si>
    <t xml:space="preserve">AT168</t>
  </si>
  <si>
    <t xml:space="preserve">245</t>
  </si>
  <si>
    <t xml:space="preserve">AT169</t>
  </si>
  <si>
    <t xml:space="preserve">246</t>
  </si>
  <si>
    <t xml:space="preserve">AT271</t>
  </si>
  <si>
    <t xml:space="preserve">台北市中山區北安路662號</t>
  </si>
  <si>
    <t xml:space="preserve">02-85098688</t>
  </si>
  <si>
    <t xml:space="preserve">247</t>
  </si>
  <si>
    <t xml:space="preserve">AT272</t>
  </si>
  <si>
    <t xml:space="preserve">248</t>
  </si>
  <si>
    <t xml:space="preserve">AT273</t>
  </si>
  <si>
    <t xml:space="preserve">249</t>
  </si>
  <si>
    <t xml:space="preserve">AT274</t>
  </si>
  <si>
    <t xml:space="preserve">250</t>
  </si>
  <si>
    <t xml:space="preserve">AT275</t>
  </si>
  <si>
    <t xml:space="preserve">251</t>
  </si>
  <si>
    <t xml:space="preserve">AT081</t>
  </si>
  <si>
    <t xml:space="preserve">台北市大同區民生西路305號</t>
  </si>
  <si>
    <t xml:space="preserve">02-25536588</t>
  </si>
  <si>
    <t xml:space="preserve">252</t>
  </si>
  <si>
    <t xml:space="preserve">AT082</t>
  </si>
  <si>
    <t xml:space="preserve">253</t>
  </si>
  <si>
    <t xml:space="preserve">AT083</t>
  </si>
  <si>
    <t xml:space="preserve">254</t>
  </si>
  <si>
    <t xml:space="preserve">AT084</t>
  </si>
  <si>
    <t xml:space="preserve">255</t>
  </si>
  <si>
    <t xml:space="preserve">AQ681</t>
  </si>
  <si>
    <t xml:space="preserve">台北市大安區忠孝東路三段214號</t>
  </si>
  <si>
    <t xml:space="preserve">02-27818889</t>
  </si>
  <si>
    <t xml:space="preserve">256</t>
  </si>
  <si>
    <t xml:space="preserve">AQ682</t>
  </si>
  <si>
    <t xml:space="preserve">257</t>
  </si>
  <si>
    <t xml:space="preserve">AQ683</t>
  </si>
  <si>
    <t xml:space="preserve">258</t>
  </si>
  <si>
    <t xml:space="preserve">AQ684</t>
  </si>
  <si>
    <t xml:space="preserve">259</t>
  </si>
  <si>
    <t xml:space="preserve">AQ685</t>
  </si>
  <si>
    <t xml:space="preserve">260</t>
  </si>
  <si>
    <t xml:space="preserve">AT170</t>
  </si>
  <si>
    <t xml:space="preserve">台北市中山區松江路67之1號</t>
  </si>
  <si>
    <t xml:space="preserve">02-25081688</t>
  </si>
  <si>
    <t xml:space="preserve">週一至週五11:00~21:00
週六11:00~20:00</t>
  </si>
  <si>
    <t xml:space="preserve">261</t>
  </si>
  <si>
    <t xml:space="preserve">AT171</t>
  </si>
  <si>
    <t xml:space="preserve">262</t>
  </si>
  <si>
    <t xml:space="preserve">AT172</t>
  </si>
  <si>
    <t xml:space="preserve">263</t>
  </si>
  <si>
    <t xml:space="preserve">AT173</t>
  </si>
  <si>
    <t xml:space="preserve">264</t>
  </si>
  <si>
    <t xml:space="preserve">AT174</t>
  </si>
  <si>
    <t xml:space="preserve">265</t>
  </si>
  <si>
    <t xml:space="preserve">AT175</t>
  </si>
  <si>
    <t xml:space="preserve">266</t>
  </si>
  <si>
    <t xml:space="preserve">AT268</t>
  </si>
  <si>
    <t xml:space="preserve">台北市松山區民生東路四段69號</t>
  </si>
  <si>
    <t xml:space="preserve">02-27198889</t>
  </si>
  <si>
    <t xml:space="preserve">267</t>
  </si>
  <si>
    <t xml:space="preserve">AT269</t>
  </si>
  <si>
    <t xml:space="preserve">268</t>
  </si>
  <si>
    <t xml:space="preserve">AT270</t>
  </si>
  <si>
    <t xml:space="preserve">269</t>
  </si>
  <si>
    <t xml:space="preserve">AT276</t>
  </si>
  <si>
    <t xml:space="preserve">270</t>
  </si>
  <si>
    <t xml:space="preserve">AT267</t>
  </si>
  <si>
    <t xml:space="preserve">271</t>
  </si>
  <si>
    <t xml:space="preserve">AT266</t>
  </si>
  <si>
    <t xml:space="preserve">272</t>
  </si>
  <si>
    <t xml:space="preserve">AQ671</t>
  </si>
  <si>
    <t xml:space="preserve">台北市大安區敦化南路一段158號</t>
  </si>
  <si>
    <t xml:space="preserve">02-27731441</t>
  </si>
  <si>
    <t xml:space="preserve">週一至週五09:00~19:00
週六13:00~19:00</t>
  </si>
  <si>
    <t xml:space="preserve">273</t>
  </si>
  <si>
    <t xml:space="preserve">AQ672</t>
  </si>
  <si>
    <t xml:space="preserve">274</t>
  </si>
  <si>
    <t xml:space="preserve">AQ673</t>
  </si>
  <si>
    <t xml:space="preserve">275</t>
  </si>
  <si>
    <t xml:space="preserve">AQ675</t>
  </si>
  <si>
    <t xml:space="preserve">276</t>
  </si>
  <si>
    <t xml:space="preserve">AQ676</t>
  </si>
  <si>
    <t xml:space="preserve">277</t>
  </si>
  <si>
    <t xml:space="preserve">AQ677</t>
  </si>
  <si>
    <t xml:space="preserve">278</t>
  </si>
  <si>
    <t xml:space="preserve">AQ678</t>
  </si>
  <si>
    <t xml:space="preserve">279</t>
  </si>
  <si>
    <t xml:space="preserve">AQ679</t>
  </si>
  <si>
    <t xml:space="preserve">280</t>
  </si>
  <si>
    <t xml:space="preserve">AQ680</t>
  </si>
  <si>
    <t xml:space="preserve">281</t>
  </si>
  <si>
    <t xml:space="preserve">AT052</t>
  </si>
  <si>
    <t xml:space="preserve">台北市士林區文林路158號</t>
  </si>
  <si>
    <t xml:space="preserve">02-28834024</t>
  </si>
  <si>
    <t xml:space="preserve">週一至週日12:30~21:30</t>
  </si>
  <si>
    <t xml:space="preserve">282</t>
  </si>
  <si>
    <t xml:space="preserve">AT053</t>
  </si>
  <si>
    <t xml:space="preserve">283</t>
  </si>
  <si>
    <t xml:space="preserve">AT054</t>
  </si>
  <si>
    <t xml:space="preserve">284</t>
  </si>
  <si>
    <t xml:space="preserve">AT055</t>
  </si>
  <si>
    <t xml:space="preserve">285</t>
  </si>
  <si>
    <t xml:space="preserve">AT088</t>
  </si>
  <si>
    <t xml:space="preserve">286</t>
  </si>
  <si>
    <t xml:space="preserve">AT089</t>
  </si>
  <si>
    <t xml:space="preserve">287</t>
  </si>
  <si>
    <t xml:space="preserve">AT090</t>
  </si>
  <si>
    <t xml:space="preserve">288</t>
  </si>
  <si>
    <t xml:space="preserve">AT091</t>
  </si>
  <si>
    <t xml:space="preserve">289</t>
  </si>
  <si>
    <t xml:space="preserve">AT096</t>
  </si>
  <si>
    <t xml:space="preserve">290</t>
  </si>
  <si>
    <t xml:space="preserve">AT041</t>
  </si>
  <si>
    <t xml:space="preserve">台北市北投區中和街260號</t>
  </si>
  <si>
    <t xml:space="preserve">02-28986588</t>
  </si>
  <si>
    <t xml:space="preserve">291</t>
  </si>
  <si>
    <t xml:space="preserve">AT042</t>
  </si>
  <si>
    <t xml:space="preserve">292</t>
  </si>
  <si>
    <t xml:space="preserve">AT043</t>
  </si>
  <si>
    <t xml:space="preserve">293</t>
  </si>
  <si>
    <t xml:space="preserve">AT044</t>
  </si>
  <si>
    <t xml:space="preserve">294</t>
  </si>
  <si>
    <t xml:space="preserve">AT045</t>
  </si>
  <si>
    <t xml:space="preserve">295</t>
  </si>
  <si>
    <t xml:space="preserve">AT046</t>
  </si>
  <si>
    <t xml:space="preserve">296</t>
  </si>
  <si>
    <t xml:space="preserve">AT056</t>
  </si>
  <si>
    <t xml:space="preserve">台北市北投區石牌路一段73號</t>
  </si>
  <si>
    <t xml:space="preserve">02-28253545</t>
  </si>
  <si>
    <t xml:space="preserve">297</t>
  </si>
  <si>
    <t xml:space="preserve">AT057</t>
  </si>
  <si>
    <t xml:space="preserve">298</t>
  </si>
  <si>
    <t xml:space="preserve">AT058</t>
  </si>
  <si>
    <t xml:space="preserve">299</t>
  </si>
  <si>
    <t xml:space="preserve">AT059</t>
  </si>
  <si>
    <t xml:space="preserve">300</t>
  </si>
  <si>
    <t xml:space="preserve">AT060</t>
  </si>
  <si>
    <t xml:space="preserve">301</t>
  </si>
  <si>
    <t xml:space="preserve">AQ851</t>
  </si>
  <si>
    <t xml:space="preserve">新北市淡水區民權路127號</t>
  </si>
  <si>
    <t xml:space="preserve">02-28099507</t>
  </si>
  <si>
    <t xml:space="preserve">302</t>
  </si>
  <si>
    <t xml:space="preserve">AQ852</t>
  </si>
  <si>
    <t xml:space="preserve">303</t>
  </si>
  <si>
    <t xml:space="preserve">AQ853</t>
  </si>
  <si>
    <t xml:space="preserve">304</t>
  </si>
  <si>
    <t xml:space="preserve">AQ854</t>
  </si>
  <si>
    <t xml:space="preserve">305</t>
  </si>
  <si>
    <t xml:space="preserve">AQ855</t>
  </si>
  <si>
    <t xml:space="preserve">306</t>
  </si>
  <si>
    <t xml:space="preserve">AT092</t>
  </si>
  <si>
    <t xml:space="preserve">台北市士林區延平北路五段211號</t>
  </si>
  <si>
    <t xml:space="preserve">02-88114411</t>
  </si>
  <si>
    <t xml:space="preserve">307</t>
  </si>
  <si>
    <t xml:space="preserve">AT093</t>
  </si>
  <si>
    <t xml:space="preserve">308</t>
  </si>
  <si>
    <t xml:space="preserve">AT094</t>
  </si>
  <si>
    <t xml:space="preserve">309</t>
  </si>
  <si>
    <t xml:space="preserve">AT095</t>
  </si>
  <si>
    <t xml:space="preserve">310</t>
  </si>
  <si>
    <t xml:space="preserve">AQ889</t>
  </si>
  <si>
    <t xml:space="preserve">新北市淡水區中正東路51號</t>
  </si>
  <si>
    <t xml:space="preserve">02-26269507</t>
  </si>
  <si>
    <t xml:space="preserve">311</t>
  </si>
  <si>
    <t xml:space="preserve">AQ890</t>
  </si>
  <si>
    <t xml:space="preserve">312</t>
  </si>
  <si>
    <t xml:space="preserve">AQ891</t>
  </si>
  <si>
    <t xml:space="preserve">313</t>
  </si>
  <si>
    <t xml:space="preserve">AQ892</t>
  </si>
  <si>
    <t xml:space="preserve">314</t>
  </si>
  <si>
    <t xml:space="preserve">AQ893</t>
  </si>
  <si>
    <t xml:space="preserve">315</t>
  </si>
  <si>
    <t xml:space="preserve">AQ881</t>
  </si>
  <si>
    <t xml:space="preserve">新北市淡水區中山北路二段191號</t>
  </si>
  <si>
    <t xml:space="preserve">02-26269527</t>
  </si>
  <si>
    <t xml:space="preserve">316</t>
  </si>
  <si>
    <t xml:space="preserve">AQ882</t>
  </si>
  <si>
    <t xml:space="preserve">317</t>
  </si>
  <si>
    <t xml:space="preserve">AQ883</t>
  </si>
  <si>
    <t xml:space="preserve">318</t>
  </si>
  <si>
    <t xml:space="preserve">AQ884</t>
  </si>
  <si>
    <t xml:space="preserve">319</t>
  </si>
  <si>
    <t xml:space="preserve">AQ885</t>
  </si>
  <si>
    <t xml:space="preserve">320</t>
  </si>
  <si>
    <t xml:space="preserve">AQ886</t>
  </si>
  <si>
    <t xml:space="preserve">321</t>
  </si>
  <si>
    <t xml:space="preserve">AT047</t>
  </si>
  <si>
    <t xml:space="preserve">台北市士林區德行東路177號</t>
  </si>
  <si>
    <t xml:space="preserve">02-88664411</t>
  </si>
  <si>
    <t xml:space="preserve">322</t>
  </si>
  <si>
    <t xml:space="preserve">AT048</t>
  </si>
  <si>
    <t xml:space="preserve">323</t>
  </si>
  <si>
    <t xml:space="preserve">AT049</t>
  </si>
  <si>
    <t xml:space="preserve">324</t>
  </si>
  <si>
    <t xml:space="preserve">AT050</t>
  </si>
  <si>
    <t xml:space="preserve">325</t>
  </si>
  <si>
    <t xml:space="preserve">AT051</t>
  </si>
  <si>
    <t xml:space="preserve">326</t>
  </si>
  <si>
    <t xml:space="preserve">AY861</t>
  </si>
  <si>
    <t xml:space="preserve">327</t>
  </si>
  <si>
    <t xml:space="preserve">AT248</t>
  </si>
  <si>
    <t xml:space="preserve">基隆市安樂區安一路123號</t>
  </si>
  <si>
    <t xml:space="preserve">02-24210368</t>
  </si>
  <si>
    <t xml:space="preserve">週一至週日10:00~20:00</t>
  </si>
  <si>
    <t xml:space="preserve">328</t>
  </si>
  <si>
    <t xml:space="preserve">AT249</t>
  </si>
  <si>
    <t xml:space="preserve">329</t>
  </si>
  <si>
    <t xml:space="preserve">AT251</t>
  </si>
  <si>
    <t xml:space="preserve">330</t>
  </si>
  <si>
    <t xml:space="preserve">AT252</t>
  </si>
  <si>
    <t xml:space="preserve">331</t>
  </si>
  <si>
    <t xml:space="preserve">AT250</t>
  </si>
  <si>
    <t xml:space="preserve">332</t>
  </si>
  <si>
    <t xml:space="preserve">AT012</t>
  </si>
  <si>
    <t xml:space="preserve">新北市汐止區福德一路264號</t>
  </si>
  <si>
    <t xml:space="preserve">02-26945951</t>
  </si>
  <si>
    <t xml:space="preserve">333</t>
  </si>
  <si>
    <t xml:space="preserve">AT013</t>
  </si>
  <si>
    <t xml:space="preserve">334</t>
  </si>
  <si>
    <t xml:space="preserve">AT014</t>
  </si>
  <si>
    <t xml:space="preserve">335</t>
  </si>
  <si>
    <t xml:space="preserve">AT015</t>
  </si>
  <si>
    <t xml:space="preserve">336</t>
  </si>
  <si>
    <t xml:space="preserve">AT016</t>
  </si>
  <si>
    <t xml:space="preserve">337</t>
  </si>
  <si>
    <t xml:space="preserve">AQ184</t>
  </si>
  <si>
    <t xml:space="preserve">宜蘭縣宜蘭市神農路一段170號</t>
  </si>
  <si>
    <t xml:space="preserve">03-9699365</t>
  </si>
  <si>
    <t xml:space="preserve">338</t>
  </si>
  <si>
    <t xml:space="preserve">AQ185</t>
  </si>
  <si>
    <t xml:space="preserve">339</t>
  </si>
  <si>
    <t xml:space="preserve">AQ186</t>
  </si>
  <si>
    <t xml:space="preserve">340</t>
  </si>
  <si>
    <t xml:space="preserve">AQ187</t>
  </si>
  <si>
    <t xml:space="preserve">341</t>
  </si>
  <si>
    <t xml:space="preserve">AQ137</t>
  </si>
  <si>
    <t xml:space="preserve">花蓮縣花蓮市中正路595號</t>
  </si>
  <si>
    <t xml:space="preserve">03-8324411</t>
  </si>
  <si>
    <t xml:space="preserve">週一至週五08:30~20:30
週六至週日11:00~20:00</t>
  </si>
  <si>
    <t xml:space="preserve">342</t>
  </si>
  <si>
    <t xml:space="preserve">AQ138</t>
  </si>
  <si>
    <t xml:space="preserve">343</t>
  </si>
  <si>
    <t xml:space="preserve">AQ142</t>
  </si>
  <si>
    <t xml:space="preserve">344</t>
  </si>
  <si>
    <t xml:space="preserve">AQ143</t>
  </si>
  <si>
    <t xml:space="preserve">345</t>
  </si>
  <si>
    <t xml:space="preserve">AQ144</t>
  </si>
  <si>
    <t xml:space="preserve">346</t>
  </si>
  <si>
    <t xml:space="preserve">AQ146</t>
  </si>
  <si>
    <t xml:space="preserve">347</t>
  </si>
  <si>
    <t xml:space="preserve">AQ147</t>
  </si>
  <si>
    <t xml:space="preserve">348</t>
  </si>
  <si>
    <t xml:space="preserve">AQ148</t>
  </si>
  <si>
    <t xml:space="preserve">349</t>
  </si>
  <si>
    <t xml:space="preserve">AQ151</t>
  </si>
  <si>
    <t xml:space="preserve">350</t>
  </si>
  <si>
    <t xml:space="preserve">AQ152</t>
  </si>
  <si>
    <t xml:space="preserve">351</t>
  </si>
  <si>
    <t xml:space="preserve">AQ153</t>
  </si>
  <si>
    <t xml:space="preserve">352</t>
  </si>
  <si>
    <t xml:space="preserve">AQ154</t>
  </si>
  <si>
    <t xml:space="preserve">353</t>
  </si>
  <si>
    <t xml:space="preserve">AQ155</t>
  </si>
  <si>
    <t xml:space="preserve">354</t>
  </si>
  <si>
    <t xml:space="preserve">AQ156</t>
  </si>
  <si>
    <t xml:space="preserve">355</t>
  </si>
  <si>
    <t xml:space="preserve">AQ157</t>
  </si>
  <si>
    <t xml:space="preserve">356</t>
  </si>
  <si>
    <t xml:space="preserve">AQ158</t>
  </si>
  <si>
    <t xml:space="preserve">357</t>
  </si>
  <si>
    <t xml:space="preserve">AQ159</t>
  </si>
  <si>
    <t xml:space="preserve">358</t>
  </si>
  <si>
    <t xml:space="preserve">AQ160</t>
  </si>
  <si>
    <t xml:space="preserve">359</t>
  </si>
  <si>
    <t xml:space="preserve">AT017</t>
  </si>
  <si>
    <t xml:space="preserve">新北市汐止區忠孝東路286號</t>
  </si>
  <si>
    <t xml:space="preserve">02-86464889</t>
  </si>
  <si>
    <t xml:space="preserve">360</t>
  </si>
  <si>
    <t xml:space="preserve">AT085</t>
  </si>
  <si>
    <t xml:space="preserve">361</t>
  </si>
  <si>
    <t xml:space="preserve">AT086</t>
  </si>
  <si>
    <t xml:space="preserve">362</t>
  </si>
  <si>
    <t xml:space="preserve">AT087</t>
  </si>
  <si>
    <t xml:space="preserve">363</t>
  </si>
  <si>
    <t xml:space="preserve">AY003</t>
  </si>
  <si>
    <t xml:space="preserve">364</t>
  </si>
  <si>
    <t xml:space="preserve">AQ122</t>
  </si>
  <si>
    <t xml:space="preserve">宜蘭縣羅東鎮公正路112號</t>
  </si>
  <si>
    <t xml:space="preserve">03-9549903</t>
  </si>
  <si>
    <t xml:space="preserve">週一至週五09:00~20:00
週六10:00~19:00
週日10:00~18:00</t>
  </si>
  <si>
    <t xml:space="preserve">365</t>
  </si>
  <si>
    <t xml:space="preserve">AQ123</t>
  </si>
  <si>
    <t xml:space="preserve">366</t>
  </si>
  <si>
    <t xml:space="preserve">AQ124</t>
  </si>
  <si>
    <t xml:space="preserve">367</t>
  </si>
  <si>
    <t xml:space="preserve">AQ125</t>
  </si>
  <si>
    <t xml:space="preserve">368</t>
  </si>
  <si>
    <t xml:space="preserve">AQ126</t>
  </si>
  <si>
    <t xml:space="preserve">369</t>
  </si>
  <si>
    <t xml:space="preserve">AQ127</t>
  </si>
  <si>
    <t xml:space="preserve">370</t>
  </si>
  <si>
    <t xml:space="preserve">AQ180</t>
  </si>
  <si>
    <t xml:space="preserve">371</t>
  </si>
  <si>
    <t xml:space="preserve">AQ181</t>
  </si>
  <si>
    <t xml:space="preserve">372</t>
  </si>
  <si>
    <t xml:space="preserve">AQ183</t>
  </si>
  <si>
    <t xml:space="preserve">373</t>
  </si>
  <si>
    <t xml:space="preserve">AQ188</t>
  </si>
  <si>
    <t xml:space="preserve">374</t>
  </si>
  <si>
    <t xml:space="preserve">AQ189</t>
  </si>
  <si>
    <t xml:space="preserve">375</t>
  </si>
  <si>
    <t xml:space="preserve">AQ190</t>
  </si>
  <si>
    <t xml:space="preserve">376</t>
  </si>
  <si>
    <t xml:space="preserve">AR664</t>
  </si>
  <si>
    <t xml:space="preserve">377</t>
  </si>
  <si>
    <t xml:space="preserve">AR665</t>
  </si>
  <si>
    <t xml:space="preserve">378</t>
  </si>
  <si>
    <t xml:space="preserve">AR667</t>
  </si>
  <si>
    <t xml:space="preserve">379</t>
  </si>
  <si>
    <t xml:space="preserve">AR668</t>
  </si>
  <si>
    <t xml:space="preserve">380</t>
  </si>
  <si>
    <t xml:space="preserve">AQ249</t>
  </si>
  <si>
    <t xml:space="preserve">新北市三峽區復興路172號</t>
  </si>
  <si>
    <t xml:space="preserve">02-26746899</t>
  </si>
  <si>
    <t xml:space="preserve">週一至週日11:30~19:30</t>
  </si>
  <si>
    <t xml:space="preserve">381</t>
  </si>
  <si>
    <t xml:space="preserve">AQ250</t>
  </si>
  <si>
    <t xml:space="preserve">382</t>
  </si>
  <si>
    <t xml:space="preserve">AT463</t>
  </si>
  <si>
    <t xml:space="preserve">383</t>
  </si>
  <si>
    <t xml:space="preserve">AQ273</t>
  </si>
  <si>
    <t xml:space="preserve">新北市三峽區大學路168號</t>
  </si>
  <si>
    <t xml:space="preserve">02-86726199</t>
  </si>
  <si>
    <t xml:space="preserve">週一至週日11:30~20:00</t>
  </si>
  <si>
    <t xml:space="preserve">384</t>
  </si>
  <si>
    <t xml:space="preserve">AQ274</t>
  </si>
  <si>
    <t xml:space="preserve">385</t>
  </si>
  <si>
    <t xml:space="preserve">AQ275</t>
  </si>
  <si>
    <t xml:space="preserve">386</t>
  </si>
  <si>
    <t xml:space="preserve">AQ276</t>
  </si>
  <si>
    <t xml:space="preserve">387</t>
  </si>
  <si>
    <t xml:space="preserve">AQ214</t>
  </si>
  <si>
    <t xml:space="preserve">新北市板橋區四維路229號</t>
  </si>
  <si>
    <t xml:space="preserve">02-82596169</t>
  </si>
  <si>
    <t xml:space="preserve">388</t>
  </si>
  <si>
    <t xml:space="preserve">AQ215</t>
  </si>
  <si>
    <t xml:space="preserve">389</t>
  </si>
  <si>
    <t xml:space="preserve">AQ216</t>
  </si>
  <si>
    <t xml:space="preserve">390</t>
  </si>
  <si>
    <t xml:space="preserve">AT457</t>
  </si>
  <si>
    <t xml:space="preserve">391</t>
  </si>
  <si>
    <t xml:space="preserve">AY763</t>
  </si>
  <si>
    <t xml:space="preserve">392</t>
  </si>
  <si>
    <t xml:space="preserve">AQ246</t>
  </si>
  <si>
    <t xml:space="preserve">新北市板橋區文化路二段51號</t>
  </si>
  <si>
    <t xml:space="preserve">02-82597368</t>
  </si>
  <si>
    <t xml:space="preserve">393</t>
  </si>
  <si>
    <t xml:space="preserve">AQ247</t>
  </si>
  <si>
    <t xml:space="preserve">394</t>
  </si>
  <si>
    <t xml:space="preserve">AQ248</t>
  </si>
  <si>
    <t xml:space="preserve">395</t>
  </si>
  <si>
    <t xml:space="preserve">AQ888</t>
  </si>
  <si>
    <t xml:space="preserve">396</t>
  </si>
  <si>
    <t xml:space="preserve">AQ725</t>
  </si>
  <si>
    <t xml:space="preserve">新北市土城區裕民路73號</t>
  </si>
  <si>
    <t xml:space="preserve">02-82731088</t>
  </si>
  <si>
    <t xml:space="preserve">397</t>
  </si>
  <si>
    <t xml:space="preserve">AQ726</t>
  </si>
  <si>
    <t xml:space="preserve">398</t>
  </si>
  <si>
    <t xml:space="preserve">AQ727</t>
  </si>
  <si>
    <t xml:space="preserve">399</t>
  </si>
  <si>
    <t xml:space="preserve">AQ728</t>
  </si>
  <si>
    <t xml:space="preserve">400</t>
  </si>
  <si>
    <t xml:space="preserve">AQ729</t>
  </si>
  <si>
    <t xml:space="preserve">401</t>
  </si>
  <si>
    <t xml:space="preserve">AT422</t>
  </si>
  <si>
    <t xml:space="preserve">402</t>
  </si>
  <si>
    <t xml:space="preserve">AQ235</t>
  </si>
  <si>
    <t xml:space="preserve">新北市樹林區中華路144號</t>
  </si>
  <si>
    <t xml:space="preserve">02-86840899</t>
  </si>
  <si>
    <t xml:space="preserve">週一至週日12:30~21:00</t>
  </si>
  <si>
    <t xml:space="preserve">403</t>
  </si>
  <si>
    <t xml:space="preserve">AQ236</t>
  </si>
  <si>
    <t xml:space="preserve">404</t>
  </si>
  <si>
    <t xml:space="preserve">AQ237</t>
  </si>
  <si>
    <t xml:space="preserve">405</t>
  </si>
  <si>
    <t xml:space="preserve">AQ238</t>
  </si>
  <si>
    <t xml:space="preserve">406</t>
  </si>
  <si>
    <t xml:space="preserve">AQ239</t>
  </si>
  <si>
    <t xml:space="preserve">407</t>
  </si>
  <si>
    <t xml:space="preserve">AQ752</t>
  </si>
  <si>
    <t xml:space="preserve">新北市鶯歌區國慶街93號</t>
  </si>
  <si>
    <t xml:space="preserve">02-26792070</t>
  </si>
  <si>
    <t xml:space="preserve">408</t>
  </si>
  <si>
    <t xml:space="preserve">AQ753</t>
  </si>
  <si>
    <t xml:space="preserve">409</t>
  </si>
  <si>
    <t xml:space="preserve">AQ754</t>
  </si>
  <si>
    <t xml:space="preserve">410</t>
  </si>
  <si>
    <t xml:space="preserve">AQ755</t>
  </si>
  <si>
    <t xml:space="preserve">411</t>
  </si>
  <si>
    <t xml:space="preserve">AQ756</t>
  </si>
  <si>
    <t xml:space="preserve">412</t>
  </si>
  <si>
    <t xml:space="preserve">AQ757</t>
  </si>
  <si>
    <t xml:space="preserve">413</t>
  </si>
  <si>
    <t xml:space="preserve">AQ758</t>
  </si>
  <si>
    <t xml:space="preserve">414</t>
  </si>
  <si>
    <t xml:space="preserve">AQ759</t>
  </si>
  <si>
    <t xml:space="preserve">415</t>
  </si>
  <si>
    <t xml:space="preserve">AT442</t>
  </si>
  <si>
    <t xml:space="preserve">416</t>
  </si>
  <si>
    <t xml:space="preserve">AQ258</t>
  </si>
  <si>
    <t xml:space="preserve">新北市中和區中和路138號</t>
  </si>
  <si>
    <t xml:space="preserve">02-22436189</t>
  </si>
  <si>
    <t xml:space="preserve">417</t>
  </si>
  <si>
    <t xml:space="preserve">AQ259</t>
  </si>
  <si>
    <t xml:space="preserve">418</t>
  </si>
  <si>
    <t xml:space="preserve">AQ260</t>
  </si>
  <si>
    <t xml:space="preserve">419</t>
  </si>
  <si>
    <t xml:space="preserve">AQ261</t>
  </si>
  <si>
    <t xml:space="preserve">420</t>
  </si>
  <si>
    <t xml:space="preserve">AQ262</t>
  </si>
  <si>
    <t xml:space="preserve">421</t>
  </si>
  <si>
    <t xml:space="preserve">AQ217</t>
  </si>
  <si>
    <t xml:space="preserve">新北市永和區中正路261號</t>
  </si>
  <si>
    <t xml:space="preserve">02-29268168</t>
  </si>
  <si>
    <t xml:space="preserve">422</t>
  </si>
  <si>
    <t xml:space="preserve">AQ218</t>
  </si>
  <si>
    <t xml:space="preserve">423</t>
  </si>
  <si>
    <t xml:space="preserve">AQ219</t>
  </si>
  <si>
    <t xml:space="preserve">424</t>
  </si>
  <si>
    <t xml:space="preserve">AQ220</t>
  </si>
  <si>
    <t xml:space="preserve">425</t>
  </si>
  <si>
    <t xml:space="preserve">AT452</t>
  </si>
  <si>
    <t xml:space="preserve">426</t>
  </si>
  <si>
    <t xml:space="preserve">AQ286</t>
  </si>
  <si>
    <t xml:space="preserve">新北市板橋區雙十路二段70巷2號</t>
  </si>
  <si>
    <t xml:space="preserve">02-82597588</t>
  </si>
  <si>
    <t xml:space="preserve">427</t>
  </si>
  <si>
    <t xml:space="preserve">AQ287</t>
  </si>
  <si>
    <t xml:space="preserve">428</t>
  </si>
  <si>
    <t xml:space="preserve">AQ288</t>
  </si>
  <si>
    <t xml:space="preserve">429</t>
  </si>
  <si>
    <t xml:space="preserve">AQ289</t>
  </si>
  <si>
    <t xml:space="preserve">430</t>
  </si>
  <si>
    <t xml:space="preserve">AQ290</t>
  </si>
  <si>
    <t xml:space="preserve">431</t>
  </si>
  <si>
    <t xml:space="preserve">AQ765</t>
  </si>
  <si>
    <t xml:space="preserve">新北市板橋區三民路二段171號</t>
  </si>
  <si>
    <t xml:space="preserve">02-89525968</t>
  </si>
  <si>
    <t xml:space="preserve">432</t>
  </si>
  <si>
    <t xml:space="preserve">AQ766</t>
  </si>
  <si>
    <t xml:space="preserve">433</t>
  </si>
  <si>
    <t xml:space="preserve">AQ767</t>
  </si>
  <si>
    <t xml:space="preserve">434</t>
  </si>
  <si>
    <t xml:space="preserve">AQ778</t>
  </si>
  <si>
    <t xml:space="preserve">435</t>
  </si>
  <si>
    <t xml:space="preserve">AT461</t>
  </si>
  <si>
    <t xml:space="preserve">436</t>
  </si>
  <si>
    <t xml:space="preserve">AY187</t>
  </si>
  <si>
    <t xml:space="preserve">437</t>
  </si>
  <si>
    <t xml:space="preserve">AQ801</t>
  </si>
  <si>
    <t xml:space="preserve">新北市中和區景平路476號</t>
  </si>
  <si>
    <t xml:space="preserve">02-89415799</t>
  </si>
  <si>
    <t xml:space="preserve">438</t>
  </si>
  <si>
    <t xml:space="preserve">AQ802</t>
  </si>
  <si>
    <t xml:space="preserve">439</t>
  </si>
  <si>
    <t xml:space="preserve">AQ803</t>
  </si>
  <si>
    <t xml:space="preserve">440</t>
  </si>
  <si>
    <t xml:space="preserve">AQ804</t>
  </si>
  <si>
    <t xml:space="preserve">441</t>
  </si>
  <si>
    <t xml:space="preserve">AQ717</t>
  </si>
  <si>
    <t xml:space="preserve">新北市永和區永和路一段57號</t>
  </si>
  <si>
    <t xml:space="preserve">02-29268111</t>
  </si>
  <si>
    <t xml:space="preserve">442</t>
  </si>
  <si>
    <t xml:space="preserve">AQ718</t>
  </si>
  <si>
    <t xml:space="preserve">443</t>
  </si>
  <si>
    <t xml:space="preserve">AQ719</t>
  </si>
  <si>
    <t xml:space="preserve">444</t>
  </si>
  <si>
    <t xml:space="preserve">AQ720</t>
  </si>
  <si>
    <t xml:space="preserve">445</t>
  </si>
  <si>
    <t xml:space="preserve">AQ721</t>
  </si>
  <si>
    <t xml:space="preserve">446</t>
  </si>
  <si>
    <t xml:space="preserve">AQ722</t>
  </si>
  <si>
    <t xml:space="preserve">447</t>
  </si>
  <si>
    <t xml:space="preserve">AQ768</t>
  </si>
  <si>
    <t xml:space="preserve">新北市中和區中山路三段117號</t>
  </si>
  <si>
    <t xml:space="preserve">02-82218576</t>
  </si>
  <si>
    <t xml:space="preserve">448</t>
  </si>
  <si>
    <t xml:space="preserve">AQ769</t>
  </si>
  <si>
    <t xml:space="preserve">449</t>
  </si>
  <si>
    <t xml:space="preserve">AQ770</t>
  </si>
  <si>
    <t xml:space="preserve">450</t>
  </si>
  <si>
    <t xml:space="preserve">AQ771</t>
  </si>
  <si>
    <t xml:space="preserve">451</t>
  </si>
  <si>
    <t xml:space="preserve">AQ221</t>
  </si>
  <si>
    <t xml:space="preserve">新北市三重區正義北路15-3號</t>
  </si>
  <si>
    <t xml:space="preserve">02-89712899</t>
  </si>
  <si>
    <t xml:space="preserve">452</t>
  </si>
  <si>
    <t xml:space="preserve">AQ222</t>
  </si>
  <si>
    <t xml:space="preserve">453</t>
  </si>
  <si>
    <t xml:space="preserve">AQ223</t>
  </si>
  <si>
    <t xml:space="preserve">454</t>
  </si>
  <si>
    <t xml:space="preserve">AQ224</t>
  </si>
  <si>
    <t xml:space="preserve">455</t>
  </si>
  <si>
    <t xml:space="preserve">AQ225</t>
  </si>
  <si>
    <t xml:space="preserve">456</t>
  </si>
  <si>
    <t xml:space="preserve">AQ231</t>
  </si>
  <si>
    <t xml:space="preserve">新北市泰山區明志路三段155號</t>
  </si>
  <si>
    <t xml:space="preserve">02-29076266</t>
  </si>
  <si>
    <t xml:space="preserve">457</t>
  </si>
  <si>
    <t xml:space="preserve">AQ232</t>
  </si>
  <si>
    <t xml:space="preserve">458</t>
  </si>
  <si>
    <t xml:space="preserve">AQ233</t>
  </si>
  <si>
    <t xml:space="preserve">459</t>
  </si>
  <si>
    <t xml:space="preserve">AQ234</t>
  </si>
  <si>
    <t xml:space="preserve">460</t>
  </si>
  <si>
    <t xml:space="preserve">AY582</t>
  </si>
  <si>
    <t xml:space="preserve">461</t>
  </si>
  <si>
    <t xml:space="preserve">AQ263</t>
  </si>
  <si>
    <t xml:space="preserve">新北市林口區忠孝路370號1樓</t>
  </si>
  <si>
    <t xml:space="preserve">02-26005028</t>
  </si>
  <si>
    <t xml:space="preserve">週一至週日11:00~20:00</t>
  </si>
  <si>
    <t xml:space="preserve">462</t>
  </si>
  <si>
    <t xml:space="preserve">AQ264</t>
  </si>
  <si>
    <t xml:space="preserve">463</t>
  </si>
  <si>
    <t xml:space="preserve">AQ265</t>
  </si>
  <si>
    <t xml:space="preserve">464</t>
  </si>
  <si>
    <t xml:space="preserve">AQ266</t>
  </si>
  <si>
    <t xml:space="preserve">465</t>
  </si>
  <si>
    <t xml:space="preserve">AQ267</t>
  </si>
  <si>
    <t xml:space="preserve">466</t>
  </si>
  <si>
    <t xml:space="preserve">AQ269</t>
  </si>
  <si>
    <t xml:space="preserve">新北市泰山區明志路一段167號1樓</t>
  </si>
  <si>
    <t xml:space="preserve">02-29005168</t>
  </si>
  <si>
    <t xml:space="preserve">467</t>
  </si>
  <si>
    <t xml:space="preserve">AQ270</t>
  </si>
  <si>
    <t xml:space="preserve">468</t>
  </si>
  <si>
    <t xml:space="preserve">AQ271</t>
  </si>
  <si>
    <t xml:space="preserve">469</t>
  </si>
  <si>
    <t xml:space="preserve">AQ272</t>
  </si>
  <si>
    <t xml:space="preserve">470</t>
  </si>
  <si>
    <t xml:space="preserve">AQ740</t>
  </si>
  <si>
    <t xml:space="preserve">新北市蘆洲區集賢路338號1樓</t>
  </si>
  <si>
    <t xml:space="preserve">02-22846006</t>
  </si>
  <si>
    <t xml:space="preserve">471</t>
  </si>
  <si>
    <t xml:space="preserve">AQ741</t>
  </si>
  <si>
    <t xml:space="preserve">472</t>
  </si>
  <si>
    <t xml:space="preserve">AQ742</t>
  </si>
  <si>
    <t xml:space="preserve">473</t>
  </si>
  <si>
    <t xml:space="preserve">AQ743</t>
  </si>
  <si>
    <t xml:space="preserve">474</t>
  </si>
  <si>
    <t xml:space="preserve">AQ744</t>
  </si>
  <si>
    <t xml:space="preserve">475</t>
  </si>
  <si>
    <t xml:space="preserve">AQ745</t>
  </si>
  <si>
    <t xml:space="preserve">476</t>
  </si>
  <si>
    <t xml:space="preserve">AQ809</t>
  </si>
  <si>
    <t xml:space="preserve">新北市新莊區中華路一段57號</t>
  </si>
  <si>
    <t xml:space="preserve">02-29904500</t>
  </si>
  <si>
    <t xml:space="preserve">週一至週五09:00~20:00
週六至週日10:00~19:00</t>
  </si>
  <si>
    <t xml:space="preserve">477</t>
  </si>
  <si>
    <t xml:space="preserve">AQ810</t>
  </si>
  <si>
    <t xml:space="preserve">478</t>
  </si>
  <si>
    <t xml:space="preserve">AQ811</t>
  </si>
  <si>
    <t xml:space="preserve">479</t>
  </si>
  <si>
    <t xml:space="preserve">AQ812</t>
  </si>
  <si>
    <t xml:space="preserve">480</t>
  </si>
  <si>
    <t xml:space="preserve">AQ813</t>
  </si>
  <si>
    <t xml:space="preserve">481</t>
  </si>
  <si>
    <t xml:space="preserve">AQ814</t>
  </si>
  <si>
    <t xml:space="preserve">482</t>
  </si>
  <si>
    <t xml:space="preserve">AQ815</t>
  </si>
  <si>
    <t xml:space="preserve">483</t>
  </si>
  <si>
    <t xml:space="preserve">AQ816</t>
  </si>
  <si>
    <t xml:space="preserve">484</t>
  </si>
  <si>
    <t xml:space="preserve">AQ817</t>
  </si>
  <si>
    <t xml:space="preserve">485</t>
  </si>
  <si>
    <t xml:space="preserve">AQ818</t>
  </si>
  <si>
    <t xml:space="preserve">486</t>
  </si>
  <si>
    <t xml:space="preserve">AQ819</t>
  </si>
  <si>
    <t xml:space="preserve">487</t>
  </si>
  <si>
    <t xml:space="preserve">AQ820</t>
  </si>
  <si>
    <t xml:space="preserve">488</t>
  </si>
  <si>
    <t xml:space="preserve">AQ821</t>
  </si>
  <si>
    <t xml:space="preserve">489</t>
  </si>
  <si>
    <t xml:space="preserve">AQ822</t>
  </si>
  <si>
    <t xml:space="preserve">490</t>
  </si>
  <si>
    <t xml:space="preserve">AQ823</t>
  </si>
  <si>
    <t xml:space="preserve">491</t>
  </si>
  <si>
    <t xml:space="preserve">AQ701</t>
  </si>
  <si>
    <t xml:space="preserve">新北市新莊區中平路369號</t>
  </si>
  <si>
    <t xml:space="preserve">02-22792588</t>
  </si>
  <si>
    <t xml:space="preserve">492</t>
  </si>
  <si>
    <t xml:space="preserve">AQ702</t>
  </si>
  <si>
    <t xml:space="preserve">493</t>
  </si>
  <si>
    <t xml:space="preserve">AQ703</t>
  </si>
  <si>
    <t xml:space="preserve">494</t>
  </si>
  <si>
    <t xml:space="preserve">AQ300</t>
  </si>
  <si>
    <t xml:space="preserve">495</t>
  </si>
  <si>
    <t xml:space="preserve">AQ704</t>
  </si>
  <si>
    <t xml:space="preserve">新北市新莊區民安路214號1樓</t>
  </si>
  <si>
    <t xml:space="preserve">02-82016068</t>
  </si>
  <si>
    <t xml:space="preserve">496</t>
  </si>
  <si>
    <t xml:space="preserve">AQ705</t>
  </si>
  <si>
    <t xml:space="preserve">497</t>
  </si>
  <si>
    <t xml:space="preserve">AQ706</t>
  </si>
  <si>
    <t xml:space="preserve">498</t>
  </si>
  <si>
    <t xml:space="preserve">AQ707</t>
  </si>
  <si>
    <t xml:space="preserve">499</t>
  </si>
  <si>
    <t xml:space="preserve">AQ784</t>
  </si>
  <si>
    <t xml:space="preserve">新北市新莊區幸福路612號1樓</t>
  </si>
  <si>
    <t xml:space="preserve">02-22792566</t>
  </si>
  <si>
    <t xml:space="preserve">500</t>
  </si>
  <si>
    <t xml:space="preserve">AQ785</t>
  </si>
  <si>
    <t xml:space="preserve">501</t>
  </si>
  <si>
    <t xml:space="preserve">AQ786</t>
  </si>
  <si>
    <t xml:space="preserve">502</t>
  </si>
  <si>
    <t xml:space="preserve">AQ787</t>
  </si>
  <si>
    <t xml:space="preserve">503</t>
  </si>
  <si>
    <t xml:space="preserve">AQ788</t>
  </si>
  <si>
    <t xml:space="preserve">504</t>
  </si>
  <si>
    <t xml:space="preserve">AQ251</t>
  </si>
  <si>
    <t xml:space="preserve">新北市蘆洲區中華街73號1樓</t>
  </si>
  <si>
    <t xml:space="preserve">02-22846016</t>
  </si>
  <si>
    <t xml:space="preserve">505</t>
  </si>
  <si>
    <t xml:space="preserve">AQ252</t>
  </si>
  <si>
    <t xml:space="preserve">506</t>
  </si>
  <si>
    <t xml:space="preserve">AQ253</t>
  </si>
  <si>
    <t xml:space="preserve">507</t>
  </si>
  <si>
    <t xml:space="preserve">AT450</t>
  </si>
  <si>
    <t xml:space="preserve">508</t>
  </si>
  <si>
    <t xml:space="preserve">AQ746</t>
  </si>
  <si>
    <t xml:space="preserve">桃園市桃園區中正路417號</t>
  </si>
  <si>
    <t xml:space="preserve">03-3375299</t>
  </si>
  <si>
    <t xml:space="preserve">509</t>
  </si>
  <si>
    <t xml:space="preserve">AQ747</t>
  </si>
  <si>
    <t xml:space="preserve">510</t>
  </si>
  <si>
    <t xml:space="preserve">AQ748</t>
  </si>
  <si>
    <t xml:space="preserve">511</t>
  </si>
  <si>
    <t xml:space="preserve">AQ749</t>
  </si>
  <si>
    <t xml:space="preserve">512</t>
  </si>
  <si>
    <t xml:space="preserve">AQ750</t>
  </si>
  <si>
    <t xml:space="preserve">513</t>
  </si>
  <si>
    <t xml:space="preserve">AQ772</t>
  </si>
  <si>
    <t xml:space="preserve">桃園市桃園區大業路一段353號</t>
  </si>
  <si>
    <t xml:space="preserve">03-3562768</t>
  </si>
  <si>
    <t xml:space="preserve">514</t>
  </si>
  <si>
    <t xml:space="preserve">AQ773</t>
  </si>
  <si>
    <t xml:space="preserve">515</t>
  </si>
  <si>
    <t xml:space="preserve">AQ774</t>
  </si>
  <si>
    <t xml:space="preserve">516</t>
  </si>
  <si>
    <t xml:space="preserve">AQ775</t>
  </si>
  <si>
    <t xml:space="preserve">517</t>
  </si>
  <si>
    <t xml:space="preserve">AQ776</t>
  </si>
  <si>
    <t xml:space="preserve">518</t>
  </si>
  <si>
    <t xml:space="preserve">AQ777</t>
  </si>
  <si>
    <t xml:space="preserve">519</t>
  </si>
  <si>
    <t xml:space="preserve">AQ277</t>
  </si>
  <si>
    <t xml:space="preserve">桃園市楊梅區大成路167號</t>
  </si>
  <si>
    <t xml:space="preserve">03-4882882</t>
  </si>
  <si>
    <t xml:space="preserve">週一至週五08:30~18:30
週六至週日09:00~18:00</t>
  </si>
  <si>
    <t xml:space="preserve">520</t>
  </si>
  <si>
    <t xml:space="preserve">AQ278</t>
  </si>
  <si>
    <t xml:space="preserve">521</t>
  </si>
  <si>
    <t xml:space="preserve">AQ279</t>
  </si>
  <si>
    <t xml:space="preserve">522</t>
  </si>
  <si>
    <t xml:space="preserve">AQ280</t>
  </si>
  <si>
    <t xml:space="preserve">523</t>
  </si>
  <si>
    <t xml:space="preserve">AQ281</t>
  </si>
  <si>
    <t xml:space="preserve">524</t>
  </si>
  <si>
    <t xml:space="preserve">AQ282</t>
  </si>
  <si>
    <t xml:space="preserve">525</t>
  </si>
  <si>
    <t xml:space="preserve">AQ283</t>
  </si>
  <si>
    <t xml:space="preserve">526</t>
  </si>
  <si>
    <t xml:space="preserve">AQ284</t>
  </si>
  <si>
    <t xml:space="preserve">527</t>
  </si>
  <si>
    <t xml:space="preserve">AQ285</t>
  </si>
  <si>
    <t xml:space="preserve">528</t>
  </si>
  <si>
    <t xml:space="preserve">AQ794</t>
  </si>
  <si>
    <t xml:space="preserve">桃園市龜山區中興路359號</t>
  </si>
  <si>
    <t xml:space="preserve">03-3192385</t>
  </si>
  <si>
    <t xml:space="preserve">529</t>
  </si>
  <si>
    <t xml:space="preserve">AQ795</t>
  </si>
  <si>
    <t xml:space="preserve">530</t>
  </si>
  <si>
    <t xml:space="preserve">AQ796</t>
  </si>
  <si>
    <t xml:space="preserve">531</t>
  </si>
  <si>
    <t xml:space="preserve">AQ797</t>
  </si>
  <si>
    <t xml:space="preserve">532</t>
  </si>
  <si>
    <t xml:space="preserve">AQ798</t>
  </si>
  <si>
    <t xml:space="preserve">533</t>
  </si>
  <si>
    <t xml:space="preserve">AQ805</t>
  </si>
  <si>
    <t xml:space="preserve">桃園市桃園區龍安街107號</t>
  </si>
  <si>
    <t xml:space="preserve">03-3697988</t>
  </si>
  <si>
    <t xml:space="preserve">534</t>
  </si>
  <si>
    <t xml:space="preserve">AQ806</t>
  </si>
  <si>
    <t xml:space="preserve">535</t>
  </si>
  <si>
    <t xml:space="preserve">AQ807</t>
  </si>
  <si>
    <t xml:space="preserve">536</t>
  </si>
  <si>
    <t xml:space="preserve">AQ808</t>
  </si>
  <si>
    <t xml:space="preserve">537</t>
  </si>
  <si>
    <t xml:space="preserve">AQ227</t>
  </si>
  <si>
    <t xml:space="preserve">桃園市龜山區復興一路310號</t>
  </si>
  <si>
    <t xml:space="preserve">03-3961388</t>
  </si>
  <si>
    <t xml:space="preserve">週一至週五11:00~20:30
週六至週日12:00~20:00</t>
  </si>
  <si>
    <t xml:space="preserve">538</t>
  </si>
  <si>
    <t xml:space="preserve">AQ228</t>
  </si>
  <si>
    <t xml:space="preserve">539</t>
  </si>
  <si>
    <t xml:space="preserve">AQ229</t>
  </si>
  <si>
    <t xml:space="preserve">540</t>
  </si>
  <si>
    <t xml:space="preserve">AQ230</t>
  </si>
  <si>
    <t xml:space="preserve">541</t>
  </si>
  <si>
    <t xml:space="preserve">AQ834</t>
  </si>
  <si>
    <t xml:space="preserve">桃園市桃園區桃鶯路157號</t>
  </si>
  <si>
    <t xml:space="preserve">03-3758558</t>
  </si>
  <si>
    <t xml:space="preserve">542</t>
  </si>
  <si>
    <t xml:space="preserve">AQ835</t>
  </si>
  <si>
    <t xml:space="preserve">543</t>
  </si>
  <si>
    <t xml:space="preserve">AY325</t>
  </si>
  <si>
    <t xml:space="preserve">544</t>
  </si>
  <si>
    <t xml:space="preserve">AQ837</t>
  </si>
  <si>
    <t xml:space="preserve">545</t>
  </si>
  <si>
    <t xml:space="preserve">AQ838</t>
  </si>
  <si>
    <t xml:space="preserve">546</t>
  </si>
  <si>
    <t xml:space="preserve">AQ296</t>
  </si>
  <si>
    <t xml:space="preserve">桃園市桃園區大有路455號</t>
  </si>
  <si>
    <t xml:space="preserve">03-3172688</t>
  </si>
  <si>
    <t xml:space="preserve">週一至週日13:00~21:00</t>
  </si>
  <si>
    <t xml:space="preserve">547</t>
  </si>
  <si>
    <t xml:space="preserve">AQ297</t>
  </si>
  <si>
    <t xml:space="preserve">548</t>
  </si>
  <si>
    <t xml:space="preserve">AQ298</t>
  </si>
  <si>
    <t xml:space="preserve">549</t>
  </si>
  <si>
    <t xml:space="preserve">AQ299</t>
  </si>
  <si>
    <t xml:space="preserve">550</t>
  </si>
  <si>
    <t xml:space="preserve">AQ254</t>
  </si>
  <si>
    <t xml:space="preserve">桃園市蘆竹區大竹路442號</t>
  </si>
  <si>
    <t xml:space="preserve">03-3138858</t>
  </si>
  <si>
    <t xml:space="preserve">551</t>
  </si>
  <si>
    <t xml:space="preserve">AQ255</t>
  </si>
  <si>
    <t xml:space="preserve">552</t>
  </si>
  <si>
    <t xml:space="preserve">AQ256</t>
  </si>
  <si>
    <t xml:space="preserve">553</t>
  </si>
  <si>
    <t xml:space="preserve">AQ257</t>
  </si>
  <si>
    <t xml:space="preserve">554</t>
  </si>
  <si>
    <t xml:space="preserve">AQ824</t>
  </si>
  <si>
    <t xml:space="preserve">桃園市蘆竹區南崁路128號</t>
  </si>
  <si>
    <t xml:space="preserve">03-3110568</t>
  </si>
  <si>
    <t xml:space="preserve">555</t>
  </si>
  <si>
    <t xml:space="preserve">AQ825</t>
  </si>
  <si>
    <t xml:space="preserve">556</t>
  </si>
  <si>
    <t xml:space="preserve">AQ827</t>
  </si>
  <si>
    <t xml:space="preserve">557</t>
  </si>
  <si>
    <t xml:space="preserve">AQ828</t>
  </si>
  <si>
    <t xml:space="preserve">558</t>
  </si>
  <si>
    <t xml:space="preserve">BB222</t>
  </si>
  <si>
    <t xml:space="preserve">559</t>
  </si>
  <si>
    <t xml:space="preserve">AQ839</t>
  </si>
  <si>
    <t xml:space="preserve">桃園市大溪區慈湖路78號</t>
  </si>
  <si>
    <t xml:space="preserve">03-3881501</t>
  </si>
  <si>
    <t xml:space="preserve">週一至週五08:30~18:30
週六13:00~17:00</t>
  </si>
  <si>
    <t xml:space="preserve">560</t>
  </si>
  <si>
    <t xml:space="preserve">AQ840</t>
  </si>
  <si>
    <t xml:space="preserve">561</t>
  </si>
  <si>
    <t xml:space="preserve">AQ841</t>
  </si>
  <si>
    <t xml:space="preserve">562</t>
  </si>
  <si>
    <t xml:space="preserve">AQ842</t>
  </si>
  <si>
    <t xml:space="preserve">563</t>
  </si>
  <si>
    <t xml:space="preserve">AQ843</t>
  </si>
  <si>
    <t xml:space="preserve">564</t>
  </si>
  <si>
    <t xml:space="preserve">AQ844</t>
  </si>
  <si>
    <t xml:space="preserve">565</t>
  </si>
  <si>
    <t xml:space="preserve">AQ845</t>
  </si>
  <si>
    <t xml:space="preserve">566</t>
  </si>
  <si>
    <t xml:space="preserve">AQ846</t>
  </si>
  <si>
    <t xml:space="preserve">567</t>
  </si>
  <si>
    <t xml:space="preserve">AQ847</t>
  </si>
  <si>
    <t xml:space="preserve">568</t>
  </si>
  <si>
    <t xml:space="preserve">AQ848</t>
  </si>
  <si>
    <t xml:space="preserve">569</t>
  </si>
  <si>
    <t xml:space="preserve">AQ829</t>
  </si>
  <si>
    <t xml:space="preserve">桃園市平鎮區南豐路95號</t>
  </si>
  <si>
    <t xml:space="preserve">03-4696228</t>
  </si>
  <si>
    <t xml:space="preserve">週一至週日12:00~20:00</t>
  </si>
  <si>
    <t xml:space="preserve">570</t>
  </si>
  <si>
    <t xml:space="preserve">AQ830</t>
  </si>
  <si>
    <t xml:space="preserve">571</t>
  </si>
  <si>
    <t xml:space="preserve">AQ831</t>
  </si>
  <si>
    <t xml:space="preserve">572</t>
  </si>
  <si>
    <t xml:space="preserve">AQ832</t>
  </si>
  <si>
    <t xml:space="preserve">573</t>
  </si>
  <si>
    <t xml:space="preserve">AQ833</t>
  </si>
  <si>
    <t xml:space="preserve">574</t>
  </si>
  <si>
    <t xml:space="preserve">AQ730</t>
  </si>
  <si>
    <t xml:space="preserve">桃園市平鎮區德育路二段175號</t>
  </si>
  <si>
    <t xml:space="preserve">03-4685464</t>
  </si>
  <si>
    <t xml:space="preserve">週一至週五08:30~18:30
週六08:30~12:30</t>
  </si>
  <si>
    <t xml:space="preserve">575</t>
  </si>
  <si>
    <t xml:space="preserve">AQ731</t>
  </si>
  <si>
    <t xml:space="preserve">576</t>
  </si>
  <si>
    <t xml:space="preserve">AQ732</t>
  </si>
  <si>
    <t xml:space="preserve">577</t>
  </si>
  <si>
    <t xml:space="preserve">AQ733</t>
  </si>
  <si>
    <t xml:space="preserve">578</t>
  </si>
  <si>
    <t xml:space="preserve">AQ734</t>
  </si>
  <si>
    <t xml:space="preserve">579</t>
  </si>
  <si>
    <t xml:space="preserve">AQ735</t>
  </si>
  <si>
    <t xml:space="preserve">580</t>
  </si>
  <si>
    <t xml:space="preserve">AQ736</t>
  </si>
  <si>
    <t xml:space="preserve">581</t>
  </si>
  <si>
    <t xml:space="preserve">AQ737</t>
  </si>
  <si>
    <t xml:space="preserve">582</t>
  </si>
  <si>
    <t xml:space="preserve">AQ738</t>
  </si>
  <si>
    <t xml:space="preserve">583</t>
  </si>
  <si>
    <t xml:space="preserve">AQ739</t>
  </si>
  <si>
    <t xml:space="preserve">584</t>
  </si>
  <si>
    <t xml:space="preserve">AQ241</t>
  </si>
  <si>
    <t xml:space="preserve">桃園市中壢區日新路49號</t>
  </si>
  <si>
    <t xml:space="preserve">03-4368188</t>
  </si>
  <si>
    <t xml:space="preserve">585</t>
  </si>
  <si>
    <t xml:space="preserve">AQ242</t>
  </si>
  <si>
    <t xml:space="preserve">586</t>
  </si>
  <si>
    <t xml:space="preserve">AQ243</t>
  </si>
  <si>
    <t xml:space="preserve">587</t>
  </si>
  <si>
    <t xml:space="preserve">AQ244</t>
  </si>
  <si>
    <t xml:space="preserve">588</t>
  </si>
  <si>
    <t xml:space="preserve">AQ760</t>
  </si>
  <si>
    <t xml:space="preserve">桃園市中壢區龍東路471號</t>
  </si>
  <si>
    <t xml:space="preserve">03-4658188</t>
  </si>
  <si>
    <t xml:space="preserve">589</t>
  </si>
  <si>
    <t xml:space="preserve">AQ761</t>
  </si>
  <si>
    <t xml:space="preserve">590</t>
  </si>
  <si>
    <t xml:space="preserve">AQ762</t>
  </si>
  <si>
    <t xml:space="preserve">591</t>
  </si>
  <si>
    <t xml:space="preserve">AQ763</t>
  </si>
  <si>
    <t xml:space="preserve">592</t>
  </si>
  <si>
    <t xml:space="preserve">AQ764</t>
  </si>
  <si>
    <t xml:space="preserve">593</t>
  </si>
  <si>
    <t xml:space="preserve">AQ789</t>
  </si>
  <si>
    <t xml:space="preserve">桃園市中壢區忠孝路65號</t>
  </si>
  <si>
    <t xml:space="preserve">03-4357268</t>
  </si>
  <si>
    <t xml:space="preserve">594</t>
  </si>
  <si>
    <t xml:space="preserve">AQ790</t>
  </si>
  <si>
    <t xml:space="preserve">595</t>
  </si>
  <si>
    <t xml:space="preserve">AQ791</t>
  </si>
  <si>
    <t xml:space="preserve">596</t>
  </si>
  <si>
    <t xml:space="preserve">AQ792</t>
  </si>
  <si>
    <t xml:space="preserve">597</t>
  </si>
  <si>
    <t xml:space="preserve">AQ793</t>
  </si>
  <si>
    <t xml:space="preserve">598</t>
  </si>
  <si>
    <t xml:space="preserve">AQ203</t>
  </si>
  <si>
    <t xml:space="preserve">桃園市龍潭區中興路396號</t>
  </si>
  <si>
    <t xml:space="preserve">03-4898288</t>
  </si>
  <si>
    <t xml:space="preserve">599</t>
  </si>
  <si>
    <t xml:space="preserve">AQ204</t>
  </si>
  <si>
    <t xml:space="preserve">600</t>
  </si>
  <si>
    <t xml:space="preserve">AQ205</t>
  </si>
  <si>
    <t xml:space="preserve">601</t>
  </si>
  <si>
    <t xml:space="preserve">AQ206</t>
  </si>
  <si>
    <t xml:space="preserve">602</t>
  </si>
  <si>
    <t xml:space="preserve">AQ856</t>
  </si>
  <si>
    <t xml:space="preserve">桃園市八德區介壽路一段894號</t>
  </si>
  <si>
    <t xml:space="preserve">03-3779899</t>
  </si>
  <si>
    <t xml:space="preserve">603</t>
  </si>
  <si>
    <t xml:space="preserve">AQ857</t>
  </si>
  <si>
    <t xml:space="preserve">604</t>
  </si>
  <si>
    <t xml:space="preserve">AQ858</t>
  </si>
  <si>
    <t xml:space="preserve">605</t>
  </si>
  <si>
    <t xml:space="preserve">AQ859</t>
  </si>
  <si>
    <t xml:space="preserve">606</t>
  </si>
  <si>
    <t xml:space="preserve">AQ860</t>
  </si>
  <si>
    <t xml:space="preserve">607</t>
  </si>
  <si>
    <t xml:space="preserve">AQ041</t>
  </si>
  <si>
    <t xml:space="preserve">桃園市龍潭區中正路194巷25號</t>
  </si>
  <si>
    <t xml:space="preserve">03-4895454</t>
  </si>
  <si>
    <t xml:space="preserve">週一至週五08:30~18:30
週六08:30~14:30</t>
  </si>
  <si>
    <t xml:space="preserve">608</t>
  </si>
  <si>
    <t xml:space="preserve">AQ042</t>
  </si>
  <si>
    <t xml:space="preserve">609</t>
  </si>
  <si>
    <t xml:space="preserve">AQ043</t>
  </si>
  <si>
    <t xml:space="preserve">610</t>
  </si>
  <si>
    <t xml:space="preserve">AQ044</t>
  </si>
  <si>
    <t xml:space="preserve">611</t>
  </si>
  <si>
    <t xml:space="preserve">AY315</t>
  </si>
  <si>
    <t xml:space="preserve">612</t>
  </si>
  <si>
    <t xml:space="preserve">AQ046</t>
  </si>
  <si>
    <t xml:space="preserve">613</t>
  </si>
  <si>
    <t xml:space="preserve">AQ047</t>
  </si>
  <si>
    <t xml:space="preserve">614</t>
  </si>
  <si>
    <t xml:space="preserve">AQ048</t>
  </si>
  <si>
    <t xml:space="preserve">615</t>
  </si>
  <si>
    <t xml:space="preserve">AQ049</t>
  </si>
  <si>
    <t xml:space="preserve">616</t>
  </si>
  <si>
    <t xml:space="preserve">AQ050</t>
  </si>
  <si>
    <t xml:space="preserve">617</t>
  </si>
  <si>
    <t xml:space="preserve">AQ201</t>
  </si>
  <si>
    <t xml:space="preserve">618</t>
  </si>
  <si>
    <t xml:space="preserve">AQ202</t>
  </si>
  <si>
    <t xml:space="preserve">619</t>
  </si>
  <si>
    <t xml:space="preserve">AT616</t>
  </si>
  <si>
    <t xml:space="preserve">苗栗縣竹南鎮和平街81-2號</t>
  </si>
  <si>
    <t xml:space="preserve">037-467388</t>
  </si>
  <si>
    <t xml:space="preserve">620</t>
  </si>
  <si>
    <t xml:space="preserve">AT617</t>
  </si>
  <si>
    <t xml:space="preserve">621</t>
  </si>
  <si>
    <t xml:space="preserve">AT606</t>
  </si>
  <si>
    <t xml:space="preserve">622</t>
  </si>
  <si>
    <t xml:space="preserve">AT610</t>
  </si>
  <si>
    <t xml:space="preserve">623</t>
  </si>
  <si>
    <t xml:space="preserve">AT609</t>
  </si>
  <si>
    <t xml:space="preserve">624</t>
  </si>
  <si>
    <t xml:space="preserve">AT638</t>
  </si>
  <si>
    <t xml:space="preserve">新竹市東區光復路一段354巷1弄7號</t>
  </si>
  <si>
    <t xml:space="preserve">03-5633100</t>
  </si>
  <si>
    <t xml:space="preserve">625</t>
  </si>
  <si>
    <t xml:space="preserve">AT637</t>
  </si>
  <si>
    <t xml:space="preserve">626</t>
  </si>
  <si>
    <t xml:space="preserve">AT626</t>
  </si>
  <si>
    <t xml:space="preserve">627</t>
  </si>
  <si>
    <t xml:space="preserve">AT627</t>
  </si>
  <si>
    <t xml:space="preserve">628</t>
  </si>
  <si>
    <t xml:space="preserve">AT628</t>
  </si>
  <si>
    <t xml:space="preserve">629</t>
  </si>
  <si>
    <t xml:space="preserve">AT630</t>
  </si>
  <si>
    <t xml:space="preserve">630</t>
  </si>
  <si>
    <t xml:space="preserve">AT636</t>
  </si>
  <si>
    <t xml:space="preserve">631</t>
  </si>
  <si>
    <t xml:space="preserve">AT629</t>
  </si>
  <si>
    <t xml:space="preserve">632</t>
  </si>
  <si>
    <t xml:space="preserve">AQ551</t>
  </si>
  <si>
    <t xml:space="preserve">新竹縣竹北市縣政九路136號</t>
  </si>
  <si>
    <t xml:space="preserve">03-5552144</t>
  </si>
  <si>
    <t xml:space="preserve">週一至週五09:00~19:00
週六09:00~17:00</t>
  </si>
  <si>
    <t xml:space="preserve">633</t>
  </si>
  <si>
    <t xml:space="preserve">AQ552</t>
  </si>
  <si>
    <t xml:space="preserve">634</t>
  </si>
  <si>
    <t xml:space="preserve">AQ553</t>
  </si>
  <si>
    <t xml:space="preserve">635</t>
  </si>
  <si>
    <t xml:space="preserve">AQ554</t>
  </si>
  <si>
    <t xml:space="preserve">636</t>
  </si>
  <si>
    <t xml:space="preserve">AQ555</t>
  </si>
  <si>
    <t xml:space="preserve">637</t>
  </si>
  <si>
    <t xml:space="preserve">AQ566</t>
  </si>
  <si>
    <t xml:space="preserve">638</t>
  </si>
  <si>
    <t xml:space="preserve">AQ567</t>
  </si>
  <si>
    <t xml:space="preserve">639</t>
  </si>
  <si>
    <t xml:space="preserve">AQ568</t>
  </si>
  <si>
    <t xml:space="preserve">640</t>
  </si>
  <si>
    <t xml:space="preserve">AQ596</t>
  </si>
  <si>
    <t xml:space="preserve">641</t>
  </si>
  <si>
    <t xml:space="preserve">AQ570</t>
  </si>
  <si>
    <t xml:space="preserve">642</t>
  </si>
  <si>
    <t xml:space="preserve">AQ598</t>
  </si>
  <si>
    <t xml:space="preserve">643</t>
  </si>
  <si>
    <t xml:space="preserve">AQ501</t>
  </si>
  <si>
    <t xml:space="preserve">新竹市東區民生路168號</t>
  </si>
  <si>
    <t xml:space="preserve">03-5345600</t>
  </si>
  <si>
    <t xml:space="preserve">644</t>
  </si>
  <si>
    <t xml:space="preserve">AQ502</t>
  </si>
  <si>
    <t xml:space="preserve">645</t>
  </si>
  <si>
    <t xml:space="preserve">AQ503</t>
  </si>
  <si>
    <t xml:space="preserve">646</t>
  </si>
  <si>
    <t xml:space="preserve">AQ504</t>
  </si>
  <si>
    <t xml:space="preserve">647</t>
  </si>
  <si>
    <t xml:space="preserve">AQ505</t>
  </si>
  <si>
    <t xml:space="preserve">648</t>
  </si>
  <si>
    <t xml:space="preserve">AQ521</t>
  </si>
  <si>
    <t xml:space="preserve">新竹縣竹北市博愛街426-1號</t>
  </si>
  <si>
    <t xml:space="preserve">03-5544600</t>
  </si>
  <si>
    <t xml:space="preserve">649</t>
  </si>
  <si>
    <t xml:space="preserve">AQ522</t>
  </si>
  <si>
    <t xml:space="preserve">650</t>
  </si>
  <si>
    <t xml:space="preserve">AQ523</t>
  </si>
  <si>
    <t xml:space="preserve">651</t>
  </si>
  <si>
    <t xml:space="preserve">AQ524</t>
  </si>
  <si>
    <t xml:space="preserve">652</t>
  </si>
  <si>
    <t xml:space="preserve">AQ525</t>
  </si>
  <si>
    <t xml:space="preserve">653</t>
  </si>
  <si>
    <t xml:space="preserve">AQ526</t>
  </si>
  <si>
    <t xml:space="preserve">654</t>
  </si>
  <si>
    <t xml:space="preserve">AQ527</t>
  </si>
  <si>
    <t xml:space="preserve">655</t>
  </si>
  <si>
    <t xml:space="preserve">AQ105</t>
  </si>
  <si>
    <t xml:space="preserve">苗栗縣苗栗市中正路560號</t>
  </si>
  <si>
    <t xml:space="preserve">037-339182</t>
  </si>
  <si>
    <t xml:space="preserve">週一至週五08:30~18:00
週六至週日09:00~17:00</t>
  </si>
  <si>
    <t xml:space="preserve">656</t>
  </si>
  <si>
    <t xml:space="preserve">AQ543</t>
  </si>
  <si>
    <t xml:space="preserve">657</t>
  </si>
  <si>
    <t xml:space="preserve">AQ556</t>
  </si>
  <si>
    <t xml:space="preserve">658</t>
  </si>
  <si>
    <t xml:space="preserve">AQ557</t>
  </si>
  <si>
    <t xml:space="preserve">659</t>
  </si>
  <si>
    <t xml:space="preserve">AQ558</t>
  </si>
  <si>
    <t xml:space="preserve">660</t>
  </si>
  <si>
    <t xml:space="preserve">AQ559</t>
  </si>
  <si>
    <t xml:space="preserve">661</t>
  </si>
  <si>
    <t xml:space="preserve">AQ560</t>
  </si>
  <si>
    <t xml:space="preserve">662</t>
  </si>
  <si>
    <t xml:space="preserve">AQ561</t>
  </si>
  <si>
    <t xml:space="preserve">663</t>
  </si>
  <si>
    <t xml:space="preserve">AQ562</t>
  </si>
  <si>
    <t xml:space="preserve">664</t>
  </si>
  <si>
    <t xml:space="preserve">AQ563</t>
  </si>
  <si>
    <t xml:space="preserve">665</t>
  </si>
  <si>
    <t xml:space="preserve">AQ564</t>
  </si>
  <si>
    <t xml:space="preserve">666</t>
  </si>
  <si>
    <t xml:space="preserve">AQ565</t>
  </si>
  <si>
    <t xml:space="preserve">667</t>
  </si>
  <si>
    <t xml:space="preserve">AQ571</t>
  </si>
  <si>
    <t xml:space="preserve">668</t>
  </si>
  <si>
    <t xml:space="preserve">AQ572</t>
  </si>
  <si>
    <t xml:space="preserve">669</t>
  </si>
  <si>
    <t xml:space="preserve">AQ573</t>
  </si>
  <si>
    <t xml:space="preserve">670</t>
  </si>
  <si>
    <t xml:space="preserve">AQ574</t>
  </si>
  <si>
    <t xml:space="preserve">671</t>
  </si>
  <si>
    <t xml:space="preserve">AQ575</t>
  </si>
  <si>
    <t xml:space="preserve">672</t>
  </si>
  <si>
    <t xml:space="preserve">AR608</t>
  </si>
  <si>
    <t xml:space="preserve">673</t>
  </si>
  <si>
    <t xml:space="preserve">AQ531</t>
  </si>
  <si>
    <t xml:space="preserve">苗栗縣頭份市和平路70號</t>
  </si>
  <si>
    <t xml:space="preserve">037-669014</t>
  </si>
  <si>
    <t xml:space="preserve">674</t>
  </si>
  <si>
    <t xml:space="preserve">AQ532</t>
  </si>
  <si>
    <t xml:space="preserve">675</t>
  </si>
  <si>
    <t xml:space="preserve">AQ533</t>
  </si>
  <si>
    <t xml:space="preserve">676</t>
  </si>
  <si>
    <t xml:space="preserve">AQ534</t>
  </si>
  <si>
    <t xml:space="preserve">677</t>
  </si>
  <si>
    <t xml:space="preserve">AQ535</t>
  </si>
  <si>
    <t xml:space="preserve">678</t>
  </si>
  <si>
    <t xml:space="preserve">AQ536</t>
  </si>
  <si>
    <t xml:space="preserve">679</t>
  </si>
  <si>
    <t xml:space="preserve">AQ537</t>
  </si>
  <si>
    <t xml:space="preserve">680</t>
  </si>
  <si>
    <t xml:space="preserve">AQ538</t>
  </si>
  <si>
    <t xml:space="preserve">681</t>
  </si>
  <si>
    <t xml:space="preserve">AQ539</t>
  </si>
  <si>
    <t xml:space="preserve">682</t>
  </si>
  <si>
    <t xml:space="preserve">AQ541</t>
  </si>
  <si>
    <t xml:space="preserve">683</t>
  </si>
  <si>
    <t xml:space="preserve">AQ595</t>
  </si>
  <si>
    <t xml:space="preserve">新竹市北區中正路105號</t>
  </si>
  <si>
    <t xml:space="preserve">03-5212100</t>
  </si>
  <si>
    <t xml:space="preserve">週一至週五09:00~18:00
週六09:00~17:00</t>
  </si>
  <si>
    <t xml:space="preserve">684</t>
  </si>
  <si>
    <t xml:space="preserve">AQ512</t>
  </si>
  <si>
    <t xml:space="preserve">685</t>
  </si>
  <si>
    <t xml:space="preserve">AQ513</t>
  </si>
  <si>
    <t xml:space="preserve">686</t>
  </si>
  <si>
    <t xml:space="preserve">AQ514</t>
  </si>
  <si>
    <t xml:space="preserve">687</t>
  </si>
  <si>
    <t xml:space="preserve">AQ515</t>
  </si>
  <si>
    <t xml:space="preserve">688</t>
  </si>
  <si>
    <t xml:space="preserve">AQ516</t>
  </si>
  <si>
    <t xml:space="preserve">689</t>
  </si>
  <si>
    <t xml:space="preserve">AQ517</t>
  </si>
  <si>
    <t xml:space="preserve">690</t>
  </si>
  <si>
    <t xml:space="preserve">AQ518</t>
  </si>
  <si>
    <t xml:space="preserve">691</t>
  </si>
  <si>
    <t xml:space="preserve">AQ519</t>
  </si>
  <si>
    <t xml:space="preserve">692</t>
  </si>
  <si>
    <t xml:space="preserve">AQ520</t>
  </si>
  <si>
    <t xml:space="preserve">693</t>
  </si>
  <si>
    <t xml:space="preserve">AQ341</t>
  </si>
  <si>
    <t xml:space="preserve">台中市東區十甲路450號</t>
  </si>
  <si>
    <t xml:space="preserve">04-22126608</t>
  </si>
  <si>
    <t xml:space="preserve">694</t>
  </si>
  <si>
    <t xml:space="preserve">AQ342</t>
  </si>
  <si>
    <t xml:space="preserve">695</t>
  </si>
  <si>
    <t xml:space="preserve">AQ343</t>
  </si>
  <si>
    <t xml:space="preserve">696</t>
  </si>
  <si>
    <t xml:space="preserve">AQ344</t>
  </si>
  <si>
    <t xml:space="preserve">697</t>
  </si>
  <si>
    <t xml:space="preserve">AT305</t>
  </si>
  <si>
    <t xml:space="preserve">台中市太平區樹孝路25號</t>
  </si>
  <si>
    <t xml:space="preserve">04-23916144</t>
  </si>
  <si>
    <t xml:space="preserve">週一至週六08:30~18:30</t>
  </si>
  <si>
    <t xml:space="preserve">698</t>
  </si>
  <si>
    <t xml:space="preserve">AT310</t>
  </si>
  <si>
    <t xml:space="preserve">699</t>
  </si>
  <si>
    <t xml:space="preserve">AQ345</t>
  </si>
  <si>
    <t xml:space="preserve">700</t>
  </si>
  <si>
    <t xml:space="preserve">AQ346</t>
  </si>
  <si>
    <t xml:space="preserve">701</t>
  </si>
  <si>
    <t xml:space="preserve">AQ374</t>
  </si>
  <si>
    <t xml:space="preserve">702</t>
  </si>
  <si>
    <t xml:space="preserve">AQ375</t>
  </si>
  <si>
    <t xml:space="preserve">703</t>
  </si>
  <si>
    <t xml:space="preserve">AQ376</t>
  </si>
  <si>
    <t xml:space="preserve">704</t>
  </si>
  <si>
    <t xml:space="preserve">AQ377</t>
  </si>
  <si>
    <t xml:space="preserve">705</t>
  </si>
  <si>
    <t xml:space="preserve">AT373</t>
  </si>
  <si>
    <t xml:space="preserve">台中市北屯區北屯路208之5號</t>
  </si>
  <si>
    <t xml:space="preserve">04-22352818</t>
  </si>
  <si>
    <t xml:space="preserve">706</t>
  </si>
  <si>
    <t xml:space="preserve">AT374</t>
  </si>
  <si>
    <t xml:space="preserve">707</t>
  </si>
  <si>
    <t xml:space="preserve">AT375</t>
  </si>
  <si>
    <t xml:space="preserve">708</t>
  </si>
  <si>
    <t xml:space="preserve">AT376</t>
  </si>
  <si>
    <t xml:space="preserve">709</t>
  </si>
  <si>
    <t xml:space="preserve">AT379</t>
  </si>
  <si>
    <t xml:space="preserve">台中市北屯區東山路一段212之2號</t>
  </si>
  <si>
    <t xml:space="preserve">04-24371088</t>
  </si>
  <si>
    <t xml:space="preserve">710</t>
  </si>
  <si>
    <t xml:space="preserve">AT380</t>
  </si>
  <si>
    <t xml:space="preserve">711</t>
  </si>
  <si>
    <t xml:space="preserve">AT381</t>
  </si>
  <si>
    <t xml:space="preserve">712</t>
  </si>
  <si>
    <t xml:space="preserve">AT382</t>
  </si>
  <si>
    <t xml:space="preserve">713</t>
  </si>
  <si>
    <t xml:space="preserve">AT383</t>
  </si>
  <si>
    <t xml:space="preserve">714</t>
  </si>
  <si>
    <t xml:space="preserve">AT372</t>
  </si>
  <si>
    <t xml:space="preserve">台中市大雅區民興街59號</t>
  </si>
  <si>
    <t xml:space="preserve">04-25673121</t>
  </si>
  <si>
    <t xml:space="preserve">715</t>
  </si>
  <si>
    <t xml:space="preserve">AQ378</t>
  </si>
  <si>
    <t xml:space="preserve">716</t>
  </si>
  <si>
    <t xml:space="preserve">AQ379</t>
  </si>
  <si>
    <t xml:space="preserve">717</t>
  </si>
  <si>
    <t xml:space="preserve">AQ380</t>
  </si>
  <si>
    <t xml:space="preserve">718</t>
  </si>
  <si>
    <t xml:space="preserve">AT348</t>
  </si>
  <si>
    <t xml:space="preserve">台中市沙鹿區中山路205號</t>
  </si>
  <si>
    <t xml:space="preserve">04-26626623</t>
  </si>
  <si>
    <t xml:space="preserve">719</t>
  </si>
  <si>
    <t xml:space="preserve">AT349</t>
  </si>
  <si>
    <t xml:space="preserve">720</t>
  </si>
  <si>
    <t xml:space="preserve">AT350</t>
  </si>
  <si>
    <t xml:space="preserve">721</t>
  </si>
  <si>
    <t xml:space="preserve">AT351</t>
  </si>
  <si>
    <t xml:space="preserve">722</t>
  </si>
  <si>
    <t xml:space="preserve">AQ085</t>
  </si>
  <si>
    <t xml:space="preserve">台中市北屯區崇德路二段201號</t>
  </si>
  <si>
    <t xml:space="preserve">04-22420697</t>
  </si>
  <si>
    <t xml:space="preserve">723</t>
  </si>
  <si>
    <t xml:space="preserve">AQ086</t>
  </si>
  <si>
    <t xml:space="preserve">724</t>
  </si>
  <si>
    <t xml:space="preserve">AQ087</t>
  </si>
  <si>
    <t xml:space="preserve">725</t>
  </si>
  <si>
    <t xml:space="preserve">AQ088</t>
  </si>
  <si>
    <t xml:space="preserve">726</t>
  </si>
  <si>
    <t xml:space="preserve">AT311</t>
  </si>
  <si>
    <t xml:space="preserve">台中市潭子區潭興路三段40號</t>
  </si>
  <si>
    <t xml:space="preserve">04-25324467</t>
  </si>
  <si>
    <t xml:space="preserve">727</t>
  </si>
  <si>
    <t xml:space="preserve">AT312</t>
  </si>
  <si>
    <t xml:space="preserve">728</t>
  </si>
  <si>
    <t xml:space="preserve">AT313</t>
  </si>
  <si>
    <t xml:space="preserve">729</t>
  </si>
  <si>
    <t xml:space="preserve">AT314</t>
  </si>
  <si>
    <t xml:space="preserve">730</t>
  </si>
  <si>
    <t xml:space="preserve">AT315</t>
  </si>
  <si>
    <t xml:space="preserve">731</t>
  </si>
  <si>
    <t xml:space="preserve">AT316</t>
  </si>
  <si>
    <t xml:space="preserve">732</t>
  </si>
  <si>
    <t xml:space="preserve">AT389</t>
  </si>
  <si>
    <t xml:space="preserve">台中市龍井區遊園南路257號</t>
  </si>
  <si>
    <t xml:space="preserve">04-26312003</t>
  </si>
  <si>
    <t xml:space="preserve">733</t>
  </si>
  <si>
    <t xml:space="preserve">AT390</t>
  </si>
  <si>
    <t xml:space="preserve">734</t>
  </si>
  <si>
    <t xml:space="preserve">AT388</t>
  </si>
  <si>
    <t xml:space="preserve">735</t>
  </si>
  <si>
    <t xml:space="preserve">AT387</t>
  </si>
  <si>
    <t xml:space="preserve">736</t>
  </si>
  <si>
    <t xml:space="preserve">AQ386</t>
  </si>
  <si>
    <t xml:space="preserve">台中市豐原區中山路412號</t>
  </si>
  <si>
    <t xml:space="preserve">04-25123414</t>
  </si>
  <si>
    <t xml:space="preserve">737</t>
  </si>
  <si>
    <t xml:space="preserve">AQ387</t>
  </si>
  <si>
    <t xml:space="preserve">738</t>
  </si>
  <si>
    <t xml:space="preserve">AQ388</t>
  </si>
  <si>
    <t xml:space="preserve">739</t>
  </si>
  <si>
    <t xml:space="preserve">AQ389</t>
  </si>
  <si>
    <t xml:space="preserve">740</t>
  </si>
  <si>
    <t xml:space="preserve">AQ390</t>
  </si>
  <si>
    <t xml:space="preserve">741</t>
  </si>
  <si>
    <t xml:space="preserve">AQ370</t>
  </si>
  <si>
    <t xml:space="preserve">台中市西屯區大墩路932號</t>
  </si>
  <si>
    <t xml:space="preserve">04-23282098</t>
  </si>
  <si>
    <t xml:space="preserve">優先汰換</t>
  </si>
  <si>
    <t xml:space="preserve">742</t>
  </si>
  <si>
    <t xml:space="preserve">AQ371</t>
  </si>
  <si>
    <t xml:space="preserve">743</t>
  </si>
  <si>
    <t xml:space="preserve">AQ372</t>
  </si>
  <si>
    <t xml:space="preserve">744</t>
  </si>
  <si>
    <t xml:space="preserve">AQ373</t>
  </si>
  <si>
    <t xml:space="preserve">745</t>
  </si>
  <si>
    <t xml:space="preserve">AQ352</t>
  </si>
  <si>
    <t xml:space="preserve">台中市北區中清路一段347號</t>
  </si>
  <si>
    <t xml:space="preserve">04-23445236</t>
  </si>
  <si>
    <t xml:space="preserve">746</t>
  </si>
  <si>
    <t xml:space="preserve">AQ353</t>
  </si>
  <si>
    <t xml:space="preserve">747</t>
  </si>
  <si>
    <t xml:space="preserve">AQ354</t>
  </si>
  <si>
    <t xml:space="preserve">748</t>
  </si>
  <si>
    <t xml:space="preserve">AQ355</t>
  </si>
  <si>
    <t xml:space="preserve">749</t>
  </si>
  <si>
    <t xml:space="preserve">AQ356</t>
  </si>
  <si>
    <t xml:space="preserve">750</t>
  </si>
  <si>
    <t xml:space="preserve">AQ358</t>
  </si>
  <si>
    <t xml:space="preserve">751</t>
  </si>
  <si>
    <t xml:space="preserve">AQ359</t>
  </si>
  <si>
    <t xml:space="preserve">752</t>
  </si>
  <si>
    <t xml:space="preserve">AQ360</t>
  </si>
  <si>
    <t xml:space="preserve">753</t>
  </si>
  <si>
    <t xml:space="preserve">AV765</t>
  </si>
  <si>
    <t xml:space="preserve">754</t>
  </si>
  <si>
    <t xml:space="preserve">AQ336</t>
  </si>
  <si>
    <t xml:space="preserve">台中市西區精誠路105-8號</t>
  </si>
  <si>
    <t xml:space="preserve">04-23285911</t>
  </si>
  <si>
    <t xml:space="preserve">755</t>
  </si>
  <si>
    <t xml:space="preserve">AQ337</t>
  </si>
  <si>
    <t xml:space="preserve">756</t>
  </si>
  <si>
    <t xml:space="preserve">AQ340</t>
  </si>
  <si>
    <t xml:space="preserve">757</t>
  </si>
  <si>
    <t xml:space="preserve">AQ338</t>
  </si>
  <si>
    <t xml:space="preserve">758</t>
  </si>
  <si>
    <t xml:space="preserve">AQ339</t>
  </si>
  <si>
    <t xml:space="preserve">759</t>
  </si>
  <si>
    <t xml:space="preserve">AQ347</t>
  </si>
  <si>
    <t xml:space="preserve">台中市西屯區台灣大道四段1238號</t>
  </si>
  <si>
    <t xml:space="preserve">04-24631288</t>
  </si>
  <si>
    <t xml:space="preserve">760</t>
  </si>
  <si>
    <t xml:space="preserve">AQ348</t>
  </si>
  <si>
    <t xml:space="preserve">761</t>
  </si>
  <si>
    <t xml:space="preserve">AQ349</t>
  </si>
  <si>
    <t xml:space="preserve">762</t>
  </si>
  <si>
    <t xml:space="preserve">AQ350</t>
  </si>
  <si>
    <t xml:space="preserve">763</t>
  </si>
  <si>
    <t xml:space="preserve">AQ351</t>
  </si>
  <si>
    <t xml:space="preserve">764</t>
  </si>
  <si>
    <t xml:space="preserve">AQ365</t>
  </si>
  <si>
    <t xml:space="preserve">台中市西屯區永福路139號1樓</t>
  </si>
  <si>
    <t xml:space="preserve">04-24622467</t>
  </si>
  <si>
    <t xml:space="preserve">765</t>
  </si>
  <si>
    <t xml:space="preserve">AQ366</t>
  </si>
  <si>
    <t xml:space="preserve">766</t>
  </si>
  <si>
    <t xml:space="preserve">AQ367</t>
  </si>
  <si>
    <t xml:space="preserve">767</t>
  </si>
  <si>
    <t xml:space="preserve">AQ368</t>
  </si>
  <si>
    <t xml:space="preserve">768</t>
  </si>
  <si>
    <t xml:space="preserve">AQ369</t>
  </si>
  <si>
    <t xml:space="preserve">769</t>
  </si>
  <si>
    <t xml:space="preserve">AT355</t>
  </si>
  <si>
    <t xml:space="preserve">台中市西區美村路一段685號</t>
  </si>
  <si>
    <t xml:space="preserve">04-23785557</t>
  </si>
  <si>
    <t xml:space="preserve">770</t>
  </si>
  <si>
    <t xml:space="preserve">AT356</t>
  </si>
  <si>
    <t xml:space="preserve">771</t>
  </si>
  <si>
    <t xml:space="preserve">AT357</t>
  </si>
  <si>
    <t xml:space="preserve">772</t>
  </si>
  <si>
    <t xml:space="preserve">AT358</t>
  </si>
  <si>
    <t xml:space="preserve">773</t>
  </si>
  <si>
    <t xml:space="preserve">AQ381</t>
  </si>
  <si>
    <t xml:space="preserve">台中市北屯區崇德路三段165號</t>
  </si>
  <si>
    <t xml:space="preserve">04-24229619</t>
  </si>
  <si>
    <t xml:space="preserve">774</t>
  </si>
  <si>
    <t xml:space="preserve">AQ382</t>
  </si>
  <si>
    <t xml:space="preserve">775</t>
  </si>
  <si>
    <t xml:space="preserve">AQ383</t>
  </si>
  <si>
    <t xml:space="preserve">776</t>
  </si>
  <si>
    <t xml:space="preserve">AQ384</t>
  </si>
  <si>
    <t xml:space="preserve">777</t>
  </si>
  <si>
    <t xml:space="preserve">AQ385</t>
  </si>
  <si>
    <t xml:space="preserve">778</t>
  </si>
  <si>
    <t xml:space="preserve">AT337</t>
  </si>
  <si>
    <t xml:space="preserve">台中市西屯區漢口路二段292號</t>
  </si>
  <si>
    <t xml:space="preserve">04-23112316</t>
  </si>
  <si>
    <t xml:space="preserve">779</t>
  </si>
  <si>
    <t xml:space="preserve">AT338</t>
  </si>
  <si>
    <t xml:space="preserve">780</t>
  </si>
  <si>
    <t xml:space="preserve">AT339</t>
  </si>
  <si>
    <t xml:space="preserve">781</t>
  </si>
  <si>
    <t xml:space="preserve">AT340</t>
  </si>
  <si>
    <t xml:space="preserve">782</t>
  </si>
  <si>
    <t xml:space="preserve">AT341</t>
  </si>
  <si>
    <t xml:space="preserve">783</t>
  </si>
  <si>
    <t xml:space="preserve">AT306</t>
  </si>
  <si>
    <t xml:space="preserve">台中市南屯區黎明路二段147之1號</t>
  </si>
  <si>
    <t xml:space="preserve">04-23823528</t>
  </si>
  <si>
    <t xml:space="preserve">784</t>
  </si>
  <si>
    <t xml:space="preserve">AT307</t>
  </si>
  <si>
    <t xml:space="preserve">785</t>
  </si>
  <si>
    <t xml:space="preserve">AT308</t>
  </si>
  <si>
    <t xml:space="preserve">786</t>
  </si>
  <si>
    <t xml:space="preserve">AT309</t>
  </si>
  <si>
    <t xml:space="preserve">787</t>
  </si>
  <si>
    <t xml:space="preserve">AQ400</t>
  </si>
  <si>
    <t xml:space="preserve">台中市北區學士路187號</t>
  </si>
  <si>
    <t xml:space="preserve">04-22382556</t>
  </si>
  <si>
    <t xml:space="preserve">788</t>
  </si>
  <si>
    <t xml:space="preserve">AT324</t>
  </si>
  <si>
    <t xml:space="preserve">789</t>
  </si>
  <si>
    <t xml:space="preserve">BE703</t>
  </si>
  <si>
    <t xml:space="preserve">790</t>
  </si>
  <si>
    <t xml:space="preserve">AY875</t>
  </si>
  <si>
    <t xml:space="preserve">791</t>
  </si>
  <si>
    <t xml:space="preserve">AT326</t>
  </si>
  <si>
    <t xml:space="preserve">792</t>
  </si>
  <si>
    <t xml:space="preserve">AT327</t>
  </si>
  <si>
    <t xml:space="preserve">793</t>
  </si>
  <si>
    <t xml:space="preserve">AQ092</t>
  </si>
  <si>
    <t xml:space="preserve">台中市霧峰區中正路933號</t>
  </si>
  <si>
    <t xml:space="preserve">04-23393442</t>
  </si>
  <si>
    <t xml:space="preserve">794</t>
  </si>
  <si>
    <t xml:space="preserve">AQ094</t>
  </si>
  <si>
    <t xml:space="preserve">795</t>
  </si>
  <si>
    <t xml:space="preserve">AQ096</t>
  </si>
  <si>
    <t xml:space="preserve">796</t>
  </si>
  <si>
    <t xml:space="preserve">AQ097</t>
  </si>
  <si>
    <t xml:space="preserve">797</t>
  </si>
  <si>
    <t xml:space="preserve">AQ098</t>
  </si>
  <si>
    <t xml:space="preserve">798</t>
  </si>
  <si>
    <t xml:space="preserve">AQ099</t>
  </si>
  <si>
    <t xml:space="preserve">799</t>
  </si>
  <si>
    <t xml:space="preserve">AT328</t>
  </si>
  <si>
    <t xml:space="preserve">台中市北區太平路10號</t>
  </si>
  <si>
    <t xml:space="preserve">04-22298585</t>
  </si>
  <si>
    <t xml:space="preserve">800</t>
  </si>
  <si>
    <t xml:space="preserve">AT329</t>
  </si>
  <si>
    <t xml:space="preserve">801</t>
  </si>
  <si>
    <t xml:space="preserve">AT330</t>
  </si>
  <si>
    <t xml:space="preserve">802</t>
  </si>
  <si>
    <t xml:space="preserve">AT331</t>
  </si>
  <si>
    <t xml:space="preserve">803</t>
  </si>
  <si>
    <t xml:space="preserve">AQ308</t>
  </si>
  <si>
    <t xml:space="preserve">台中市南區工學路82號</t>
  </si>
  <si>
    <t xml:space="preserve">04-22616751</t>
  </si>
  <si>
    <t xml:space="preserve">804</t>
  </si>
  <si>
    <t xml:space="preserve">AQ309</t>
  </si>
  <si>
    <t xml:space="preserve">805</t>
  </si>
  <si>
    <t xml:space="preserve">AQ310</t>
  </si>
  <si>
    <t xml:space="preserve">806</t>
  </si>
  <si>
    <t xml:space="preserve">AQ311</t>
  </si>
  <si>
    <t xml:space="preserve">807</t>
  </si>
  <si>
    <t xml:space="preserve">AQ312</t>
  </si>
  <si>
    <t xml:space="preserve">808</t>
  </si>
  <si>
    <t xml:space="preserve">AQ313</t>
  </si>
  <si>
    <t xml:space="preserve">809</t>
  </si>
  <si>
    <t xml:space="preserve">AT342</t>
  </si>
  <si>
    <t xml:space="preserve">南投縣南投市中山一街6號</t>
  </si>
  <si>
    <t xml:space="preserve">049-2230811</t>
  </si>
  <si>
    <t xml:space="preserve">810</t>
  </si>
  <si>
    <t xml:space="preserve">AT343</t>
  </si>
  <si>
    <t xml:space="preserve">811</t>
  </si>
  <si>
    <t xml:space="preserve">AT344</t>
  </si>
  <si>
    <t xml:space="preserve">812</t>
  </si>
  <si>
    <t xml:space="preserve">AT345</t>
  </si>
  <si>
    <t xml:space="preserve">813</t>
  </si>
  <si>
    <t xml:space="preserve">AT346</t>
  </si>
  <si>
    <t xml:space="preserve">814</t>
  </si>
  <si>
    <t xml:space="preserve">AT347</t>
  </si>
  <si>
    <t xml:space="preserve">815</t>
  </si>
  <si>
    <t xml:space="preserve">AT301</t>
  </si>
  <si>
    <t xml:space="preserve">台中市南屯區東興路二段62號</t>
  </si>
  <si>
    <t xml:space="preserve">04-24723858</t>
  </si>
  <si>
    <t xml:space="preserve">816</t>
  </si>
  <si>
    <t xml:space="preserve">AT302</t>
  </si>
  <si>
    <t xml:space="preserve">817</t>
  </si>
  <si>
    <t xml:space="preserve">AT303</t>
  </si>
  <si>
    <t xml:space="preserve">818</t>
  </si>
  <si>
    <t xml:space="preserve">AT304</t>
  </si>
  <si>
    <t xml:space="preserve">819</t>
  </si>
  <si>
    <t xml:space="preserve">AT359</t>
  </si>
  <si>
    <t xml:space="preserve">台中市南區學府路73、75號</t>
  </si>
  <si>
    <t xml:space="preserve">04-22853788</t>
  </si>
  <si>
    <t xml:space="preserve">820</t>
  </si>
  <si>
    <t xml:space="preserve">AT360</t>
  </si>
  <si>
    <t xml:space="preserve">821</t>
  </si>
  <si>
    <t xml:space="preserve">AT361</t>
  </si>
  <si>
    <t xml:space="preserve">822</t>
  </si>
  <si>
    <t xml:space="preserve">AT362</t>
  </si>
  <si>
    <t xml:space="preserve">823</t>
  </si>
  <si>
    <t xml:space="preserve">AQ089</t>
  </si>
  <si>
    <t xml:space="preserve">台中市太平區太平路577號</t>
  </si>
  <si>
    <t xml:space="preserve">04-22762886</t>
  </si>
  <si>
    <t xml:space="preserve">824</t>
  </si>
  <si>
    <t xml:space="preserve">AQ090</t>
  </si>
  <si>
    <t xml:space="preserve">825</t>
  </si>
  <si>
    <t xml:space="preserve">AQ091</t>
  </si>
  <si>
    <t xml:space="preserve">826</t>
  </si>
  <si>
    <t xml:space="preserve">AT352</t>
  </si>
  <si>
    <t xml:space="preserve">台中市烏日區中山路一段402號</t>
  </si>
  <si>
    <t xml:space="preserve">04-23386869</t>
  </si>
  <si>
    <t xml:space="preserve">827</t>
  </si>
  <si>
    <t xml:space="preserve">AT353</t>
  </si>
  <si>
    <t xml:space="preserve">828</t>
  </si>
  <si>
    <t xml:space="preserve">AT354</t>
  </si>
  <si>
    <t xml:space="preserve">829</t>
  </si>
  <si>
    <t xml:space="preserve">AW283</t>
  </si>
  <si>
    <t xml:space="preserve">830</t>
  </si>
  <si>
    <t xml:space="preserve">AQ391</t>
  </si>
  <si>
    <t xml:space="preserve">南投縣埔里鎮中正路443號</t>
  </si>
  <si>
    <t xml:space="preserve">049-2992800</t>
  </si>
  <si>
    <t xml:space="preserve">831</t>
  </si>
  <si>
    <t xml:space="preserve">AQ392</t>
  </si>
  <si>
    <t xml:space="preserve">832</t>
  </si>
  <si>
    <t xml:space="preserve">AY465</t>
  </si>
  <si>
    <t xml:space="preserve">833</t>
  </si>
  <si>
    <t xml:space="preserve">AQ394</t>
  </si>
  <si>
    <t xml:space="preserve">834</t>
  </si>
  <si>
    <t xml:space="preserve">AQ395</t>
  </si>
  <si>
    <t xml:space="preserve">835</t>
  </si>
  <si>
    <t xml:space="preserve">AQ396</t>
  </si>
  <si>
    <t xml:space="preserve">836</t>
  </si>
  <si>
    <t xml:space="preserve">AQ397</t>
  </si>
  <si>
    <t xml:space="preserve">837</t>
  </si>
  <si>
    <t xml:space="preserve">AQ398</t>
  </si>
  <si>
    <t xml:space="preserve">838</t>
  </si>
  <si>
    <t xml:space="preserve">AQ399</t>
  </si>
  <si>
    <t xml:space="preserve">839</t>
  </si>
  <si>
    <t xml:space="preserve">AQ329</t>
  </si>
  <si>
    <t xml:space="preserve">台中市大里區國光路二段735號</t>
  </si>
  <si>
    <t xml:space="preserve">04-24060877</t>
  </si>
  <si>
    <t xml:space="preserve">840</t>
  </si>
  <si>
    <t xml:space="preserve">AQ330</t>
  </si>
  <si>
    <t xml:space="preserve">841</t>
  </si>
  <si>
    <t xml:space="preserve">AQ331</t>
  </si>
  <si>
    <t xml:space="preserve">842</t>
  </si>
  <si>
    <t xml:space="preserve">AQ361</t>
  </si>
  <si>
    <t xml:space="preserve">台中市大里區成功路463號</t>
  </si>
  <si>
    <t xml:space="preserve">04-24966369</t>
  </si>
  <si>
    <t xml:space="preserve">843</t>
  </si>
  <si>
    <t xml:space="preserve">AQ362</t>
  </si>
  <si>
    <t xml:space="preserve">844</t>
  </si>
  <si>
    <t xml:space="preserve">AQ363</t>
  </si>
  <si>
    <t xml:space="preserve">845</t>
  </si>
  <si>
    <t xml:space="preserve">AQ364</t>
  </si>
  <si>
    <t xml:space="preserve">846</t>
  </si>
  <si>
    <t xml:space="preserve">AQ326</t>
  </si>
  <si>
    <t xml:space="preserve">彰化縣彰化市大埔路503號</t>
  </si>
  <si>
    <t xml:space="preserve">04-7125161</t>
  </si>
  <si>
    <t xml:space="preserve">847</t>
  </si>
  <si>
    <t xml:space="preserve">AQ327</t>
  </si>
  <si>
    <t xml:space="preserve">848</t>
  </si>
  <si>
    <t xml:space="preserve">AQ328</t>
  </si>
  <si>
    <t xml:space="preserve">849</t>
  </si>
  <si>
    <t xml:space="preserve">AT332</t>
  </si>
  <si>
    <t xml:space="preserve">彰化縣鹿港鎮中山路175號</t>
  </si>
  <si>
    <t xml:space="preserve">04-7781858</t>
  </si>
  <si>
    <t xml:space="preserve">850</t>
  </si>
  <si>
    <t xml:space="preserve">AT333</t>
  </si>
  <si>
    <t xml:space="preserve">851</t>
  </si>
  <si>
    <t xml:space="preserve">AT334</t>
  </si>
  <si>
    <t xml:space="preserve">852</t>
  </si>
  <si>
    <t xml:space="preserve">AT335</t>
  </si>
  <si>
    <t xml:space="preserve">853</t>
  </si>
  <si>
    <t xml:space="preserve">AT336</t>
  </si>
  <si>
    <t xml:space="preserve">854</t>
  </si>
  <si>
    <t xml:space="preserve">AQ627</t>
  </si>
  <si>
    <t xml:space="preserve">雲林縣斗南鎮南昌路147號</t>
  </si>
  <si>
    <t xml:space="preserve">05-5973642</t>
  </si>
  <si>
    <t xml:space="preserve">855</t>
  </si>
  <si>
    <t xml:space="preserve">BI737</t>
  </si>
  <si>
    <t xml:space="preserve">856</t>
  </si>
  <si>
    <t xml:space="preserve">AQ629</t>
  </si>
  <si>
    <t xml:space="preserve">857</t>
  </si>
  <si>
    <t xml:space="preserve">AQ630</t>
  </si>
  <si>
    <t xml:space="preserve">858</t>
  </si>
  <si>
    <t xml:space="preserve">AT201</t>
  </si>
  <si>
    <t xml:space="preserve">859</t>
  </si>
  <si>
    <t xml:space="preserve">AT202</t>
  </si>
  <si>
    <t xml:space="preserve">860</t>
  </si>
  <si>
    <t xml:space="preserve">AQ317</t>
  </si>
  <si>
    <t xml:space="preserve">彰化縣北斗鎮宮後街27號</t>
  </si>
  <si>
    <t xml:space="preserve">04-8884041</t>
  </si>
  <si>
    <t xml:space="preserve">週一至週六08:30~17:30</t>
  </si>
  <si>
    <t xml:space="preserve">861</t>
  </si>
  <si>
    <t xml:space="preserve">AQ318</t>
  </si>
  <si>
    <t xml:space="preserve">862</t>
  </si>
  <si>
    <t xml:space="preserve">AQ319</t>
  </si>
  <si>
    <t xml:space="preserve">863</t>
  </si>
  <si>
    <t xml:space="preserve">AQ320</t>
  </si>
  <si>
    <t xml:space="preserve">864</t>
  </si>
  <si>
    <t xml:space="preserve">AQ321</t>
  </si>
  <si>
    <t xml:space="preserve">865</t>
  </si>
  <si>
    <t xml:space="preserve">AQ322</t>
  </si>
  <si>
    <t xml:space="preserve">866</t>
  </si>
  <si>
    <t xml:space="preserve">AQ323</t>
  </si>
  <si>
    <t xml:space="preserve">867</t>
  </si>
  <si>
    <t xml:space="preserve">AQ332</t>
  </si>
  <si>
    <t xml:space="preserve">彰化縣彰化市永安街379號1樓</t>
  </si>
  <si>
    <t xml:space="preserve">04-7353528</t>
  </si>
  <si>
    <t xml:space="preserve">868</t>
  </si>
  <si>
    <t xml:space="preserve">AQ333</t>
  </si>
  <si>
    <t xml:space="preserve">869</t>
  </si>
  <si>
    <t xml:space="preserve">AQ334</t>
  </si>
  <si>
    <t xml:space="preserve">870</t>
  </si>
  <si>
    <t xml:space="preserve">AQ335</t>
  </si>
  <si>
    <t xml:space="preserve">871</t>
  </si>
  <si>
    <t xml:space="preserve">AQ611</t>
  </si>
  <si>
    <t xml:space="preserve">雲林縣虎尾鎮中正路281號</t>
  </si>
  <si>
    <t xml:space="preserve">05-6321199</t>
  </si>
  <si>
    <t xml:space="preserve">872</t>
  </si>
  <si>
    <t xml:space="preserve">AQ612</t>
  </si>
  <si>
    <t xml:space="preserve">873</t>
  </si>
  <si>
    <t xml:space="preserve">AQ613</t>
  </si>
  <si>
    <t xml:space="preserve">874</t>
  </si>
  <si>
    <t xml:space="preserve">AQ614</t>
  </si>
  <si>
    <t xml:space="preserve">875</t>
  </si>
  <si>
    <t xml:space="preserve">AQ615</t>
  </si>
  <si>
    <t xml:space="preserve">876</t>
  </si>
  <si>
    <t xml:space="preserve">AT363</t>
  </si>
  <si>
    <t xml:space="preserve">彰化縣鹿港鎮民權路82號</t>
  </si>
  <si>
    <t xml:space="preserve">04-7770395</t>
  </si>
  <si>
    <t xml:space="preserve">877</t>
  </si>
  <si>
    <t xml:space="preserve">AT364</t>
  </si>
  <si>
    <t xml:space="preserve">878</t>
  </si>
  <si>
    <t xml:space="preserve">AT365</t>
  </si>
  <si>
    <t xml:space="preserve">879</t>
  </si>
  <si>
    <t xml:space="preserve">AT366</t>
  </si>
  <si>
    <t xml:space="preserve">880</t>
  </si>
  <si>
    <t xml:space="preserve">AT367</t>
  </si>
  <si>
    <t xml:space="preserve">881</t>
  </si>
  <si>
    <t xml:space="preserve">AT368</t>
  </si>
  <si>
    <t xml:space="preserve">882</t>
  </si>
  <si>
    <t xml:space="preserve">AT369</t>
  </si>
  <si>
    <t xml:space="preserve">883</t>
  </si>
  <si>
    <t xml:space="preserve">AT371</t>
  </si>
  <si>
    <t xml:space="preserve">884</t>
  </si>
  <si>
    <t xml:space="preserve">AQ616</t>
  </si>
  <si>
    <t xml:space="preserve">雲林縣斗六市民生南路246號</t>
  </si>
  <si>
    <t xml:space="preserve">05-5325565</t>
  </si>
  <si>
    <t xml:space="preserve">885</t>
  </si>
  <si>
    <t xml:space="preserve">AQ617</t>
  </si>
  <si>
    <t xml:space="preserve">886</t>
  </si>
  <si>
    <t xml:space="preserve">AQ618</t>
  </si>
  <si>
    <t xml:space="preserve">887</t>
  </si>
  <si>
    <t xml:space="preserve">AQ619</t>
  </si>
  <si>
    <t xml:space="preserve">888</t>
  </si>
  <si>
    <t xml:space="preserve">AQ620</t>
  </si>
  <si>
    <t xml:space="preserve">889</t>
  </si>
  <si>
    <t xml:space="preserve">AQ304</t>
  </si>
  <si>
    <t xml:space="preserve">彰化縣彰化市中山路二段1018號</t>
  </si>
  <si>
    <t xml:space="preserve">04-7220678</t>
  </si>
  <si>
    <t xml:space="preserve">890</t>
  </si>
  <si>
    <t xml:space="preserve">AQ305</t>
  </si>
  <si>
    <t xml:space="preserve">891</t>
  </si>
  <si>
    <t xml:space="preserve">AQ306</t>
  </si>
  <si>
    <t xml:space="preserve">892</t>
  </si>
  <si>
    <t xml:space="preserve">AQ307</t>
  </si>
  <si>
    <t xml:space="preserve">893</t>
  </si>
  <si>
    <t xml:space="preserve">AQ324</t>
  </si>
  <si>
    <t xml:space="preserve">894</t>
  </si>
  <si>
    <t xml:space="preserve">AQ325</t>
  </si>
  <si>
    <t xml:space="preserve">895</t>
  </si>
  <si>
    <t xml:space="preserve">AQ100</t>
  </si>
  <si>
    <t xml:space="preserve">彰化縣員林市靜修路52-6號1樓</t>
  </si>
  <si>
    <t xml:space="preserve">04-8331258</t>
  </si>
  <si>
    <t xml:space="preserve">896</t>
  </si>
  <si>
    <t xml:space="preserve">AQ301</t>
  </si>
  <si>
    <t xml:space="preserve">897</t>
  </si>
  <si>
    <t xml:space="preserve">AQ302</t>
  </si>
  <si>
    <t xml:space="preserve">898</t>
  </si>
  <si>
    <t xml:space="preserve">AQ303</t>
  </si>
  <si>
    <t xml:space="preserve">899</t>
  </si>
  <si>
    <t xml:space="preserve">AY845</t>
  </si>
  <si>
    <t xml:space="preserve">900</t>
  </si>
  <si>
    <t xml:space="preserve">AQ862</t>
  </si>
  <si>
    <t xml:space="preserve">桃園市中壢區中山路152號</t>
  </si>
  <si>
    <t xml:space="preserve">03-4263614</t>
  </si>
  <si>
    <t xml:space="preserve">週一至週五08:30~20:00
週六至週日09:00~18:00</t>
  </si>
  <si>
    <t xml:space="preserve">901</t>
  </si>
  <si>
    <t xml:space="preserve">AQ876</t>
  </si>
  <si>
    <t xml:space="preserve">902</t>
  </si>
  <si>
    <t xml:space="preserve">AQ863</t>
  </si>
  <si>
    <t xml:space="preserve">903</t>
  </si>
  <si>
    <t xml:space="preserve">AQ874</t>
  </si>
  <si>
    <t xml:space="preserve">904</t>
  </si>
  <si>
    <t xml:space="preserve">AQ871</t>
  </si>
  <si>
    <t xml:space="preserve">905</t>
  </si>
  <si>
    <t xml:space="preserve">AQ866</t>
  </si>
  <si>
    <t xml:space="preserve">906</t>
  </si>
  <si>
    <t xml:space="preserve">AQ867</t>
  </si>
  <si>
    <t xml:space="preserve">907</t>
  </si>
  <si>
    <t xml:space="preserve">AQ869</t>
  </si>
  <si>
    <t xml:space="preserve">908</t>
  </si>
  <si>
    <t xml:space="preserve">AQ868</t>
  </si>
  <si>
    <t xml:space="preserve">909</t>
  </si>
  <si>
    <t xml:space="preserve">AQ870</t>
  </si>
  <si>
    <t xml:space="preserve">910</t>
  </si>
  <si>
    <t xml:space="preserve">AQ849</t>
  </si>
  <si>
    <t xml:space="preserve">911</t>
  </si>
  <si>
    <t xml:space="preserve">AQ873</t>
  </si>
  <si>
    <t xml:space="preserve">912</t>
  </si>
  <si>
    <t xml:space="preserve">AQ879</t>
  </si>
  <si>
    <t xml:space="preserve">913</t>
  </si>
  <si>
    <t xml:space="preserve">AQ861</t>
  </si>
  <si>
    <t xml:space="preserve">914</t>
  </si>
  <si>
    <t xml:space="preserve">AQ864</t>
  </si>
  <si>
    <t xml:space="preserve">915</t>
  </si>
  <si>
    <t xml:space="preserve">AQ872</t>
  </si>
  <si>
    <t xml:space="preserve">916</t>
  </si>
  <si>
    <t xml:space="preserve">AQ875</t>
  </si>
  <si>
    <t xml:space="preserve">917</t>
  </si>
  <si>
    <t xml:space="preserve">AQ880</t>
  </si>
  <si>
    <t xml:space="preserve">918</t>
  </si>
  <si>
    <t xml:space="preserve">AT479</t>
  </si>
  <si>
    <t xml:space="preserve">919</t>
  </si>
  <si>
    <t xml:space="preserve">AQ931</t>
  </si>
  <si>
    <t xml:space="preserve">台南市東區仁和路76號</t>
  </si>
  <si>
    <t xml:space="preserve">06-2442278</t>
  </si>
  <si>
    <t xml:space="preserve">週一至週日11:30~20:30</t>
  </si>
  <si>
    <t xml:space="preserve">920</t>
  </si>
  <si>
    <t xml:space="preserve">BH914</t>
  </si>
  <si>
    <t xml:space="preserve">921</t>
  </si>
  <si>
    <t xml:space="preserve">AQ933</t>
  </si>
  <si>
    <t xml:space="preserve">922</t>
  </si>
  <si>
    <t xml:space="preserve">AQ934</t>
  </si>
  <si>
    <t xml:space="preserve">923</t>
  </si>
  <si>
    <t xml:space="preserve">AQ935</t>
  </si>
  <si>
    <t xml:space="preserve">924</t>
  </si>
  <si>
    <t xml:space="preserve">AQ061</t>
  </si>
  <si>
    <t xml:space="preserve">台南市永康區中華路680號</t>
  </si>
  <si>
    <t xml:space="preserve">06-2442270</t>
  </si>
  <si>
    <t xml:space="preserve">週一至週六11:00~21:00
週日12:00~21:00</t>
  </si>
  <si>
    <t xml:space="preserve">925</t>
  </si>
  <si>
    <t xml:space="preserve">AQ062</t>
  </si>
  <si>
    <t xml:space="preserve">926</t>
  </si>
  <si>
    <t xml:space="preserve">AQ063</t>
  </si>
  <si>
    <t xml:space="preserve">927</t>
  </si>
  <si>
    <t xml:space="preserve">AQ064</t>
  </si>
  <si>
    <t xml:space="preserve">928</t>
  </si>
  <si>
    <t xml:space="preserve">AQ065</t>
  </si>
  <si>
    <t xml:space="preserve">929</t>
  </si>
  <si>
    <t xml:space="preserve">AQ999</t>
  </si>
  <si>
    <t xml:space="preserve">台南市中西區成功路3號</t>
  </si>
  <si>
    <t xml:space="preserve">06-2442280</t>
  </si>
  <si>
    <t xml:space="preserve">930</t>
  </si>
  <si>
    <t xml:space="preserve">AQ979</t>
  </si>
  <si>
    <t xml:space="preserve">931</t>
  </si>
  <si>
    <t xml:space="preserve">AQ978</t>
  </si>
  <si>
    <t xml:space="preserve">932</t>
  </si>
  <si>
    <t xml:space="preserve">AQ977</t>
  </si>
  <si>
    <t xml:space="preserve">933</t>
  </si>
  <si>
    <t xml:space="preserve">AQ996</t>
  </si>
  <si>
    <t xml:space="preserve">934</t>
  </si>
  <si>
    <t xml:space="preserve">AQ997</t>
  </si>
  <si>
    <t xml:space="preserve">935</t>
  </si>
  <si>
    <t xml:space="preserve">AQ998</t>
  </si>
  <si>
    <t xml:space="preserve">936</t>
  </si>
  <si>
    <t xml:space="preserve">AQ975</t>
  </si>
  <si>
    <t xml:space="preserve">937</t>
  </si>
  <si>
    <t xml:space="preserve">AQ980</t>
  </si>
  <si>
    <t xml:space="preserve">938</t>
  </si>
  <si>
    <t xml:space="preserve">AQ974</t>
  </si>
  <si>
    <t xml:space="preserve">939</t>
  </si>
  <si>
    <t xml:space="preserve">AQ915</t>
  </si>
  <si>
    <t xml:space="preserve">台南市東區東門路二段350號</t>
  </si>
  <si>
    <t xml:space="preserve">06-2442275</t>
  </si>
  <si>
    <t xml:space="preserve">940</t>
  </si>
  <si>
    <t xml:space="preserve">AQ926</t>
  </si>
  <si>
    <t xml:space="preserve">941</t>
  </si>
  <si>
    <t xml:space="preserve">AQ927</t>
  </si>
  <si>
    <t xml:space="preserve">942</t>
  </si>
  <si>
    <t xml:space="preserve">AQ928</t>
  </si>
  <si>
    <t xml:space="preserve">943</t>
  </si>
  <si>
    <t xml:space="preserve">BH947</t>
  </si>
  <si>
    <t xml:space="preserve">944</t>
  </si>
  <si>
    <t xml:space="preserve">AX379</t>
  </si>
  <si>
    <t xml:space="preserve">945</t>
  </si>
  <si>
    <t xml:space="preserve">AQ973</t>
  </si>
  <si>
    <t xml:space="preserve">台南市永康區中山南路462號</t>
  </si>
  <si>
    <t xml:space="preserve">06-2442688</t>
  </si>
  <si>
    <t xml:space="preserve">946</t>
  </si>
  <si>
    <t xml:space="preserve">AQ971</t>
  </si>
  <si>
    <t xml:space="preserve">947</t>
  </si>
  <si>
    <t xml:space="preserve">BH930</t>
  </si>
  <si>
    <t xml:space="preserve">948</t>
  </si>
  <si>
    <t xml:space="preserve">BH932</t>
  </si>
  <si>
    <t xml:space="preserve">949</t>
  </si>
  <si>
    <t xml:space="preserve">AQ916</t>
  </si>
  <si>
    <t xml:space="preserve">台南市東區東寧路西段15號</t>
  </si>
  <si>
    <t xml:space="preserve">06-2442295</t>
  </si>
  <si>
    <t xml:space="preserve">950</t>
  </si>
  <si>
    <t xml:space="preserve">AQ917</t>
  </si>
  <si>
    <t xml:space="preserve">951</t>
  </si>
  <si>
    <t xml:space="preserve">AY238</t>
  </si>
  <si>
    <t xml:space="preserve">952</t>
  </si>
  <si>
    <t xml:space="preserve">AQ919</t>
  </si>
  <si>
    <t xml:space="preserve">953</t>
  </si>
  <si>
    <t xml:space="preserve">AT826</t>
  </si>
  <si>
    <t xml:space="preserve">954</t>
  </si>
  <si>
    <t xml:space="preserve">AQ943</t>
  </si>
  <si>
    <t xml:space="preserve">台南市新營區中山路175之1號</t>
  </si>
  <si>
    <t xml:space="preserve">06-6333199</t>
  </si>
  <si>
    <t xml:space="preserve">955</t>
  </si>
  <si>
    <t xml:space="preserve">AQ944</t>
  </si>
  <si>
    <t xml:space="preserve">956</t>
  </si>
  <si>
    <t xml:space="preserve">AQ946</t>
  </si>
  <si>
    <t xml:space="preserve">957</t>
  </si>
  <si>
    <t xml:space="preserve">AQ947</t>
  </si>
  <si>
    <t xml:space="preserve">958</t>
  </si>
  <si>
    <t xml:space="preserve">BG089</t>
  </si>
  <si>
    <t xml:space="preserve">959</t>
  </si>
  <si>
    <t xml:space="preserve">AQ949</t>
  </si>
  <si>
    <t xml:space="preserve">960</t>
  </si>
  <si>
    <t xml:space="preserve">AQ950</t>
  </si>
  <si>
    <t xml:space="preserve">961</t>
  </si>
  <si>
    <t xml:space="preserve">AQ605</t>
  </si>
  <si>
    <t xml:space="preserve">嘉義市西區中山路360號</t>
  </si>
  <si>
    <t xml:space="preserve">05-2240500</t>
  </si>
  <si>
    <t xml:space="preserve">962</t>
  </si>
  <si>
    <t xml:space="preserve">AQ606</t>
  </si>
  <si>
    <t xml:space="preserve">963</t>
  </si>
  <si>
    <t xml:space="preserve">AQ607</t>
  </si>
  <si>
    <t xml:space="preserve">964</t>
  </si>
  <si>
    <t xml:space="preserve">AQ608</t>
  </si>
  <si>
    <t xml:space="preserve">965</t>
  </si>
  <si>
    <t xml:space="preserve">AQ610</t>
  </si>
  <si>
    <t xml:space="preserve">966</t>
  </si>
  <si>
    <t xml:space="preserve">BI701</t>
  </si>
  <si>
    <t xml:space="preserve">967</t>
  </si>
  <si>
    <t xml:space="preserve">AY171</t>
  </si>
  <si>
    <t xml:space="preserve">嘉義市西區興業西路34號</t>
  </si>
  <si>
    <t xml:space="preserve">05-2280358</t>
  </si>
  <si>
    <t xml:space="preserve">968</t>
  </si>
  <si>
    <t xml:space="preserve">AQ622</t>
  </si>
  <si>
    <t xml:space="preserve">969</t>
  </si>
  <si>
    <t xml:space="preserve">AQ623</t>
  </si>
  <si>
    <t xml:space="preserve">970</t>
  </si>
  <si>
    <t xml:space="preserve">AY176</t>
  </si>
  <si>
    <t xml:space="preserve">971</t>
  </si>
  <si>
    <t xml:space="preserve">AQ625</t>
  </si>
  <si>
    <t xml:space="preserve">972</t>
  </si>
  <si>
    <t xml:space="preserve">AQ626</t>
  </si>
  <si>
    <t xml:space="preserve">973</t>
  </si>
  <si>
    <t xml:space="preserve">AT905</t>
  </si>
  <si>
    <t xml:space="preserve">974</t>
  </si>
  <si>
    <t xml:space="preserve">AQ901</t>
  </si>
  <si>
    <t xml:space="preserve">台南市中西區大同路一段236號</t>
  </si>
  <si>
    <t xml:space="preserve">06-2442289</t>
  </si>
  <si>
    <t xml:space="preserve">975</t>
  </si>
  <si>
    <t xml:space="preserve">AQ902</t>
  </si>
  <si>
    <t xml:space="preserve">976</t>
  </si>
  <si>
    <t xml:space="preserve">AQ903</t>
  </si>
  <si>
    <t xml:space="preserve">977</t>
  </si>
  <si>
    <t xml:space="preserve">AQ904</t>
  </si>
  <si>
    <t xml:space="preserve">978</t>
  </si>
  <si>
    <t xml:space="preserve">AQ905</t>
  </si>
  <si>
    <t xml:space="preserve">979</t>
  </si>
  <si>
    <t xml:space="preserve">AQ911</t>
  </si>
  <si>
    <t xml:space="preserve">980</t>
  </si>
  <si>
    <t xml:space="preserve">AQ912</t>
  </si>
  <si>
    <t xml:space="preserve">981</t>
  </si>
  <si>
    <t xml:space="preserve">AQ913</t>
  </si>
  <si>
    <t xml:space="preserve">台南市北區文賢路815號</t>
  </si>
  <si>
    <t xml:space="preserve">06-2442216</t>
  </si>
  <si>
    <t xml:space="preserve">982</t>
  </si>
  <si>
    <t xml:space="preserve">AQ914</t>
  </si>
  <si>
    <t xml:space="preserve">983</t>
  </si>
  <si>
    <t xml:space="preserve">AQ921</t>
  </si>
  <si>
    <t xml:space="preserve">984</t>
  </si>
  <si>
    <t xml:space="preserve">AQ922</t>
  </si>
  <si>
    <t xml:space="preserve">985</t>
  </si>
  <si>
    <t xml:space="preserve">AQ923</t>
  </si>
  <si>
    <t xml:space="preserve">986</t>
  </si>
  <si>
    <t xml:space="preserve">AQ924</t>
  </si>
  <si>
    <t xml:space="preserve">987</t>
  </si>
  <si>
    <t xml:space="preserve">AQ925</t>
  </si>
  <si>
    <t xml:space="preserve">988</t>
  </si>
  <si>
    <t xml:space="preserve">AQ960</t>
  </si>
  <si>
    <t xml:space="preserve">台南市北區公園路966號</t>
  </si>
  <si>
    <t xml:space="preserve">06-2442229</t>
  </si>
  <si>
    <t xml:space="preserve">989</t>
  </si>
  <si>
    <t xml:space="preserve">AQ959</t>
  </si>
  <si>
    <t xml:space="preserve">990</t>
  </si>
  <si>
    <t xml:space="preserve">AQ956</t>
  </si>
  <si>
    <t xml:space="preserve">991</t>
  </si>
  <si>
    <t xml:space="preserve">AQ957</t>
  </si>
  <si>
    <t xml:space="preserve">992</t>
  </si>
  <si>
    <t xml:space="preserve">AQ958</t>
  </si>
  <si>
    <t xml:space="preserve">993</t>
  </si>
  <si>
    <t xml:space="preserve">AQ951</t>
  </si>
  <si>
    <t xml:space="preserve">台南市安南區安中路三段370號</t>
  </si>
  <si>
    <t xml:space="preserve">06-2442207</t>
  </si>
  <si>
    <t xml:space="preserve">994</t>
  </si>
  <si>
    <t xml:space="preserve">AQ952</t>
  </si>
  <si>
    <t xml:space="preserve">995</t>
  </si>
  <si>
    <t xml:space="preserve">AQ953</t>
  </si>
  <si>
    <t xml:space="preserve">996</t>
  </si>
  <si>
    <t xml:space="preserve">AQ954</t>
  </si>
  <si>
    <t xml:space="preserve">997</t>
  </si>
  <si>
    <t xml:space="preserve">AQ955</t>
  </si>
  <si>
    <t xml:space="preserve">998</t>
  </si>
  <si>
    <t xml:space="preserve">AQ052</t>
  </si>
  <si>
    <t xml:space="preserve">台南市安南區安中路一段678號</t>
  </si>
  <si>
    <t xml:space="preserve">06-2442299</t>
  </si>
  <si>
    <t xml:space="preserve">999</t>
  </si>
  <si>
    <t xml:space="preserve">AQ053</t>
  </si>
  <si>
    <t xml:space="preserve">1000</t>
  </si>
  <si>
    <t xml:space="preserve">AQ054</t>
  </si>
  <si>
    <t xml:space="preserve">1001</t>
  </si>
  <si>
    <t xml:space="preserve">AQ055</t>
  </si>
  <si>
    <t xml:space="preserve">1002</t>
  </si>
  <si>
    <t xml:space="preserve">AQ056</t>
  </si>
  <si>
    <t xml:space="preserve">1003</t>
  </si>
  <si>
    <t xml:space="preserve">AQ057</t>
  </si>
  <si>
    <t xml:space="preserve">1004</t>
  </si>
  <si>
    <t xml:space="preserve">AQ058</t>
  </si>
  <si>
    <t xml:space="preserve">1005</t>
  </si>
  <si>
    <t xml:space="preserve">AQ059</t>
  </si>
  <si>
    <t xml:space="preserve">1006</t>
  </si>
  <si>
    <t xml:space="preserve">AQ060</t>
  </si>
  <si>
    <t xml:space="preserve">1007</t>
  </si>
  <si>
    <t xml:space="preserve">BC747</t>
  </si>
  <si>
    <t xml:space="preserve">1008</t>
  </si>
  <si>
    <t xml:space="preserve">AQ936</t>
  </si>
  <si>
    <t xml:space="preserve">台南市佳里區延平路106號</t>
  </si>
  <si>
    <t xml:space="preserve">06-7440577</t>
  </si>
  <si>
    <t xml:space="preserve">1009</t>
  </si>
  <si>
    <t xml:space="preserve">AQ937</t>
  </si>
  <si>
    <t xml:space="preserve">1010</t>
  </si>
  <si>
    <t xml:space="preserve">AQ938</t>
  </si>
  <si>
    <t xml:space="preserve">1011</t>
  </si>
  <si>
    <t xml:space="preserve">AQ939</t>
  </si>
  <si>
    <t xml:space="preserve">1012</t>
  </si>
  <si>
    <t xml:space="preserve">AQ940</t>
  </si>
  <si>
    <t xml:space="preserve">1013</t>
  </si>
  <si>
    <t xml:space="preserve">AQ941</t>
  </si>
  <si>
    <t xml:space="preserve">1014</t>
  </si>
  <si>
    <t xml:space="preserve">AQ942</t>
  </si>
  <si>
    <t xml:space="preserve">1015</t>
  </si>
  <si>
    <t xml:space="preserve">AQ961</t>
  </si>
  <si>
    <t xml:space="preserve">台南市善化區中山路246號</t>
  </si>
  <si>
    <t xml:space="preserve">06-5441699</t>
  </si>
  <si>
    <t xml:space="preserve">週一至週六08:30~18:00</t>
  </si>
  <si>
    <t xml:space="preserve">1016</t>
  </si>
  <si>
    <t xml:space="preserve">AQ962</t>
  </si>
  <si>
    <t xml:space="preserve">1017</t>
  </si>
  <si>
    <t xml:space="preserve">AQ963</t>
  </si>
  <si>
    <t xml:space="preserve">1018</t>
  </si>
  <si>
    <t xml:space="preserve">BE568</t>
  </si>
  <si>
    <t xml:space="preserve">1019</t>
  </si>
  <si>
    <t xml:space="preserve">BC697</t>
  </si>
  <si>
    <t xml:space="preserve">1020</t>
  </si>
  <si>
    <t xml:space="preserve">AQ966</t>
  </si>
  <si>
    <t xml:space="preserve">1021</t>
  </si>
  <si>
    <t xml:space="preserve">AQ967</t>
  </si>
  <si>
    <t xml:space="preserve">1022</t>
  </si>
  <si>
    <t xml:space="preserve">AQ968</t>
  </si>
  <si>
    <t xml:space="preserve">1023</t>
  </si>
  <si>
    <t xml:space="preserve">AQ969</t>
  </si>
  <si>
    <t xml:space="preserve">1024</t>
  </si>
  <si>
    <t xml:space="preserve">AQ970</t>
  </si>
  <si>
    <t xml:space="preserve">1025</t>
  </si>
  <si>
    <t xml:space="preserve">AQ906</t>
  </si>
  <si>
    <t xml:space="preserve">台南市安平區華平路500號</t>
  </si>
  <si>
    <t xml:space="preserve">06-2442219</t>
  </si>
  <si>
    <t xml:space="preserve">1026</t>
  </si>
  <si>
    <t xml:space="preserve">AQ907</t>
  </si>
  <si>
    <t xml:space="preserve">1027</t>
  </si>
  <si>
    <t xml:space="preserve">AQ908</t>
  </si>
  <si>
    <t xml:space="preserve">1028</t>
  </si>
  <si>
    <t xml:space="preserve">AQ909</t>
  </si>
  <si>
    <t xml:space="preserve">1029</t>
  </si>
  <si>
    <t xml:space="preserve">BJ995</t>
  </si>
  <si>
    <t xml:space="preserve">L8900CDW</t>
  </si>
  <si>
    <t xml:space="preserve">1030</t>
  </si>
  <si>
    <t xml:space="preserve">AY227</t>
  </si>
  <si>
    <t xml:space="preserve">1031</t>
  </si>
  <si>
    <t xml:space="preserve">AY255</t>
  </si>
  <si>
    <t xml:space="preserve">1032</t>
  </si>
  <si>
    <t xml:space="preserve">AQ066</t>
  </si>
  <si>
    <t xml:space="preserve">台南市新市區中正路47號</t>
  </si>
  <si>
    <t xml:space="preserve">06-5892898</t>
  </si>
  <si>
    <t xml:space="preserve">1033</t>
  </si>
  <si>
    <t xml:space="preserve">AQ067</t>
  </si>
  <si>
    <t xml:space="preserve">1034</t>
  </si>
  <si>
    <t xml:space="preserve">AQ068</t>
  </si>
  <si>
    <t xml:space="preserve">1035</t>
  </si>
  <si>
    <t xml:space="preserve">AQ069</t>
  </si>
  <si>
    <t xml:space="preserve">1036</t>
  </si>
  <si>
    <t xml:space="preserve">AQ070</t>
  </si>
  <si>
    <t xml:space="preserve">1037</t>
  </si>
  <si>
    <t xml:space="preserve">AT110</t>
  </si>
  <si>
    <t xml:space="preserve">高雄市楠梓區藍昌路296號</t>
  </si>
  <si>
    <t xml:space="preserve">07-3442168</t>
  </si>
  <si>
    <t xml:space="preserve">1038</t>
  </si>
  <si>
    <t xml:space="preserve">AT140</t>
  </si>
  <si>
    <t xml:space="preserve">1039</t>
  </si>
  <si>
    <t xml:space="preserve">AT141</t>
  </si>
  <si>
    <t xml:space="preserve">1040</t>
  </si>
  <si>
    <t xml:space="preserve">AT142</t>
  </si>
  <si>
    <t xml:space="preserve">1041</t>
  </si>
  <si>
    <t xml:space="preserve">AT143</t>
  </si>
  <si>
    <t xml:space="preserve">1042</t>
  </si>
  <si>
    <t xml:space="preserve">AT144</t>
  </si>
  <si>
    <t xml:space="preserve">1043</t>
  </si>
  <si>
    <t xml:space="preserve">AT145</t>
  </si>
  <si>
    <t xml:space="preserve">1044</t>
  </si>
  <si>
    <t xml:space="preserve">AT146</t>
  </si>
  <si>
    <t xml:space="preserve">1045</t>
  </si>
  <si>
    <t xml:space="preserve">AM937</t>
  </si>
  <si>
    <t xml:space="preserve">高雄市楠梓區軍校路981號</t>
  </si>
  <si>
    <t xml:space="preserve">07-3441220</t>
  </si>
  <si>
    <t xml:space="preserve">1046</t>
  </si>
  <si>
    <t xml:space="preserve">AM941</t>
  </si>
  <si>
    <t xml:space="preserve">1047</t>
  </si>
  <si>
    <t xml:space="preserve">BB533</t>
  </si>
  <si>
    <t xml:space="preserve">1048</t>
  </si>
  <si>
    <t xml:space="preserve">AM943</t>
  </si>
  <si>
    <t xml:space="preserve">1049</t>
  </si>
  <si>
    <t xml:space="preserve">AM944</t>
  </si>
  <si>
    <t xml:space="preserve">1050</t>
  </si>
  <si>
    <t xml:space="preserve">AT670</t>
  </si>
  <si>
    <t xml:space="preserve">1051</t>
  </si>
  <si>
    <t xml:space="preserve">AQ454</t>
  </si>
  <si>
    <t xml:space="preserve">高雄市三民區建工路569號</t>
  </si>
  <si>
    <t xml:space="preserve">07-3446388</t>
  </si>
  <si>
    <t xml:space="preserve">週一至週五09:00~19:00
週六10:00~18:00</t>
  </si>
  <si>
    <t xml:space="preserve">1052</t>
  </si>
  <si>
    <t xml:space="preserve">AQ455</t>
  </si>
  <si>
    <t xml:space="preserve">1053</t>
  </si>
  <si>
    <t xml:space="preserve">AQ456</t>
  </si>
  <si>
    <t xml:space="preserve">1054</t>
  </si>
  <si>
    <t xml:space="preserve">AQ457</t>
  </si>
  <si>
    <t xml:space="preserve">1055</t>
  </si>
  <si>
    <t xml:space="preserve">AQ458</t>
  </si>
  <si>
    <t xml:space="preserve">1056</t>
  </si>
  <si>
    <t xml:space="preserve">AQ459</t>
  </si>
  <si>
    <t xml:space="preserve">1057</t>
  </si>
  <si>
    <t xml:space="preserve">AQ460</t>
  </si>
  <si>
    <t xml:space="preserve">1058</t>
  </si>
  <si>
    <t xml:space="preserve">AQ461</t>
  </si>
  <si>
    <t xml:space="preserve">1059</t>
  </si>
  <si>
    <t xml:space="preserve">AQ462</t>
  </si>
  <si>
    <t xml:space="preserve">1060</t>
  </si>
  <si>
    <t xml:space="preserve">AQ463</t>
  </si>
  <si>
    <t xml:space="preserve">1061</t>
  </si>
  <si>
    <t xml:space="preserve">AQ464</t>
  </si>
  <si>
    <t xml:space="preserve">1062</t>
  </si>
  <si>
    <t xml:space="preserve">AM743</t>
  </si>
  <si>
    <t xml:space="preserve">高雄市左營區民族一路899之1號</t>
  </si>
  <si>
    <t xml:space="preserve">07-3441568</t>
  </si>
  <si>
    <t xml:space="preserve">1063</t>
  </si>
  <si>
    <t xml:space="preserve">AM744</t>
  </si>
  <si>
    <t xml:space="preserve">1064</t>
  </si>
  <si>
    <t xml:space="preserve">AM746</t>
  </si>
  <si>
    <t xml:space="preserve">1065</t>
  </si>
  <si>
    <t xml:space="preserve">BJ152</t>
  </si>
  <si>
    <t xml:space="preserve">1066</t>
  </si>
  <si>
    <t xml:space="preserve">AM748</t>
  </si>
  <si>
    <t xml:space="preserve">1067</t>
  </si>
  <si>
    <t xml:space="preserve">AM749</t>
  </si>
  <si>
    <t xml:space="preserve">1068</t>
  </si>
  <si>
    <t xml:space="preserve">AM750</t>
  </si>
  <si>
    <t xml:space="preserve">1069</t>
  </si>
  <si>
    <t xml:space="preserve">AQ402</t>
  </si>
  <si>
    <t xml:space="preserve">高雄市左營區自由二路340-1號</t>
  </si>
  <si>
    <t xml:space="preserve">07-3441318</t>
  </si>
  <si>
    <t xml:space="preserve">1070</t>
  </si>
  <si>
    <t xml:space="preserve">AQ403</t>
  </si>
  <si>
    <t xml:space="preserve">1071</t>
  </si>
  <si>
    <t xml:space="preserve">AQ404</t>
  </si>
  <si>
    <t xml:space="preserve">1072</t>
  </si>
  <si>
    <t xml:space="preserve">AQ405</t>
  </si>
  <si>
    <t xml:space="preserve">1073</t>
  </si>
  <si>
    <t xml:space="preserve">AQ406</t>
  </si>
  <si>
    <t xml:space="preserve">1074</t>
  </si>
  <si>
    <t xml:space="preserve">AQ407</t>
  </si>
  <si>
    <t xml:space="preserve">1075</t>
  </si>
  <si>
    <t xml:space="preserve">AQ408</t>
  </si>
  <si>
    <t xml:space="preserve">1076</t>
  </si>
  <si>
    <t xml:space="preserve">AQ426</t>
  </si>
  <si>
    <t xml:space="preserve">高雄市鼓山區華榮路414號</t>
  </si>
  <si>
    <t xml:space="preserve">07-3441288</t>
  </si>
  <si>
    <t xml:space="preserve">1077</t>
  </si>
  <si>
    <t xml:space="preserve">AQ427</t>
  </si>
  <si>
    <t xml:space="preserve">1078</t>
  </si>
  <si>
    <t xml:space="preserve">AQ428</t>
  </si>
  <si>
    <t xml:space="preserve">1079</t>
  </si>
  <si>
    <t xml:space="preserve">AQ430</t>
  </si>
  <si>
    <t xml:space="preserve">1080</t>
  </si>
  <si>
    <t xml:space="preserve">BJ834</t>
  </si>
  <si>
    <t xml:space="preserve">1081</t>
  </si>
  <si>
    <t xml:space="preserve">AM901</t>
  </si>
  <si>
    <t xml:space="preserve">高雄市楠梓區德民路154號</t>
  </si>
  <si>
    <t xml:space="preserve">07-3441229</t>
  </si>
  <si>
    <t xml:space="preserve">1082</t>
  </si>
  <si>
    <t xml:space="preserve">AM902</t>
  </si>
  <si>
    <t xml:space="preserve">1083</t>
  </si>
  <si>
    <t xml:space="preserve">AM903</t>
  </si>
  <si>
    <t xml:space="preserve">1084</t>
  </si>
  <si>
    <t xml:space="preserve">AM904</t>
  </si>
  <si>
    <t xml:space="preserve">1085</t>
  </si>
  <si>
    <t xml:space="preserve">AM905</t>
  </si>
  <si>
    <t xml:space="preserve">1086</t>
  </si>
  <si>
    <t xml:space="preserve">AM906</t>
  </si>
  <si>
    <t xml:space="preserve">1087</t>
  </si>
  <si>
    <t xml:space="preserve">AQ447</t>
  </si>
  <si>
    <t xml:space="preserve">高雄市前鎮區三多三路181號</t>
  </si>
  <si>
    <t xml:space="preserve">07-2622562</t>
  </si>
  <si>
    <t xml:space="preserve">1088</t>
  </si>
  <si>
    <t xml:space="preserve">AQ448</t>
  </si>
  <si>
    <t xml:space="preserve">1089</t>
  </si>
  <si>
    <t xml:space="preserve">AQ449</t>
  </si>
  <si>
    <t xml:space="preserve">1090</t>
  </si>
  <si>
    <t xml:space="preserve">AY631</t>
  </si>
  <si>
    <t xml:space="preserve">1091</t>
  </si>
  <si>
    <t xml:space="preserve">AQ451</t>
  </si>
  <si>
    <t xml:space="preserve">1092</t>
  </si>
  <si>
    <t xml:space="preserve">AQ452</t>
  </si>
  <si>
    <t xml:space="preserve">1093</t>
  </si>
  <si>
    <t xml:space="preserve">AQ453</t>
  </si>
  <si>
    <t xml:space="preserve">1094</t>
  </si>
  <si>
    <t xml:space="preserve">AT122</t>
  </si>
  <si>
    <t xml:space="preserve">高雄市苓雅區大順三路18號</t>
  </si>
  <si>
    <t xml:space="preserve">07-3445303</t>
  </si>
  <si>
    <t xml:space="preserve">週一至週日12:30~20:30</t>
  </si>
  <si>
    <t xml:space="preserve">1095</t>
  </si>
  <si>
    <t xml:space="preserve">AT123</t>
  </si>
  <si>
    <t xml:space="preserve">1096</t>
  </si>
  <si>
    <t xml:space="preserve">AT124</t>
  </si>
  <si>
    <t xml:space="preserve">1097</t>
  </si>
  <si>
    <t xml:space="preserve">AT125</t>
  </si>
  <si>
    <t xml:space="preserve">1098</t>
  </si>
  <si>
    <t xml:space="preserve">AT126</t>
  </si>
  <si>
    <t xml:space="preserve">1099</t>
  </si>
  <si>
    <t xml:space="preserve">AT127</t>
  </si>
  <si>
    <t xml:space="preserve">1100</t>
  </si>
  <si>
    <t xml:space="preserve">AQ471</t>
  </si>
  <si>
    <t xml:space="preserve">高雄市新興區五福二路213號</t>
  </si>
  <si>
    <t xml:space="preserve">07-2620145</t>
  </si>
  <si>
    <t xml:space="preserve">1101</t>
  </si>
  <si>
    <t xml:space="preserve">AQ472</t>
  </si>
  <si>
    <t xml:space="preserve">1102</t>
  </si>
  <si>
    <t xml:space="preserve">AQ473</t>
  </si>
  <si>
    <t xml:space="preserve">1103</t>
  </si>
  <si>
    <t xml:space="preserve">AQ474</t>
  </si>
  <si>
    <t xml:space="preserve">1104</t>
  </si>
  <si>
    <t xml:space="preserve">AQ475</t>
  </si>
  <si>
    <t xml:space="preserve">1105</t>
  </si>
  <si>
    <t xml:space="preserve">AQ476</t>
  </si>
  <si>
    <t xml:space="preserve">1106</t>
  </si>
  <si>
    <t xml:space="preserve">AQ477</t>
  </si>
  <si>
    <t xml:space="preserve">1107</t>
  </si>
  <si>
    <t xml:space="preserve">AQ478</t>
  </si>
  <si>
    <t xml:space="preserve">1108</t>
  </si>
  <si>
    <t xml:space="preserve">AM926</t>
  </si>
  <si>
    <t xml:space="preserve">高雄市鼓山區文信路262號</t>
  </si>
  <si>
    <t xml:space="preserve">07-3441530</t>
  </si>
  <si>
    <t xml:space="preserve">1109</t>
  </si>
  <si>
    <t xml:space="preserve">AM927</t>
  </si>
  <si>
    <t xml:space="preserve">1110</t>
  </si>
  <si>
    <t xml:space="preserve">AM928</t>
  </si>
  <si>
    <t xml:space="preserve">1111</t>
  </si>
  <si>
    <t xml:space="preserve">AM929</t>
  </si>
  <si>
    <t xml:space="preserve">1112</t>
  </si>
  <si>
    <t xml:space="preserve">AM930</t>
  </si>
  <si>
    <t xml:space="preserve">1113</t>
  </si>
  <si>
    <t xml:space="preserve">AM931</t>
  </si>
  <si>
    <t xml:space="preserve">1114</t>
  </si>
  <si>
    <t xml:space="preserve">AM932</t>
  </si>
  <si>
    <t xml:space="preserve">1115</t>
  </si>
  <si>
    <t xml:space="preserve">AM933</t>
  </si>
  <si>
    <t xml:space="preserve">1116</t>
  </si>
  <si>
    <t xml:space="preserve">AM934</t>
  </si>
  <si>
    <t xml:space="preserve">1117</t>
  </si>
  <si>
    <t xml:space="preserve">AM935</t>
  </si>
  <si>
    <t xml:space="preserve">1118</t>
  </si>
  <si>
    <t xml:space="preserve">AM936</t>
  </si>
  <si>
    <t xml:space="preserve">1119</t>
  </si>
  <si>
    <t xml:space="preserve">AQ490</t>
  </si>
  <si>
    <t xml:space="preserve">高雄市鼓山區臨海二路43號</t>
  </si>
  <si>
    <t xml:space="preserve">07-3446001</t>
  </si>
  <si>
    <t xml:space="preserve">週一至週日11:00~19:00</t>
  </si>
  <si>
    <t xml:space="preserve">1120</t>
  </si>
  <si>
    <t xml:space="preserve">AQ491</t>
  </si>
  <si>
    <t xml:space="preserve">1121</t>
  </si>
  <si>
    <t xml:space="preserve">AQ492</t>
  </si>
  <si>
    <t xml:space="preserve">1122</t>
  </si>
  <si>
    <t xml:space="preserve">AQ493</t>
  </si>
  <si>
    <t xml:space="preserve">1123</t>
  </si>
  <si>
    <t xml:space="preserve">AQ494</t>
  </si>
  <si>
    <t xml:space="preserve">1124</t>
  </si>
  <si>
    <t xml:space="preserve">AQ431</t>
  </si>
  <si>
    <t xml:space="preserve">高雄市新興區林森一路230號</t>
  </si>
  <si>
    <t xml:space="preserve">07-3442345</t>
  </si>
  <si>
    <t xml:space="preserve">週一至週六08:00~18:00</t>
  </si>
  <si>
    <t xml:space="preserve">1125</t>
  </si>
  <si>
    <t xml:space="preserve">AQ432</t>
  </si>
  <si>
    <t xml:space="preserve">1126</t>
  </si>
  <si>
    <t xml:space="preserve">AQ433</t>
  </si>
  <si>
    <t xml:space="preserve">1127</t>
  </si>
  <si>
    <t xml:space="preserve">AQ434</t>
  </si>
  <si>
    <t xml:space="preserve">1128</t>
  </si>
  <si>
    <t xml:space="preserve">AQ435</t>
  </si>
  <si>
    <t xml:space="preserve">1129</t>
  </si>
  <si>
    <t xml:space="preserve">AQ436</t>
  </si>
  <si>
    <t xml:space="preserve">1130</t>
  </si>
  <si>
    <t xml:space="preserve">AQ437</t>
  </si>
  <si>
    <t xml:space="preserve">1131</t>
  </si>
  <si>
    <t xml:space="preserve">AQ438</t>
  </si>
  <si>
    <t xml:space="preserve">1132</t>
  </si>
  <si>
    <t xml:space="preserve">AQ439</t>
  </si>
  <si>
    <t xml:space="preserve">1133</t>
  </si>
  <si>
    <t xml:space="preserve">AQ440</t>
  </si>
  <si>
    <t xml:space="preserve">1134</t>
  </si>
  <si>
    <t xml:space="preserve">AQ441</t>
  </si>
  <si>
    <t xml:space="preserve">1135</t>
  </si>
  <si>
    <t xml:space="preserve">AQ442</t>
  </si>
  <si>
    <t xml:space="preserve">1136</t>
  </si>
  <si>
    <t xml:space="preserve">AQ443</t>
  </si>
  <si>
    <t xml:space="preserve">1137</t>
  </si>
  <si>
    <t xml:space="preserve">AT671</t>
  </si>
  <si>
    <t xml:space="preserve">1138</t>
  </si>
  <si>
    <t xml:space="preserve">AQ465</t>
  </si>
  <si>
    <t xml:space="preserve">高雄市苓雅區廣州一街157-3號</t>
  </si>
  <si>
    <t xml:space="preserve">07-3446888</t>
  </si>
  <si>
    <t xml:space="preserve">1139</t>
  </si>
  <si>
    <t xml:space="preserve">AQ466</t>
  </si>
  <si>
    <t xml:space="preserve">1140</t>
  </si>
  <si>
    <t xml:space="preserve">AQ467</t>
  </si>
  <si>
    <t xml:space="preserve">1141</t>
  </si>
  <si>
    <t xml:space="preserve">AQ468</t>
  </si>
  <si>
    <t xml:space="preserve">1142</t>
  </si>
  <si>
    <t xml:space="preserve">AQ469</t>
  </si>
  <si>
    <t xml:space="preserve">1143</t>
  </si>
  <si>
    <t xml:space="preserve">AQ470</t>
  </si>
  <si>
    <t xml:space="preserve">1144</t>
  </si>
  <si>
    <t xml:space="preserve">AM745</t>
  </si>
  <si>
    <t xml:space="preserve">高雄市鼓山區青海路116號</t>
  </si>
  <si>
    <t xml:space="preserve">07-3441688</t>
  </si>
  <si>
    <t xml:space="preserve">1145</t>
  </si>
  <si>
    <t xml:space="preserve">AM939</t>
  </si>
  <si>
    <t xml:space="preserve">1146</t>
  </si>
  <si>
    <t xml:space="preserve">AM940</t>
  </si>
  <si>
    <t xml:space="preserve">1147</t>
  </si>
  <si>
    <t xml:space="preserve">AM946</t>
  </si>
  <si>
    <t xml:space="preserve">1148</t>
  </si>
  <si>
    <t xml:space="preserve">AM947</t>
  </si>
  <si>
    <t xml:space="preserve">1149</t>
  </si>
  <si>
    <t xml:space="preserve">AM948</t>
  </si>
  <si>
    <t xml:space="preserve">1150</t>
  </si>
  <si>
    <t xml:space="preserve">AM949</t>
  </si>
  <si>
    <t xml:space="preserve">1151</t>
  </si>
  <si>
    <t xml:space="preserve">BG246</t>
  </si>
  <si>
    <t xml:space="preserve">1152</t>
  </si>
  <si>
    <t xml:space="preserve">AT128</t>
  </si>
  <si>
    <t xml:space="preserve">高雄市苓雅區復興二路77號</t>
  </si>
  <si>
    <t xml:space="preserve">07-3443777</t>
  </si>
  <si>
    <t xml:space="preserve">週一至週六11:00~21:00
週日11:00~19:00</t>
  </si>
  <si>
    <t xml:space="preserve">1153</t>
  </si>
  <si>
    <t xml:space="preserve">AT129</t>
  </si>
  <si>
    <t xml:space="preserve">1154</t>
  </si>
  <si>
    <t xml:space="preserve">AT130</t>
  </si>
  <si>
    <t xml:space="preserve">1155</t>
  </si>
  <si>
    <t xml:space="preserve">AT131</t>
  </si>
  <si>
    <t xml:space="preserve">1156</t>
  </si>
  <si>
    <t xml:space="preserve">AT132</t>
  </si>
  <si>
    <t xml:space="preserve">1157</t>
  </si>
  <si>
    <t xml:space="preserve">AT133</t>
  </si>
  <si>
    <t xml:space="preserve">1158</t>
  </si>
  <si>
    <t xml:space="preserve">AQ421</t>
  </si>
  <si>
    <t xml:space="preserve">高雄市前鎮區瑞隆路615號</t>
  </si>
  <si>
    <t xml:space="preserve">07-3445326</t>
  </si>
  <si>
    <t xml:space="preserve">1159</t>
  </si>
  <si>
    <t xml:space="preserve">AQ422</t>
  </si>
  <si>
    <t xml:space="preserve">1160</t>
  </si>
  <si>
    <t xml:space="preserve">AQ423</t>
  </si>
  <si>
    <t xml:space="preserve">1161</t>
  </si>
  <si>
    <t xml:space="preserve">AQ424</t>
  </si>
  <si>
    <t xml:space="preserve">1162</t>
  </si>
  <si>
    <t xml:space="preserve">AQ425</t>
  </si>
  <si>
    <t xml:space="preserve">AX651</t>
  </si>
  <si>
    <t xml:space="preserve">AT115</t>
  </si>
  <si>
    <t xml:space="preserve">高雄市小港區漢民路290號</t>
  </si>
  <si>
    <t xml:space="preserve">07-3446500</t>
  </si>
  <si>
    <t xml:space="preserve">AT116</t>
  </si>
  <si>
    <t xml:space="preserve">AT117</t>
  </si>
  <si>
    <t xml:space="preserve">1167</t>
  </si>
  <si>
    <t xml:space="preserve">AT118</t>
  </si>
  <si>
    <t xml:space="preserve">1168</t>
  </si>
  <si>
    <t xml:space="preserve">AT119</t>
  </si>
  <si>
    <t xml:space="preserve">1169</t>
  </si>
  <si>
    <t xml:space="preserve">AT120</t>
  </si>
  <si>
    <t xml:space="preserve">1170</t>
  </si>
  <si>
    <t xml:space="preserve">AT121</t>
  </si>
  <si>
    <t xml:space="preserve">1171</t>
  </si>
  <si>
    <t xml:space="preserve">AT134</t>
  </si>
  <si>
    <t xml:space="preserve">高雄市鳳山區五甲三路8號</t>
  </si>
  <si>
    <t xml:space="preserve">07-3446537</t>
  </si>
  <si>
    <t xml:space="preserve">1172</t>
  </si>
  <si>
    <t xml:space="preserve">AT135</t>
  </si>
  <si>
    <t xml:space="preserve">1173</t>
  </si>
  <si>
    <t xml:space="preserve">AT136</t>
  </si>
  <si>
    <t xml:space="preserve">1174</t>
  </si>
  <si>
    <t xml:space="preserve">AT137</t>
  </si>
  <si>
    <t xml:space="preserve">1175</t>
  </si>
  <si>
    <t xml:space="preserve">AT138</t>
  </si>
  <si>
    <t xml:space="preserve">1176</t>
  </si>
  <si>
    <t xml:space="preserve">AY634</t>
  </si>
  <si>
    <t xml:space="preserve">1177</t>
  </si>
  <si>
    <t xml:space="preserve">AT659</t>
  </si>
  <si>
    <t xml:space="preserve">高五部</t>
  </si>
  <si>
    <t xml:space="preserve">高雄市鳳山區青年路二段358-5號</t>
  </si>
  <si>
    <t xml:space="preserve">07-3447488</t>
  </si>
  <si>
    <t xml:space="preserve">1178</t>
  </si>
  <si>
    <t xml:space="preserve">AT660</t>
  </si>
  <si>
    <t xml:space="preserve">1179</t>
  </si>
  <si>
    <t xml:space="preserve">AT651</t>
  </si>
  <si>
    <t xml:space="preserve">1180</t>
  </si>
  <si>
    <t xml:space="preserve">AT652</t>
  </si>
  <si>
    <t xml:space="preserve">1181</t>
  </si>
  <si>
    <t xml:space="preserve">AT653</t>
  </si>
  <si>
    <t xml:space="preserve">1182</t>
  </si>
  <si>
    <t xml:space="preserve">AT654</t>
  </si>
  <si>
    <t xml:space="preserve">1183</t>
  </si>
  <si>
    <t xml:space="preserve">AT655</t>
  </si>
  <si>
    <t xml:space="preserve">1184</t>
  </si>
  <si>
    <t xml:space="preserve">AT656</t>
  </si>
  <si>
    <t xml:space="preserve">1185</t>
  </si>
  <si>
    <t xml:space="preserve">AT657</t>
  </si>
  <si>
    <t xml:space="preserve">1186</t>
  </si>
  <si>
    <t xml:space="preserve">AT658</t>
  </si>
  <si>
    <t xml:space="preserve">1187</t>
  </si>
  <si>
    <t xml:space="preserve">AQ495</t>
  </si>
  <si>
    <t xml:space="preserve">高雄市岡山區岡山路420號</t>
  </si>
  <si>
    <t xml:space="preserve">07-6225699</t>
  </si>
  <si>
    <t xml:space="preserve">1188</t>
  </si>
  <si>
    <t xml:space="preserve">AQ496</t>
  </si>
  <si>
    <t xml:space="preserve">1189</t>
  </si>
  <si>
    <t xml:space="preserve">AQ497</t>
  </si>
  <si>
    <t xml:space="preserve">1190</t>
  </si>
  <si>
    <t xml:space="preserve">AQ498</t>
  </si>
  <si>
    <t xml:space="preserve">1191</t>
  </si>
  <si>
    <t xml:space="preserve">AQ499</t>
  </si>
  <si>
    <t xml:space="preserve">1192</t>
  </si>
  <si>
    <t xml:space="preserve">AQ500</t>
  </si>
  <si>
    <t xml:space="preserve">1193</t>
  </si>
  <si>
    <t xml:space="preserve">AT101</t>
  </si>
  <si>
    <t xml:space="preserve">1194</t>
  </si>
  <si>
    <t xml:space="preserve">AT102</t>
  </si>
  <si>
    <t xml:space="preserve">1195</t>
  </si>
  <si>
    <t xml:space="preserve">AM907</t>
  </si>
  <si>
    <t xml:space="preserve">屏東縣屏東市棒球路10號</t>
  </si>
  <si>
    <t xml:space="preserve">08-7440371</t>
  </si>
  <si>
    <t xml:space="preserve">週一至週五08:30~18:00
週六09:00~13:00</t>
  </si>
  <si>
    <t xml:space="preserve">1196</t>
  </si>
  <si>
    <t xml:space="preserve">AM909</t>
  </si>
  <si>
    <t xml:space="preserve">1197</t>
  </si>
  <si>
    <t xml:space="preserve">AM910</t>
  </si>
  <si>
    <t xml:space="preserve">1198</t>
  </si>
  <si>
    <t xml:space="preserve">AM911</t>
  </si>
  <si>
    <t xml:space="preserve">1199</t>
  </si>
  <si>
    <t xml:space="preserve">AM912</t>
  </si>
  <si>
    <t xml:space="preserve">1200</t>
  </si>
  <si>
    <t xml:space="preserve">AM913</t>
  </si>
  <si>
    <t xml:space="preserve">1201</t>
  </si>
  <si>
    <t xml:space="preserve">AM914</t>
  </si>
  <si>
    <t xml:space="preserve">1202</t>
  </si>
  <si>
    <t xml:space="preserve">AY079</t>
  </si>
  <si>
    <t xml:space="preserve">1203</t>
  </si>
  <si>
    <t xml:space="preserve">AM915</t>
  </si>
  <si>
    <t xml:space="preserve">高雄市旗山區延平一路509號</t>
  </si>
  <si>
    <t xml:space="preserve">07-6441000</t>
  </si>
  <si>
    <t xml:space="preserve">週一至週六09:00~19:00</t>
  </si>
  <si>
    <t xml:space="preserve">1204</t>
  </si>
  <si>
    <t xml:space="preserve">AM916</t>
  </si>
  <si>
    <t xml:space="preserve">1205</t>
  </si>
  <si>
    <t xml:space="preserve">AM917</t>
  </si>
  <si>
    <t xml:space="preserve">1206</t>
  </si>
  <si>
    <t xml:space="preserve">AM918</t>
  </si>
  <si>
    <t xml:space="preserve">1207</t>
  </si>
  <si>
    <t xml:space="preserve">AM919</t>
  </si>
  <si>
    <t xml:space="preserve">1208</t>
  </si>
  <si>
    <t xml:space="preserve">AM920</t>
  </si>
  <si>
    <t xml:space="preserve">1209</t>
  </si>
  <si>
    <t xml:space="preserve">AM921</t>
  </si>
  <si>
    <t xml:space="preserve">1210</t>
  </si>
  <si>
    <t xml:space="preserve">AM922</t>
  </si>
  <si>
    <t xml:space="preserve">1211</t>
  </si>
  <si>
    <t xml:space="preserve">AM923</t>
  </si>
  <si>
    <t xml:space="preserve">1212</t>
  </si>
  <si>
    <t xml:space="preserve">AM924</t>
  </si>
  <si>
    <t xml:space="preserve">1213</t>
  </si>
  <si>
    <t xml:space="preserve">AM925</t>
  </si>
  <si>
    <t xml:space="preserve">1214</t>
  </si>
  <si>
    <t xml:space="preserve">AT159</t>
  </si>
  <si>
    <t xml:space="preserve">高雄市鳳山區經武路58號</t>
  </si>
  <si>
    <t xml:space="preserve">07-3447410</t>
  </si>
  <si>
    <t xml:space="preserve">1215</t>
  </si>
  <si>
    <t xml:space="preserve">AT160</t>
  </si>
  <si>
    <t xml:space="preserve">1216</t>
  </si>
  <si>
    <t xml:space="preserve">AT152</t>
  </si>
  <si>
    <t xml:space="preserve">1217</t>
  </si>
  <si>
    <t xml:space="preserve">AT153</t>
  </si>
  <si>
    <t xml:space="preserve">1218</t>
  </si>
  <si>
    <t xml:space="preserve">AT154</t>
  </si>
  <si>
    <t xml:space="preserve">1219</t>
  </si>
  <si>
    <t xml:space="preserve">AT155</t>
  </si>
  <si>
    <t xml:space="preserve">1220</t>
  </si>
  <si>
    <t xml:space="preserve">AT156</t>
  </si>
  <si>
    <t xml:space="preserve">1221</t>
  </si>
  <si>
    <t xml:space="preserve">AT157</t>
  </si>
  <si>
    <t xml:space="preserve">1222</t>
  </si>
  <si>
    <t xml:space="preserve">AT158</t>
  </si>
  <si>
    <t xml:space="preserve">1223</t>
  </si>
  <si>
    <t xml:space="preserve">BD417</t>
  </si>
  <si>
    <t xml:space="preserve">1224</t>
  </si>
  <si>
    <t xml:space="preserve">AQ410</t>
  </si>
  <si>
    <t xml:space="preserve">高雄市鳳山區中山路83號</t>
  </si>
  <si>
    <t xml:space="preserve">07-7408399</t>
  </si>
  <si>
    <t xml:space="preserve">1225</t>
  </si>
  <si>
    <t xml:space="preserve">AQ416</t>
  </si>
  <si>
    <t xml:space="preserve">1226</t>
  </si>
  <si>
    <t xml:space="preserve">AQ417</t>
  </si>
  <si>
    <t xml:space="preserve">1227</t>
  </si>
  <si>
    <t xml:space="preserve">AQ418</t>
  </si>
  <si>
    <t xml:space="preserve">1228</t>
  </si>
  <si>
    <t xml:space="preserve">BG254</t>
  </si>
  <si>
    <t xml:space="preserve">1229</t>
  </si>
  <si>
    <t xml:space="preserve">AQ420</t>
  </si>
  <si>
    <t xml:space="preserve">1230</t>
  </si>
  <si>
    <t xml:space="preserve">AQ411</t>
  </si>
  <si>
    <t xml:space="preserve">屏東縣屏東市廣東路607號</t>
  </si>
  <si>
    <t xml:space="preserve">08-7380365</t>
  </si>
  <si>
    <t xml:space="preserve">1231</t>
  </si>
  <si>
    <t xml:space="preserve">AQ412</t>
  </si>
  <si>
    <t xml:space="preserve">1232</t>
  </si>
  <si>
    <t xml:space="preserve">AQ413</t>
  </si>
  <si>
    <t xml:space="preserve">1233</t>
  </si>
  <si>
    <t xml:space="preserve">AQ414</t>
  </si>
  <si>
    <t xml:space="preserve">1234</t>
  </si>
  <si>
    <t xml:space="preserve">AQ415</t>
  </si>
  <si>
    <t xml:space="preserve">1235</t>
  </si>
  <si>
    <t xml:space="preserve">AQ479</t>
  </si>
  <si>
    <t xml:space="preserve">屏東縣潮州鎮新生路123號</t>
  </si>
  <si>
    <t xml:space="preserve">08-7441011</t>
  </si>
  <si>
    <t xml:space="preserve">週一至週五09:00~19:00
週六09:00~18:00</t>
  </si>
  <si>
    <t xml:space="preserve">1236</t>
  </si>
  <si>
    <t xml:space="preserve">AQ480</t>
  </si>
  <si>
    <t xml:space="preserve">1237</t>
  </si>
  <si>
    <t xml:space="preserve">AQ482</t>
  </si>
  <si>
    <t xml:space="preserve">1238</t>
  </si>
  <si>
    <t xml:space="preserve">AQ483</t>
  </si>
  <si>
    <t xml:space="preserve">1239</t>
  </si>
  <si>
    <t xml:space="preserve">AQ484</t>
  </si>
  <si>
    <t xml:space="preserve">1240</t>
  </si>
  <si>
    <t xml:space="preserve">AQ485</t>
  </si>
  <si>
    <t xml:space="preserve">1241</t>
  </si>
  <si>
    <t xml:space="preserve">AQ486</t>
  </si>
  <si>
    <t xml:space="preserve">1242</t>
  </si>
  <si>
    <t xml:space="preserve">AQ487</t>
  </si>
  <si>
    <t xml:space="preserve">1243</t>
  </si>
  <si>
    <t xml:space="preserve">BJ895</t>
  </si>
  <si>
    <t xml:space="preserve">1244</t>
  </si>
  <si>
    <t xml:space="preserve">AQ489</t>
  </si>
  <si>
    <t xml:space="preserve">1245</t>
  </si>
  <si>
    <t xml:space="preserve">AT673</t>
  </si>
  <si>
    <t xml:space="preserve">1246</t>
  </si>
  <si>
    <t xml:space="preserve">AT667</t>
  </si>
  <si>
    <t xml:space="preserve">高雄市仁武區八德南路351號</t>
  </si>
  <si>
    <t xml:space="preserve">07-3447466</t>
  </si>
  <si>
    <t xml:space="preserve">1247</t>
  </si>
  <si>
    <t xml:space="preserve">AT666</t>
  </si>
  <si>
    <t xml:space="preserve">1248</t>
  </si>
  <si>
    <t xml:space="preserve">AT661</t>
  </si>
  <si>
    <t xml:space="preserve">1249</t>
  </si>
  <si>
    <t xml:space="preserve">AT662</t>
  </si>
  <si>
    <t xml:space="preserve">1250</t>
  </si>
  <si>
    <t xml:space="preserve">AT663</t>
  </si>
  <si>
    <t xml:space="preserve">1251</t>
  </si>
  <si>
    <t xml:space="preserve">AT664</t>
  </si>
  <si>
    <t xml:space="preserve">1252</t>
  </si>
  <si>
    <t xml:space="preserve">AT665</t>
  </si>
  <si>
    <t xml:space="preserve">1253</t>
  </si>
  <si>
    <t xml:space="preserve">BA560</t>
  </si>
  <si>
    <t xml:space="preserve">新北市汐止區仁愛路12號</t>
  </si>
  <si>
    <t xml:space="preserve">02-26416888</t>
  </si>
  <si>
    <t xml:space="preserve">週一至週五08:30~17:30
週六09:00~13:00</t>
  </si>
  <si>
    <t xml:space="preserve">1254</t>
  </si>
  <si>
    <t xml:space="preserve">AT768</t>
  </si>
  <si>
    <t xml:space="preserve">1255</t>
  </si>
  <si>
    <t xml:space="preserve">AV917</t>
  </si>
  <si>
    <t xml:space="preserve">1256</t>
  </si>
  <si>
    <t xml:space="preserve">AV916</t>
  </si>
  <si>
    <t xml:space="preserve">1257</t>
  </si>
  <si>
    <t xml:space="preserve">AY009</t>
  </si>
  <si>
    <t xml:space="preserve">1258</t>
  </si>
  <si>
    <t xml:space="preserve">AQ245</t>
  </si>
  <si>
    <t xml:space="preserve">330桃園市桃園區復興路189號</t>
  </si>
  <si>
    <t xml:space="preserve">1259</t>
  </si>
  <si>
    <t xml:space="preserve">AY585</t>
  </si>
  <si>
    <t xml:space="preserve">1260</t>
  </si>
  <si>
    <t xml:space="preserve">AQ709</t>
  </si>
  <si>
    <t xml:space="preserve">桃園市大園區航站南路15號(第一航廈出境)</t>
  </si>
  <si>
    <t xml:space="preserve">03-3932841</t>
  </si>
  <si>
    <t xml:space="preserve">一出：週一至週日08:00~22:00
一入：週一至週日07:00~24:00
一入管：週一至週日09:00~24:00
二出：週一至週日07:00~19:00
二入：週一至週日05:00~22:00</t>
  </si>
  <si>
    <t xml:space="preserve">先與店長約時間
(店長應維真)</t>
  </si>
  <si>
    <t xml:space="preserve">1261</t>
  </si>
  <si>
    <t xml:space="preserve">AQ710</t>
  </si>
  <si>
    <t xml:space="preserve">1262</t>
  </si>
  <si>
    <t xml:space="preserve">AQ711</t>
  </si>
  <si>
    <t xml:space="preserve">1263</t>
  </si>
  <si>
    <t xml:space="preserve">AQ712</t>
  </si>
  <si>
    <t xml:space="preserve">1264</t>
  </si>
  <si>
    <t xml:space="preserve">AQ713</t>
  </si>
  <si>
    <t xml:space="preserve">1265</t>
  </si>
  <si>
    <t xml:space="preserve">AQ714</t>
  </si>
  <si>
    <t xml:space="preserve">1266</t>
  </si>
  <si>
    <t xml:space="preserve">AP434</t>
  </si>
  <si>
    <t xml:space="preserve">1267</t>
  </si>
  <si>
    <t xml:space="preserve">AR427</t>
  </si>
  <si>
    <t xml:space="preserve">通路管理處</t>
  </si>
  <si>
    <t xml:space="preserve">404臺中市北區中清路一段347號</t>
  </si>
  <si>
    <t xml:space="preserve">1268</t>
  </si>
  <si>
    <t xml:space="preserve">AT148</t>
  </si>
  <si>
    <t xml:space="preserve">行銷四部</t>
  </si>
  <si>
    <t xml:space="preserve">800高雄市新興區七賢一路18號(通信大樓2樓)</t>
  </si>
  <si>
    <t xml:space="preserve">1269</t>
  </si>
  <si>
    <t xml:space="preserve">AT099</t>
  </si>
  <si>
    <t xml:space="preserve">基隆市七堵區崇智街2-5號</t>
  </si>
  <si>
    <t xml:space="preserve">02-24562445</t>
  </si>
  <si>
    <t xml:space="preserve">週一至週五08:30~17:30</t>
  </si>
  <si>
    <t xml:space="preserve">1270</t>
  </si>
  <si>
    <t xml:space="preserve">AT769</t>
  </si>
  <si>
    <t xml:space="preserve">1271</t>
  </si>
  <si>
    <t xml:space="preserve">AT964</t>
  </si>
  <si>
    <t xml:space="preserve">1272</t>
  </si>
  <si>
    <t xml:space="preserve">AT965</t>
  </si>
  <si>
    <t xml:space="preserve">1273</t>
  </si>
  <si>
    <t xml:space="preserve">AY554</t>
  </si>
  <si>
    <t xml:space="preserve">1274</t>
  </si>
  <si>
    <t xml:space="preserve">AT385</t>
  </si>
  <si>
    <t xml:space="preserve">彰化縣和美鎮彰美路五段323號</t>
  </si>
  <si>
    <t xml:space="preserve">04-7552001</t>
  </si>
  <si>
    <t xml:space="preserve">週一至週五08:30~17:30
 週六09:00~13:00</t>
  </si>
  <si>
    <t xml:space="preserve">1275</t>
  </si>
  <si>
    <t xml:space="preserve">AU172</t>
  </si>
  <si>
    <t xml:space="preserve">1276</t>
  </si>
  <si>
    <t xml:space="preserve">BG328</t>
  </si>
  <si>
    <t xml:space="preserve">1277</t>
  </si>
  <si>
    <t xml:space="preserve">BG329</t>
  </si>
  <si>
    <t xml:space="preserve">1278</t>
  </si>
  <si>
    <t xml:space="preserve">BG326</t>
  </si>
  <si>
    <t xml:space="preserve">1279</t>
  </si>
  <si>
    <t xml:space="preserve">BG327</t>
  </si>
  <si>
    <t xml:space="preserve">1280</t>
  </si>
  <si>
    <t xml:space="preserve">AY854</t>
  </si>
  <si>
    <t xml:space="preserve">1281</t>
  </si>
  <si>
    <t xml:space="preserve">AT204</t>
  </si>
  <si>
    <t xml:space="preserve">雲林縣林內鄉中正路382號</t>
  </si>
  <si>
    <t xml:space="preserve">05-5892080</t>
  </si>
  <si>
    <t xml:space="preserve">1282</t>
  </si>
  <si>
    <t xml:space="preserve">AT218</t>
  </si>
  <si>
    <t xml:space="preserve">1283</t>
  </si>
  <si>
    <t xml:space="preserve">AT902</t>
  </si>
  <si>
    <t xml:space="preserve">1284</t>
  </si>
  <si>
    <t xml:space="preserve">AY153</t>
  </si>
  <si>
    <t xml:space="preserve">1285</t>
  </si>
  <si>
    <t xml:space="preserve">AT205</t>
  </si>
  <si>
    <t xml:space="preserve">雲林縣大埤鄉中正路21號</t>
  </si>
  <si>
    <t xml:space="preserve">05-5912000</t>
  </si>
  <si>
    <t xml:space="preserve">1286</t>
  </si>
  <si>
    <t xml:space="preserve">AT206</t>
  </si>
  <si>
    <t xml:space="preserve">1287</t>
  </si>
  <si>
    <t xml:space="preserve">AT921</t>
  </si>
  <si>
    <t xml:space="preserve">1288</t>
  </si>
  <si>
    <t xml:space="preserve">AT945</t>
  </si>
  <si>
    <t xml:space="preserve">1289</t>
  </si>
  <si>
    <t xml:space="preserve">AT207</t>
  </si>
  <si>
    <t xml:space="preserve">雲林縣崙背鄉南光路42號</t>
  </si>
  <si>
    <t xml:space="preserve">05-6965001</t>
  </si>
  <si>
    <t xml:space="preserve">1290</t>
  </si>
  <si>
    <t xml:space="preserve">AT208</t>
  </si>
  <si>
    <t xml:space="preserve">1291</t>
  </si>
  <si>
    <t xml:space="preserve">AY140</t>
  </si>
  <si>
    <t xml:space="preserve">1292</t>
  </si>
  <si>
    <t xml:space="preserve">AY156</t>
  </si>
  <si>
    <t xml:space="preserve">1293</t>
  </si>
  <si>
    <t xml:space="preserve">AT209</t>
  </si>
  <si>
    <t xml:space="preserve">雲林縣莿桐鄉和平路74號</t>
  </si>
  <si>
    <t xml:space="preserve">05-5842000</t>
  </si>
  <si>
    <t xml:space="preserve">1294</t>
  </si>
  <si>
    <t xml:space="preserve">AT210</t>
  </si>
  <si>
    <t xml:space="preserve">1295</t>
  </si>
  <si>
    <t xml:space="preserve">AT212</t>
  </si>
  <si>
    <t xml:space="preserve">1296</t>
  </si>
  <si>
    <t xml:space="preserve">AT919</t>
  </si>
  <si>
    <t xml:space="preserve">1297</t>
  </si>
  <si>
    <t xml:space="preserve">AQ103</t>
  </si>
  <si>
    <t xml:space="preserve">新竹市東區建新路112號</t>
  </si>
  <si>
    <t xml:space="preserve">03-5753501</t>
  </si>
  <si>
    <t xml:space="preserve">1298</t>
  </si>
  <si>
    <t xml:space="preserve">AT633</t>
  </si>
  <si>
    <t xml:space="preserve">1299</t>
  </si>
  <si>
    <t xml:space="preserve">AT601</t>
  </si>
  <si>
    <t xml:space="preserve">新竹縣北埔鄉北埔街107號</t>
  </si>
  <si>
    <t xml:space="preserve">03-5802200</t>
  </si>
  <si>
    <t xml:space="preserve">週二、週四08:30~12:30</t>
  </si>
  <si>
    <t xml:space="preserve">1300</t>
  </si>
  <si>
    <t xml:space="preserve">AQ109</t>
  </si>
  <si>
    <t xml:space="preserve">新竹縣竹東鎮杞林路68號</t>
  </si>
  <si>
    <t xml:space="preserve">03-5969431</t>
  </si>
  <si>
    <t xml:space="preserve">1301</t>
  </si>
  <si>
    <t xml:space="preserve">AQ594</t>
  </si>
  <si>
    <t xml:space="preserve">1302</t>
  </si>
  <si>
    <t xml:space="preserve">AQ104</t>
  </si>
  <si>
    <t xml:space="preserve">新竹縣關西鎮正義路53號</t>
  </si>
  <si>
    <t xml:space="preserve">03-5872600</t>
  </si>
  <si>
    <t xml:space="preserve">1303</t>
  </si>
  <si>
    <t xml:space="preserve">AQ110</t>
  </si>
  <si>
    <t xml:space="preserve">新竹縣新埔鎮中正路208號</t>
  </si>
  <si>
    <t xml:space="preserve">03-5882600</t>
  </si>
  <si>
    <t xml:space="preserve">1304</t>
  </si>
  <si>
    <t xml:space="preserve">AQ106</t>
  </si>
  <si>
    <t xml:space="preserve">新竹市東區園區一路99號</t>
  </si>
  <si>
    <t xml:space="preserve">03-5639600</t>
  </si>
  <si>
    <t xml:space="preserve">週一至週五09:00~18:00</t>
  </si>
  <si>
    <t xml:space="preserve">1305</t>
  </si>
  <si>
    <t xml:space="preserve">AT603</t>
  </si>
  <si>
    <t xml:space="preserve">新竹縣新豐鄉建興路一段201巷9-1號</t>
  </si>
  <si>
    <t xml:space="preserve">03-5591144</t>
  </si>
  <si>
    <t xml:space="preserve">1306</t>
  </si>
  <si>
    <t xml:space="preserve">AT605</t>
  </si>
  <si>
    <t xml:space="preserve">新竹縣湖口鄉中央街20號</t>
  </si>
  <si>
    <t xml:space="preserve">03-5992134</t>
  </si>
  <si>
    <t xml:space="preserve">1307</t>
  </si>
  <si>
    <t xml:space="preserve">AQ986</t>
  </si>
  <si>
    <t xml:space="preserve">台南市下營區中山路一段257號</t>
  </si>
  <si>
    <t xml:space="preserve">06-6444740</t>
  </si>
  <si>
    <t xml:space="preserve">1308</t>
  </si>
  <si>
    <t xml:space="preserve">AQ987</t>
  </si>
  <si>
    <t xml:space="preserve">1309</t>
  </si>
  <si>
    <t xml:space="preserve">AY219</t>
  </si>
  <si>
    <t xml:space="preserve">1310</t>
  </si>
  <si>
    <t xml:space="preserve">AY213</t>
  </si>
  <si>
    <t xml:space="preserve">1311</t>
  </si>
  <si>
    <t xml:space="preserve">AP080</t>
  </si>
  <si>
    <t xml:space="preserve">台南市鹽水區南門路132號</t>
  </si>
  <si>
    <t xml:space="preserve">06-6441400</t>
  </si>
  <si>
    <t xml:space="preserve">1/24配達門市</t>
  </si>
  <si>
    <t xml:space="preserve">1312</t>
  </si>
  <si>
    <t xml:space="preserve">AP079</t>
  </si>
  <si>
    <t xml:space="preserve">1313</t>
  </si>
  <si>
    <t xml:space="preserve">AQ988</t>
  </si>
  <si>
    <t xml:space="preserve">1314</t>
  </si>
  <si>
    <t xml:space="preserve">AQ194</t>
  </si>
  <si>
    <t xml:space="preserve">宜蘭縣礁溪鄉礁溪路四段128號</t>
  </si>
  <si>
    <t xml:space="preserve">03-9880541</t>
  </si>
  <si>
    <t xml:space="preserve">1315</t>
  </si>
  <si>
    <t xml:space="preserve">AT795</t>
  </si>
  <si>
    <t xml:space="preserve">1316</t>
  </si>
  <si>
    <t xml:space="preserve">AY032</t>
  </si>
  <si>
    <t xml:space="preserve">1317</t>
  </si>
  <si>
    <t xml:space="preserve">AY033</t>
  </si>
  <si>
    <t xml:space="preserve">1318</t>
  </si>
  <si>
    <t xml:space="preserve">BC853</t>
  </si>
  <si>
    <t xml:space="preserve">1319</t>
  </si>
  <si>
    <t xml:space="preserve">BI206</t>
  </si>
  <si>
    <t xml:space="preserve">1320</t>
  </si>
  <si>
    <t xml:space="preserve">AQ195</t>
  </si>
  <si>
    <t xml:space="preserve">宜蘭縣蘇澳鎮中山路一段220號</t>
  </si>
  <si>
    <t xml:space="preserve">03-9953471</t>
  </si>
  <si>
    <t xml:space="preserve">1321</t>
  </si>
  <si>
    <t xml:space="preserve">BB986</t>
  </si>
  <si>
    <t xml:space="preserve">1322</t>
  </si>
  <si>
    <t xml:space="preserve">BC856</t>
  </si>
  <si>
    <t xml:space="preserve">1323</t>
  </si>
  <si>
    <t xml:space="preserve">AQ193</t>
  </si>
  <si>
    <t xml:space="preserve">宜蘭縣頭城鎮民鋒路15號</t>
  </si>
  <si>
    <t xml:space="preserve">03-9770439</t>
  </si>
  <si>
    <t xml:space="preserve">1324</t>
  </si>
  <si>
    <t xml:space="preserve">AQ196</t>
  </si>
  <si>
    <t xml:space="preserve">宜蘭縣三星鄉中山路26號</t>
  </si>
  <si>
    <t xml:space="preserve">03-9893891</t>
  </si>
  <si>
    <t xml:space="preserve">週一至週五08:30~17:30
(12:30~13:30休息)</t>
  </si>
  <si>
    <t xml:space="preserve">1325</t>
  </si>
  <si>
    <t xml:space="preserve">AW366</t>
  </si>
  <si>
    <t xml:space="preserve">1326</t>
  </si>
  <si>
    <t xml:space="preserve">AW365</t>
  </si>
  <si>
    <t xml:space="preserve">1327</t>
  </si>
  <si>
    <t xml:space="preserve">AT394</t>
  </si>
  <si>
    <t xml:space="preserve">台中市西屯區逢甲路230號</t>
  </si>
  <si>
    <t xml:space="preserve">04-24525244</t>
  </si>
  <si>
    <t xml:space="preserve">1328</t>
  </si>
  <si>
    <t xml:space="preserve">AT395</t>
  </si>
  <si>
    <t xml:space="preserve">1329</t>
  </si>
  <si>
    <t xml:space="preserve">AT396</t>
  </si>
  <si>
    <t xml:space="preserve">1330</t>
  </si>
  <si>
    <t xml:space="preserve">AU893</t>
  </si>
  <si>
    <t xml:space="preserve">1331</t>
  </si>
  <si>
    <t xml:space="preserve">BG386</t>
  </si>
  <si>
    <t xml:space="preserve">1332</t>
  </si>
  <si>
    <t xml:space="preserve">AY704</t>
  </si>
  <si>
    <t xml:space="preserve">1333</t>
  </si>
  <si>
    <t xml:space="preserve">AT397</t>
  </si>
  <si>
    <t xml:space="preserve">台中市南屯區黎明路一段975號</t>
  </si>
  <si>
    <t xml:space="preserve">04-23815668</t>
  </si>
  <si>
    <t xml:space="preserve">1334</t>
  </si>
  <si>
    <t xml:space="preserve">AY846</t>
  </si>
  <si>
    <t xml:space="preserve">台中市北區進化路322號</t>
  </si>
  <si>
    <t xml:space="preserve">04-23447600</t>
  </si>
  <si>
    <t xml:space="preserve">1335</t>
  </si>
  <si>
    <t xml:space="preserve">AY705</t>
  </si>
  <si>
    <t xml:space="preserve">1336</t>
  </si>
  <si>
    <t xml:space="preserve">AY849</t>
  </si>
  <si>
    <t xml:space="preserve">台中市北區進化路322號9F</t>
  </si>
  <si>
    <t xml:space="preserve">1337</t>
  </si>
  <si>
    <t xml:space="preserve">AT398</t>
  </si>
  <si>
    <t xml:space="preserve">彰化縣伸港鄉仁愛路1號</t>
  </si>
  <si>
    <t xml:space="preserve">04-7984000</t>
  </si>
  <si>
    <t xml:space="preserve">1338</t>
  </si>
  <si>
    <t xml:space="preserve">AT399</t>
  </si>
  <si>
    <t xml:space="preserve">1339</t>
  </si>
  <si>
    <t xml:space="preserve">AT391</t>
  </si>
  <si>
    <t xml:space="preserve">1340</t>
  </si>
  <si>
    <t xml:space="preserve">AV796</t>
  </si>
  <si>
    <t xml:space="preserve">1341</t>
  </si>
  <si>
    <t xml:space="preserve">AT502</t>
  </si>
  <si>
    <t xml:space="preserve">南投縣名間鄉彰南路34號</t>
  </si>
  <si>
    <t xml:space="preserve">049-2732801</t>
  </si>
  <si>
    <t xml:space="preserve">1342</t>
  </si>
  <si>
    <t xml:space="preserve">AT503</t>
  </si>
  <si>
    <t xml:space="preserve">1343</t>
  </si>
  <si>
    <t xml:space="preserve">BD138</t>
  </si>
  <si>
    <t xml:space="preserve">1344</t>
  </si>
  <si>
    <t xml:space="preserve">AT504</t>
  </si>
  <si>
    <t xml:space="preserve">南投縣水里鄉博愛路35號</t>
  </si>
  <si>
    <t xml:space="preserve">049-2772011</t>
  </si>
  <si>
    <t xml:space="preserve">1345</t>
  </si>
  <si>
    <t xml:space="preserve">BG306</t>
  </si>
  <si>
    <t xml:space="preserve">1346</t>
  </si>
  <si>
    <t xml:space="preserve">BG307</t>
  </si>
  <si>
    <t xml:space="preserve">1347</t>
  </si>
  <si>
    <t xml:space="preserve">AT429</t>
  </si>
  <si>
    <t xml:space="preserve">桃園市復興區中正路70號</t>
  </si>
  <si>
    <t xml:space="preserve">03-3822144</t>
  </si>
  <si>
    <t xml:space="preserve">週二、週四08:30~14:00</t>
  </si>
  <si>
    <t xml:space="preserve">1348</t>
  </si>
  <si>
    <t xml:space="preserve">AT736</t>
  </si>
  <si>
    <t xml:space="preserve">宜蘭縣冬山鄉冬山路一段879號</t>
  </si>
  <si>
    <t xml:space="preserve">03-9549961</t>
  </si>
  <si>
    <t xml:space="preserve">週一至週五08:30~12:30</t>
  </si>
  <si>
    <t xml:space="preserve">1349</t>
  </si>
  <si>
    <t xml:space="preserve">AT737</t>
  </si>
  <si>
    <t xml:space="preserve">1350</t>
  </si>
  <si>
    <t xml:space="preserve">AY030</t>
  </si>
  <si>
    <t xml:space="preserve">1351</t>
  </si>
  <si>
    <t xml:space="preserve">AT113</t>
  </si>
  <si>
    <t xml:space="preserve">高雄市三民區大昌二路28號</t>
  </si>
  <si>
    <t xml:space="preserve">07-3982998</t>
  </si>
  <si>
    <t xml:space="preserve">1352</t>
  </si>
  <si>
    <t xml:space="preserve">BC541</t>
  </si>
  <si>
    <t xml:space="preserve">1353</t>
  </si>
  <si>
    <t xml:space="preserve">AY624</t>
  </si>
  <si>
    <t xml:space="preserve">1354</t>
  </si>
  <si>
    <t xml:space="preserve">AY625</t>
  </si>
  <si>
    <t xml:space="preserve">1355</t>
  </si>
  <si>
    <t xml:space="preserve">AY632</t>
  </si>
  <si>
    <t xml:space="preserve">1356</t>
  </si>
  <si>
    <t xml:space="preserve">AT749</t>
  </si>
  <si>
    <t xml:space="preserve">台北市中山區建國北路二段216號</t>
  </si>
  <si>
    <t xml:space="preserve">02-25016341</t>
  </si>
  <si>
    <t xml:space="preserve">1357</t>
  </si>
  <si>
    <t xml:space="preserve">AY266</t>
  </si>
  <si>
    <t xml:space="preserve">1358</t>
  </si>
  <si>
    <t xml:space="preserve">AT226</t>
  </si>
  <si>
    <t xml:space="preserve">嘉義市東區光彩街269號</t>
  </si>
  <si>
    <t xml:space="preserve">05-2444226</t>
  </si>
  <si>
    <t xml:space="preserve">週一至週五08:30~19:00
週六10:00~18:00</t>
  </si>
  <si>
    <t xml:space="preserve">1359</t>
  </si>
  <si>
    <t xml:space="preserve">AT227</t>
  </si>
  <si>
    <t xml:space="preserve">1360</t>
  </si>
  <si>
    <t xml:space="preserve">AT224</t>
  </si>
  <si>
    <t xml:space="preserve">嘉義縣民雄鄉保生街291號</t>
  </si>
  <si>
    <t xml:space="preserve">05-2440002</t>
  </si>
  <si>
    <t xml:space="preserve">週一至週五08:30~17:30
週六08:30~12:30</t>
  </si>
  <si>
    <t xml:space="preserve">1361</t>
  </si>
  <si>
    <t xml:space="preserve">AT225</t>
  </si>
  <si>
    <t xml:space="preserve">1362</t>
  </si>
  <si>
    <t xml:space="preserve">AT220</t>
  </si>
  <si>
    <t xml:space="preserve">嘉義縣朴子市山通路21號</t>
  </si>
  <si>
    <t xml:space="preserve">05-3440001</t>
  </si>
  <si>
    <t xml:space="preserve">週一至週五08:30~17:30
週六：08:30~12:30</t>
  </si>
  <si>
    <t xml:space="preserve">1363</t>
  </si>
  <si>
    <t xml:space="preserve">AT221</t>
  </si>
  <si>
    <t xml:space="preserve">1364</t>
  </si>
  <si>
    <t xml:space="preserve">AT217</t>
  </si>
  <si>
    <t xml:space="preserve">嘉義縣布袋鎮中安里頂厝11號之1</t>
  </si>
  <si>
    <t xml:space="preserve">05-3451044</t>
  </si>
  <si>
    <t xml:space="preserve">週二、週四08:30~17:30
(12:30~13:30休息)</t>
  </si>
  <si>
    <t xml:space="preserve">1365</t>
  </si>
  <si>
    <t xml:space="preserve">AT214</t>
  </si>
  <si>
    <t xml:space="preserve">嘉義縣義竹鄉岸腳村59號之23</t>
  </si>
  <si>
    <t xml:space="preserve">05-3446940</t>
  </si>
  <si>
    <t xml:space="preserve">1366</t>
  </si>
  <si>
    <t xml:space="preserve">AT213</t>
  </si>
  <si>
    <t xml:space="preserve">1367</t>
  </si>
  <si>
    <t xml:space="preserve">AT223</t>
  </si>
  <si>
    <t xml:space="preserve">嘉義縣竹崎鄉和平村坑仔坪160號</t>
  </si>
  <si>
    <t xml:space="preserve">05-2443466</t>
  </si>
  <si>
    <t xml:space="preserve">1368</t>
  </si>
  <si>
    <t xml:space="preserve">AT222</t>
  </si>
  <si>
    <t xml:space="preserve">1369</t>
  </si>
  <si>
    <t xml:space="preserve">AT215</t>
  </si>
  <si>
    <t xml:space="preserve">嘉義縣布袋鎮自由路8號</t>
  </si>
  <si>
    <t xml:space="preserve">05-3445440</t>
  </si>
  <si>
    <t xml:space="preserve">1370</t>
  </si>
  <si>
    <t xml:space="preserve">AT216</t>
  </si>
  <si>
    <t xml:space="preserve">1371</t>
  </si>
  <si>
    <t xml:space="preserve">AT219</t>
  </si>
  <si>
    <t xml:space="preserve">嘉義縣東石鄉東石村4號之4</t>
  </si>
  <si>
    <t xml:space="preserve">05-3440038</t>
  </si>
  <si>
    <t xml:space="preserve">週一、週三、週五08:30~17:30
(12:30~13:30休息)</t>
  </si>
  <si>
    <t xml:space="preserve">1372</t>
  </si>
  <si>
    <t xml:space="preserve">AT228</t>
  </si>
  <si>
    <t xml:space="preserve">嘉義縣梅山鄉中山路408號</t>
  </si>
  <si>
    <t xml:space="preserve">05-2446730</t>
  </si>
  <si>
    <t xml:space="preserve">1373</t>
  </si>
  <si>
    <t xml:space="preserve">AT229</t>
  </si>
  <si>
    <t xml:space="preserve">1374</t>
  </si>
  <si>
    <t xml:space="preserve">AT640</t>
  </si>
  <si>
    <t xml:space="preserve">苗栗縣公館鄉館南村館南160之2號</t>
  </si>
  <si>
    <t xml:space="preserve">037-223396</t>
  </si>
  <si>
    <t xml:space="preserve">1375</t>
  </si>
  <si>
    <t xml:space="preserve">AT953</t>
  </si>
  <si>
    <t xml:space="preserve">1376</t>
  </si>
  <si>
    <t xml:space="preserve">AT623</t>
  </si>
  <si>
    <t xml:space="preserve">苗栗縣頭份市民族路739號</t>
  </si>
  <si>
    <t xml:space="preserve">037-632015</t>
  </si>
  <si>
    <t xml:space="preserve">1377</t>
  </si>
  <si>
    <t xml:space="preserve">AX774</t>
  </si>
  <si>
    <t xml:space="preserve">1378</t>
  </si>
  <si>
    <t xml:space="preserve">BD821</t>
  </si>
  <si>
    <t xml:space="preserve">1379</t>
  </si>
  <si>
    <t xml:space="preserve">AT646</t>
  </si>
  <si>
    <t xml:space="preserve">苗栗縣後龍鎮三民路110號</t>
  </si>
  <si>
    <t xml:space="preserve">037-730814</t>
  </si>
  <si>
    <t xml:space="preserve">1380</t>
  </si>
  <si>
    <t xml:space="preserve">AT649</t>
  </si>
  <si>
    <t xml:space="preserve">1381</t>
  </si>
  <si>
    <t xml:space="preserve">BF198</t>
  </si>
  <si>
    <t xml:space="preserve">1382</t>
  </si>
  <si>
    <t xml:space="preserve">AT620</t>
  </si>
  <si>
    <t xml:space="preserve">苗栗縣苑裡鎮忠勇街17號</t>
  </si>
  <si>
    <t xml:space="preserve">037-862213</t>
  </si>
  <si>
    <t xml:space="preserve">1383</t>
  </si>
  <si>
    <t xml:space="preserve">AM754</t>
  </si>
  <si>
    <t xml:space="preserve">1384</t>
  </si>
  <si>
    <t xml:space="preserve">AT644</t>
  </si>
  <si>
    <t xml:space="preserve">苗栗縣三義鄉中正路138號</t>
  </si>
  <si>
    <t xml:space="preserve">037-870325</t>
  </si>
  <si>
    <t xml:space="preserve">1385</t>
  </si>
  <si>
    <t xml:space="preserve">AT631</t>
  </si>
  <si>
    <t xml:space="preserve">1386</t>
  </si>
  <si>
    <t xml:space="preserve">AT645</t>
  </si>
  <si>
    <t xml:space="preserve">苗栗縣銅鑼鄉郵電街31號</t>
  </si>
  <si>
    <t xml:space="preserve">037-981000</t>
  </si>
  <si>
    <t xml:space="preserve">1387</t>
  </si>
  <si>
    <t xml:space="preserve">AT955</t>
  </si>
  <si>
    <t xml:space="preserve">1388</t>
  </si>
  <si>
    <t xml:space="preserve">AT647</t>
  </si>
  <si>
    <t xml:space="preserve">苗栗縣大湖鄉民族路105號</t>
  </si>
  <si>
    <t xml:space="preserve">037-991101</t>
  </si>
  <si>
    <t xml:space="preserve">1389</t>
  </si>
  <si>
    <t xml:space="preserve">AT954</t>
  </si>
  <si>
    <t xml:space="preserve">1390</t>
  </si>
  <si>
    <t xml:space="preserve">AT650</t>
  </si>
  <si>
    <t xml:space="preserve">苗栗縣南庄鄉中正路147之1號</t>
  </si>
  <si>
    <t xml:space="preserve">037-822000</t>
  </si>
  <si>
    <t xml:space="preserve">1391</t>
  </si>
  <si>
    <t xml:space="preserve">AX779</t>
  </si>
  <si>
    <t xml:space="preserve">1392</t>
  </si>
  <si>
    <t xml:space="preserve">AT639</t>
  </si>
  <si>
    <t xml:space="preserve">苗栗縣通霄鎮中正路74-2號</t>
  </si>
  <si>
    <t xml:space="preserve">037-752521</t>
  </si>
  <si>
    <t xml:space="preserve">1393</t>
  </si>
  <si>
    <t xml:space="preserve">AQ544</t>
  </si>
  <si>
    <t xml:space="preserve">1394</t>
  </si>
  <si>
    <t xml:space="preserve">AT437</t>
  </si>
  <si>
    <t xml:space="preserve">桃園市觀音區中山路38號</t>
  </si>
  <si>
    <t xml:space="preserve">03-4732454</t>
  </si>
  <si>
    <t xml:space="preserve">1395</t>
  </si>
  <si>
    <t xml:space="preserve">BB368</t>
  </si>
  <si>
    <t xml:space="preserve">1396</t>
  </si>
  <si>
    <t xml:space="preserve">AT443</t>
  </si>
  <si>
    <t xml:space="preserve">桃園市八德區介壽路一段199號</t>
  </si>
  <si>
    <t xml:space="preserve">03-3753737</t>
  </si>
  <si>
    <t xml:space="preserve">1397</t>
  </si>
  <si>
    <t xml:space="preserve">AT438</t>
  </si>
  <si>
    <t xml:space="preserve">桃園市大園區新興路42號</t>
  </si>
  <si>
    <t xml:space="preserve">03-3864491</t>
  </si>
  <si>
    <t xml:space="preserve">1398</t>
  </si>
  <si>
    <t xml:space="preserve">AY119</t>
  </si>
  <si>
    <t xml:space="preserve">1399</t>
  </si>
  <si>
    <t xml:space="preserve">AT446</t>
  </si>
  <si>
    <t xml:space="preserve">桃園市桃園區宏昌六街237號</t>
  </si>
  <si>
    <t xml:space="preserve">03-2283636</t>
  </si>
  <si>
    <t xml:space="preserve">1400</t>
  </si>
  <si>
    <t xml:space="preserve">BC154</t>
  </si>
  <si>
    <t xml:space="preserve">1401</t>
  </si>
  <si>
    <t xml:space="preserve">AQ207</t>
  </si>
  <si>
    <t xml:space="preserve">桃園市中壢區興仁路一段188號</t>
  </si>
  <si>
    <t xml:space="preserve">03-2854443</t>
  </si>
  <si>
    <t xml:space="preserve">1402</t>
  </si>
  <si>
    <t xml:space="preserve">BC147</t>
  </si>
  <si>
    <t xml:space="preserve">1403</t>
  </si>
  <si>
    <t xml:space="preserve">AT439</t>
  </si>
  <si>
    <t xml:space="preserve">桃園市蘆竹區福祿五街6號</t>
  </si>
  <si>
    <t xml:space="preserve">03-3533636</t>
  </si>
  <si>
    <t xml:space="preserve">1404</t>
  </si>
  <si>
    <t xml:space="preserve">BC152</t>
  </si>
  <si>
    <t xml:space="preserve">1405</t>
  </si>
  <si>
    <t xml:space="preserve">AT445</t>
  </si>
  <si>
    <t xml:space="preserve">桃園市桃園區復興路189號</t>
  </si>
  <si>
    <t xml:space="preserve">03-3033200</t>
  </si>
  <si>
    <t xml:space="preserve">週一至週五08:30~19:00
週六08:30~17:30</t>
  </si>
  <si>
    <t xml:space="preserve">1406</t>
  </si>
  <si>
    <t xml:space="preserve">BC153</t>
  </si>
  <si>
    <t xml:space="preserve">1407</t>
  </si>
  <si>
    <t xml:space="preserve">AT440</t>
  </si>
  <si>
    <t xml:space="preserve">桃園市新屋區電信街10號</t>
  </si>
  <si>
    <t xml:space="preserve">03-4772001</t>
  </si>
  <si>
    <t xml:space="preserve">1408</t>
  </si>
  <si>
    <t xml:space="preserve">AV549</t>
  </si>
  <si>
    <t xml:space="preserve">1409</t>
  </si>
  <si>
    <t xml:space="preserve">AT754</t>
  </si>
  <si>
    <t xml:space="preserve">花蓮縣鳳林鎮中正路二段62號</t>
  </si>
  <si>
    <t xml:space="preserve">03-8764141</t>
  </si>
  <si>
    <t xml:space="preserve">1410</t>
  </si>
  <si>
    <t xml:space="preserve">BA976</t>
  </si>
  <si>
    <t xml:space="preserve">1411</t>
  </si>
  <si>
    <t xml:space="preserve">BA977</t>
  </si>
  <si>
    <t xml:space="preserve">1412</t>
  </si>
  <si>
    <t xml:space="preserve">AU185</t>
  </si>
  <si>
    <t xml:space="preserve">彰化縣大城鄉東城村東平路74號</t>
  </si>
  <si>
    <t xml:space="preserve">04-8944040</t>
  </si>
  <si>
    <t xml:space="preserve">週一至週五08:30~17:30
 (12:30~13:30休息)</t>
  </si>
  <si>
    <t xml:space="preserve">1413</t>
  </si>
  <si>
    <t xml:space="preserve">AU186</t>
  </si>
  <si>
    <t xml:space="preserve">1414</t>
  </si>
  <si>
    <t xml:space="preserve">AV714</t>
  </si>
  <si>
    <t xml:space="preserve">1415</t>
  </si>
  <si>
    <t xml:space="preserve">BB706</t>
  </si>
  <si>
    <t xml:space="preserve">1416</t>
  </si>
  <si>
    <t xml:space="preserve">AT516</t>
  </si>
  <si>
    <t xml:space="preserve">彰化縣二水鄉員集路三段743號</t>
  </si>
  <si>
    <t xml:space="preserve">04-8790004</t>
  </si>
  <si>
    <t xml:space="preserve">1417</t>
  </si>
  <si>
    <t xml:space="preserve">BA768</t>
  </si>
  <si>
    <t xml:space="preserve">1418</t>
  </si>
  <si>
    <t xml:space="preserve">BD122</t>
  </si>
  <si>
    <t xml:space="preserve">1419</t>
  </si>
  <si>
    <t xml:space="preserve">BD123</t>
  </si>
  <si>
    <t xml:space="preserve">1420</t>
  </si>
  <si>
    <t xml:space="preserve">AT517</t>
  </si>
  <si>
    <t xml:space="preserve">彰化縣社頭鄉員集路二段555號</t>
  </si>
  <si>
    <t xml:space="preserve">04-8734040</t>
  </si>
  <si>
    <t xml:space="preserve">1421</t>
  </si>
  <si>
    <t xml:space="preserve">AW348</t>
  </si>
  <si>
    <t xml:space="preserve">1422</t>
  </si>
  <si>
    <t xml:space="preserve">BA794</t>
  </si>
  <si>
    <t xml:space="preserve">1423</t>
  </si>
  <si>
    <t xml:space="preserve">BA796</t>
  </si>
  <si>
    <t xml:space="preserve">1424</t>
  </si>
  <si>
    <t xml:space="preserve">BA797</t>
  </si>
  <si>
    <t xml:space="preserve">1425</t>
  </si>
  <si>
    <t xml:space="preserve">AU844</t>
  </si>
  <si>
    <t xml:space="preserve">彰化縣竹塘鄉竹五路45號</t>
  </si>
  <si>
    <t xml:space="preserve">04-8972490</t>
  </si>
  <si>
    <t xml:space="preserve">1426</t>
  </si>
  <si>
    <t xml:space="preserve">BA770</t>
  </si>
  <si>
    <t xml:space="preserve">1427</t>
  </si>
  <si>
    <t xml:space="preserve">AY441</t>
  </si>
  <si>
    <t xml:space="preserve">1428</t>
  </si>
  <si>
    <t xml:space="preserve">AY841</t>
  </si>
  <si>
    <t xml:space="preserve">1429</t>
  </si>
  <si>
    <t xml:space="preserve">AY842</t>
  </si>
  <si>
    <t xml:space="preserve">1430</t>
  </si>
  <si>
    <t xml:space="preserve">AU860</t>
  </si>
  <si>
    <t xml:space="preserve">彰化縣芳苑鄉芳漢路王功段266巷17號</t>
  </si>
  <si>
    <t xml:space="preserve">04-8932441</t>
  </si>
  <si>
    <t xml:space="preserve">1431</t>
  </si>
  <si>
    <t xml:space="preserve">AX906</t>
  </si>
  <si>
    <t xml:space="preserve">1432</t>
  </si>
  <si>
    <t xml:space="preserve">AV715</t>
  </si>
  <si>
    <t xml:space="preserve">1433</t>
  </si>
  <si>
    <t xml:space="preserve">AY832</t>
  </si>
  <si>
    <t xml:space="preserve">1434</t>
  </si>
  <si>
    <t xml:space="preserve">AU843</t>
  </si>
  <si>
    <t xml:space="preserve">彰化縣溪州鄉中山路三段270巷2號</t>
  </si>
  <si>
    <t xml:space="preserve">04-8894056</t>
  </si>
  <si>
    <t xml:space="preserve">1435</t>
  </si>
  <si>
    <t xml:space="preserve">AV800</t>
  </si>
  <si>
    <t xml:space="preserve">1436</t>
  </si>
  <si>
    <t xml:space="preserve">BA771</t>
  </si>
  <si>
    <t xml:space="preserve">1437</t>
  </si>
  <si>
    <t xml:space="preserve">BB736</t>
  </si>
  <si>
    <t xml:space="preserve">1438</t>
  </si>
  <si>
    <t xml:space="preserve">AY464</t>
  </si>
  <si>
    <t xml:space="preserve">1439</t>
  </si>
  <si>
    <t xml:space="preserve">AU848</t>
  </si>
  <si>
    <t xml:space="preserve">台中市南屯區文心路一段351號</t>
  </si>
  <si>
    <t xml:space="preserve">04-22550677</t>
  </si>
  <si>
    <t xml:space="preserve">週一至週五08:30~18:00
 週六09:00~13:00</t>
  </si>
  <si>
    <t xml:space="preserve">1440</t>
  </si>
  <si>
    <t xml:space="preserve">AW846</t>
  </si>
  <si>
    <t xml:space="preserve">1441</t>
  </si>
  <si>
    <t xml:space="preserve">BG358</t>
  </si>
  <si>
    <t xml:space="preserve">1442</t>
  </si>
  <si>
    <t xml:space="preserve">AY692</t>
  </si>
  <si>
    <t xml:space="preserve">1443</t>
  </si>
  <si>
    <t xml:space="preserve">AY499</t>
  </si>
  <si>
    <t xml:space="preserve">1444</t>
  </si>
  <si>
    <t xml:space="preserve">AY500</t>
  </si>
  <si>
    <t xml:space="preserve">1445</t>
  </si>
  <si>
    <t xml:space="preserve">AU829</t>
  </si>
  <si>
    <t xml:space="preserve">台中市西區市府路37號</t>
  </si>
  <si>
    <t xml:space="preserve">04-23446207</t>
  </si>
  <si>
    <t xml:space="preserve">週一至週五08:30~18:30
 週六09:00~17:00</t>
  </si>
  <si>
    <t xml:space="preserve">1446</t>
  </si>
  <si>
    <t xml:space="preserve">BD034</t>
  </si>
  <si>
    <t xml:space="preserve">1447</t>
  </si>
  <si>
    <t xml:space="preserve">BG360</t>
  </si>
  <si>
    <t xml:space="preserve">1448</t>
  </si>
  <si>
    <t xml:space="preserve">BG361</t>
  </si>
  <si>
    <t xml:space="preserve">1449</t>
  </si>
  <si>
    <t xml:space="preserve">BG362</t>
  </si>
  <si>
    <t xml:space="preserve">1450</t>
  </si>
  <si>
    <t xml:space="preserve">BG363</t>
  </si>
  <si>
    <t xml:space="preserve">1451</t>
  </si>
  <si>
    <t xml:space="preserve">BG364</t>
  </si>
  <si>
    <t xml:space="preserve">1452</t>
  </si>
  <si>
    <t xml:space="preserve">BG365</t>
  </si>
  <si>
    <t xml:space="preserve">1453</t>
  </si>
  <si>
    <t xml:space="preserve">BG366</t>
  </si>
  <si>
    <t xml:space="preserve">1454</t>
  </si>
  <si>
    <t xml:space="preserve">BG359</t>
  </si>
  <si>
    <t xml:space="preserve">1455</t>
  </si>
  <si>
    <t xml:space="preserve">AY711</t>
  </si>
  <si>
    <t xml:space="preserve">1456</t>
  </si>
  <si>
    <t xml:space="preserve">AU830</t>
  </si>
  <si>
    <t xml:space="preserve">台中市西屯區西屯路二段104號</t>
  </si>
  <si>
    <t xml:space="preserve">04-23125789</t>
  </si>
  <si>
    <t xml:space="preserve">1457</t>
  </si>
  <si>
    <t xml:space="preserve">BD057</t>
  </si>
  <si>
    <t xml:space="preserve">1458</t>
  </si>
  <si>
    <t xml:space="preserve">BG356</t>
  </si>
  <si>
    <t xml:space="preserve">1459</t>
  </si>
  <si>
    <t xml:space="preserve">BG357</t>
  </si>
  <si>
    <t xml:space="preserve">1460</t>
  </si>
  <si>
    <t xml:space="preserve">AV724</t>
  </si>
  <si>
    <t xml:space="preserve">台中市大雅區神林南路182號</t>
  </si>
  <si>
    <t xml:space="preserve">04-25650244</t>
  </si>
  <si>
    <t xml:space="preserve">1461</t>
  </si>
  <si>
    <t xml:space="preserve">AW896</t>
  </si>
  <si>
    <t xml:space="preserve">1462</t>
  </si>
  <si>
    <t xml:space="preserve">AT903</t>
  </si>
  <si>
    <t xml:space="preserve">雲林縣東勢鄉東勢東路349號</t>
  </si>
  <si>
    <t xml:space="preserve">05-6995144</t>
  </si>
  <si>
    <t xml:space="preserve">週一至週五08:30~16:30
(12:30~13:30休息)</t>
  </si>
  <si>
    <t xml:space="preserve">1463</t>
  </si>
  <si>
    <t xml:space="preserve">AT941</t>
  </si>
  <si>
    <t xml:space="preserve">1464</t>
  </si>
  <si>
    <t xml:space="preserve">AY139</t>
  </si>
  <si>
    <t xml:space="preserve">1465</t>
  </si>
  <si>
    <t xml:space="preserve">AT453</t>
  </si>
  <si>
    <t xml:space="preserve">新北市永和區國光路8號</t>
  </si>
  <si>
    <t xml:space="preserve">02-89415409</t>
  </si>
  <si>
    <t xml:space="preserve">週一至週五08:00~20:00
週六09:00~13:00</t>
  </si>
  <si>
    <t xml:space="preserve">1466</t>
  </si>
  <si>
    <t xml:space="preserve">AX222</t>
  </si>
  <si>
    <t xml:space="preserve">1467</t>
  </si>
  <si>
    <t xml:space="preserve">BA838</t>
  </si>
  <si>
    <t xml:space="preserve">1468</t>
  </si>
  <si>
    <t xml:space="preserve">AY124</t>
  </si>
  <si>
    <t xml:space="preserve">1469</t>
  </si>
  <si>
    <t xml:space="preserve">AY125</t>
  </si>
  <si>
    <t xml:space="preserve">1470</t>
  </si>
  <si>
    <t xml:space="preserve">AY205</t>
  </si>
  <si>
    <t xml:space="preserve">1471</t>
  </si>
  <si>
    <t xml:space="preserve">AT458</t>
  </si>
  <si>
    <t xml:space="preserve">新北市中和區景平路155號</t>
  </si>
  <si>
    <t xml:space="preserve">02-89411255</t>
  </si>
  <si>
    <t xml:space="preserve">週一至週五09:00~18:00
週六09:00~13:00</t>
  </si>
  <si>
    <t xml:space="preserve">1472</t>
  </si>
  <si>
    <t xml:space="preserve">AY202</t>
  </si>
  <si>
    <t xml:space="preserve">1473</t>
  </si>
  <si>
    <t xml:space="preserve">AT466</t>
  </si>
  <si>
    <t xml:space="preserve">新北市中和區連城路94號</t>
  </si>
  <si>
    <t xml:space="preserve">02-82453111</t>
  </si>
  <si>
    <t xml:space="preserve">1474</t>
  </si>
  <si>
    <t xml:space="preserve">AY188</t>
  </si>
  <si>
    <t xml:space="preserve">1475</t>
  </si>
  <si>
    <t xml:space="preserve">AY206</t>
  </si>
  <si>
    <t xml:space="preserve">1476</t>
  </si>
  <si>
    <t xml:space="preserve">AY321</t>
  </si>
  <si>
    <t xml:space="preserve">1477</t>
  </si>
  <si>
    <t xml:space="preserve">AY579</t>
  </si>
  <si>
    <t xml:space="preserve">1478</t>
  </si>
  <si>
    <t xml:space="preserve">AT454</t>
  </si>
  <si>
    <t xml:space="preserve">新北市樹林區樹新路15號</t>
  </si>
  <si>
    <t xml:space="preserve">02-26835118</t>
  </si>
  <si>
    <t xml:space="preserve">1479</t>
  </si>
  <si>
    <t xml:space="preserve">AY200</t>
  </si>
  <si>
    <t xml:space="preserve">1480</t>
  </si>
  <si>
    <t xml:space="preserve">AY314</t>
  </si>
  <si>
    <t xml:space="preserve">1481</t>
  </si>
  <si>
    <t xml:space="preserve">AT459</t>
  </si>
  <si>
    <t xml:space="preserve">新北市土城區青雲路136號</t>
  </si>
  <si>
    <t xml:space="preserve">02-22733599</t>
  </si>
  <si>
    <t xml:space="preserve">週一至週五08:30~17:00</t>
  </si>
  <si>
    <t xml:space="preserve">1482</t>
  </si>
  <si>
    <t xml:space="preserve">AY126</t>
  </si>
  <si>
    <t xml:space="preserve">1483</t>
  </si>
  <si>
    <t xml:space="preserve">AY127</t>
  </si>
  <si>
    <t xml:space="preserve">1484</t>
  </si>
  <si>
    <t xml:space="preserve">AY204</t>
  </si>
  <si>
    <t xml:space="preserve">1485</t>
  </si>
  <si>
    <t xml:space="preserve">AT464</t>
  </si>
  <si>
    <t xml:space="preserve">新北市三峽區民權街36號</t>
  </si>
  <si>
    <t xml:space="preserve">02-26735644</t>
  </si>
  <si>
    <t xml:space="preserve">1486</t>
  </si>
  <si>
    <t xml:space="preserve">AY592</t>
  </si>
  <si>
    <t xml:space="preserve">1487</t>
  </si>
  <si>
    <t xml:space="preserve">AT465</t>
  </si>
  <si>
    <t xml:space="preserve">新北市蘆洲區三民路91號</t>
  </si>
  <si>
    <t xml:space="preserve">02-82821234</t>
  </si>
  <si>
    <t xml:space="preserve">1488</t>
  </si>
  <si>
    <t xml:space="preserve">AY319</t>
  </si>
  <si>
    <t xml:space="preserve">1489</t>
  </si>
  <si>
    <t xml:space="preserve">AT455</t>
  </si>
  <si>
    <t xml:space="preserve">新北市新莊區四維路7號</t>
  </si>
  <si>
    <t xml:space="preserve">02-22014154</t>
  </si>
  <si>
    <t xml:space="preserve">1490</t>
  </si>
  <si>
    <t xml:space="preserve">BA073</t>
  </si>
  <si>
    <t xml:space="preserve">1491</t>
  </si>
  <si>
    <t xml:space="preserve">AT449</t>
  </si>
  <si>
    <t xml:space="preserve">新北市林口區中山路262號</t>
  </si>
  <si>
    <t xml:space="preserve">02-26013344</t>
  </si>
  <si>
    <t xml:space="preserve">1492</t>
  </si>
  <si>
    <t xml:space="preserve">AY757</t>
  </si>
  <si>
    <t xml:space="preserve">1493</t>
  </si>
  <si>
    <t xml:space="preserve">AT456</t>
  </si>
  <si>
    <t xml:space="preserve">新北市板橋區民族路166號</t>
  </si>
  <si>
    <t xml:space="preserve">02-89527205</t>
  </si>
  <si>
    <t xml:space="preserve">週一至週五08:00~20:00
週六10:00~18:00</t>
  </si>
  <si>
    <t xml:space="preserve">1494</t>
  </si>
  <si>
    <t xml:space="preserve">AY203</t>
  </si>
  <si>
    <t xml:space="preserve">1495</t>
  </si>
  <si>
    <t xml:space="preserve">AT462</t>
  </si>
  <si>
    <t xml:space="preserve">新北市板橋區府後街1號</t>
  </si>
  <si>
    <t xml:space="preserve">02-22726556</t>
  </si>
  <si>
    <t xml:space="preserve">1496</t>
  </si>
  <si>
    <t xml:space="preserve">AY334</t>
  </si>
  <si>
    <t xml:space="preserve">1497</t>
  </si>
  <si>
    <t xml:space="preserve">AT460</t>
  </si>
  <si>
    <t xml:space="preserve">新北市五股區成泰路三段18號</t>
  </si>
  <si>
    <t xml:space="preserve">02-82952454</t>
  </si>
  <si>
    <t xml:space="preserve">1498</t>
  </si>
  <si>
    <t xml:space="preserve">AY189</t>
  </si>
  <si>
    <t xml:space="preserve">1499</t>
  </si>
  <si>
    <t xml:space="preserve">AY209</t>
  </si>
  <si>
    <t xml:space="preserve">1500</t>
  </si>
  <si>
    <t xml:space="preserve">AT926</t>
  </si>
  <si>
    <t xml:space="preserve">嘉義縣水上鄉中正路49號</t>
  </si>
  <si>
    <t xml:space="preserve">05-2448448</t>
  </si>
  <si>
    <t xml:space="preserve">1501</t>
  </si>
  <si>
    <t xml:space="preserve">AT901</t>
  </si>
  <si>
    <t xml:space="preserve">1502</t>
  </si>
  <si>
    <t xml:space="preserve">AT825</t>
  </si>
  <si>
    <t xml:space="preserve">台南市麻豆區興國路23號</t>
  </si>
  <si>
    <t xml:space="preserve">06-5442020</t>
  </si>
  <si>
    <t xml:space="preserve">1503</t>
  </si>
  <si>
    <t xml:space="preserve">AT808</t>
  </si>
  <si>
    <t xml:space="preserve">1504</t>
  </si>
  <si>
    <t xml:space="preserve">BC656</t>
  </si>
  <si>
    <t xml:space="preserve">1505</t>
  </si>
  <si>
    <t xml:space="preserve">BC657</t>
  </si>
  <si>
    <t xml:space="preserve">1506</t>
  </si>
  <si>
    <t xml:space="preserve">AT635</t>
  </si>
  <si>
    <t xml:space="preserve">苗栗縣卓蘭鎮中山路140號</t>
  </si>
  <si>
    <t xml:space="preserve">04-25892914</t>
  </si>
  <si>
    <t xml:space="preserve">1507</t>
  </si>
  <si>
    <t xml:space="preserve">AT604</t>
  </si>
  <si>
    <t xml:space="preserve">1508</t>
  </si>
  <si>
    <t xml:space="preserve">AT958</t>
  </si>
  <si>
    <t xml:space="preserve">1509</t>
  </si>
  <si>
    <t xml:space="preserve">BJ310</t>
  </si>
  <si>
    <t xml:space="preserve">1510</t>
  </si>
  <si>
    <t xml:space="preserve">AT907</t>
  </si>
  <si>
    <t xml:space="preserve">嘉義縣大林鎮中正路621號</t>
  </si>
  <si>
    <t xml:space="preserve">05-2447755</t>
  </si>
  <si>
    <t xml:space="preserve">1511</t>
  </si>
  <si>
    <t xml:space="preserve">AT906</t>
  </si>
  <si>
    <t xml:space="preserve">1512</t>
  </si>
  <si>
    <t xml:space="preserve">AT909</t>
  </si>
  <si>
    <t xml:space="preserve">嘉義縣太保市後潭里376號</t>
  </si>
  <si>
    <t xml:space="preserve">05-3441951</t>
  </si>
  <si>
    <t xml:space="preserve">1513</t>
  </si>
  <si>
    <t xml:space="preserve">AT908</t>
  </si>
  <si>
    <t xml:space="preserve">1514</t>
  </si>
  <si>
    <t xml:space="preserve">AT911</t>
  </si>
  <si>
    <t xml:space="preserve">嘉義縣鹿草鄉鹿草村440號</t>
  </si>
  <si>
    <t xml:space="preserve">05-3440039</t>
  </si>
  <si>
    <t xml:space="preserve">1515</t>
  </si>
  <si>
    <t xml:space="preserve">AT910</t>
  </si>
  <si>
    <t xml:space="preserve">1516</t>
  </si>
  <si>
    <t xml:space="preserve">AT913</t>
  </si>
  <si>
    <t xml:space="preserve">嘉義市西區中興路322號</t>
  </si>
  <si>
    <t xml:space="preserve">05-2344491</t>
  </si>
  <si>
    <t xml:space="preserve">週一至週五：08:30~18:00
週六：08:30~12:30</t>
  </si>
  <si>
    <t xml:space="preserve">1517</t>
  </si>
  <si>
    <t xml:space="preserve">AT912</t>
  </si>
  <si>
    <t xml:space="preserve">1518</t>
  </si>
  <si>
    <t xml:space="preserve">AV155</t>
  </si>
  <si>
    <t xml:space="preserve">台北市松山區敦化北路340之9號</t>
  </si>
  <si>
    <t xml:space="preserve">02-87702899</t>
  </si>
  <si>
    <t xml:space="preserve">週一至週日06:30~22:30
全年無休</t>
  </si>
  <si>
    <t xml:space="preserve">1519</t>
  </si>
  <si>
    <t xml:space="preserve">AX007</t>
  </si>
  <si>
    <t xml:space="preserve">1520</t>
  </si>
  <si>
    <t xml:space="preserve">AU877</t>
  </si>
  <si>
    <t xml:space="preserve">台中市烏日區三民街212號</t>
  </si>
  <si>
    <t xml:space="preserve">04-23361144</t>
  </si>
  <si>
    <t xml:space="preserve">1521</t>
  </si>
  <si>
    <t xml:space="preserve">AV799</t>
  </si>
  <si>
    <t xml:space="preserve">1522</t>
  </si>
  <si>
    <t xml:space="preserve">AY486</t>
  </si>
  <si>
    <t xml:space="preserve">1523</t>
  </si>
  <si>
    <t xml:space="preserve">BG351</t>
  </si>
  <si>
    <t xml:space="preserve">1524</t>
  </si>
  <si>
    <t xml:space="preserve">AS846</t>
  </si>
  <si>
    <t xml:space="preserve">台南市永康區中山南路515號</t>
  </si>
  <si>
    <t xml:space="preserve">06-2442290</t>
  </si>
  <si>
    <t xml:space="preserve">1525</t>
  </si>
  <si>
    <t xml:space="preserve">AS841</t>
  </si>
  <si>
    <t xml:space="preserve">1526</t>
  </si>
  <si>
    <t xml:space="preserve">AT809</t>
  </si>
  <si>
    <t xml:space="preserve">1527</t>
  </si>
  <si>
    <t xml:space="preserve">AT810</t>
  </si>
  <si>
    <t xml:space="preserve">1528</t>
  </si>
  <si>
    <t xml:space="preserve">BH984</t>
  </si>
  <si>
    <t xml:space="preserve">1529</t>
  </si>
  <si>
    <t xml:space="preserve">AX457</t>
  </si>
  <si>
    <t xml:space="preserve">1530</t>
  </si>
  <si>
    <t xml:space="preserve">AS847</t>
  </si>
  <si>
    <t xml:space="preserve">台南市新市區南科六路6號之1</t>
  </si>
  <si>
    <t xml:space="preserve">06-5052668</t>
  </si>
  <si>
    <t xml:space="preserve">1531</t>
  </si>
  <si>
    <t xml:space="preserve">AS876</t>
  </si>
  <si>
    <t xml:space="preserve">1532</t>
  </si>
  <si>
    <t xml:space="preserve">AT771</t>
  </si>
  <si>
    <t xml:space="preserve">基隆市安樂區安樂路二段129號</t>
  </si>
  <si>
    <t xml:space="preserve">02-24346434</t>
  </si>
  <si>
    <t xml:space="preserve">1533</t>
  </si>
  <si>
    <t xml:space="preserve">AT772</t>
  </si>
  <si>
    <t xml:space="preserve">1534</t>
  </si>
  <si>
    <t xml:space="preserve">AT773</t>
  </si>
  <si>
    <t xml:space="preserve">1535</t>
  </si>
  <si>
    <t xml:space="preserve">AT774</t>
  </si>
  <si>
    <t xml:space="preserve">1536</t>
  </si>
  <si>
    <t xml:space="preserve">AT775</t>
  </si>
  <si>
    <t xml:space="preserve">1537</t>
  </si>
  <si>
    <t xml:space="preserve">AT767</t>
  </si>
  <si>
    <t xml:space="preserve">1538</t>
  </si>
  <si>
    <t xml:space="preserve">AT778</t>
  </si>
  <si>
    <t xml:space="preserve">新北市瑞芳區中正路65號2樓</t>
  </si>
  <si>
    <t xml:space="preserve">02-24973071</t>
  </si>
  <si>
    <t xml:space="preserve">1539</t>
  </si>
  <si>
    <t xml:space="preserve">AW380</t>
  </si>
  <si>
    <t xml:space="preserve">1540</t>
  </si>
  <si>
    <t xml:space="preserve">AY791</t>
  </si>
  <si>
    <t xml:space="preserve">1541</t>
  </si>
  <si>
    <t xml:space="preserve">AT777</t>
  </si>
  <si>
    <t xml:space="preserve">新北市金山區金包里街1號</t>
  </si>
  <si>
    <t xml:space="preserve">02-24981911</t>
  </si>
  <si>
    <t xml:space="preserve">1542</t>
  </si>
  <si>
    <t xml:space="preserve">AY026</t>
  </si>
  <si>
    <t xml:space="preserve">1543</t>
  </si>
  <si>
    <t xml:space="preserve">AT776</t>
  </si>
  <si>
    <t xml:space="preserve">新北市萬里區瑪鍊路16號</t>
  </si>
  <si>
    <t xml:space="preserve">02-24922744</t>
  </si>
  <si>
    <t xml:space="preserve">週一至週五08:00~17:00
(12:00~13:30休息)</t>
  </si>
  <si>
    <t xml:space="preserve">1544</t>
  </si>
  <si>
    <t xml:space="preserve">AV918</t>
  </si>
  <si>
    <t xml:space="preserve">1545</t>
  </si>
  <si>
    <t xml:space="preserve">AT770</t>
  </si>
  <si>
    <t xml:space="preserve">新北市雙溪區中華路107號</t>
  </si>
  <si>
    <t xml:space="preserve">02-24931043</t>
  </si>
  <si>
    <t xml:space="preserve">1546</t>
  </si>
  <si>
    <t xml:space="preserve">AQ117</t>
  </si>
  <si>
    <t xml:space="preserve">花蓮縣吉安鄉中山路三段76號</t>
  </si>
  <si>
    <t xml:space="preserve">03-8524411</t>
  </si>
  <si>
    <t xml:space="preserve">1547</t>
  </si>
  <si>
    <t xml:space="preserve">AT968</t>
  </si>
  <si>
    <t xml:space="preserve">1548</t>
  </si>
  <si>
    <t xml:space="preserve">BA978</t>
  </si>
  <si>
    <t xml:space="preserve">1549</t>
  </si>
  <si>
    <t xml:space="preserve">Y209</t>
  </si>
  <si>
    <t xml:space="preserve">花蓮縣玉里鎮中山路二段137號</t>
  </si>
  <si>
    <t xml:space="preserve">03-8888901</t>
  </si>
  <si>
    <t xml:space="preserve">1550</t>
  </si>
  <si>
    <t xml:space="preserve">Y211</t>
  </si>
  <si>
    <t xml:space="preserve">1551</t>
  </si>
  <si>
    <t xml:space="preserve">Y258</t>
  </si>
  <si>
    <t xml:space="preserve">1552</t>
  </si>
  <si>
    <t xml:space="preserve">Y267</t>
  </si>
  <si>
    <t xml:space="preserve">1553</t>
  </si>
  <si>
    <t xml:space="preserve">AM065</t>
  </si>
  <si>
    <t xml:space="preserve">花蓮縣新城鄉北埔路11號</t>
  </si>
  <si>
    <t xml:space="preserve">03-8267144</t>
  </si>
  <si>
    <t xml:space="preserve">1554</t>
  </si>
  <si>
    <t xml:space="preserve">BC468</t>
  </si>
  <si>
    <t xml:space="preserve">1555</t>
  </si>
  <si>
    <t xml:space="preserve">BC469</t>
  </si>
  <si>
    <t xml:space="preserve">1556</t>
  </si>
  <si>
    <t xml:space="preserve">AT753</t>
  </si>
  <si>
    <t xml:space="preserve">花蓮縣壽豐鄉壽豐村壽豐路一段109號</t>
  </si>
  <si>
    <t xml:space="preserve">03-8651011</t>
  </si>
  <si>
    <t xml:space="preserve">1557</t>
  </si>
  <si>
    <t xml:space="preserve">BA979</t>
  </si>
  <si>
    <t xml:space="preserve">1558</t>
  </si>
  <si>
    <t xml:space="preserve">AT752</t>
  </si>
  <si>
    <t xml:space="preserve">花蓮縣光復鄉中正路一段132號</t>
  </si>
  <si>
    <t xml:space="preserve">03-8701064</t>
  </si>
  <si>
    <t xml:space="preserve">1559</t>
  </si>
  <si>
    <t xml:space="preserve">AT971</t>
  </si>
  <si>
    <t xml:space="preserve">1560</t>
  </si>
  <si>
    <t xml:space="preserve">R639</t>
  </si>
  <si>
    <t xml:space="preserve">1561</t>
  </si>
  <si>
    <t xml:space="preserve">AT751</t>
  </si>
  <si>
    <t xml:space="preserve">花蓮縣瑞穗鄉中山路一段176號</t>
  </si>
  <si>
    <t xml:space="preserve">03-8872932</t>
  </si>
  <si>
    <t xml:space="preserve">1562</t>
  </si>
  <si>
    <t xml:space="preserve">AA300</t>
  </si>
  <si>
    <t xml:space="preserve">1563</t>
  </si>
  <si>
    <t xml:space="preserve">AV740</t>
  </si>
  <si>
    <t xml:space="preserve">南投縣集集鎮民生路110號之2</t>
  </si>
  <si>
    <t xml:space="preserve">049-2762541</t>
  </si>
  <si>
    <t xml:space="preserve">1564</t>
  </si>
  <si>
    <t xml:space="preserve">AV739</t>
  </si>
  <si>
    <t xml:space="preserve">1565</t>
  </si>
  <si>
    <t xml:space="preserve">BA720</t>
  </si>
  <si>
    <t xml:space="preserve">1566</t>
  </si>
  <si>
    <t xml:space="preserve">AS851</t>
  </si>
  <si>
    <t xml:space="preserve">台南市歸仁區文化街二段15號</t>
  </si>
  <si>
    <t xml:space="preserve">06-2442255</t>
  </si>
  <si>
    <t xml:space="preserve">1567</t>
  </si>
  <si>
    <t xml:space="preserve">AS852</t>
  </si>
  <si>
    <t xml:space="preserve">1568</t>
  </si>
  <si>
    <t xml:space="preserve">AS872</t>
  </si>
  <si>
    <t xml:space="preserve">1569</t>
  </si>
  <si>
    <t xml:space="preserve">AY214</t>
  </si>
  <si>
    <t xml:space="preserve">1570</t>
  </si>
  <si>
    <t xml:space="preserve">BH905</t>
  </si>
  <si>
    <t xml:space="preserve">1571</t>
  </si>
  <si>
    <t xml:space="preserve">AT779</t>
  </si>
  <si>
    <t xml:space="preserve">台北市文山區木柵路三段79號</t>
  </si>
  <si>
    <t xml:space="preserve">02-29368444</t>
  </si>
  <si>
    <t xml:space="preserve">週一至週六 09:00~18:00</t>
  </si>
  <si>
    <t xml:space="preserve">1572</t>
  </si>
  <si>
    <t xml:space="preserve">AT886</t>
  </si>
  <si>
    <t xml:space="preserve">1573</t>
  </si>
  <si>
    <t xml:space="preserve">AT894</t>
  </si>
  <si>
    <t xml:space="preserve">1574</t>
  </si>
  <si>
    <t xml:space="preserve">AS855</t>
  </si>
  <si>
    <t xml:space="preserve">台南市將軍區忠興里187號</t>
  </si>
  <si>
    <t xml:space="preserve">06-7443802</t>
  </si>
  <si>
    <t xml:space="preserve">1575</t>
  </si>
  <si>
    <t xml:space="preserve">BC750</t>
  </si>
  <si>
    <t xml:space="preserve">1576</t>
  </si>
  <si>
    <t xml:space="preserve">AY225</t>
  </si>
  <si>
    <t xml:space="preserve">1577</t>
  </si>
  <si>
    <t xml:space="preserve">AS853</t>
  </si>
  <si>
    <t xml:space="preserve">台南市玉井區中正路42號</t>
  </si>
  <si>
    <t xml:space="preserve">06-5444011</t>
  </si>
  <si>
    <t xml:space="preserve">1578</t>
  </si>
  <si>
    <t xml:space="preserve">BC663</t>
  </si>
  <si>
    <t xml:space="preserve">1579</t>
  </si>
  <si>
    <t xml:space="preserve">BC662</t>
  </si>
  <si>
    <t xml:space="preserve">1580</t>
  </si>
  <si>
    <t xml:space="preserve">AY218</t>
  </si>
  <si>
    <t xml:space="preserve">1581</t>
  </si>
  <si>
    <t xml:space="preserve">AS854</t>
  </si>
  <si>
    <t xml:space="preserve">台南市學甲區濟生路67號</t>
  </si>
  <si>
    <t xml:space="preserve">06-7441441</t>
  </si>
  <si>
    <t xml:space="preserve">1582</t>
  </si>
  <si>
    <t xml:space="preserve">AV756</t>
  </si>
  <si>
    <t xml:space="preserve">彰化縣埤頭鄉斗苑西路36號</t>
  </si>
  <si>
    <t xml:space="preserve">04-8925042</t>
  </si>
  <si>
    <t xml:space="preserve">1583</t>
  </si>
  <si>
    <t xml:space="preserve">BA772</t>
  </si>
  <si>
    <t xml:space="preserve">1584</t>
  </si>
  <si>
    <t xml:space="preserve">BA773</t>
  </si>
  <si>
    <t xml:space="preserve">1585</t>
  </si>
  <si>
    <t xml:space="preserve">BA774</t>
  </si>
  <si>
    <t xml:space="preserve">1586</t>
  </si>
  <si>
    <t xml:space="preserve">BC271</t>
  </si>
  <si>
    <t xml:space="preserve">1587</t>
  </si>
  <si>
    <t xml:space="preserve">AV753</t>
  </si>
  <si>
    <t xml:space="preserve">彰化縣溪湖鎮彰水路四段323號</t>
  </si>
  <si>
    <t xml:space="preserve">04-8854040</t>
  </si>
  <si>
    <t xml:space="preserve">1588</t>
  </si>
  <si>
    <t xml:space="preserve">AV754</t>
  </si>
  <si>
    <t xml:space="preserve">1589</t>
  </si>
  <si>
    <t xml:space="preserve">AV755</t>
  </si>
  <si>
    <t xml:space="preserve">1590</t>
  </si>
  <si>
    <t xml:space="preserve">AX904</t>
  </si>
  <si>
    <t xml:space="preserve">1591</t>
  </si>
  <si>
    <t xml:space="preserve">AX905</t>
  </si>
  <si>
    <t xml:space="preserve">1592</t>
  </si>
  <si>
    <t xml:space="preserve">BA756</t>
  </si>
  <si>
    <t xml:space="preserve">1593</t>
  </si>
  <si>
    <t xml:space="preserve">AV797</t>
  </si>
  <si>
    <t xml:space="preserve">彰化縣芬園鄉彰南路三段496號</t>
  </si>
  <si>
    <t xml:space="preserve">049-2528976</t>
  </si>
  <si>
    <t xml:space="preserve">1594</t>
  </si>
  <si>
    <t xml:space="preserve">AV798</t>
  </si>
  <si>
    <t xml:space="preserve">1595</t>
  </si>
  <si>
    <t xml:space="preserve">BD146</t>
  </si>
  <si>
    <t xml:space="preserve">1596</t>
  </si>
  <si>
    <t xml:space="preserve">AT688</t>
  </si>
  <si>
    <t xml:space="preserve">屏東縣恆春鎮省北路64號</t>
  </si>
  <si>
    <t xml:space="preserve">08-8445668</t>
  </si>
  <si>
    <t xml:space="preserve">1597</t>
  </si>
  <si>
    <t xml:space="preserve">AY071</t>
  </si>
  <si>
    <t xml:space="preserve">1598</t>
  </si>
  <si>
    <t xml:space="preserve">AY072</t>
  </si>
  <si>
    <t xml:space="preserve">1599</t>
  </si>
  <si>
    <t xml:space="preserve">AY073</t>
  </si>
  <si>
    <t xml:space="preserve">1600</t>
  </si>
  <si>
    <t xml:space="preserve">AY074</t>
  </si>
  <si>
    <t xml:space="preserve">1601</t>
  </si>
  <si>
    <t xml:space="preserve">AT689</t>
  </si>
  <si>
    <t xml:space="preserve">屏東縣內埔鄉南寧路192號</t>
  </si>
  <si>
    <t xml:space="preserve">08-7445000</t>
  </si>
  <si>
    <t xml:space="preserve">1602</t>
  </si>
  <si>
    <t xml:space="preserve">AT690</t>
  </si>
  <si>
    <t xml:space="preserve">屏東縣里港鄉中山路2號</t>
  </si>
  <si>
    <t xml:space="preserve">08-7443140</t>
  </si>
  <si>
    <t xml:space="preserve">1603</t>
  </si>
  <si>
    <t xml:space="preserve">AT875</t>
  </si>
  <si>
    <t xml:space="preserve">1604</t>
  </si>
  <si>
    <t xml:space="preserve">AU808</t>
  </si>
  <si>
    <t xml:space="preserve">南投縣國姓鄉國姓路462號</t>
  </si>
  <si>
    <t xml:space="preserve">049-2721081</t>
  </si>
  <si>
    <t xml:space="preserve">1605</t>
  </si>
  <si>
    <t xml:space="preserve">AW252</t>
  </si>
  <si>
    <t xml:space="preserve">1606</t>
  </si>
  <si>
    <t xml:space="preserve">BC279</t>
  </si>
  <si>
    <t xml:space="preserve">1607</t>
  </si>
  <si>
    <t xml:space="preserve">BD124</t>
  </si>
  <si>
    <t xml:space="preserve">1608</t>
  </si>
  <si>
    <t xml:space="preserve">AS867</t>
  </si>
  <si>
    <t xml:space="preserve">台南市中西區西門路一段701號</t>
  </si>
  <si>
    <t xml:space="preserve">06-2442260</t>
  </si>
  <si>
    <t xml:space="preserve">1609</t>
  </si>
  <si>
    <t xml:space="preserve">AS875</t>
  </si>
  <si>
    <t xml:space="preserve">1610</t>
  </si>
  <si>
    <t xml:space="preserve">AW398</t>
  </si>
  <si>
    <t xml:space="preserve">台北市士林區基河路10號</t>
  </si>
  <si>
    <t xml:space="preserve">02-28863481</t>
  </si>
  <si>
    <t xml:space="preserve">1611</t>
  </si>
  <si>
    <t xml:space="preserve">AW399</t>
  </si>
  <si>
    <t xml:space="preserve">1612</t>
  </si>
  <si>
    <t xml:space="preserve">AX002</t>
  </si>
  <si>
    <t xml:space="preserve">1613</t>
  </si>
  <si>
    <t xml:space="preserve">AY268</t>
  </si>
  <si>
    <t xml:space="preserve">1614</t>
  </si>
  <si>
    <t xml:space="preserve">AY792</t>
  </si>
  <si>
    <t xml:space="preserve">1615</t>
  </si>
  <si>
    <t xml:space="preserve">AT797</t>
  </si>
  <si>
    <t xml:space="preserve">台北市文山區羅斯福路六段159巷19號</t>
  </si>
  <si>
    <t xml:space="preserve">02-29311280</t>
  </si>
  <si>
    <t xml:space="preserve">1616</t>
  </si>
  <si>
    <t xml:space="preserve">AT887</t>
  </si>
  <si>
    <t xml:space="preserve">1617</t>
  </si>
  <si>
    <t xml:space="preserve">AT895</t>
  </si>
  <si>
    <t xml:space="preserve">1618</t>
  </si>
  <si>
    <t xml:space="preserve">AY552</t>
  </si>
  <si>
    <t xml:space="preserve">1619</t>
  </si>
  <si>
    <t xml:space="preserve">AY553</t>
  </si>
  <si>
    <t xml:space="preserve">1620</t>
  </si>
  <si>
    <t xml:space="preserve">AY670</t>
  </si>
  <si>
    <t xml:space="preserve">1621</t>
  </si>
  <si>
    <t xml:space="preserve">AT798</t>
  </si>
  <si>
    <t xml:space="preserve">新北市深坑區深坑街14號</t>
  </si>
  <si>
    <t xml:space="preserve">02-26643354</t>
  </si>
  <si>
    <t xml:space="preserve">1622</t>
  </si>
  <si>
    <t xml:space="preserve">AT889</t>
  </si>
  <si>
    <t xml:space="preserve">1623</t>
  </si>
  <si>
    <t xml:space="preserve">AT899</t>
  </si>
  <si>
    <t xml:space="preserve">1624</t>
  </si>
  <si>
    <t xml:space="preserve">AY279</t>
  </si>
  <si>
    <t xml:space="preserve">1625</t>
  </si>
  <si>
    <t xml:space="preserve">AY278</t>
  </si>
  <si>
    <t xml:space="preserve">1626</t>
  </si>
  <si>
    <t xml:space="preserve">AS871</t>
  </si>
  <si>
    <t xml:space="preserve">台南市仁德區中正路二段1136號</t>
  </si>
  <si>
    <t xml:space="preserve">06-2442267</t>
  </si>
  <si>
    <t xml:space="preserve">週一至週五08:00~17:00</t>
  </si>
  <si>
    <t xml:space="preserve">1627</t>
  </si>
  <si>
    <t xml:space="preserve">AT822</t>
  </si>
  <si>
    <t xml:space="preserve">1628</t>
  </si>
  <si>
    <t xml:space="preserve">BC693</t>
  </si>
  <si>
    <t xml:space="preserve">1629</t>
  </si>
  <si>
    <t xml:space="preserve">AV238</t>
  </si>
  <si>
    <t xml:space="preserve">600嘉義市東區光彩街269號</t>
  </si>
  <si>
    <t xml:space="preserve">1630</t>
  </si>
  <si>
    <t xml:space="preserve">AW297</t>
  </si>
  <si>
    <t xml:space="preserve">南投縣南投市光華路7號</t>
  </si>
  <si>
    <t xml:space="preserve">049-2319027</t>
  </si>
  <si>
    <t xml:space="preserve">1631</t>
  </si>
  <si>
    <t xml:space="preserve">BA777</t>
  </si>
  <si>
    <t xml:space="preserve">1632</t>
  </si>
  <si>
    <t xml:space="preserve">BA778</t>
  </si>
  <si>
    <t xml:space="preserve">1633</t>
  </si>
  <si>
    <t xml:space="preserve">BA795</t>
  </si>
  <si>
    <t xml:space="preserve">1634</t>
  </si>
  <si>
    <t xml:space="preserve">BD068</t>
  </si>
  <si>
    <t xml:space="preserve">1635</t>
  </si>
  <si>
    <t xml:space="preserve">BD069</t>
  </si>
  <si>
    <t xml:space="preserve">1636</t>
  </si>
  <si>
    <t xml:space="preserve">AT491</t>
  </si>
  <si>
    <t xml:space="preserve">澎湖縣馬公市信義路3號</t>
  </si>
  <si>
    <t xml:space="preserve">06-9440557</t>
  </si>
  <si>
    <t xml:space="preserve">週一至週五08:30~19:00
週六至週日09:30~18:30</t>
  </si>
  <si>
    <t xml:space="preserve">1637</t>
  </si>
  <si>
    <t xml:space="preserve">AT492</t>
  </si>
  <si>
    <t xml:space="preserve">1638</t>
  </si>
  <si>
    <t xml:space="preserve">AT493</t>
  </si>
  <si>
    <t xml:space="preserve">1639</t>
  </si>
  <si>
    <t xml:space="preserve">AT494</t>
  </si>
  <si>
    <t xml:space="preserve">1640</t>
  </si>
  <si>
    <t xml:space="preserve">AT495</t>
  </si>
  <si>
    <t xml:space="preserve">1641</t>
  </si>
  <si>
    <t xml:space="preserve">BC141</t>
  </si>
  <si>
    <t xml:space="preserve">1642</t>
  </si>
  <si>
    <t xml:space="preserve">BC142</t>
  </si>
  <si>
    <t xml:space="preserve">1643</t>
  </si>
  <si>
    <t xml:space="preserve">BC143</t>
  </si>
  <si>
    <t xml:space="preserve">1644</t>
  </si>
  <si>
    <t xml:space="preserve">AT499</t>
  </si>
  <si>
    <t xml:space="preserve">澎湖縣湖西鄉湖西村77號之16</t>
  </si>
  <si>
    <t xml:space="preserve">06-9921000</t>
  </si>
  <si>
    <t xml:space="preserve">週一、週三、週五08:00~16:30
(12:00~12:30休息)</t>
  </si>
  <si>
    <t xml:space="preserve">1645</t>
  </si>
  <si>
    <t xml:space="preserve">AT490</t>
  </si>
  <si>
    <t xml:space="preserve">澎湖縣馬公市五德里37號之1</t>
  </si>
  <si>
    <t xml:space="preserve">06-9951000</t>
  </si>
  <si>
    <t xml:space="preserve">週二、週四08:00~16:30
(12:00~12:30休息)</t>
  </si>
  <si>
    <t xml:space="preserve">1646</t>
  </si>
  <si>
    <t xml:space="preserve">AT498</t>
  </si>
  <si>
    <t xml:space="preserve">澎湖縣西嶼鄉池東村211號</t>
  </si>
  <si>
    <t xml:space="preserve">06-9981100</t>
  </si>
  <si>
    <t xml:space="preserve">1647</t>
  </si>
  <si>
    <t xml:space="preserve">AT496</t>
  </si>
  <si>
    <t xml:space="preserve">澎湖縣白沙鄉大赤崁村357號之2</t>
  </si>
  <si>
    <t xml:space="preserve">06-9931000</t>
  </si>
  <si>
    <t xml:space="preserve">1648</t>
  </si>
  <si>
    <t xml:space="preserve">AX010</t>
  </si>
  <si>
    <t xml:space="preserve">台北市南港區南港路一段356號</t>
  </si>
  <si>
    <t xml:space="preserve">02-27836676</t>
  </si>
  <si>
    <t xml:space="preserve">1649</t>
  </si>
  <si>
    <t xml:space="preserve">AT963</t>
  </si>
  <si>
    <t xml:space="preserve">1650</t>
  </si>
  <si>
    <t xml:space="preserve">AT888</t>
  </si>
  <si>
    <t xml:space="preserve">新北市新店區安康路二段337號之一</t>
  </si>
  <si>
    <t xml:space="preserve">02-22152205</t>
  </si>
  <si>
    <t xml:space="preserve">週一至週五09:00~17:00</t>
  </si>
  <si>
    <t xml:space="preserve">1651</t>
  </si>
  <si>
    <t xml:space="preserve">AT896</t>
  </si>
  <si>
    <t xml:space="preserve">1652</t>
  </si>
  <si>
    <t xml:space="preserve">AT893</t>
  </si>
  <si>
    <t xml:space="preserve">台北市內湖區康寧路三段75巷22號</t>
  </si>
  <si>
    <t xml:space="preserve">02-26330660</t>
  </si>
  <si>
    <t xml:space="preserve">1653</t>
  </si>
  <si>
    <t xml:space="preserve">AT966</t>
  </si>
  <si>
    <t xml:space="preserve">1654</t>
  </si>
  <si>
    <t xml:space="preserve">AX016</t>
  </si>
  <si>
    <t xml:space="preserve">台北市大安區敦化南路二段162號</t>
  </si>
  <si>
    <t xml:space="preserve">02-27041340</t>
  </si>
  <si>
    <t xml:space="preserve">週一至週五09:00~20:00
週六10:00~18:00</t>
  </si>
  <si>
    <t xml:space="preserve">1655</t>
  </si>
  <si>
    <t xml:space="preserve">AT900</t>
  </si>
  <si>
    <t xml:space="preserve">1656</t>
  </si>
  <si>
    <t xml:space="preserve">BD220</t>
  </si>
  <si>
    <t xml:space="preserve">1657</t>
  </si>
  <si>
    <t xml:space="preserve">BD221</t>
  </si>
  <si>
    <t xml:space="preserve">1658</t>
  </si>
  <si>
    <t xml:space="preserve">BD222</t>
  </si>
  <si>
    <t xml:space="preserve">1659</t>
  </si>
  <si>
    <t xml:space="preserve">BD223</t>
  </si>
  <si>
    <t xml:space="preserve">1660</t>
  </si>
  <si>
    <t xml:space="preserve">AW595</t>
  </si>
  <si>
    <t xml:space="preserve">台北市萬華區西藏路125巷20號</t>
  </si>
  <si>
    <t xml:space="preserve">02-23034122</t>
  </si>
  <si>
    <t xml:space="preserve">1661</t>
  </si>
  <si>
    <t xml:space="preserve">AX023</t>
  </si>
  <si>
    <t xml:space="preserve">1662</t>
  </si>
  <si>
    <t xml:space="preserve">AY008</t>
  </si>
  <si>
    <t xml:space="preserve">1663</t>
  </si>
  <si>
    <t xml:space="preserve">AW599</t>
  </si>
  <si>
    <t xml:space="preserve">台北市中正區濟南路一段1號2樓</t>
  </si>
  <si>
    <t xml:space="preserve">02-23929133</t>
  </si>
  <si>
    <t xml:space="preserve">1664</t>
  </si>
  <si>
    <t xml:space="preserve">AW600</t>
  </si>
  <si>
    <t xml:space="preserve">台北市中正區博愛路168號</t>
  </si>
  <si>
    <t xml:space="preserve">02-23140508</t>
  </si>
  <si>
    <t xml:space="preserve">1665</t>
  </si>
  <si>
    <t xml:space="preserve">AX022</t>
  </si>
  <si>
    <t xml:space="preserve">1666</t>
  </si>
  <si>
    <t xml:space="preserve">AX001</t>
  </si>
  <si>
    <t xml:space="preserve">台北市北投區紗帽路139號</t>
  </si>
  <si>
    <t xml:space="preserve">02-28616112</t>
  </si>
  <si>
    <t xml:space="preserve">1667</t>
  </si>
  <si>
    <t xml:space="preserve">AY287</t>
  </si>
  <si>
    <t xml:space="preserve">1668</t>
  </si>
  <si>
    <t xml:space="preserve">AX004</t>
  </si>
  <si>
    <t xml:space="preserve">台北市北投區光明路176號</t>
  </si>
  <si>
    <t xml:space="preserve">02-28986571</t>
  </si>
  <si>
    <t xml:space="preserve">週一至週五09:00~19:00
週六13:00~17:00</t>
  </si>
  <si>
    <t xml:space="preserve">1669</t>
  </si>
  <si>
    <t xml:space="preserve">AY270</t>
  </si>
  <si>
    <t xml:space="preserve">1670</t>
  </si>
  <si>
    <t xml:space="preserve">AX213</t>
  </si>
  <si>
    <t xml:space="preserve">新北市三芝區公正街1號</t>
  </si>
  <si>
    <t xml:space="preserve">02-26362510</t>
  </si>
  <si>
    <t xml:space="preserve">1671</t>
  </si>
  <si>
    <t xml:space="preserve">AY196</t>
  </si>
  <si>
    <t xml:space="preserve">1672</t>
  </si>
  <si>
    <t xml:space="preserve">AX003</t>
  </si>
  <si>
    <t xml:space="preserve">台北市士林區福國路57號</t>
  </si>
  <si>
    <t xml:space="preserve">02-28388445</t>
  </si>
  <si>
    <t xml:space="preserve">1673</t>
  </si>
  <si>
    <t xml:space="preserve">AY267</t>
  </si>
  <si>
    <t xml:space="preserve">1674</t>
  </si>
  <si>
    <t xml:space="preserve">AX215</t>
  </si>
  <si>
    <t xml:space="preserve">新北市淡水區中正路201號</t>
  </si>
  <si>
    <t xml:space="preserve">02-26285418</t>
  </si>
  <si>
    <t xml:space="preserve">週一至週五08:30~17:30
週六13:00~17:00</t>
  </si>
  <si>
    <t xml:space="preserve">1675</t>
  </si>
  <si>
    <t xml:space="preserve">AY181</t>
  </si>
  <si>
    <t xml:space="preserve">1676</t>
  </si>
  <si>
    <t xml:space="preserve">AY182</t>
  </si>
  <si>
    <t xml:space="preserve">1677</t>
  </si>
  <si>
    <t xml:space="preserve">AY183</t>
  </si>
  <si>
    <t xml:space="preserve">1678</t>
  </si>
  <si>
    <t xml:space="preserve">AY339</t>
  </si>
  <si>
    <t xml:space="preserve">1679</t>
  </si>
  <si>
    <t xml:space="preserve">AX214</t>
  </si>
  <si>
    <t xml:space="preserve">新北市八里區中山路二段356巷12號</t>
  </si>
  <si>
    <t xml:space="preserve">02-26102510</t>
  </si>
  <si>
    <t xml:space="preserve">1680</t>
  </si>
  <si>
    <t xml:space="preserve">AY197</t>
  </si>
  <si>
    <t xml:space="preserve">1681</t>
  </si>
  <si>
    <t xml:space="preserve">AX017</t>
  </si>
  <si>
    <t xml:space="preserve">台北市大同區承德路三段249號</t>
  </si>
  <si>
    <t xml:space="preserve">02-25910411</t>
  </si>
  <si>
    <t xml:space="preserve">1682</t>
  </si>
  <si>
    <t xml:space="preserve">AY027</t>
  </si>
  <si>
    <t xml:space="preserve">1683</t>
  </si>
  <si>
    <t xml:space="preserve">AT824</t>
  </si>
  <si>
    <t xml:space="preserve">台南市新營區民治路105號</t>
  </si>
  <si>
    <t xml:space="preserve">06-6440045</t>
  </si>
  <si>
    <t xml:space="preserve">1684</t>
  </si>
  <si>
    <t xml:space="preserve">AT823</t>
  </si>
  <si>
    <t xml:space="preserve">1685</t>
  </si>
  <si>
    <t xml:space="preserve">BC749</t>
  </si>
  <si>
    <t xml:space="preserve">1686</t>
  </si>
  <si>
    <t xml:space="preserve">BJ252</t>
  </si>
  <si>
    <t xml:space="preserve">L5700DN</t>
  </si>
  <si>
    <t xml:space="preserve">臺中市沙鹿區中航路一段168號</t>
  </si>
  <si>
    <t xml:space="preserve">04-26155100</t>
  </si>
  <si>
    <t xml:space="preserve">週一至週日10:00~22:00
 全年無休</t>
  </si>
  <si>
    <t xml:space="preserve">1687</t>
  </si>
  <si>
    <t xml:space="preserve">AW900</t>
  </si>
  <si>
    <t xml:space="preserve">台中市大肚區榮華街3號</t>
  </si>
  <si>
    <t xml:space="preserve">04-26992050</t>
  </si>
  <si>
    <t xml:space="preserve">1688</t>
  </si>
  <si>
    <t xml:space="preserve">AW901</t>
  </si>
  <si>
    <t xml:space="preserve">1689</t>
  </si>
  <si>
    <t xml:space="preserve">BD050</t>
  </si>
  <si>
    <t xml:space="preserve">1690</t>
  </si>
  <si>
    <t xml:space="preserve">AX901</t>
  </si>
  <si>
    <t xml:space="preserve">台中市梧棲區大智路二段197號</t>
  </si>
  <si>
    <t xml:space="preserve">04-26572281</t>
  </si>
  <si>
    <t xml:space="preserve">1691</t>
  </si>
  <si>
    <t xml:space="preserve">AW970</t>
  </si>
  <si>
    <t xml:space="preserve">1692</t>
  </si>
  <si>
    <t xml:space="preserve">BC283</t>
  </si>
  <si>
    <t xml:space="preserve">1693</t>
  </si>
  <si>
    <t xml:space="preserve">AY709</t>
  </si>
  <si>
    <t xml:space="preserve">1694</t>
  </si>
  <si>
    <t xml:space="preserve">AY710</t>
  </si>
  <si>
    <t xml:space="preserve">1695</t>
  </si>
  <si>
    <t xml:space="preserve">AX908</t>
  </si>
  <si>
    <t xml:space="preserve">台中市大里區大智路727號</t>
  </si>
  <si>
    <t xml:space="preserve">04-24838044</t>
  </si>
  <si>
    <t xml:space="preserve">1696</t>
  </si>
  <si>
    <t xml:space="preserve">BB712</t>
  </si>
  <si>
    <t xml:space="preserve">1697</t>
  </si>
  <si>
    <t xml:space="preserve">BG355</t>
  </si>
  <si>
    <t xml:space="preserve">1698</t>
  </si>
  <si>
    <t xml:space="preserve">BG353</t>
  </si>
  <si>
    <t xml:space="preserve">1699</t>
  </si>
  <si>
    <t xml:space="preserve">BG354</t>
  </si>
  <si>
    <t xml:space="preserve">1700</t>
  </si>
  <si>
    <t xml:space="preserve">AT987</t>
  </si>
  <si>
    <t xml:space="preserve">金門縣金城鎮民權路182號</t>
  </si>
  <si>
    <t xml:space="preserve">082-325127</t>
  </si>
  <si>
    <t xml:space="preserve">週一至週五08:30~18:30
週六10:00~18:00</t>
  </si>
  <si>
    <t xml:space="preserve">1701</t>
  </si>
  <si>
    <t xml:space="preserve">AT985</t>
  </si>
  <si>
    <t xml:space="preserve">宜蘭縣宜蘭市東港路二段420號</t>
  </si>
  <si>
    <t xml:space="preserve">03-9385911</t>
  </si>
  <si>
    <t xml:space="preserve">週一至週五08:00~18:00
週六09:00~13:00</t>
  </si>
  <si>
    <t xml:space="preserve">1702</t>
  </si>
  <si>
    <t xml:space="preserve">AT986</t>
  </si>
  <si>
    <t xml:space="preserve">1703</t>
  </si>
  <si>
    <t xml:space="preserve">BB987</t>
  </si>
  <si>
    <t xml:space="preserve">1704</t>
  </si>
  <si>
    <t xml:space="preserve">BB988</t>
  </si>
  <si>
    <t xml:space="preserve">1705</t>
  </si>
  <si>
    <t xml:space="preserve">BB989</t>
  </si>
  <si>
    <t xml:space="preserve">1706</t>
  </si>
  <si>
    <t xml:space="preserve">BC852</t>
  </si>
  <si>
    <t xml:space="preserve">1707</t>
  </si>
  <si>
    <t xml:space="preserve">BC857</t>
  </si>
  <si>
    <t xml:space="preserve">1708</t>
  </si>
  <si>
    <t xml:space="preserve">AV649</t>
  </si>
  <si>
    <t xml:space="preserve">嘉義縣溪口鄉中正東路39號</t>
  </si>
  <si>
    <t xml:space="preserve">05-2449440</t>
  </si>
  <si>
    <t xml:space="preserve">1709</t>
  </si>
  <si>
    <t xml:space="preserve">AV650</t>
  </si>
  <si>
    <t xml:space="preserve">1710</t>
  </si>
  <si>
    <t xml:space="preserve">AT834</t>
  </si>
  <si>
    <t xml:space="preserve">高雄市美濃區泰安路103號</t>
  </si>
  <si>
    <t xml:space="preserve">07-6444316</t>
  </si>
  <si>
    <t xml:space="preserve">1711</t>
  </si>
  <si>
    <t xml:space="preserve">AY056</t>
  </si>
  <si>
    <t xml:space="preserve">1712</t>
  </si>
  <si>
    <t xml:space="preserve">AT835</t>
  </si>
  <si>
    <t xml:space="preserve">高雄市橋頭區成功路235號</t>
  </si>
  <si>
    <t xml:space="preserve">07-6446400</t>
  </si>
  <si>
    <t xml:space="preserve">1713</t>
  </si>
  <si>
    <t xml:space="preserve">AY617</t>
  </si>
  <si>
    <t xml:space="preserve">1714</t>
  </si>
  <si>
    <t xml:space="preserve">AY618</t>
  </si>
  <si>
    <t xml:space="preserve">1715</t>
  </si>
  <si>
    <t xml:space="preserve">AY619</t>
  </si>
  <si>
    <t xml:space="preserve">1716</t>
  </si>
  <si>
    <t xml:space="preserve">AT839</t>
  </si>
  <si>
    <t xml:space="preserve">高雄市鳳山區曹公路25號</t>
  </si>
  <si>
    <t xml:space="preserve">07-3447463</t>
  </si>
  <si>
    <t xml:space="preserve">1717</t>
  </si>
  <si>
    <t xml:space="preserve">AY093</t>
  </si>
  <si>
    <t xml:space="preserve">1718</t>
  </si>
  <si>
    <t xml:space="preserve">AT838</t>
  </si>
  <si>
    <t xml:space="preserve">高雄市苓雅區武昌路200號</t>
  </si>
  <si>
    <t xml:space="preserve">07-3445318</t>
  </si>
  <si>
    <t xml:space="preserve">1719</t>
  </si>
  <si>
    <t xml:space="preserve">AT874</t>
  </si>
  <si>
    <t xml:space="preserve">1720</t>
  </si>
  <si>
    <t xml:space="preserve">AY075</t>
  </si>
  <si>
    <t xml:space="preserve">1721</t>
  </si>
  <si>
    <t xml:space="preserve">AY604</t>
  </si>
  <si>
    <t xml:space="preserve">1722</t>
  </si>
  <si>
    <t xml:space="preserve">AT836</t>
  </si>
  <si>
    <t xml:space="preserve">高雄市林園區林園北路367號</t>
  </si>
  <si>
    <t xml:space="preserve">07-3447580</t>
  </si>
  <si>
    <t xml:space="preserve">1723</t>
  </si>
  <si>
    <t xml:space="preserve">AY083</t>
  </si>
  <si>
    <t xml:space="preserve">1724</t>
  </si>
  <si>
    <t xml:space="preserve">AY628</t>
  </si>
  <si>
    <t xml:space="preserve">1725</t>
  </si>
  <si>
    <t xml:space="preserve">AY633</t>
  </si>
  <si>
    <t xml:space="preserve">1726</t>
  </si>
  <si>
    <t xml:space="preserve">AT841</t>
  </si>
  <si>
    <t xml:space="preserve">高雄市茄萣區白砂路100號</t>
  </si>
  <si>
    <t xml:space="preserve">07-6449212</t>
  </si>
  <si>
    <t xml:space="preserve">1727</t>
  </si>
  <si>
    <t xml:space="preserve">AT837</t>
  </si>
  <si>
    <t xml:space="preserve">高雄市大寮區鳳林4路6號</t>
  </si>
  <si>
    <t xml:space="preserve">07-3447491</t>
  </si>
  <si>
    <t xml:space="preserve">1728</t>
  </si>
  <si>
    <t xml:space="preserve">BF547</t>
  </si>
  <si>
    <t xml:space="preserve">1729</t>
  </si>
  <si>
    <t xml:space="preserve">BF548</t>
  </si>
  <si>
    <t xml:space="preserve">1730</t>
  </si>
  <si>
    <t xml:space="preserve">AT833</t>
  </si>
  <si>
    <t xml:space="preserve">高雄市仁武區鳳仁路280號之8</t>
  </si>
  <si>
    <t xml:space="preserve">07-3447497</t>
  </si>
  <si>
    <t xml:space="preserve">1731</t>
  </si>
  <si>
    <t xml:space="preserve">AY627</t>
  </si>
  <si>
    <t xml:space="preserve">1732</t>
  </si>
  <si>
    <t xml:space="preserve">AT840</t>
  </si>
  <si>
    <t xml:space="preserve">高雄市鳳山區五甲二路280號</t>
  </si>
  <si>
    <t xml:space="preserve">07-3445319</t>
  </si>
  <si>
    <t xml:space="preserve">1733</t>
  </si>
  <si>
    <t xml:space="preserve">AY092</t>
  </si>
  <si>
    <t xml:space="preserve">1734</t>
  </si>
  <si>
    <t xml:space="preserve">BA321</t>
  </si>
  <si>
    <t xml:space="preserve">高雄市鳳山區鳳頂路61號</t>
  </si>
  <si>
    <t xml:space="preserve">07-3447468</t>
  </si>
  <si>
    <t xml:space="preserve">1735</t>
  </si>
  <si>
    <t xml:space="preserve">AY603</t>
  </si>
  <si>
    <t xml:space="preserve">1736</t>
  </si>
  <si>
    <t xml:space="preserve">AT842</t>
  </si>
  <si>
    <t xml:space="preserve">高雄市左營區至聖路200號</t>
  </si>
  <si>
    <t xml:space="preserve">07-3441631</t>
  </si>
  <si>
    <t xml:space="preserve">週一至週五09:00~18:00
週六08:30~12:30</t>
  </si>
  <si>
    <t xml:space="preserve">1737</t>
  </si>
  <si>
    <t xml:space="preserve">BA740</t>
  </si>
  <si>
    <t xml:space="preserve">彰化縣田中鎮中州路一段77號</t>
  </si>
  <si>
    <t xml:space="preserve">04-8744040</t>
  </si>
  <si>
    <t xml:space="preserve">1738</t>
  </si>
  <si>
    <t xml:space="preserve">BA769</t>
  </si>
  <si>
    <t xml:space="preserve">1739</t>
  </si>
  <si>
    <t xml:space="preserve">AY452</t>
  </si>
  <si>
    <t xml:space="preserve">1740</t>
  </si>
  <si>
    <t xml:space="preserve">AY719</t>
  </si>
  <si>
    <t xml:space="preserve">1741</t>
  </si>
  <si>
    <t xml:space="preserve">AT828</t>
  </si>
  <si>
    <t xml:space="preserve">台南市白河區三民路408號</t>
  </si>
  <si>
    <t xml:space="preserve">06-6443121</t>
  </si>
  <si>
    <t xml:space="preserve">1742</t>
  </si>
  <si>
    <t xml:space="preserve">BC744</t>
  </si>
  <si>
    <t xml:space="preserve">1743</t>
  </si>
  <si>
    <t xml:space="preserve">AT829</t>
  </si>
  <si>
    <t xml:space="preserve">台南市西港區文化路60號</t>
  </si>
  <si>
    <t xml:space="preserve">06-7444701</t>
  </si>
  <si>
    <t xml:space="preserve">1744</t>
  </si>
  <si>
    <t xml:space="preserve">BA775</t>
  </si>
  <si>
    <t xml:space="preserve">彰化縣二林鎮斗苑路四段613號</t>
  </si>
  <si>
    <t xml:space="preserve">04-8964040</t>
  </si>
  <si>
    <t xml:space="preserve">1745</t>
  </si>
  <si>
    <t xml:space="preserve">BA776</t>
  </si>
  <si>
    <t xml:space="preserve">1746</t>
  </si>
  <si>
    <t xml:space="preserve">BD707</t>
  </si>
  <si>
    <t xml:space="preserve">1747</t>
  </si>
  <si>
    <t xml:space="preserve">BD708</t>
  </si>
  <si>
    <t xml:space="preserve">1748</t>
  </si>
  <si>
    <t xml:space="preserve">AY739</t>
  </si>
  <si>
    <t xml:space="preserve">1749</t>
  </si>
  <si>
    <t xml:space="preserve">AY740</t>
  </si>
  <si>
    <t xml:space="preserve">1750</t>
  </si>
  <si>
    <t xml:space="preserve">AT814</t>
  </si>
  <si>
    <t xml:space="preserve">台南市六甲區建國街67號</t>
  </si>
  <si>
    <t xml:space="preserve">06-6446000</t>
  </si>
  <si>
    <t xml:space="preserve">1751</t>
  </si>
  <si>
    <t xml:space="preserve">BH951</t>
  </si>
  <si>
    <t xml:space="preserve">1752</t>
  </si>
  <si>
    <t xml:space="preserve">BH941</t>
  </si>
  <si>
    <t xml:space="preserve">1753</t>
  </si>
  <si>
    <t xml:space="preserve">BA755</t>
  </si>
  <si>
    <t xml:space="preserve">彰化縣花壇鄉花壇村平和街135號</t>
  </si>
  <si>
    <t xml:space="preserve">04-7862006</t>
  </si>
  <si>
    <t xml:space="preserve">1754</t>
  </si>
  <si>
    <t xml:space="preserve">AY860</t>
  </si>
  <si>
    <t xml:space="preserve">1755</t>
  </si>
  <si>
    <t xml:space="preserve">AY460</t>
  </si>
  <si>
    <t xml:space="preserve">1756</t>
  </si>
  <si>
    <t xml:space="preserve">AY844</t>
  </si>
  <si>
    <t xml:space="preserve">1757</t>
  </si>
  <si>
    <t xml:space="preserve">BI810</t>
  </si>
  <si>
    <t xml:space="preserve">1758</t>
  </si>
  <si>
    <t xml:space="preserve">Y226</t>
  </si>
  <si>
    <t xml:space="preserve">台東縣台東市青海路四段271巷11號</t>
  </si>
  <si>
    <t xml:space="preserve">089-512854</t>
  </si>
  <si>
    <t xml:space="preserve">1759</t>
  </si>
  <si>
    <t xml:space="preserve">Y235</t>
  </si>
  <si>
    <t xml:space="preserve">1760</t>
  </si>
  <si>
    <t xml:space="preserve">Y236</t>
  </si>
  <si>
    <t xml:space="preserve">1761</t>
  </si>
  <si>
    <t xml:space="preserve">Y227</t>
  </si>
  <si>
    <t xml:space="preserve">台東縣太麻里鄉文化路16號</t>
  </si>
  <si>
    <t xml:space="preserve">089-781304</t>
  </si>
  <si>
    <t xml:space="preserve">週一至週五08:00~17:00
(12:00~13:00休息)</t>
  </si>
  <si>
    <t xml:space="preserve">1762</t>
  </si>
  <si>
    <t xml:space="preserve">Y240</t>
  </si>
  <si>
    <t xml:space="preserve">1763</t>
  </si>
  <si>
    <t xml:space="preserve">Y241</t>
  </si>
  <si>
    <t xml:space="preserve">1764</t>
  </si>
  <si>
    <t xml:space="preserve">Y228</t>
  </si>
  <si>
    <t xml:space="preserve">台東縣大武鄉民生街51號</t>
  </si>
  <si>
    <t xml:space="preserve">089-791000</t>
  </si>
  <si>
    <t xml:space="preserve">週一至週五08:30~16:30
(12:00~13:00休息)</t>
  </si>
  <si>
    <t xml:space="preserve">1765</t>
  </si>
  <si>
    <t xml:space="preserve">Y237</t>
  </si>
  <si>
    <t xml:space="preserve">1766</t>
  </si>
  <si>
    <t xml:space="preserve">Y239</t>
  </si>
  <si>
    <t xml:space="preserve">1767</t>
  </si>
  <si>
    <t xml:space="preserve">AT848</t>
  </si>
  <si>
    <t xml:space="preserve">高雄市阿蓮區民生路103號</t>
  </si>
  <si>
    <t xml:space="preserve">07-6447700</t>
  </si>
  <si>
    <t xml:space="preserve">1768</t>
  </si>
  <si>
    <t xml:space="preserve">AY084</t>
  </si>
  <si>
    <t xml:space="preserve">1769</t>
  </si>
  <si>
    <t xml:space="preserve">BJ101</t>
  </si>
  <si>
    <t xml:space="preserve">1770</t>
  </si>
  <si>
    <t xml:space="preserve">AT920</t>
  </si>
  <si>
    <t xml:space="preserve">雲林縣褒忠鄉中正路67號</t>
  </si>
  <si>
    <t xml:space="preserve">05-6974010</t>
  </si>
  <si>
    <t xml:space="preserve">1771</t>
  </si>
  <si>
    <t xml:space="preserve">AY144</t>
  </si>
  <si>
    <t xml:space="preserve">1772</t>
  </si>
  <si>
    <t xml:space="preserve">AY143</t>
  </si>
  <si>
    <t xml:space="preserve">1773</t>
  </si>
  <si>
    <t xml:space="preserve">AY157</t>
  </si>
  <si>
    <t xml:space="preserve">1774</t>
  </si>
  <si>
    <t xml:space="preserve">AT853</t>
  </si>
  <si>
    <t xml:space="preserve">高雄市左營區華夏路663號</t>
  </si>
  <si>
    <t xml:space="preserve">07-3441788</t>
  </si>
  <si>
    <t xml:space="preserve">1775</t>
  </si>
  <si>
    <t xml:space="preserve">AT854</t>
  </si>
  <si>
    <t xml:space="preserve">1776</t>
  </si>
  <si>
    <t xml:space="preserve">AT855</t>
  </si>
  <si>
    <t xml:space="preserve">1777</t>
  </si>
  <si>
    <t xml:space="preserve">AT858</t>
  </si>
  <si>
    <t xml:space="preserve">1778</t>
  </si>
  <si>
    <t xml:space="preserve">AT857</t>
  </si>
  <si>
    <t xml:space="preserve">1779</t>
  </si>
  <si>
    <t xml:space="preserve">BB555</t>
  </si>
  <si>
    <t xml:space="preserve">1780</t>
  </si>
  <si>
    <t xml:space="preserve">Y244</t>
  </si>
  <si>
    <t xml:space="preserve">台東縣台東市大同路128號</t>
  </si>
  <si>
    <t xml:space="preserve">089-311430</t>
  </si>
  <si>
    <t xml:space="preserve">週一至週五08:00~18:00
週六：09:00~13:00</t>
  </si>
  <si>
    <t xml:space="preserve">1/22已先安裝</t>
  </si>
  <si>
    <t xml:space="preserve">1781</t>
  </si>
  <si>
    <t xml:space="preserve">Y245</t>
  </si>
  <si>
    <t xml:space="preserve">1782</t>
  </si>
  <si>
    <t xml:space="preserve">Y246</t>
  </si>
  <si>
    <t xml:space="preserve">1783</t>
  </si>
  <si>
    <t xml:space="preserve">Y247</t>
  </si>
  <si>
    <t xml:space="preserve">1784</t>
  </si>
  <si>
    <t xml:space="preserve">Y249</t>
  </si>
  <si>
    <t xml:space="preserve">1785</t>
  </si>
  <si>
    <t xml:space="preserve">Y251</t>
  </si>
  <si>
    <t xml:space="preserve">1786</t>
  </si>
  <si>
    <t xml:space="preserve">Y252</t>
  </si>
  <si>
    <t xml:space="preserve">1787</t>
  </si>
  <si>
    <t xml:space="preserve">Y250</t>
  </si>
  <si>
    <t xml:space="preserve">1788</t>
  </si>
  <si>
    <t xml:space="preserve">Y253</t>
  </si>
  <si>
    <t xml:space="preserve">1789</t>
  </si>
  <si>
    <t xml:space="preserve">Y242</t>
  </si>
  <si>
    <t xml:space="preserve">1790</t>
  </si>
  <si>
    <t xml:space="preserve">Y243</t>
  </si>
  <si>
    <t xml:space="preserve">1791</t>
  </si>
  <si>
    <t xml:space="preserve">Y254</t>
  </si>
  <si>
    <t xml:space="preserve">1792</t>
  </si>
  <si>
    <t xml:space="preserve">Y263</t>
  </si>
  <si>
    <t xml:space="preserve">1793</t>
  </si>
  <si>
    <t xml:space="preserve">Y264</t>
  </si>
  <si>
    <t xml:space="preserve">1794</t>
  </si>
  <si>
    <t xml:space="preserve">Y265</t>
  </si>
  <si>
    <t xml:space="preserve">1795</t>
  </si>
  <si>
    <t xml:space="preserve">Y289</t>
  </si>
  <si>
    <t xml:space="preserve">1796</t>
  </si>
  <si>
    <t xml:space="preserve">AT929</t>
  </si>
  <si>
    <t xml:space="preserve">嘉義縣六腳鄉蒜頭村126號</t>
  </si>
  <si>
    <t xml:space="preserve">05-3440037</t>
  </si>
  <si>
    <t xml:space="preserve">1797</t>
  </si>
  <si>
    <t xml:space="preserve">AT930</t>
  </si>
  <si>
    <t xml:space="preserve">1798</t>
  </si>
  <si>
    <t xml:space="preserve">AT927</t>
  </si>
  <si>
    <t xml:space="preserve">嘉義縣新港鄉中正路8號之1</t>
  </si>
  <si>
    <t xml:space="preserve">05-3444403</t>
  </si>
  <si>
    <t xml:space="preserve">1799</t>
  </si>
  <si>
    <t xml:space="preserve">AT928</t>
  </si>
  <si>
    <t xml:space="preserve">1800</t>
  </si>
  <si>
    <t xml:space="preserve">AT922</t>
  </si>
  <si>
    <t xml:space="preserve">雲林縣水林鄉水北村新興北路20號</t>
  </si>
  <si>
    <t xml:space="preserve">05-7853244</t>
  </si>
  <si>
    <t xml:space="preserve">1801</t>
  </si>
  <si>
    <t xml:space="preserve">AT923</t>
  </si>
  <si>
    <t xml:space="preserve">1802</t>
  </si>
  <si>
    <t xml:space="preserve">AY150</t>
  </si>
  <si>
    <t xml:space="preserve">1803</t>
  </si>
  <si>
    <t xml:space="preserve">AY151</t>
  </si>
  <si>
    <t xml:space="preserve">1804</t>
  </si>
  <si>
    <t xml:space="preserve">AT939</t>
  </si>
  <si>
    <t xml:space="preserve">雲林縣斗六市文化路38號</t>
  </si>
  <si>
    <t xml:space="preserve">05-5324844</t>
  </si>
  <si>
    <t xml:space="preserve">週一至週五08:30~18:30
週六09:00~17:00</t>
  </si>
  <si>
    <t xml:space="preserve">1805</t>
  </si>
  <si>
    <t xml:space="preserve">AT933</t>
  </si>
  <si>
    <t xml:space="preserve">1806</t>
  </si>
  <si>
    <t xml:space="preserve">AT932</t>
  </si>
  <si>
    <t xml:space="preserve">1807</t>
  </si>
  <si>
    <t xml:space="preserve">AT931</t>
  </si>
  <si>
    <t xml:space="preserve">1808</t>
  </si>
  <si>
    <t xml:space="preserve">AT934</t>
  </si>
  <si>
    <t xml:space="preserve">1809</t>
  </si>
  <si>
    <t xml:space="preserve">AT935</t>
  </si>
  <si>
    <t xml:space="preserve">1810</t>
  </si>
  <si>
    <t xml:space="preserve">AT936</t>
  </si>
  <si>
    <t xml:space="preserve">1811</t>
  </si>
  <si>
    <t xml:space="preserve">AT940</t>
  </si>
  <si>
    <t xml:space="preserve">1812</t>
  </si>
  <si>
    <t xml:space="preserve">AY141</t>
  </si>
  <si>
    <t xml:space="preserve">1813</t>
  </si>
  <si>
    <t xml:space="preserve">BB616</t>
  </si>
  <si>
    <t xml:space="preserve">雲林縣虎尾鎮新生路136號</t>
  </si>
  <si>
    <t xml:space="preserve">05-6324400</t>
  </si>
  <si>
    <t xml:space="preserve">1814</t>
  </si>
  <si>
    <t xml:space="preserve">BB611</t>
  </si>
  <si>
    <t xml:space="preserve">1815</t>
  </si>
  <si>
    <t xml:space="preserve">BB612</t>
  </si>
  <si>
    <t xml:space="preserve">1816</t>
  </si>
  <si>
    <t xml:space="preserve">BB613</t>
  </si>
  <si>
    <t xml:space="preserve">1817</t>
  </si>
  <si>
    <t xml:space="preserve">BB614</t>
  </si>
  <si>
    <t xml:space="preserve">1818</t>
  </si>
  <si>
    <t xml:space="preserve">BB615</t>
  </si>
  <si>
    <t xml:space="preserve">1819</t>
  </si>
  <si>
    <t xml:space="preserve">AY138</t>
  </si>
  <si>
    <t xml:space="preserve">1820</t>
  </si>
  <si>
    <t xml:space="preserve">BC506</t>
  </si>
  <si>
    <t xml:space="preserve">屏東縣琉球鄉中興路39號</t>
  </si>
  <si>
    <t xml:space="preserve">08-8447123</t>
  </si>
  <si>
    <t xml:space="preserve">1821</t>
  </si>
  <si>
    <t xml:space="preserve">BC507</t>
  </si>
  <si>
    <t xml:space="preserve">1822</t>
  </si>
  <si>
    <t xml:space="preserve">AT937</t>
  </si>
  <si>
    <t xml:space="preserve">雲林縣西螺鎮平和路111號</t>
  </si>
  <si>
    <t xml:space="preserve">05-5864956</t>
  </si>
  <si>
    <t xml:space="preserve">1823</t>
  </si>
  <si>
    <t xml:space="preserve">AY142</t>
  </si>
  <si>
    <t xml:space="preserve">1824</t>
  </si>
  <si>
    <t xml:space="preserve">AY154</t>
  </si>
  <si>
    <t xml:space="preserve">1825</t>
  </si>
  <si>
    <t xml:space="preserve">AY155</t>
  </si>
  <si>
    <t xml:space="preserve">1826</t>
  </si>
  <si>
    <t xml:space="preserve">AY160</t>
  </si>
  <si>
    <t xml:space="preserve">1827</t>
  </si>
  <si>
    <t xml:space="preserve">BC805</t>
  </si>
  <si>
    <t xml:space="preserve">台中市大甲區中山路二段183號</t>
  </si>
  <si>
    <t xml:space="preserve">04-26813711</t>
  </si>
  <si>
    <t xml:space="preserve">1828</t>
  </si>
  <si>
    <t xml:space="preserve">BC806</t>
  </si>
  <si>
    <t xml:space="preserve">1829</t>
  </si>
  <si>
    <t xml:space="preserve">AY459</t>
  </si>
  <si>
    <t xml:space="preserve">1830</t>
  </si>
  <si>
    <t xml:space="preserve">AY713</t>
  </si>
  <si>
    <t xml:space="preserve">1831</t>
  </si>
  <si>
    <t xml:space="preserve">BD037</t>
  </si>
  <si>
    <t xml:space="preserve">南投縣鹿谷鄉中正路二段164號</t>
  </si>
  <si>
    <t xml:space="preserve">049-2753079</t>
  </si>
  <si>
    <t xml:space="preserve">1832</t>
  </si>
  <si>
    <t xml:space="preserve">BD168</t>
  </si>
  <si>
    <t xml:space="preserve">1833</t>
  </si>
  <si>
    <t xml:space="preserve">BG352</t>
  </si>
  <si>
    <t xml:space="preserve">1834</t>
  </si>
  <si>
    <t xml:space="preserve">AT944</t>
  </si>
  <si>
    <t xml:space="preserve">雲林縣北港鎮中正路20號之1</t>
  </si>
  <si>
    <t xml:space="preserve">05-7824123</t>
  </si>
  <si>
    <t xml:space="preserve">1835</t>
  </si>
  <si>
    <t xml:space="preserve">AY134</t>
  </si>
  <si>
    <t xml:space="preserve">1836</t>
  </si>
  <si>
    <t xml:space="preserve">AY161</t>
  </si>
  <si>
    <t xml:space="preserve">1837</t>
  </si>
  <si>
    <t xml:space="preserve">AY162</t>
  </si>
  <si>
    <t xml:space="preserve">1838</t>
  </si>
  <si>
    <t xml:space="preserve">AY163</t>
  </si>
  <si>
    <t xml:space="preserve">1839</t>
  </si>
  <si>
    <t xml:space="preserve">AY164</t>
  </si>
  <si>
    <t xml:space="preserve">1840</t>
  </si>
  <si>
    <t xml:space="preserve">AY131</t>
  </si>
  <si>
    <t xml:space="preserve">嘉義縣中埔鄉中埔村80號之4</t>
  </si>
  <si>
    <t xml:space="preserve">05-2442501</t>
  </si>
  <si>
    <t xml:space="preserve">1841</t>
  </si>
  <si>
    <t xml:space="preserve">AY136</t>
  </si>
  <si>
    <t xml:space="preserve">1842</t>
  </si>
  <si>
    <t xml:space="preserve">BC658</t>
  </si>
  <si>
    <t xml:space="preserve">臺南市關廟區忠孝街113號</t>
  </si>
  <si>
    <t xml:space="preserve">06-5445810</t>
  </si>
  <si>
    <t xml:space="preserve">1843</t>
  </si>
  <si>
    <t xml:space="preserve">BC659</t>
  </si>
  <si>
    <t xml:space="preserve">1844</t>
  </si>
  <si>
    <t xml:space="preserve">BC660</t>
  </si>
  <si>
    <t xml:space="preserve">1845</t>
  </si>
  <si>
    <t xml:space="preserve">BC661</t>
  </si>
  <si>
    <t xml:space="preserve">1846</t>
  </si>
  <si>
    <t xml:space="preserve">BD139</t>
  </si>
  <si>
    <t xml:space="preserve">彰化縣永靖鄉瑚璉路433號</t>
  </si>
  <si>
    <t xml:space="preserve">04-8224040</t>
  </si>
  <si>
    <t xml:space="preserve">1847</t>
  </si>
  <si>
    <t xml:space="preserve">AY874</t>
  </si>
  <si>
    <t xml:space="preserve">1848</t>
  </si>
  <si>
    <t xml:space="preserve">AY876</t>
  </si>
  <si>
    <t xml:space="preserve">1849</t>
  </si>
  <si>
    <t xml:space="preserve">AY877</t>
  </si>
  <si>
    <t xml:space="preserve">1850</t>
  </si>
  <si>
    <t xml:space="preserve">AY052</t>
  </si>
  <si>
    <t xml:space="preserve">屏東縣枋寮鄉中山路240號</t>
  </si>
  <si>
    <t xml:space="preserve">08-8444001</t>
  </si>
  <si>
    <t xml:space="preserve">1851</t>
  </si>
  <si>
    <t xml:space="preserve">AY051</t>
  </si>
  <si>
    <t xml:space="preserve">屏東縣東港鎮中正路227號</t>
  </si>
  <si>
    <t xml:space="preserve">08-8440101</t>
  </si>
  <si>
    <t xml:space="preserve">1852</t>
  </si>
  <si>
    <t xml:space="preserve">BD137</t>
  </si>
  <si>
    <t xml:space="preserve">南投縣南投市南崗三路26號</t>
  </si>
  <si>
    <t xml:space="preserve">049-2261403</t>
  </si>
  <si>
    <t xml:space="preserve">1853</t>
  </si>
  <si>
    <t xml:space="preserve">AY701</t>
  </si>
  <si>
    <t xml:space="preserve">1854</t>
  </si>
  <si>
    <t xml:space="preserve">AY702</t>
  </si>
  <si>
    <t xml:space="preserve">1855</t>
  </si>
  <si>
    <t xml:space="preserve">BI809</t>
  </si>
  <si>
    <t xml:space="preserve">1856</t>
  </si>
  <si>
    <t xml:space="preserve">AY061</t>
  </si>
  <si>
    <t xml:space="preserve">屏東縣佳冬鄉佳和路130號</t>
  </si>
  <si>
    <t xml:space="preserve">08-8442441</t>
  </si>
  <si>
    <t xml:space="preserve">1857</t>
  </si>
  <si>
    <t xml:space="preserve">AY062</t>
  </si>
  <si>
    <t xml:space="preserve">屏東縣林邊鄉中山路70號</t>
  </si>
  <si>
    <t xml:space="preserve">08-8443111</t>
  </si>
  <si>
    <t xml:space="preserve">1858</t>
  </si>
  <si>
    <t xml:space="preserve">BD171</t>
  </si>
  <si>
    <t xml:space="preserve">南投縣南投市民族路160號</t>
  </si>
  <si>
    <t xml:space="preserve">049-2236837</t>
  </si>
  <si>
    <t xml:space="preserve">週一至週五 08:30~17:30
週六 08:30~12:30</t>
  </si>
  <si>
    <t xml:space="preserve">1859</t>
  </si>
  <si>
    <t xml:space="preserve">BD170</t>
  </si>
  <si>
    <t xml:space="preserve">1860</t>
  </si>
  <si>
    <t xml:space="preserve">AY438</t>
  </si>
  <si>
    <t xml:space="preserve">1861</t>
  </si>
  <si>
    <t xml:space="preserve">AY440</t>
  </si>
  <si>
    <t xml:space="preserve">1862</t>
  </si>
  <si>
    <t xml:space="preserve">AY439</t>
  </si>
  <si>
    <t xml:space="preserve">1863</t>
  </si>
  <si>
    <t xml:space="preserve">AY475</t>
  </si>
  <si>
    <t xml:space="preserve">1864</t>
  </si>
  <si>
    <t xml:space="preserve">AY476</t>
  </si>
  <si>
    <t xml:space="preserve">1865</t>
  </si>
  <si>
    <t xml:space="preserve">BI101</t>
  </si>
  <si>
    <t xml:space="preserve">1866</t>
  </si>
  <si>
    <t xml:space="preserve">AY069</t>
  </si>
  <si>
    <t xml:space="preserve">屏東縣鹽埔鄉興學路3號</t>
  </si>
  <si>
    <t xml:space="preserve">08-7446880</t>
  </si>
  <si>
    <t xml:space="preserve">1867</t>
  </si>
  <si>
    <t xml:space="preserve">AY149</t>
  </si>
  <si>
    <t xml:space="preserve">雲林縣二崙鄉中山路一段170號</t>
  </si>
  <si>
    <t xml:space="preserve">05-5982000</t>
  </si>
  <si>
    <t xml:space="preserve">1868</t>
  </si>
  <si>
    <t xml:space="preserve">AY148</t>
  </si>
  <si>
    <t xml:space="preserve">1869</t>
  </si>
  <si>
    <t xml:space="preserve">AY158</t>
  </si>
  <si>
    <t xml:space="preserve">1870</t>
  </si>
  <si>
    <t xml:space="preserve">AY159</t>
  </si>
  <si>
    <t xml:space="preserve">1871</t>
  </si>
  <si>
    <t xml:space="preserve">AY146</t>
  </si>
  <si>
    <t xml:space="preserve">雲林縣古坑鄉中華路25號</t>
  </si>
  <si>
    <t xml:space="preserve">05-5822999</t>
  </si>
  <si>
    <t xml:space="preserve">1872</t>
  </si>
  <si>
    <t xml:space="preserve">AY147</t>
  </si>
  <si>
    <t xml:space="preserve">1873</t>
  </si>
  <si>
    <t xml:space="preserve">AY165</t>
  </si>
  <si>
    <t xml:space="preserve">1874</t>
  </si>
  <si>
    <t xml:space="preserve">AY166</t>
  </si>
  <si>
    <t xml:space="preserve">1875</t>
  </si>
  <si>
    <t xml:space="preserve">AY167</t>
  </si>
  <si>
    <t xml:space="preserve">1876</t>
  </si>
  <si>
    <t xml:space="preserve">AY070</t>
  </si>
  <si>
    <t xml:space="preserve">屏東縣萬丹鄉萬丹路一段406號</t>
  </si>
  <si>
    <t xml:space="preserve">08-7775501</t>
  </si>
  <si>
    <t xml:space="preserve">1877</t>
  </si>
  <si>
    <t xml:space="preserve">AY077</t>
  </si>
  <si>
    <t xml:space="preserve">高雄市小港區小港一街5號</t>
  </si>
  <si>
    <t xml:space="preserve">07-3446560</t>
  </si>
  <si>
    <t xml:space="preserve">1878</t>
  </si>
  <si>
    <t xml:space="preserve">AY444</t>
  </si>
  <si>
    <t xml:space="preserve">南投縣魚池鄉秀水巷32號之10</t>
  </si>
  <si>
    <t xml:space="preserve">049-2895500</t>
  </si>
  <si>
    <t xml:space="preserve">1879</t>
  </si>
  <si>
    <t xml:space="preserve">BI102</t>
  </si>
  <si>
    <t xml:space="preserve">1880</t>
  </si>
  <si>
    <t xml:space="preserve">AY448</t>
  </si>
  <si>
    <t xml:space="preserve">南投縣魚池鄉名勝街36號</t>
  </si>
  <si>
    <t xml:space="preserve">049-2855111</t>
  </si>
  <si>
    <t xml:space="preserve">週一至週五09:00~12:00</t>
  </si>
  <si>
    <t xml:space="preserve">1881</t>
  </si>
  <si>
    <t xml:space="preserve">AY082</t>
  </si>
  <si>
    <t xml:space="preserve">屏東縣新園鄉永吉路21號</t>
  </si>
  <si>
    <t xml:space="preserve">08-8448139</t>
  </si>
  <si>
    <t xml:space="preserve">1882</t>
  </si>
  <si>
    <t xml:space="preserve">AY087</t>
  </si>
  <si>
    <t xml:space="preserve">高雄市楠梓區楠梓新路245號</t>
  </si>
  <si>
    <t xml:space="preserve">07-3514433</t>
  </si>
  <si>
    <t xml:space="preserve">週一至週五 08:30~17:30
週六：08:30~12:30</t>
  </si>
  <si>
    <t xml:space="preserve">1883</t>
  </si>
  <si>
    <t xml:space="preserve">AY608</t>
  </si>
  <si>
    <t xml:space="preserve">1884</t>
  </si>
  <si>
    <t xml:space="preserve">AY607</t>
  </si>
  <si>
    <t xml:space="preserve">1885</t>
  </si>
  <si>
    <t xml:space="preserve">AY621</t>
  </si>
  <si>
    <t xml:space="preserve">1886</t>
  </si>
  <si>
    <t xml:space="preserve">AY478</t>
  </si>
  <si>
    <t xml:space="preserve">台中市豐原區豐西街21號</t>
  </si>
  <si>
    <t xml:space="preserve">04-25276450</t>
  </si>
  <si>
    <t xml:space="preserve">週一至週五08:00~18:00
 週六08:30~12:30</t>
  </si>
  <si>
    <t xml:space="preserve">1887</t>
  </si>
  <si>
    <t xml:space="preserve">AY714</t>
  </si>
  <si>
    <t xml:space="preserve">1888</t>
  </si>
  <si>
    <t xml:space="preserve">AY859</t>
  </si>
  <si>
    <t xml:space="preserve">1889</t>
  </si>
  <si>
    <t xml:space="preserve">AY177</t>
  </si>
  <si>
    <t xml:space="preserve">雲林縣四湖鄉中山東路5號</t>
  </si>
  <si>
    <t xml:space="preserve">05-7871001</t>
  </si>
  <si>
    <t xml:space="preserve">1890</t>
  </si>
  <si>
    <t xml:space="preserve">AY100</t>
  </si>
  <si>
    <t xml:space="preserve">高雄市小港區中山四路2號</t>
  </si>
  <si>
    <t xml:space="preserve">07-8027004</t>
  </si>
  <si>
    <t xml:space="preserve">週一至週日08:00~20:00
全年無休</t>
  </si>
  <si>
    <t xml:space="preserve">1891</t>
  </si>
  <si>
    <t xml:space="preserve">AY620</t>
  </si>
  <si>
    <t xml:space="preserve">1892</t>
  </si>
  <si>
    <t xml:space="preserve">AY693</t>
  </si>
  <si>
    <t xml:space="preserve">台中市大甲區順天路159號</t>
  </si>
  <si>
    <t xml:space="preserve">04-26881910</t>
  </si>
  <si>
    <t xml:space="preserve">週一至週五08:30~17:30
 週六08:30~12:30</t>
  </si>
  <si>
    <t xml:space="preserve">1893</t>
  </si>
  <si>
    <t xml:space="preserve">AY694</t>
  </si>
  <si>
    <t xml:space="preserve">1894</t>
  </si>
  <si>
    <t xml:space="preserve">AY695</t>
  </si>
  <si>
    <t xml:space="preserve">1895</t>
  </si>
  <si>
    <t xml:space="preserve">AY696</t>
  </si>
  <si>
    <t xml:space="preserve">1896</t>
  </si>
  <si>
    <t xml:space="preserve">AY697</t>
  </si>
  <si>
    <t xml:space="preserve">1897</t>
  </si>
  <si>
    <t xml:space="preserve">AY712</t>
  </si>
  <si>
    <t xml:space="preserve">1898</t>
  </si>
  <si>
    <t xml:space="preserve">Y277</t>
  </si>
  <si>
    <t xml:space="preserve">花蓮縣富里鄉中山路304號</t>
  </si>
  <si>
    <t xml:space="preserve">03-8831400</t>
  </si>
  <si>
    <t xml:space="preserve">週一至週五08:30~17:00
(12:00~13:30休息)</t>
  </si>
  <si>
    <t xml:space="preserve">1899</t>
  </si>
  <si>
    <t xml:space="preserve">Y276</t>
  </si>
  <si>
    <t xml:space="preserve">1900</t>
  </si>
  <si>
    <t xml:space="preserve">AY717</t>
  </si>
  <si>
    <t xml:space="preserve">台中市后里區甲后路一段641號</t>
  </si>
  <si>
    <t xml:space="preserve">04-25561493</t>
  </si>
  <si>
    <t xml:space="preserve">1901</t>
  </si>
  <si>
    <t xml:space="preserve">AY718</t>
  </si>
  <si>
    <t xml:space="preserve">1902</t>
  </si>
  <si>
    <t xml:space="preserve">AY715</t>
  </si>
  <si>
    <t xml:space="preserve">台中市東勢區本街244號</t>
  </si>
  <si>
    <t xml:space="preserve">04-25882405</t>
  </si>
  <si>
    <t xml:space="preserve">1903</t>
  </si>
  <si>
    <t xml:space="preserve">AY716</t>
  </si>
  <si>
    <t xml:space="preserve">台中市和平區中正路90號</t>
  </si>
  <si>
    <t xml:space="preserve">04-25989201</t>
  </si>
  <si>
    <t xml:space="preserve">週一至週五08:00~17:00
 (12:00~13:00休息)</t>
  </si>
  <si>
    <t xml:space="preserve">1904</t>
  </si>
  <si>
    <t xml:space="preserve">BG405</t>
  </si>
  <si>
    <t xml:space="preserve">新竹縣竹北市文興路二段5號</t>
  </si>
  <si>
    <t xml:space="preserve">03-5504600</t>
  </si>
  <si>
    <t xml:space="preserve">1905</t>
  </si>
  <si>
    <t xml:space="preserve">BG406</t>
  </si>
  <si>
    <t xml:space="preserve">1906</t>
  </si>
  <si>
    <t xml:space="preserve">BG403</t>
  </si>
  <si>
    <t xml:space="preserve">1907</t>
  </si>
  <si>
    <t xml:space="preserve">BG404</t>
  </si>
  <si>
    <t xml:space="preserve">1908</t>
  </si>
  <si>
    <t xml:space="preserve">BG743</t>
  </si>
  <si>
    <t xml:space="preserve">1909</t>
  </si>
  <si>
    <t xml:space="preserve">BG744</t>
  </si>
  <si>
    <t xml:space="preserve">1910</t>
  </si>
  <si>
    <t xml:space="preserve">BG745</t>
  </si>
  <si>
    <t xml:space="preserve">1911</t>
  </si>
  <si>
    <t xml:space="preserve">AY610</t>
  </si>
  <si>
    <t xml:space="preserve">高雄市岡山區介壽路27號</t>
  </si>
  <si>
    <t xml:space="preserve">07-6440066</t>
  </si>
  <si>
    <t xml:space="preserve">1912</t>
  </si>
  <si>
    <t xml:space="preserve">AY609</t>
  </si>
  <si>
    <t xml:space="preserve">1913</t>
  </si>
  <si>
    <t xml:space="preserve">AY720</t>
  </si>
  <si>
    <t xml:space="preserve">彰化縣彰化市和平路52號</t>
  </si>
  <si>
    <t xml:space="preserve">04-7225203</t>
  </si>
  <si>
    <t xml:space="preserve">1914</t>
  </si>
  <si>
    <t xml:space="preserve">AY731</t>
  </si>
  <si>
    <t xml:space="preserve">1915</t>
  </si>
  <si>
    <t xml:space="preserve">AY721</t>
  </si>
  <si>
    <t xml:space="preserve">1916</t>
  </si>
  <si>
    <t xml:space="preserve">AY722</t>
  </si>
  <si>
    <t xml:space="preserve">1917</t>
  </si>
  <si>
    <t xml:space="preserve">AY723</t>
  </si>
  <si>
    <t xml:space="preserve">1918</t>
  </si>
  <si>
    <t xml:space="preserve">AY724</t>
  </si>
  <si>
    <t xml:space="preserve">1919</t>
  </si>
  <si>
    <t xml:space="preserve">AY725</t>
  </si>
  <si>
    <t xml:space="preserve">1920</t>
  </si>
  <si>
    <t xml:space="preserve">AY726</t>
  </si>
  <si>
    <t xml:space="preserve">1921</t>
  </si>
  <si>
    <t xml:space="preserve">AY727</t>
  </si>
  <si>
    <t xml:space="preserve">1922</t>
  </si>
  <si>
    <t xml:space="preserve">AY728</t>
  </si>
  <si>
    <t xml:space="preserve">1923</t>
  </si>
  <si>
    <t xml:space="preserve">AY729</t>
  </si>
  <si>
    <t xml:space="preserve">1924</t>
  </si>
  <si>
    <t xml:space="preserve">AY730</t>
  </si>
  <si>
    <t xml:space="preserve">1925</t>
  </si>
  <si>
    <t xml:space="preserve">AY736</t>
  </si>
  <si>
    <t xml:space="preserve">南投縣埔里鎮中華路211號</t>
  </si>
  <si>
    <t xml:space="preserve">049-2992744</t>
  </si>
  <si>
    <t xml:space="preserve">1926</t>
  </si>
  <si>
    <t xml:space="preserve">AY737</t>
  </si>
  <si>
    <t xml:space="preserve">1927</t>
  </si>
  <si>
    <t xml:space="preserve">AY871</t>
  </si>
  <si>
    <t xml:space="preserve">1928</t>
  </si>
  <si>
    <t xml:space="preserve">AY616</t>
  </si>
  <si>
    <t xml:space="preserve">高雄市三民區哈爾濱街185號</t>
  </si>
  <si>
    <t xml:space="preserve">07-3227334</t>
  </si>
  <si>
    <t xml:space="preserve">1929</t>
  </si>
  <si>
    <t xml:space="preserve">AY738</t>
  </si>
  <si>
    <t xml:space="preserve">台中市清水區中山路79號</t>
  </si>
  <si>
    <t xml:space="preserve">04-26235104</t>
  </si>
  <si>
    <t xml:space="preserve">1930</t>
  </si>
  <si>
    <t xml:space="preserve">BH085</t>
  </si>
  <si>
    <t xml:space="preserve">雲林縣元長鄉長南村仁愛路1號</t>
  </si>
  <si>
    <t xml:space="preserve">05-7881001</t>
  </si>
  <si>
    <t xml:space="preserve">1931</t>
  </si>
  <si>
    <t xml:space="preserve">BH086</t>
  </si>
  <si>
    <t xml:space="preserve">1932</t>
  </si>
  <si>
    <t xml:space="preserve">Y291</t>
  </si>
  <si>
    <t xml:space="preserve">台東縣池上鄉中山路103號之1</t>
  </si>
  <si>
    <t xml:space="preserve">089-861000</t>
  </si>
  <si>
    <t xml:space="preserve">1933</t>
  </si>
  <si>
    <t xml:space="preserve">BI703</t>
  </si>
  <si>
    <t xml:space="preserve">雲林縣土庫鎮新建路33號</t>
  </si>
  <si>
    <t xml:space="preserve">05-6624001</t>
  </si>
  <si>
    <t xml:space="preserve">1934</t>
  </si>
  <si>
    <t xml:space="preserve">BI704</t>
  </si>
  <si>
    <t xml:space="preserve">1935</t>
  </si>
  <si>
    <t xml:space="preserve">BI705</t>
  </si>
  <si>
    <t xml:space="preserve">1936</t>
  </si>
  <si>
    <t xml:space="preserve">Y292</t>
  </si>
  <si>
    <t xml:space="preserve">台東縣成功鎮中華路79號</t>
  </si>
  <si>
    <t xml:space="preserve">089-851000</t>
  </si>
  <si>
    <t xml:space="preserve">1937</t>
  </si>
  <si>
    <t xml:space="preserve">BI500</t>
  </si>
  <si>
    <t xml:space="preserve">高雄市左營區實踐路45號</t>
  </si>
  <si>
    <t xml:space="preserve">07-5823098</t>
  </si>
  <si>
    <t xml:space="preserve">1938</t>
  </si>
  <si>
    <t xml:space="preserve">AY833</t>
  </si>
  <si>
    <t xml:space="preserve">彰化縣員林鎮員東路二段498號</t>
  </si>
  <si>
    <t xml:space="preserve">04-8329991</t>
  </si>
  <si>
    <t xml:space="preserve">1939</t>
  </si>
  <si>
    <t xml:space="preserve">AY834</t>
  </si>
  <si>
    <t xml:space="preserve">1940</t>
  </si>
  <si>
    <t xml:space="preserve">AY835</t>
  </si>
  <si>
    <t xml:space="preserve">1941</t>
  </si>
  <si>
    <t xml:space="preserve">AY836</t>
  </si>
  <si>
    <t xml:space="preserve">1942</t>
  </si>
  <si>
    <t xml:space="preserve">AY837</t>
  </si>
  <si>
    <t xml:space="preserve">1943</t>
  </si>
  <si>
    <t xml:space="preserve">AY838</t>
  </si>
  <si>
    <t xml:space="preserve">1944</t>
  </si>
  <si>
    <t xml:space="preserve">AY839</t>
  </si>
  <si>
    <t xml:space="preserve">1945</t>
  </si>
  <si>
    <t xml:space="preserve">AY840</t>
  </si>
  <si>
    <t xml:space="preserve">1946</t>
  </si>
  <si>
    <t xml:space="preserve">AY852</t>
  </si>
  <si>
    <t xml:space="preserve">1947</t>
  </si>
  <si>
    <t xml:space="preserve">BI176</t>
  </si>
  <si>
    <t xml:space="preserve">1948</t>
  </si>
  <si>
    <t xml:space="preserve">AY853</t>
  </si>
  <si>
    <t xml:space="preserve">1949</t>
  </si>
  <si>
    <t xml:space="preserve">AY851</t>
  </si>
  <si>
    <t xml:space="preserve">1950</t>
  </si>
  <si>
    <t xml:space="preserve">AY856</t>
  </si>
  <si>
    <t xml:space="preserve">台中市沙鹿區成功東街94號</t>
  </si>
  <si>
    <t xml:space="preserve">04-26350322</t>
  </si>
  <si>
    <t xml:space="preserve">1951</t>
  </si>
  <si>
    <t xml:space="preserve">BJ903</t>
  </si>
  <si>
    <t xml:space="preserve">台南市新化區大德路30號</t>
  </si>
  <si>
    <t xml:space="preserve">06-5448789</t>
  </si>
  <si>
    <t xml:space="preserve">1952</t>
  </si>
  <si>
    <t xml:space="preserve">BJ904</t>
  </si>
  <si>
    <t xml:space="preserve">1953</t>
  </si>
  <si>
    <t xml:space="preserve">南投縣竹山鎮竹山路138號</t>
  </si>
  <si>
    <t xml:space="preserve">049-2643226</t>
  </si>
  <si>
    <t xml:space="preserve">1954</t>
  </si>
  <si>
    <t xml:space="preserve">1955</t>
  </si>
  <si>
    <t xml:space="preserve">南投縣草屯鎮中正路629號</t>
  </si>
  <si>
    <t xml:space="preserve">049-2334809</t>
  </si>
  <si>
    <t xml:space="preserve">1956</t>
  </si>
  <si>
    <t xml:space="preserve">1957</t>
  </si>
  <si>
    <t xml:space="preserve">1958</t>
  </si>
  <si>
    <t xml:space="preserve">高雄市六龜區華南街34號</t>
  </si>
  <si>
    <t xml:space="preserve">07-6892000</t>
  </si>
  <si>
    <t xml:space="preserve">1959</t>
  </si>
  <si>
    <t xml:space="preserve">1960</t>
  </si>
  <si>
    <t xml:space="preserve">1961</t>
  </si>
  <si>
    <t xml:space="preserve">1962</t>
  </si>
  <si>
    <t xml:space="preserve">雲林縣台西鄉民生路78號</t>
  </si>
  <si>
    <t xml:space="preserve">05-6984001</t>
  </si>
  <si>
    <t xml:space="preserve">1963</t>
  </si>
  <si>
    <t xml:space="preserve">雲林縣麥寮鄉光復南路342號</t>
  </si>
  <si>
    <t xml:space="preserve">05-6931405</t>
  </si>
  <si>
    <t xml:space="preserve">1964</t>
  </si>
  <si>
    <t xml:space="preserve">雲林縣口湖鄉湖東村文明路88號</t>
  </si>
  <si>
    <t xml:space="preserve">05-7891001</t>
  </si>
  <si>
    <t xml:space="preserve">1965</t>
  </si>
  <si>
    <t xml:space="preserve">1966</t>
  </si>
  <si>
    <t xml:space="preserve">1967</t>
  </si>
  <si>
    <t xml:space="preserve">1968</t>
  </si>
  <si>
    <t xml:space="preserve">1969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</si>
</sst>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_);[RED]\(0\)"/>
    <numFmt numFmtId="166" formatCode="m/d/yyyy"/>
    <numFmt numFmtId="167" formatCode="#,##0_);[RED]\(#,##0\)"/>
    <numFmt numFmtId="168" formatCode="0.00%"/>
    <numFmt numFmtId="169" formatCode="0%"/>
    <numFmt numFmtId="170" formatCode="\$#,##0.000_);[RED]&quot;($&quot;#,##0.000\)"/>
    <numFmt numFmtId="171" formatCode="\$#,##0_);[RED]&quot;($&quot;#,##0\)"/>
    <numFmt numFmtId="172" formatCode="\$#,##0.0"/>
    <numFmt numFmtId="173" formatCode="\$#,##0"/>
    <numFmt numFmtId="174" formatCode="\$#,##0.00_);[RED]&quot;($&quot;#,##0.00\)"/>
    <numFmt numFmtId="175" formatCode="General"/>
    <numFmt numFmtId="176" formatCode="_-* #,##0.00_-;\-* #,##0.00_-;_-* \-??_-;_-@_-"/>
    <numFmt numFmtId="177" formatCode="@"/>
    <numFmt numFmtId="178" formatCode="_-* #,##0_-;\-* #,##0_-;_-* \-??_-;_-@_-"/>
    <numFmt numFmtId="179" formatCode="_-\$* #,##0.00_-;&quot;-$&quot;* #,##0.00_-;_-\$* \-??_-;_-@_-"/>
    <numFmt numFmtId="180" formatCode="_-\$* #,##0.000_-;&quot;-$&quot;* #,##0.000_-;_-\$* \-??_-;_-@_-"/>
  </numFmts>
  <fonts count="15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新細明體"/>
      <family val="2"/>
      <charset val="136"/>
    </font>
    <font>
      <sz val="12"/>
      <color rgb="FF000000"/>
      <name val="新細明體"/>
      <family val="1"/>
      <charset val="136"/>
    </font>
    <font>
      <b val="true"/>
      <sz val="12"/>
      <color rgb="FF000000"/>
      <name val="微軟正黑體 Light"/>
      <family val="2"/>
      <charset val="136"/>
    </font>
    <font>
      <b val="true"/>
      <sz val="12"/>
      <color rgb="FF4472C4"/>
      <name val="微軟正黑體 Light"/>
      <family val="2"/>
      <charset val="136"/>
    </font>
    <font>
      <b val="true"/>
      <sz val="12"/>
      <color rgb="FFFF0000"/>
      <name val="微軟正黑體 Light"/>
      <family val="2"/>
      <charset val="136"/>
    </font>
    <font>
      <b val="true"/>
      <sz val="12"/>
      <color rgb="FFFFFFFF"/>
      <name val="微軟正黑體 Light"/>
      <family val="2"/>
      <charset val="136"/>
    </font>
    <font>
      <sz val="9"/>
      <color rgb="FF000000"/>
      <name val="細明體"/>
      <family val="3"/>
      <charset val="136"/>
    </font>
    <font>
      <sz val="9"/>
      <color rgb="FF000000"/>
      <name val="Tahoma"/>
      <family val="2"/>
      <charset val="1"/>
    </font>
    <font>
      <b val="true"/>
      <sz val="12"/>
      <color rgb="FF000000"/>
      <name val="新細明體"/>
      <family val="1"/>
      <charset val="136"/>
    </font>
    <font>
      <sz val="12"/>
      <color rgb="FFEE0000"/>
      <name val="新細明體"/>
      <family val="2"/>
      <charset val="136"/>
    </font>
    <font>
      <b val="true"/>
      <sz val="12"/>
      <color rgb="FFEE0000"/>
      <name val="新細明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BE5D6"/>
        <bgColor rgb="FFDEEBF7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EEBF7"/>
      </patternFill>
    </fill>
    <fill>
      <patternFill patternType="solid">
        <fgColor rgb="FFDEEBF7"/>
        <bgColor rgb="FFD9D9D9"/>
      </patternFill>
    </fill>
    <fill>
      <patternFill patternType="solid">
        <fgColor rgb="FFFFFFFF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BE5D6"/>
      </patternFill>
    </fill>
    <fill>
      <patternFill patternType="solid">
        <fgColor rgb="FFF4B183"/>
        <bgColor rgb="FFF8CBAD"/>
      </patternFill>
    </fill>
  </fills>
  <borders count="8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 style="thin"/>
      <top style="thick"/>
      <bottom style="dashed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dashed"/>
      <diagonal/>
    </border>
    <border diagonalUp="false" diagonalDown="false">
      <left style="thick"/>
      <right style="thick"/>
      <top style="thick"/>
      <bottom style="dash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 style="thin"/>
      <right style="thick"/>
      <top style="dashed"/>
      <bottom style="dashed"/>
      <diagonal/>
    </border>
    <border diagonalUp="true" diagonalDown="true">
      <left style="thin"/>
      <right style="thin"/>
      <top style="dashed"/>
      <bottom style="dashed"/>
      <diagonal style="thin"/>
    </border>
    <border diagonalUp="false" diagonalDown="false">
      <left style="thick"/>
      <right style="thick"/>
      <top style="dashed"/>
      <bottom style="dashed"/>
      <diagonal/>
    </border>
    <border diagonalUp="false" diagonalDown="false">
      <left style="thin"/>
      <right style="thick"/>
      <top/>
      <bottom/>
      <diagonal/>
    </border>
    <border diagonalUp="false" diagonalDown="false">
      <left style="thin"/>
      <right style="thin"/>
      <top style="dashed"/>
      <bottom style="thick"/>
      <diagonal/>
    </border>
    <border diagonalUp="false" diagonalDown="false">
      <left style="thin"/>
      <right style="thick"/>
      <top style="dashed"/>
      <bottom style="thick"/>
      <diagonal/>
    </border>
    <border diagonalUp="true" diagonalDown="true">
      <left style="thin"/>
      <right style="thin"/>
      <top style="dashed"/>
      <bottom style="thick"/>
      <diagonal style="thin"/>
    </border>
    <border diagonalUp="false" diagonalDown="false">
      <left style="thick"/>
      <right style="thick"/>
      <top style="dashed"/>
      <bottom style="thick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true" diagonalDown="true">
      <left style="thin"/>
      <right style="thin"/>
      <top style="thin"/>
      <bottom style="thin"/>
      <diagonal style="thin"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true" diagonalDown="true">
      <left style="thin"/>
      <right style="thin"/>
      <top style="thin"/>
      <bottom style="thick"/>
      <diagonal style="thin"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thin"/>
      <right style="thick"/>
      <top style="dashed"/>
      <bottom/>
      <diagonal/>
    </border>
    <border diagonalUp="false" diagonalDown="false">
      <left style="thin"/>
      <right style="thin"/>
      <top style="dashed"/>
      <bottom/>
      <diagonal/>
    </border>
    <border diagonalUp="false" diagonalDown="false">
      <left style="thick"/>
      <right style="thick"/>
      <top style="dashed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ck"/>
      <bottom style="thick"/>
      <diagonal/>
    </border>
    <border diagonalUp="true" diagonalDown="true">
      <left style="thin"/>
      <right style="thin"/>
      <top style="thick"/>
      <bottom style="dashed"/>
      <diagonal style="thin"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n"/>
      <top style="dashed"/>
      <bottom style="thin"/>
      <diagonal/>
    </border>
    <border diagonalUp="true" diagonalDown="true">
      <left style="thin"/>
      <right style="thin"/>
      <top style="dashed"/>
      <bottom style="thin"/>
      <diagonal style="thin"/>
    </border>
    <border diagonalUp="true" diagonalDown="true">
      <left style="thin"/>
      <right style="thin"/>
      <top style="thick"/>
      <bottom style="thick"/>
      <diagonal style="thin"/>
    </border>
    <border diagonalUp="true" diagonalDown="true">
      <left style="thin"/>
      <right style="thin"/>
      <top style="dashed"/>
      <bottom/>
      <diagonal style="thin"/>
    </border>
    <border diagonalUp="false" diagonalDown="false">
      <left style="thin"/>
      <right style="thin"/>
      <top/>
      <bottom style="dashed"/>
      <diagonal/>
    </border>
    <border diagonalUp="false" diagonalDown="false">
      <left style="thin"/>
      <right style="thick"/>
      <top/>
      <bottom style="thick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ck"/>
      <right style="thin"/>
      <top style="thick"/>
      <bottom style="dashed"/>
      <diagonal/>
    </border>
    <border diagonalUp="false" diagonalDown="false">
      <left style="thick"/>
      <right style="thin"/>
      <top style="dashed"/>
      <bottom style="dashed"/>
      <diagonal/>
    </border>
    <border diagonalUp="false" diagonalDown="false">
      <left style="thick"/>
      <right style="thin"/>
      <top style="dashed"/>
      <bottom style="thick"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 style="thick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ck"/>
      <bottom style="dashed"/>
      <diagonal/>
    </border>
    <border diagonalUp="false" diagonalDown="false">
      <left/>
      <right style="thin"/>
      <top style="thick"/>
      <bottom style="dashed"/>
      <diagonal/>
    </border>
    <border diagonalUp="false" diagonalDown="false">
      <left/>
      <right style="thick"/>
      <top style="thick"/>
      <bottom style="dashed"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 style="thin"/>
      <right/>
      <top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 style="thin"/>
      <right/>
      <top style="thin"/>
      <bottom style="thin"/>
      <diagonal/>
    </border>
    <border diagonalUp="true" diagonalDown="false">
      <left style="thin"/>
      <right style="thin"/>
      <top style="thin"/>
      <bottom style="thin"/>
      <diagonal style="thin"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double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6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center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9" fontId="0" fillId="0" borderId="1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1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9" fontId="0" fillId="7" borderId="1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6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6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56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6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" fillId="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6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6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6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7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8" fontId="6" fillId="6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6" fillId="6" borderId="5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3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34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8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6" borderId="79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6" borderId="8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6" borderId="3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7" fillId="6" borderId="3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8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6" borderId="8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6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6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3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0" fillId="0" borderId="34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0" fillId="0" borderId="3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  <cellStyle name="一般 2" xfId="26"/>
    <cellStyle name="一般 69" xfId="27"/>
  </cellStyles>
  <dxfs count="9">
    <dxf>
      <fill>
        <patternFill patternType="solid">
          <fgColor rgb="FFFBE5D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E3436"/>
          <b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4472C4"/>
        </patternFill>
      </fill>
    </dxf>
    <dxf>
      <fill>
        <patternFill patternType="solid">
          <fgColor rgb="FFDEEBF7"/>
        </patternFill>
      </fill>
    </dxf>
    <dxf>
      <fill>
        <patternFill patternType="solid">
          <fgColor rgb="FFEE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EE0000"/>
      <rgbColor rgb="FF008080"/>
      <rgbColor rgb="FF0000FF"/>
      <rgbColor rgb="FF00CCFF"/>
      <rgbColor rgb="FFCCFFFF"/>
      <rgbColor rgb="FFCCFFCC"/>
      <rgbColor rgb="FFFFE699"/>
      <rgbColor rgb="FF99CCFF"/>
      <rgbColor rgb="FFF4B183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68" createdVersion="3">
  <cacheSource type="worksheet">
    <worksheetSource ref="A1:L1969" sheet="DPCache_1968台"/>
  </cacheSource>
  <cacheFields count="12">
    <cacheField name="序號" numFmtId="0">
      <sharedItems count="1968">
        <s v="1"/>
        <s v="10"/>
        <s v="100"/>
        <s v="1000"/>
        <s v="1001"/>
        <s v="1002"/>
        <s v="1003"/>
        <s v="1004"/>
        <s v="1005"/>
        <s v="1006"/>
        <s v="1007"/>
        <s v="1008"/>
        <s v="1009"/>
        <s v="101"/>
        <s v="1010"/>
        <s v="1011"/>
        <s v="1012"/>
        <s v="1013"/>
        <s v="1014"/>
        <s v="1015"/>
        <s v="1016"/>
        <s v="1017"/>
        <s v="1018"/>
        <s v="1019"/>
        <s v="102"/>
        <s v="1020"/>
        <s v="1021"/>
        <s v="1022"/>
        <s v="1023"/>
        <s v="1024"/>
        <s v="1025"/>
        <s v="1026"/>
        <s v="1027"/>
        <s v="1028"/>
        <s v="1029"/>
        <s v="103"/>
        <s v="1030"/>
        <s v="1031"/>
        <s v="1032"/>
        <s v="1033"/>
        <s v="1034"/>
        <s v="1035"/>
        <s v="1036"/>
        <s v="1037"/>
        <s v="1038"/>
        <s v="1039"/>
        <s v="104"/>
        <s v="1040"/>
        <s v="1041"/>
        <s v="1042"/>
        <s v="1043"/>
        <s v="1044"/>
        <s v="1045"/>
        <s v="1046"/>
        <s v="1047"/>
        <s v="1048"/>
        <s v="1049"/>
        <s v="105"/>
        <s v="1050"/>
        <s v="1051"/>
        <s v="1052"/>
        <s v="1053"/>
        <s v="1054"/>
        <s v="1055"/>
        <s v="1056"/>
        <s v="1057"/>
        <s v="1058"/>
        <s v="1059"/>
        <s v="106"/>
        <s v="1060"/>
        <s v="1061"/>
        <s v="1062"/>
        <s v="1063"/>
        <s v="1064"/>
        <s v="1065"/>
        <s v="1066"/>
        <s v="1067"/>
        <s v="1068"/>
        <s v="1069"/>
        <s v="107"/>
        <s v="1070"/>
        <s v="1071"/>
        <s v="1072"/>
        <s v="1073"/>
        <s v="1074"/>
        <s v="1075"/>
        <s v="1076"/>
        <s v="1077"/>
        <s v="1078"/>
        <s v="1079"/>
        <s v="108"/>
        <s v="1080"/>
        <s v="1081"/>
        <s v="1082"/>
        <s v="1083"/>
        <s v="1084"/>
        <s v="1085"/>
        <s v="1086"/>
        <s v="1087"/>
        <s v="1088"/>
        <s v="1089"/>
        <s v="109"/>
        <s v="1090"/>
        <s v="1091"/>
        <s v="1092"/>
        <s v="1093"/>
        <s v="1094"/>
        <s v="1095"/>
        <s v="1096"/>
        <s v="1097"/>
        <s v="1098"/>
        <s v="1099"/>
        <s v="11"/>
        <s v="110"/>
        <s v="1100"/>
        <s v="1101"/>
        <s v="1102"/>
        <s v="1103"/>
        <s v="1104"/>
        <s v="1105"/>
        <s v="1106"/>
        <s v="1107"/>
        <s v="1108"/>
        <s v="1109"/>
        <s v="111"/>
        <s v="1110"/>
        <s v="1111"/>
        <s v="1112"/>
        <s v="1113"/>
        <s v="1114"/>
        <s v="1115"/>
        <s v="1116"/>
        <s v="1117"/>
        <s v="1118"/>
        <s v="1119"/>
        <s v="112"/>
        <s v="1120"/>
        <s v="1121"/>
        <s v="1122"/>
        <s v="1123"/>
        <s v="1124"/>
        <s v="1125"/>
        <s v="1126"/>
        <s v="1127"/>
        <s v="1128"/>
        <s v="1129"/>
        <s v="113"/>
        <s v="1130"/>
        <s v="1131"/>
        <s v="1132"/>
        <s v="1133"/>
        <s v="1134"/>
        <s v="1135"/>
        <s v="1136"/>
        <s v="1137"/>
        <s v="1138"/>
        <s v="1139"/>
        <s v="114"/>
        <s v="1140"/>
        <s v="1141"/>
        <s v="1142"/>
        <s v="1143"/>
        <s v="1144"/>
        <s v="1145"/>
        <s v="1146"/>
        <s v="1147"/>
        <s v="1148"/>
        <s v="1149"/>
        <s v="115"/>
        <s v="1150"/>
        <s v="1151"/>
        <s v="1152"/>
        <s v="1153"/>
        <s v="1154"/>
        <s v="1155"/>
        <s v="1156"/>
        <s v="1157"/>
        <s v="1158"/>
        <s v="1159"/>
        <s v="116"/>
        <s v="1160"/>
        <s v="1161"/>
        <s v="1162"/>
        <s v="1163"/>
        <s v="1164"/>
        <s v="1165"/>
        <s v="1166"/>
        <s v="1167"/>
        <s v="1168"/>
        <s v="1169"/>
        <s v="117"/>
        <s v="1170"/>
        <s v="1171"/>
        <s v="1172"/>
        <s v="1173"/>
        <s v="1174"/>
        <s v="1175"/>
        <s v="1176"/>
        <s v="1177"/>
        <s v="1178"/>
        <s v="1179"/>
        <s v="118"/>
        <s v="1180"/>
        <s v="1181"/>
        <s v="1182"/>
        <s v="1183"/>
        <s v="1184"/>
        <s v="1185"/>
        <s v="1186"/>
        <s v="1187"/>
        <s v="1188"/>
        <s v="1189"/>
        <s v="119"/>
        <s v="1190"/>
        <s v="1191"/>
        <s v="1192"/>
        <s v="1193"/>
        <s v="1194"/>
        <s v="1195"/>
        <s v="1196"/>
        <s v="1197"/>
        <s v="1198"/>
        <s v="1199"/>
        <s v="12"/>
        <s v="120"/>
        <s v="1200"/>
        <s v="1201"/>
        <s v="1202"/>
        <s v="1203"/>
        <s v="1204"/>
        <s v="1205"/>
        <s v="1206"/>
        <s v="1207"/>
        <s v="1208"/>
        <s v="1209"/>
        <s v="121"/>
        <s v="1210"/>
        <s v="1211"/>
        <s v="1212"/>
        <s v="1213"/>
        <s v="1214"/>
        <s v="1215"/>
        <s v="1216"/>
        <s v="1217"/>
        <s v="1218"/>
        <s v="1219"/>
        <s v="122"/>
        <s v="1220"/>
        <s v="1221"/>
        <s v="1222"/>
        <s v="1223"/>
        <s v="1224"/>
        <s v="1225"/>
        <s v="1226"/>
        <s v="1227"/>
        <s v="1228"/>
        <s v="1229"/>
        <s v="123"/>
        <s v="1230"/>
        <s v="1231"/>
        <s v="1232"/>
        <s v="1233"/>
        <s v="1234"/>
        <s v="1235"/>
        <s v="1236"/>
        <s v="1237"/>
        <s v="1238"/>
        <s v="1239"/>
        <s v="124"/>
        <s v="1240"/>
        <s v="1241"/>
        <s v="1242"/>
        <s v="1243"/>
        <s v="1244"/>
        <s v="1245"/>
        <s v="1246"/>
        <s v="1247"/>
        <s v="1248"/>
        <s v="1249"/>
        <s v="125"/>
        <s v="1250"/>
        <s v="1251"/>
        <s v="1252"/>
        <s v="1253"/>
        <s v="1254"/>
        <s v="1255"/>
        <s v="1256"/>
        <s v="1257"/>
        <s v="1258"/>
        <s v="1259"/>
        <s v="126"/>
        <s v="1260"/>
        <s v="1261"/>
        <s v="1262"/>
        <s v="1263"/>
        <s v="1264"/>
        <s v="1265"/>
        <s v="1266"/>
        <s v="1267"/>
        <s v="1268"/>
        <s v="1269"/>
        <s v="127"/>
        <s v="1270"/>
        <s v="1271"/>
        <s v="1272"/>
        <s v="1273"/>
        <s v="1274"/>
        <s v="1275"/>
        <s v="1276"/>
        <s v="1277"/>
        <s v="1278"/>
        <s v="1279"/>
        <s v="128"/>
        <s v="1280"/>
        <s v="1281"/>
        <s v="1282"/>
        <s v="1283"/>
        <s v="1284"/>
        <s v="1285"/>
        <s v="1286"/>
        <s v="1287"/>
        <s v="1288"/>
        <s v="1289"/>
        <s v="129"/>
        <s v="1290"/>
        <s v="1291"/>
        <s v="1292"/>
        <s v="1293"/>
        <s v="1294"/>
        <s v="1295"/>
        <s v="1296"/>
        <s v="1297"/>
        <s v="1298"/>
        <s v="1299"/>
        <s v="13"/>
        <s v="130"/>
        <s v="1300"/>
        <s v="1301"/>
        <s v="1302"/>
        <s v="1303"/>
        <s v="1304"/>
        <s v="1305"/>
        <s v="1306"/>
        <s v="1307"/>
        <s v="1308"/>
        <s v="1309"/>
        <s v="131"/>
        <s v="1310"/>
        <s v="1311"/>
        <s v="1312"/>
        <s v="1313"/>
        <s v="1314"/>
        <s v="1315"/>
        <s v="1316"/>
        <s v="1317"/>
        <s v="1318"/>
        <s v="1319"/>
        <s v="132"/>
        <s v="1320"/>
        <s v="1321"/>
        <s v="1322"/>
        <s v="1323"/>
        <s v="1324"/>
        <s v="1325"/>
        <s v="1326"/>
        <s v="1327"/>
        <s v="1328"/>
        <s v="1329"/>
        <s v="133"/>
        <s v="1330"/>
        <s v="1331"/>
        <s v="1332"/>
        <s v="1333"/>
        <s v="1334"/>
        <s v="1335"/>
        <s v="1336"/>
        <s v="1337"/>
        <s v="1338"/>
        <s v="1339"/>
        <s v="134"/>
        <s v="1340"/>
        <s v="1341"/>
        <s v="1342"/>
        <s v="1343"/>
        <s v="1344"/>
        <s v="1345"/>
        <s v="1346"/>
        <s v="1347"/>
        <s v="1348"/>
        <s v="1349"/>
        <s v="135"/>
        <s v="1350"/>
        <s v="1351"/>
        <s v="1352"/>
        <s v="1353"/>
        <s v="1354"/>
        <s v="1355"/>
        <s v="1356"/>
        <s v="1357"/>
        <s v="1358"/>
        <s v="1359"/>
        <s v="136"/>
        <s v="1360"/>
        <s v="1361"/>
        <s v="1362"/>
        <s v="1363"/>
        <s v="1364"/>
        <s v="1365"/>
        <s v="1366"/>
        <s v="1367"/>
        <s v="1368"/>
        <s v="1369"/>
        <s v="137"/>
        <s v="1370"/>
        <s v="1371"/>
        <s v="1372"/>
        <s v="1373"/>
        <s v="1374"/>
        <s v="1375"/>
        <s v="1376"/>
        <s v="1377"/>
        <s v="1378"/>
        <s v="1379"/>
        <s v="138"/>
        <s v="1380"/>
        <s v="1381"/>
        <s v="1382"/>
        <s v="1383"/>
        <s v="1384"/>
        <s v="1385"/>
        <s v="1386"/>
        <s v="1387"/>
        <s v="1388"/>
        <s v="1389"/>
        <s v="139"/>
        <s v="1390"/>
        <s v="1391"/>
        <s v="1392"/>
        <s v="1393"/>
        <s v="1394"/>
        <s v="1395"/>
        <s v="1396"/>
        <s v="1397"/>
        <s v="1398"/>
        <s v="1399"/>
        <s v="14"/>
        <s v="140"/>
        <s v="1400"/>
        <s v="1401"/>
        <s v="1402"/>
        <s v="1403"/>
        <s v="1404"/>
        <s v="1405"/>
        <s v="1406"/>
        <s v="1407"/>
        <s v="1408"/>
        <s v="1409"/>
        <s v="141"/>
        <s v="1410"/>
        <s v="1411"/>
        <s v="1412"/>
        <s v="1413"/>
        <s v="1414"/>
        <s v="1415"/>
        <s v="1416"/>
        <s v="1417"/>
        <s v="1418"/>
        <s v="1419"/>
        <s v="142"/>
        <s v="1420"/>
        <s v="1421"/>
        <s v="1422"/>
        <s v="1423"/>
        <s v="1424"/>
        <s v="1425"/>
        <s v="1426"/>
        <s v="1427"/>
        <s v="1428"/>
        <s v="1429"/>
        <s v="143"/>
        <s v="1430"/>
        <s v="1431"/>
        <s v="1432"/>
        <s v="1433"/>
        <s v="1434"/>
        <s v="1435"/>
        <s v="1436"/>
        <s v="1437"/>
        <s v="1438"/>
        <s v="1439"/>
        <s v="144"/>
        <s v="1440"/>
        <s v="1441"/>
        <s v="1442"/>
        <s v="1443"/>
        <s v="1444"/>
        <s v="1445"/>
        <s v="1446"/>
        <s v="1447"/>
        <s v="1448"/>
        <s v="1449"/>
        <s v="145"/>
        <s v="1450"/>
        <s v="1451"/>
        <s v="1452"/>
        <s v="1453"/>
        <s v="1454"/>
        <s v="1455"/>
        <s v="1456"/>
        <s v="1457"/>
        <s v="1458"/>
        <s v="1459"/>
        <s v="146"/>
        <s v="1460"/>
        <s v="1461"/>
        <s v="1462"/>
        <s v="1463"/>
        <s v="1464"/>
        <s v="1465"/>
        <s v="1466"/>
        <s v="1467"/>
        <s v="1468"/>
        <s v="1469"/>
        <s v="147"/>
        <s v="1470"/>
        <s v="1471"/>
        <s v="1472"/>
        <s v="1473"/>
        <s v="1474"/>
        <s v="1475"/>
        <s v="1476"/>
        <s v="1477"/>
        <s v="1478"/>
        <s v="1479"/>
        <s v="148"/>
        <s v="1480"/>
        <s v="1481"/>
        <s v="1482"/>
        <s v="1483"/>
        <s v="1484"/>
        <s v="1485"/>
        <s v="1486"/>
        <s v="1487"/>
        <s v="1488"/>
        <s v="1489"/>
        <s v="149"/>
        <s v="1490"/>
        <s v="1491"/>
        <s v="1492"/>
        <s v="1493"/>
        <s v="1494"/>
        <s v="1495"/>
        <s v="1496"/>
        <s v="1497"/>
        <s v="1498"/>
        <s v="1499"/>
        <s v="15"/>
        <s v="150"/>
        <s v="1500"/>
        <s v="1501"/>
        <s v="1502"/>
        <s v="1503"/>
        <s v="1504"/>
        <s v="1505"/>
        <s v="1506"/>
        <s v="1507"/>
        <s v="1508"/>
        <s v="1509"/>
        <s v="151"/>
        <s v="1510"/>
        <s v="1511"/>
        <s v="1512"/>
        <s v="1513"/>
        <s v="1514"/>
        <s v="1515"/>
        <s v="1516"/>
        <s v="1517"/>
        <s v="1518"/>
        <s v="1519"/>
        <s v="152"/>
        <s v="1520"/>
        <s v="1521"/>
        <s v="1522"/>
        <s v="1523"/>
        <s v="1524"/>
        <s v="1525"/>
        <s v="1526"/>
        <s v="1527"/>
        <s v="1528"/>
        <s v="1529"/>
        <s v="153"/>
        <s v="1530"/>
        <s v="1531"/>
        <s v="1532"/>
        <s v="1533"/>
        <s v="1534"/>
        <s v="1535"/>
        <s v="1536"/>
        <s v="1537"/>
        <s v="1538"/>
        <s v="1539"/>
        <s v="154"/>
        <s v="1540"/>
        <s v="1541"/>
        <s v="1542"/>
        <s v="1543"/>
        <s v="1544"/>
        <s v="1545"/>
        <s v="1546"/>
        <s v="1547"/>
        <s v="1548"/>
        <s v="1549"/>
        <s v="155"/>
        <s v="1550"/>
        <s v="1551"/>
        <s v="1552"/>
        <s v="1553"/>
        <s v="1554"/>
        <s v="1555"/>
        <s v="1556"/>
        <s v="1557"/>
        <s v="1558"/>
        <s v="1559"/>
        <s v="156"/>
        <s v="1560"/>
        <s v="1561"/>
        <s v="1562"/>
        <s v="1563"/>
        <s v="1564"/>
        <s v="1565"/>
        <s v="1566"/>
        <s v="1567"/>
        <s v="1568"/>
        <s v="1569"/>
        <s v="157"/>
        <s v="1570"/>
        <s v="1571"/>
        <s v="1572"/>
        <s v="1573"/>
        <s v="1574"/>
        <s v="1575"/>
        <s v="1576"/>
        <s v="1577"/>
        <s v="1578"/>
        <s v="1579"/>
        <s v="158"/>
        <s v="1580"/>
        <s v="1581"/>
        <s v="1582"/>
        <s v="1583"/>
        <s v="1584"/>
        <s v="1585"/>
        <s v="1586"/>
        <s v="1587"/>
        <s v="1588"/>
        <s v="1589"/>
        <s v="159"/>
        <s v="1590"/>
        <s v="1591"/>
        <s v="1592"/>
        <s v="1593"/>
        <s v="1594"/>
        <s v="1595"/>
        <s v="1596"/>
        <s v="1597"/>
        <s v="1598"/>
        <s v="1599"/>
        <s v="16"/>
        <s v="160"/>
        <s v="1600"/>
        <s v="1601"/>
        <s v="1602"/>
        <s v="1603"/>
        <s v="1604"/>
        <s v="1605"/>
        <s v="1606"/>
        <s v="1607"/>
        <s v="1608"/>
        <s v="1609"/>
        <s v="161"/>
        <s v="1610"/>
        <s v="1611"/>
        <s v="1612"/>
        <s v="1613"/>
        <s v="1614"/>
        <s v="1615"/>
        <s v="1616"/>
        <s v="1617"/>
        <s v="1618"/>
        <s v="1619"/>
        <s v="162"/>
        <s v="1620"/>
        <s v="1621"/>
        <s v="1622"/>
        <s v="1623"/>
        <s v="1624"/>
        <s v="1625"/>
        <s v="1626"/>
        <s v="1627"/>
        <s v="1628"/>
        <s v="1629"/>
        <s v="163"/>
        <s v="1630"/>
        <s v="1631"/>
        <s v="1632"/>
        <s v="1633"/>
        <s v="1634"/>
        <s v="1635"/>
        <s v="1636"/>
        <s v="1637"/>
        <s v="1638"/>
        <s v="1639"/>
        <s v="164"/>
        <s v="1640"/>
        <s v="1641"/>
        <s v="1642"/>
        <s v="1643"/>
        <s v="1644"/>
        <s v="1645"/>
        <s v="1646"/>
        <s v="1647"/>
        <s v="1648"/>
        <s v="1649"/>
        <s v="165"/>
        <s v="1650"/>
        <s v="1651"/>
        <s v="1652"/>
        <s v="1653"/>
        <s v="1654"/>
        <s v="1655"/>
        <s v="1656"/>
        <s v="1657"/>
        <s v="1658"/>
        <s v="1659"/>
        <s v="166"/>
        <s v="1660"/>
        <s v="1661"/>
        <s v="1662"/>
        <s v="1663"/>
        <s v="1664"/>
        <s v="1665"/>
        <s v="1666"/>
        <s v="1667"/>
        <s v="1668"/>
        <s v="1669"/>
        <s v="167"/>
        <s v="1670"/>
        <s v="1671"/>
        <s v="1672"/>
        <s v="1673"/>
        <s v="1674"/>
        <s v="1675"/>
        <s v="1676"/>
        <s v="1677"/>
        <s v="1678"/>
        <s v="1679"/>
        <s v="168"/>
        <s v="1680"/>
        <s v="1681"/>
        <s v="1682"/>
        <s v="1683"/>
        <s v="1684"/>
        <s v="1685"/>
        <s v="1686"/>
        <s v="1687"/>
        <s v="1688"/>
        <s v="1689"/>
        <s v="169"/>
        <s v="1690"/>
        <s v="1691"/>
        <s v="1692"/>
        <s v="1693"/>
        <s v="1694"/>
        <s v="1695"/>
        <s v="1696"/>
        <s v="1697"/>
        <s v="1698"/>
        <s v="1699"/>
        <s v="17"/>
        <s v="170"/>
        <s v="1700"/>
        <s v="1701"/>
        <s v="1702"/>
        <s v="1703"/>
        <s v="1704"/>
        <s v="1705"/>
        <s v="1706"/>
        <s v="1707"/>
        <s v="1708"/>
        <s v="1709"/>
        <s v="171"/>
        <s v="1710"/>
        <s v="1711"/>
        <s v="1712"/>
        <s v="1713"/>
        <s v="1714"/>
        <s v="1715"/>
        <s v="1716"/>
        <s v="1717"/>
        <s v="1718"/>
        <s v="1719"/>
        <s v="172"/>
        <s v="1720"/>
        <s v="1721"/>
        <s v="1722"/>
        <s v="1723"/>
        <s v="1724"/>
        <s v="1725"/>
        <s v="1726"/>
        <s v="1727"/>
        <s v="1728"/>
        <s v="1729"/>
        <s v="173"/>
        <s v="1730"/>
        <s v="1731"/>
        <s v="1732"/>
        <s v="1733"/>
        <s v="1734"/>
        <s v="1735"/>
        <s v="1736"/>
        <s v="1737"/>
        <s v="1738"/>
        <s v="1739"/>
        <s v="174"/>
        <s v="1740"/>
        <s v="1741"/>
        <s v="1742"/>
        <s v="1743"/>
        <s v="1744"/>
        <s v="1745"/>
        <s v="1746"/>
        <s v="1747"/>
        <s v="1748"/>
        <s v="1749"/>
        <s v="175"/>
        <s v="1750"/>
        <s v="1751"/>
        <s v="1752"/>
        <s v="1753"/>
        <s v="1754"/>
        <s v="1755"/>
        <s v="1756"/>
        <s v="1757"/>
        <s v="1758"/>
        <s v="1759"/>
        <s v="176"/>
        <s v="1760"/>
        <s v="1761"/>
        <s v="1762"/>
        <s v="1763"/>
        <s v="1764"/>
        <s v="1765"/>
        <s v="1766"/>
        <s v="1767"/>
        <s v="1768"/>
        <s v="1769"/>
        <s v="177"/>
        <s v="1770"/>
        <s v="1771"/>
        <s v="1772"/>
        <s v="1773"/>
        <s v="1774"/>
        <s v="1775"/>
        <s v="1776"/>
        <s v="1777"/>
        <s v="1778"/>
        <s v="1779"/>
        <s v="178"/>
        <s v="1780"/>
        <s v="1781"/>
        <s v="1782"/>
        <s v="1783"/>
        <s v="1784"/>
        <s v="1785"/>
        <s v="1786"/>
        <s v="1787"/>
        <s v="1788"/>
        <s v="1789"/>
        <s v="179"/>
        <s v="1790"/>
        <s v="1791"/>
        <s v="1792"/>
        <s v="1793"/>
        <s v="1794"/>
        <s v="1795"/>
        <s v="1796"/>
        <s v="1797"/>
        <s v="1798"/>
        <s v="1799"/>
        <s v="18"/>
        <s v="180"/>
        <s v="1800"/>
        <s v="1801"/>
        <s v="1802"/>
        <s v="1803"/>
        <s v="1804"/>
        <s v="1805"/>
        <s v="1806"/>
        <s v="1807"/>
        <s v="1808"/>
        <s v="1809"/>
        <s v="181"/>
        <s v="1810"/>
        <s v="1811"/>
        <s v="1812"/>
        <s v="1813"/>
        <s v="1814"/>
        <s v="1815"/>
        <s v="1816"/>
        <s v="1817"/>
        <s v="1818"/>
        <s v="1819"/>
        <s v="182"/>
        <s v="1820"/>
        <s v="1821"/>
        <s v="1822"/>
        <s v="1823"/>
        <s v="1824"/>
        <s v="1825"/>
        <s v="1826"/>
        <s v="1827"/>
        <s v="1828"/>
        <s v="1829"/>
        <s v="183"/>
        <s v="1830"/>
        <s v="1831"/>
        <s v="1832"/>
        <s v="1833"/>
        <s v="1834"/>
        <s v="1835"/>
        <s v="1836"/>
        <s v="1837"/>
        <s v="1838"/>
        <s v="1839"/>
        <s v="184"/>
        <s v="1840"/>
        <s v="1841"/>
        <s v="1842"/>
        <s v="1843"/>
        <s v="1844"/>
        <s v="1845"/>
        <s v="1846"/>
        <s v="1847"/>
        <s v="1848"/>
        <s v="1849"/>
        <s v="185"/>
        <s v="1850"/>
        <s v="1851"/>
        <s v="1852"/>
        <s v="1853"/>
        <s v="1854"/>
        <s v="1855"/>
        <s v="1856"/>
        <s v="1857"/>
        <s v="1858"/>
        <s v="1859"/>
        <s v="186"/>
        <s v="1860"/>
        <s v="1861"/>
        <s v="1862"/>
        <s v="1863"/>
        <s v="1864"/>
        <s v="1865"/>
        <s v="1866"/>
        <s v="1867"/>
        <s v="1868"/>
        <s v="1869"/>
        <s v="187"/>
        <s v="1870"/>
        <s v="1871"/>
        <s v="1872"/>
        <s v="1873"/>
        <s v="1874"/>
        <s v="1875"/>
        <s v="1876"/>
        <s v="1877"/>
        <s v="1878"/>
        <s v="1879"/>
        <s v="188"/>
        <s v="1880"/>
        <s v="1881"/>
        <s v="1882"/>
        <s v="1883"/>
        <s v="1884"/>
        <s v="1885"/>
        <s v="1886"/>
        <s v="1887"/>
        <s v="1888"/>
        <s v="1889"/>
        <s v="189"/>
        <s v="1890"/>
        <s v="1891"/>
        <s v="1892"/>
        <s v="1893"/>
        <s v="1894"/>
        <s v="1895"/>
        <s v="1896"/>
        <s v="1897"/>
        <s v="1898"/>
        <s v="1899"/>
        <s v="19"/>
        <s v="190"/>
        <s v="1900"/>
        <s v="1901"/>
        <s v="1902"/>
        <s v="1903"/>
        <s v="1904"/>
        <s v="1905"/>
        <s v="1906"/>
        <s v="1907"/>
        <s v="1908"/>
        <s v="1909"/>
        <s v="191"/>
        <s v="1910"/>
        <s v="1911"/>
        <s v="1912"/>
        <s v="1913"/>
        <s v="1914"/>
        <s v="1915"/>
        <s v="1916"/>
        <s v="1917"/>
        <s v="1918"/>
        <s v="1919"/>
        <s v="192"/>
        <s v="1920"/>
        <s v="1921"/>
        <s v="1922"/>
        <s v="1923"/>
        <s v="1924"/>
        <s v="1925"/>
        <s v="1926"/>
        <s v="1927"/>
        <s v="1928"/>
        <s v="1929"/>
        <s v="193"/>
        <s v="1930"/>
        <s v="1931"/>
        <s v="1932"/>
        <s v="1933"/>
        <s v="1934"/>
        <s v="1935"/>
        <s v="1936"/>
        <s v="1937"/>
        <s v="1938"/>
        <s v="1939"/>
        <s v="194"/>
        <s v="1940"/>
        <s v="1941"/>
        <s v="1942"/>
        <s v="1943"/>
        <s v="1944"/>
        <s v="1945"/>
        <s v="1946"/>
        <s v="1947"/>
        <s v="1948"/>
        <s v="1949"/>
        <s v="195"/>
        <s v="1950"/>
        <s v="1951"/>
        <s v="1952"/>
        <s v="1953"/>
        <s v="1954"/>
        <s v="1955"/>
        <s v="1956"/>
        <s v="1957"/>
        <s v="1958"/>
        <s v="1959"/>
        <s v="196"/>
        <s v="1960"/>
        <s v="1961"/>
        <s v="1962"/>
        <s v="1963"/>
        <s v="1964"/>
        <s v="1965"/>
        <s v="1966"/>
        <s v="1967"/>
        <s v="1968"/>
        <s v="197"/>
        <s v="198"/>
        <s v="199"/>
        <s v="2"/>
        <s v="20"/>
        <s v="200"/>
        <s v="201"/>
        <s v="202"/>
        <s v="203"/>
        <s v="204"/>
        <s v="205"/>
        <s v="206"/>
        <s v="207"/>
        <s v="208"/>
        <s v="209"/>
        <s v="21"/>
        <s v="210"/>
        <s v="211"/>
        <s v="212"/>
        <s v="213"/>
        <s v="214"/>
        <s v="215"/>
        <s v="216"/>
        <s v="217"/>
        <s v="218"/>
        <s v="219"/>
        <s v="22"/>
        <s v="220"/>
        <s v="221"/>
        <s v="222"/>
        <s v="223"/>
        <s v="224"/>
        <s v="225"/>
        <s v="226"/>
        <s v="227"/>
        <s v="228"/>
        <s v="229"/>
        <s v="23"/>
        <s v="230"/>
        <s v="231"/>
        <s v="232"/>
        <s v="233"/>
        <s v="234"/>
        <s v="235"/>
        <s v="236"/>
        <s v="237"/>
        <s v="238"/>
        <s v="239"/>
        <s v="24"/>
        <s v="240"/>
        <s v="241"/>
        <s v="242"/>
        <s v="243"/>
        <s v="244"/>
        <s v="245"/>
        <s v="246"/>
        <s v="247"/>
        <s v="248"/>
        <s v="249"/>
        <s v="25"/>
        <s v="250"/>
        <s v="251"/>
        <s v="252"/>
        <s v="253"/>
        <s v="254"/>
        <s v="255"/>
        <s v="256"/>
        <s v="257"/>
        <s v="258"/>
        <s v="259"/>
        <s v="26"/>
        <s v="260"/>
        <s v="261"/>
        <s v="262"/>
        <s v="263"/>
        <s v="264"/>
        <s v="265"/>
        <s v="266"/>
        <s v="267"/>
        <s v="268"/>
        <s v="269"/>
        <s v="27"/>
        <s v="270"/>
        <s v="271"/>
        <s v="272"/>
        <s v="273"/>
        <s v="274"/>
        <s v="275"/>
        <s v="276"/>
        <s v="277"/>
        <s v="278"/>
        <s v="279"/>
        <s v="28"/>
        <s v="280"/>
        <s v="281"/>
        <s v="282"/>
        <s v="283"/>
        <s v="284"/>
        <s v="285"/>
        <s v="286"/>
        <s v="287"/>
        <s v="288"/>
        <s v="289"/>
        <s v="29"/>
        <s v="290"/>
        <s v="291"/>
        <s v="292"/>
        <s v="293"/>
        <s v="294"/>
        <s v="295"/>
        <s v="296"/>
        <s v="297"/>
        <s v="298"/>
        <s v="299"/>
        <s v="3"/>
        <s v="30"/>
        <s v="300"/>
        <s v="301"/>
        <s v="302"/>
        <s v="303"/>
        <s v="304"/>
        <s v="305"/>
        <s v="306"/>
        <s v="307"/>
        <s v="308"/>
        <s v="309"/>
        <s v="31"/>
        <s v="310"/>
        <s v="311"/>
        <s v="312"/>
        <s v="313"/>
        <s v="314"/>
        <s v="315"/>
        <s v="316"/>
        <s v="317"/>
        <s v="318"/>
        <s v="319"/>
        <s v="32"/>
        <s v="320"/>
        <s v="321"/>
        <s v="322"/>
        <s v="323"/>
        <s v="324"/>
        <s v="325"/>
        <s v="326"/>
        <s v="327"/>
        <s v="328"/>
        <s v="329"/>
        <s v="33"/>
        <s v="330"/>
        <s v="331"/>
        <s v="332"/>
        <s v="333"/>
        <s v="334"/>
        <s v="335"/>
        <s v="336"/>
        <s v="337"/>
        <s v="338"/>
        <s v="339"/>
        <s v="34"/>
        <s v="340"/>
        <s v="341"/>
        <s v="342"/>
        <s v="343"/>
        <s v="344"/>
        <s v="345"/>
        <s v="346"/>
        <s v="347"/>
        <s v="348"/>
        <s v="349"/>
        <s v="35"/>
        <s v="350"/>
        <s v="351"/>
        <s v="352"/>
        <s v="353"/>
        <s v="354"/>
        <s v="355"/>
        <s v="356"/>
        <s v="357"/>
        <s v="358"/>
        <s v="359"/>
        <s v="36"/>
        <s v="360"/>
        <s v="361"/>
        <s v="362"/>
        <s v="363"/>
        <s v="364"/>
        <s v="365"/>
        <s v="366"/>
        <s v="367"/>
        <s v="368"/>
        <s v="369"/>
        <s v="37"/>
        <s v="370"/>
        <s v="371"/>
        <s v="372"/>
        <s v="373"/>
        <s v="374"/>
        <s v="375"/>
        <s v="376"/>
        <s v="377"/>
        <s v="378"/>
        <s v="379"/>
        <s v="38"/>
        <s v="380"/>
        <s v="381"/>
        <s v="382"/>
        <s v="383"/>
        <s v="384"/>
        <s v="385"/>
        <s v="386"/>
        <s v="387"/>
        <s v="388"/>
        <s v="389"/>
        <s v="39"/>
        <s v="390"/>
        <s v="391"/>
        <s v="392"/>
        <s v="393"/>
        <s v="394"/>
        <s v="395"/>
        <s v="396"/>
        <s v="397"/>
        <s v="398"/>
        <s v="399"/>
        <s v="4"/>
        <s v="40"/>
        <s v="400"/>
        <s v="401"/>
        <s v="402"/>
        <s v="403"/>
        <s v="404"/>
        <s v="405"/>
        <s v="406"/>
        <s v="407"/>
        <s v="408"/>
        <s v="409"/>
        <s v="41"/>
        <s v="410"/>
        <s v="411"/>
        <s v="412"/>
        <s v="413"/>
        <s v="414"/>
        <s v="415"/>
        <s v="416"/>
        <s v="417"/>
        <s v="418"/>
        <s v="419"/>
        <s v="42"/>
        <s v="420"/>
        <s v="421"/>
        <s v="422"/>
        <s v="423"/>
        <s v="424"/>
        <s v="425"/>
        <s v="426"/>
        <s v="427"/>
        <s v="428"/>
        <s v="429"/>
        <s v="43"/>
        <s v="430"/>
        <s v="431"/>
        <s v="432"/>
        <s v="433"/>
        <s v="434"/>
        <s v="435"/>
        <s v="436"/>
        <s v="437"/>
        <s v="438"/>
        <s v="439"/>
        <s v="44"/>
        <s v="440"/>
        <s v="441"/>
        <s v="442"/>
        <s v="443"/>
        <s v="444"/>
        <s v="445"/>
        <s v="446"/>
        <s v="447"/>
        <s v="448"/>
        <s v="449"/>
        <s v="45"/>
        <s v="450"/>
        <s v="451"/>
        <s v="452"/>
        <s v="453"/>
        <s v="454"/>
        <s v="455"/>
        <s v="456"/>
        <s v="457"/>
        <s v="458"/>
        <s v="459"/>
        <s v="46"/>
        <s v="460"/>
        <s v="461"/>
        <s v="462"/>
        <s v="463"/>
        <s v="464"/>
        <s v="465"/>
        <s v="466"/>
        <s v="467"/>
        <s v="468"/>
        <s v="469"/>
        <s v="47"/>
        <s v="470"/>
        <s v="471"/>
        <s v="472"/>
        <s v="473"/>
        <s v="474"/>
        <s v="475"/>
        <s v="476"/>
        <s v="477"/>
        <s v="478"/>
        <s v="479"/>
        <s v="48"/>
        <s v="480"/>
        <s v="481"/>
        <s v="482"/>
        <s v="483"/>
        <s v="484"/>
        <s v="485"/>
        <s v="486"/>
        <s v="487"/>
        <s v="488"/>
        <s v="489"/>
        <s v="49"/>
        <s v="490"/>
        <s v="491"/>
        <s v="492"/>
        <s v="493"/>
        <s v="494"/>
        <s v="495"/>
        <s v="496"/>
        <s v="497"/>
        <s v="498"/>
        <s v="499"/>
        <s v="5"/>
        <s v="50"/>
        <s v="500"/>
        <s v="501"/>
        <s v="502"/>
        <s v="503"/>
        <s v="504"/>
        <s v="505"/>
        <s v="506"/>
        <s v="507"/>
        <s v="508"/>
        <s v="509"/>
        <s v="51"/>
        <s v="510"/>
        <s v="511"/>
        <s v="512"/>
        <s v="513"/>
        <s v="514"/>
        <s v="515"/>
        <s v="516"/>
        <s v="517"/>
        <s v="518"/>
        <s v="519"/>
        <s v="52"/>
        <s v="520"/>
        <s v="521"/>
        <s v="522"/>
        <s v="523"/>
        <s v="524"/>
        <s v="525"/>
        <s v="526"/>
        <s v="527"/>
        <s v="528"/>
        <s v="529"/>
        <s v="53"/>
        <s v="530"/>
        <s v="531"/>
        <s v="532"/>
        <s v="533"/>
        <s v="534"/>
        <s v="535"/>
        <s v="536"/>
        <s v="537"/>
        <s v="538"/>
        <s v="539"/>
        <s v="54"/>
        <s v="540"/>
        <s v="541"/>
        <s v="542"/>
        <s v="543"/>
        <s v="544"/>
        <s v="545"/>
        <s v="546"/>
        <s v="547"/>
        <s v="548"/>
        <s v="549"/>
        <s v="55"/>
        <s v="550"/>
        <s v="551"/>
        <s v="552"/>
        <s v="553"/>
        <s v="554"/>
        <s v="555"/>
        <s v="556"/>
        <s v="557"/>
        <s v="558"/>
        <s v="559"/>
        <s v="56"/>
        <s v="560"/>
        <s v="561"/>
        <s v="562"/>
        <s v="563"/>
        <s v="564"/>
        <s v="565"/>
        <s v="566"/>
        <s v="567"/>
        <s v="568"/>
        <s v="569"/>
        <s v="57"/>
        <s v="570"/>
        <s v="571"/>
        <s v="572"/>
        <s v="573"/>
        <s v="574"/>
        <s v="575"/>
        <s v="576"/>
        <s v="577"/>
        <s v="578"/>
        <s v="579"/>
        <s v="58"/>
        <s v="580"/>
        <s v="581"/>
        <s v="582"/>
        <s v="583"/>
        <s v="584"/>
        <s v="585"/>
        <s v="586"/>
        <s v="587"/>
        <s v="588"/>
        <s v="589"/>
        <s v="59"/>
        <s v="590"/>
        <s v="591"/>
        <s v="592"/>
        <s v="593"/>
        <s v="594"/>
        <s v="595"/>
        <s v="596"/>
        <s v="597"/>
        <s v="598"/>
        <s v="599"/>
        <s v="6"/>
        <s v="60"/>
        <s v="600"/>
        <s v="601"/>
        <s v="602"/>
        <s v="603"/>
        <s v="604"/>
        <s v="605"/>
        <s v="606"/>
        <s v="607"/>
        <s v="608"/>
        <s v="609"/>
        <s v="61"/>
        <s v="610"/>
        <s v="611"/>
        <s v="612"/>
        <s v="613"/>
        <s v="614"/>
        <s v="615"/>
        <s v="616"/>
        <s v="617"/>
        <s v="618"/>
        <s v="619"/>
        <s v="62"/>
        <s v="620"/>
        <s v="621"/>
        <s v="622"/>
        <s v="623"/>
        <s v="624"/>
        <s v="625"/>
        <s v="626"/>
        <s v="627"/>
        <s v="628"/>
        <s v="629"/>
        <s v="63"/>
        <s v="630"/>
        <s v="631"/>
        <s v="632"/>
        <s v="633"/>
        <s v="634"/>
        <s v="635"/>
        <s v="636"/>
        <s v="637"/>
        <s v="638"/>
        <s v="639"/>
        <s v="64"/>
        <s v="640"/>
        <s v="641"/>
        <s v="642"/>
        <s v="643"/>
        <s v="644"/>
        <s v="645"/>
        <s v="646"/>
        <s v="647"/>
        <s v="648"/>
        <s v="649"/>
        <s v="65"/>
        <s v="650"/>
        <s v="651"/>
        <s v="652"/>
        <s v="653"/>
        <s v="654"/>
        <s v="655"/>
        <s v="656"/>
        <s v="657"/>
        <s v="658"/>
        <s v="659"/>
        <s v="66"/>
        <s v="660"/>
        <s v="661"/>
        <s v="662"/>
        <s v="663"/>
        <s v="664"/>
        <s v="665"/>
        <s v="666"/>
        <s v="667"/>
        <s v="668"/>
        <s v="669"/>
        <s v="67"/>
        <s v="670"/>
        <s v="671"/>
        <s v="672"/>
        <s v="673"/>
        <s v="674"/>
        <s v="675"/>
        <s v="676"/>
        <s v="677"/>
        <s v="678"/>
        <s v="679"/>
        <s v="68"/>
        <s v="680"/>
        <s v="681"/>
        <s v="682"/>
        <s v="683"/>
        <s v="684"/>
        <s v="685"/>
        <s v="686"/>
        <s v="687"/>
        <s v="688"/>
        <s v="689"/>
        <s v="69"/>
        <s v="690"/>
        <s v="691"/>
        <s v="692"/>
        <s v="693"/>
        <s v="694"/>
        <s v="695"/>
        <s v="696"/>
        <s v="697"/>
        <s v="698"/>
        <s v="699"/>
        <s v="7"/>
        <s v="70"/>
        <s v="700"/>
        <s v="701"/>
        <s v="702"/>
        <s v="703"/>
        <s v="704"/>
        <s v="705"/>
        <s v="706"/>
        <s v="707"/>
        <s v="708"/>
        <s v="709"/>
        <s v="71"/>
        <s v="710"/>
        <s v="711"/>
        <s v="712"/>
        <s v="713"/>
        <s v="714"/>
        <s v="715"/>
        <s v="716"/>
        <s v="717"/>
        <s v="718"/>
        <s v="719"/>
        <s v="72"/>
        <s v="720"/>
        <s v="721"/>
        <s v="722"/>
        <s v="723"/>
        <s v="724"/>
        <s v="725"/>
        <s v="726"/>
        <s v="727"/>
        <s v="728"/>
        <s v="729"/>
        <s v="73"/>
        <s v="730"/>
        <s v="731"/>
        <s v="732"/>
        <s v="733"/>
        <s v="734"/>
        <s v="735"/>
        <s v="736"/>
        <s v="737"/>
        <s v="738"/>
        <s v="739"/>
        <s v="74"/>
        <s v="740"/>
        <s v="741"/>
        <s v="742"/>
        <s v="743"/>
        <s v="744"/>
        <s v="745"/>
        <s v="746"/>
        <s v="747"/>
        <s v="748"/>
        <s v="749"/>
        <s v="75"/>
        <s v="750"/>
        <s v="751"/>
        <s v="752"/>
        <s v="753"/>
        <s v="754"/>
        <s v="755"/>
        <s v="756"/>
        <s v="757"/>
        <s v="758"/>
        <s v="759"/>
        <s v="76"/>
        <s v="760"/>
        <s v="761"/>
        <s v="762"/>
        <s v="763"/>
        <s v="764"/>
        <s v="765"/>
        <s v="766"/>
        <s v="767"/>
        <s v="768"/>
        <s v="769"/>
        <s v="77"/>
        <s v="770"/>
        <s v="771"/>
        <s v="772"/>
        <s v="773"/>
        <s v="774"/>
        <s v="775"/>
        <s v="776"/>
        <s v="777"/>
        <s v="778"/>
        <s v="779"/>
        <s v="78"/>
        <s v="780"/>
        <s v="781"/>
        <s v="782"/>
        <s v="783"/>
        <s v="784"/>
        <s v="785"/>
        <s v="786"/>
        <s v="787"/>
        <s v="788"/>
        <s v="789"/>
        <s v="79"/>
        <s v="790"/>
        <s v="791"/>
        <s v="792"/>
        <s v="793"/>
        <s v="794"/>
        <s v="795"/>
        <s v="796"/>
        <s v="797"/>
        <s v="798"/>
        <s v="799"/>
        <s v="8"/>
        <s v="80"/>
        <s v="800"/>
        <s v="801"/>
        <s v="802"/>
        <s v="803"/>
        <s v="804"/>
        <s v="805"/>
        <s v="806"/>
        <s v="807"/>
        <s v="808"/>
        <s v="809"/>
        <s v="81"/>
        <s v="810"/>
        <s v="811"/>
        <s v="812"/>
        <s v="813"/>
        <s v="814"/>
        <s v="815"/>
        <s v="816"/>
        <s v="817"/>
        <s v="818"/>
        <s v="819"/>
        <s v="82"/>
        <s v="820"/>
        <s v="821"/>
        <s v="822"/>
        <s v="823"/>
        <s v="824"/>
        <s v="825"/>
        <s v="826"/>
        <s v="827"/>
        <s v="828"/>
        <s v="829"/>
        <s v="83"/>
        <s v="830"/>
        <s v="831"/>
        <s v="832"/>
        <s v="833"/>
        <s v="834"/>
        <s v="835"/>
        <s v="836"/>
        <s v="837"/>
        <s v="838"/>
        <s v="839"/>
        <s v="84"/>
        <s v="840"/>
        <s v="841"/>
        <s v="842"/>
        <s v="843"/>
        <s v="844"/>
        <s v="845"/>
        <s v="846"/>
        <s v="847"/>
        <s v="848"/>
        <s v="849"/>
        <s v="85"/>
        <s v="850"/>
        <s v="851"/>
        <s v="852"/>
        <s v="853"/>
        <s v="854"/>
        <s v="855"/>
        <s v="856"/>
        <s v="857"/>
        <s v="858"/>
        <s v="859"/>
        <s v="86"/>
        <s v="860"/>
        <s v="861"/>
        <s v="862"/>
        <s v="863"/>
        <s v="864"/>
        <s v="865"/>
        <s v="866"/>
        <s v="867"/>
        <s v="868"/>
        <s v="869"/>
        <s v="87"/>
        <s v="870"/>
        <s v="871"/>
        <s v="872"/>
        <s v="873"/>
        <s v="874"/>
        <s v="875"/>
        <s v="876"/>
        <s v="877"/>
        <s v="878"/>
        <s v="879"/>
        <s v="88"/>
        <s v="880"/>
        <s v="881"/>
        <s v="882"/>
        <s v="883"/>
        <s v="884"/>
        <s v="885"/>
        <s v="886"/>
        <s v="887"/>
        <s v="888"/>
        <s v="889"/>
        <s v="89"/>
        <s v="890"/>
        <s v="891"/>
        <s v="892"/>
        <s v="893"/>
        <s v="894"/>
        <s v="895"/>
        <s v="896"/>
        <s v="897"/>
        <s v="898"/>
        <s v="899"/>
        <s v="9"/>
        <s v="90"/>
        <s v="900"/>
        <s v="901"/>
        <s v="902"/>
        <s v="903"/>
        <s v="904"/>
        <s v="905"/>
        <s v="906"/>
        <s v="907"/>
        <s v="908"/>
        <s v="909"/>
        <s v="91"/>
        <s v="910"/>
        <s v="911"/>
        <s v="912"/>
        <s v="913"/>
        <s v="914"/>
        <s v="915"/>
        <s v="916"/>
        <s v="917"/>
        <s v="918"/>
        <s v="919"/>
        <s v="92"/>
        <s v="920"/>
        <s v="921"/>
        <s v="922"/>
        <s v="923"/>
        <s v="924"/>
        <s v="925"/>
        <s v="926"/>
        <s v="927"/>
        <s v="928"/>
        <s v="929"/>
        <s v="93"/>
        <s v="930"/>
        <s v="931"/>
        <s v="932"/>
        <s v="933"/>
        <s v="934"/>
        <s v="935"/>
        <s v="936"/>
        <s v="937"/>
        <s v="938"/>
        <s v="939"/>
        <s v="94"/>
        <s v="940"/>
        <s v="941"/>
        <s v="942"/>
        <s v="943"/>
        <s v="944"/>
        <s v="945"/>
        <s v="946"/>
        <s v="947"/>
        <s v="948"/>
        <s v="949"/>
        <s v="95"/>
        <s v="950"/>
        <s v="951"/>
        <s v="952"/>
        <s v="953"/>
        <s v="954"/>
        <s v="955"/>
        <s v="956"/>
        <s v="957"/>
        <s v="958"/>
        <s v="959"/>
        <s v="96"/>
        <s v="960"/>
        <s v="961"/>
        <s v="962"/>
        <s v="963"/>
        <s v="964"/>
        <s v="965"/>
        <s v="966"/>
        <s v="967"/>
        <s v="968"/>
        <s v="969"/>
        <s v="97"/>
        <s v="970"/>
        <s v="971"/>
        <s v="972"/>
        <s v="973"/>
        <s v="974"/>
        <s v="975"/>
        <s v="976"/>
        <s v="977"/>
        <s v="978"/>
        <s v="979"/>
        <s v="98"/>
        <s v="980"/>
        <s v="981"/>
        <s v="982"/>
        <s v="983"/>
        <s v="984"/>
        <s v="985"/>
        <s v="986"/>
        <s v="987"/>
        <s v="988"/>
        <s v="989"/>
        <s v="99"/>
        <s v="990"/>
        <s v="991"/>
        <s v="992"/>
        <s v="993"/>
        <s v="994"/>
        <s v="995"/>
        <s v="996"/>
        <s v="997"/>
        <s v="998"/>
        <s v="999"/>
      </sharedItems>
    </cacheField>
    <cacheField name="設備編號" numFmtId="0">
      <sharedItems containsBlank="1" count="1953">
        <s v="AA300"/>
        <s v="AM065"/>
        <s v="AM743"/>
        <s v="AM744"/>
        <s v="AM745"/>
        <s v="AM746"/>
        <s v="AM748"/>
        <s v="AM749"/>
        <s v="AM750"/>
        <s v="AM754"/>
        <s v="AM901"/>
        <s v="AM902"/>
        <s v="AM903"/>
        <s v="AM904"/>
        <s v="AM905"/>
        <s v="AM906"/>
        <s v="AM907"/>
        <s v="AM909"/>
        <s v="AM910"/>
        <s v="AM911"/>
        <s v="AM912"/>
        <s v="AM913"/>
        <s v="AM914"/>
        <s v="AM915"/>
        <s v="AM916"/>
        <s v="AM917"/>
        <s v="AM918"/>
        <s v="AM919"/>
        <s v="AM920"/>
        <s v="AM921"/>
        <s v="AM922"/>
        <s v="AM923"/>
        <s v="AM924"/>
        <s v="AM925"/>
        <s v="AM926"/>
        <s v="AM927"/>
        <s v="AM928"/>
        <s v="AM929"/>
        <s v="AM930"/>
        <s v="AM931"/>
        <s v="AM932"/>
        <s v="AM933"/>
        <s v="AM934"/>
        <s v="AM935"/>
        <s v="AM936"/>
        <s v="AM937"/>
        <s v="AM939"/>
        <s v="AM940"/>
        <s v="AM941"/>
        <s v="AM943"/>
        <s v="AM944"/>
        <s v="AM946"/>
        <s v="AM947"/>
        <s v="AM948"/>
        <s v="AM949"/>
        <s v="AP079"/>
        <s v="AP080"/>
        <s v="AP434"/>
        <s v="AQ041"/>
        <s v="AQ042"/>
        <s v="AQ043"/>
        <s v="AQ044"/>
        <s v="AQ046"/>
        <s v="AQ047"/>
        <s v="AQ048"/>
        <s v="AQ049"/>
        <s v="AQ050"/>
        <s v="AQ052"/>
        <s v="AQ053"/>
        <s v="AQ054"/>
        <s v="AQ055"/>
        <s v="AQ056"/>
        <s v="AQ057"/>
        <s v="AQ058"/>
        <s v="AQ059"/>
        <s v="AQ060"/>
        <s v="AQ061"/>
        <s v="AQ062"/>
        <s v="AQ063"/>
        <s v="AQ064"/>
        <s v="AQ065"/>
        <s v="AQ066"/>
        <s v="AQ067"/>
        <s v="AQ068"/>
        <s v="AQ069"/>
        <s v="AQ070"/>
        <s v="AQ085"/>
        <s v="AQ086"/>
        <s v="AQ087"/>
        <s v="AQ088"/>
        <s v="AQ089"/>
        <s v="AQ090"/>
        <s v="AQ091"/>
        <s v="AQ092"/>
        <s v="AQ094"/>
        <s v="AQ096"/>
        <s v="AQ097"/>
        <s v="AQ098"/>
        <s v="AQ099"/>
        <s v="AQ100"/>
        <s v="AQ103"/>
        <s v="AQ104"/>
        <s v="AQ105"/>
        <s v="AQ106"/>
        <s v="AQ109"/>
        <s v="AQ110"/>
        <s v="AQ117"/>
        <s v="AQ122"/>
        <s v="AQ123"/>
        <s v="AQ124"/>
        <s v="AQ125"/>
        <s v="AQ126"/>
        <s v="AQ127"/>
        <s v="AQ137"/>
        <s v="AQ138"/>
        <s v="AQ142"/>
        <s v="AQ143"/>
        <s v="AQ144"/>
        <s v="AQ146"/>
        <s v="AQ147"/>
        <s v="AQ148"/>
        <s v="AQ151"/>
        <s v="AQ152"/>
        <s v="AQ153"/>
        <s v="AQ154"/>
        <s v="AQ155"/>
        <s v="AQ156"/>
        <s v="AQ157"/>
        <s v="AQ158"/>
        <s v="AQ159"/>
        <s v="AQ160"/>
        <s v="AQ162"/>
        <s v="AQ163"/>
        <s v="AQ164"/>
        <s v="AQ165"/>
        <s v="AQ168"/>
        <s v="AQ169"/>
        <s v="AQ170"/>
        <s v="AQ171"/>
        <s v="AQ172"/>
        <s v="AQ175"/>
        <s v="AQ176"/>
        <s v="AQ177"/>
        <s v="AQ178"/>
        <s v="AQ179"/>
        <s v="AQ180"/>
        <s v="AQ181"/>
        <s v="AQ183"/>
        <s v="AQ184"/>
        <s v="AQ185"/>
        <s v="AQ186"/>
        <s v="AQ187"/>
        <s v="AQ188"/>
        <s v="AQ189"/>
        <s v="AQ190"/>
        <s v="AQ193"/>
        <s v="AQ194"/>
        <s v="AQ195"/>
        <s v="AQ196"/>
        <s v="AQ201"/>
        <s v="AQ202"/>
        <s v="AQ203"/>
        <s v="AQ204"/>
        <s v="AQ205"/>
        <s v="AQ206"/>
        <s v="AQ207"/>
        <s v="AQ214"/>
        <s v="AQ215"/>
        <s v="AQ216"/>
        <s v="AQ217"/>
        <s v="AQ218"/>
        <s v="AQ219"/>
        <s v="AQ220"/>
        <s v="AQ221"/>
        <s v="AQ222"/>
        <s v="AQ223"/>
        <s v="AQ224"/>
        <s v="AQ225"/>
        <s v="AQ227"/>
        <s v="AQ228"/>
        <s v="AQ229"/>
        <s v="AQ230"/>
        <s v="AQ231"/>
        <s v="AQ232"/>
        <s v="AQ233"/>
        <s v="AQ234"/>
        <s v="AQ235"/>
        <s v="AQ236"/>
        <s v="AQ237"/>
        <s v="AQ238"/>
        <s v="AQ239"/>
        <s v="AQ241"/>
        <s v="AQ242"/>
        <s v="AQ243"/>
        <s v="AQ244"/>
        <s v="AQ245"/>
        <s v="AQ246"/>
        <s v="AQ247"/>
        <s v="AQ248"/>
        <s v="AQ249"/>
        <s v="AQ250"/>
        <s v="AQ251"/>
        <s v="AQ252"/>
        <s v="AQ253"/>
        <s v="AQ254"/>
        <s v="AQ255"/>
        <s v="AQ256"/>
        <s v="AQ257"/>
        <s v="AQ258"/>
        <s v="AQ259"/>
        <s v="AQ260"/>
        <s v="AQ261"/>
        <s v="AQ262"/>
        <s v="AQ263"/>
        <s v="AQ264"/>
        <s v="AQ265"/>
        <s v="AQ266"/>
        <s v="AQ267"/>
        <s v="AQ269"/>
        <s v="AQ270"/>
        <s v="AQ271"/>
        <s v="AQ272"/>
        <s v="AQ273"/>
        <s v="AQ274"/>
        <s v="AQ275"/>
        <s v="AQ276"/>
        <s v="AQ277"/>
        <s v="AQ278"/>
        <s v="AQ279"/>
        <s v="AQ280"/>
        <s v="AQ281"/>
        <s v="AQ282"/>
        <s v="AQ283"/>
        <s v="AQ284"/>
        <s v="AQ285"/>
        <s v="AQ286"/>
        <s v="AQ287"/>
        <s v="AQ288"/>
        <s v="AQ289"/>
        <s v="AQ290"/>
        <s v="AQ296"/>
        <s v="AQ297"/>
        <s v="AQ298"/>
        <s v="AQ299"/>
        <s v="AQ300"/>
        <s v="AQ301"/>
        <s v="AQ302"/>
        <s v="AQ303"/>
        <s v="AQ304"/>
        <s v="AQ305"/>
        <s v="AQ306"/>
        <s v="AQ307"/>
        <s v="AQ308"/>
        <s v="AQ309"/>
        <s v="AQ310"/>
        <s v="AQ311"/>
        <s v="AQ312"/>
        <s v="AQ313"/>
        <s v="AQ317"/>
        <s v="AQ318"/>
        <s v="AQ319"/>
        <s v="AQ320"/>
        <s v="AQ321"/>
        <s v="AQ322"/>
        <s v="AQ323"/>
        <s v="AQ324"/>
        <s v="AQ325"/>
        <s v="AQ326"/>
        <s v="AQ327"/>
        <s v="AQ328"/>
        <s v="AQ329"/>
        <s v="AQ330"/>
        <s v="AQ331"/>
        <s v="AQ332"/>
        <s v="AQ333"/>
        <s v="AQ334"/>
        <s v="AQ335"/>
        <s v="AQ336"/>
        <s v="AQ337"/>
        <s v="AQ338"/>
        <s v="AQ339"/>
        <s v="AQ340"/>
        <s v="AQ341"/>
        <s v="AQ342"/>
        <s v="AQ343"/>
        <s v="AQ344"/>
        <s v="AQ345"/>
        <s v="AQ346"/>
        <s v="AQ347"/>
        <s v="AQ348"/>
        <s v="AQ349"/>
        <s v="AQ350"/>
        <s v="AQ351"/>
        <s v="AQ352"/>
        <s v="AQ353"/>
        <s v="AQ354"/>
        <s v="AQ355"/>
        <s v="AQ356"/>
        <s v="AQ358"/>
        <s v="AQ359"/>
        <s v="AQ360"/>
        <s v="AQ361"/>
        <s v="AQ362"/>
        <s v="AQ363"/>
        <s v="AQ364"/>
        <s v="AQ365"/>
        <s v="AQ366"/>
        <s v="AQ367"/>
        <s v="AQ368"/>
        <s v="AQ369"/>
        <s v="AQ370"/>
        <s v="AQ371"/>
        <s v="AQ372"/>
        <s v="AQ373"/>
        <s v="AQ374"/>
        <s v="AQ375"/>
        <s v="AQ376"/>
        <s v="AQ377"/>
        <s v="AQ378"/>
        <s v="AQ379"/>
        <s v="AQ380"/>
        <s v="AQ381"/>
        <s v="AQ382"/>
        <s v="AQ383"/>
        <s v="AQ384"/>
        <s v="AQ385"/>
        <s v="AQ386"/>
        <s v="AQ387"/>
        <s v="AQ388"/>
        <s v="AQ389"/>
        <s v="AQ390"/>
        <s v="AQ391"/>
        <s v="AQ392"/>
        <s v="AQ394"/>
        <s v="AQ395"/>
        <s v="AQ396"/>
        <s v="AQ397"/>
        <s v="AQ398"/>
        <s v="AQ399"/>
        <s v="AQ400"/>
        <s v="AQ402"/>
        <s v="AQ403"/>
        <s v="AQ404"/>
        <s v="AQ405"/>
        <s v="AQ406"/>
        <s v="AQ407"/>
        <s v="AQ408"/>
        <s v="AQ410"/>
        <s v="AQ411"/>
        <s v="AQ412"/>
        <s v="AQ413"/>
        <s v="AQ414"/>
        <s v="AQ415"/>
        <s v="AQ416"/>
        <s v="AQ417"/>
        <s v="AQ418"/>
        <s v="AQ420"/>
        <s v="AQ421"/>
        <s v="AQ422"/>
        <s v="AQ423"/>
        <s v="AQ424"/>
        <s v="AQ425"/>
        <s v="AQ426"/>
        <s v="AQ427"/>
        <s v="AQ428"/>
        <s v="AQ430"/>
        <s v="AQ431"/>
        <s v="AQ432"/>
        <s v="AQ433"/>
        <s v="AQ434"/>
        <s v="AQ435"/>
        <s v="AQ436"/>
        <s v="AQ437"/>
        <s v="AQ438"/>
        <s v="AQ439"/>
        <s v="AQ440"/>
        <s v="AQ441"/>
        <s v="AQ442"/>
        <s v="AQ443"/>
        <s v="AQ447"/>
        <s v="AQ448"/>
        <s v="AQ449"/>
        <s v="AQ451"/>
        <s v="AQ452"/>
        <s v="AQ453"/>
        <s v="AQ454"/>
        <s v="AQ455"/>
        <s v="AQ456"/>
        <s v="AQ457"/>
        <s v="AQ458"/>
        <s v="AQ459"/>
        <s v="AQ460"/>
        <s v="AQ461"/>
        <s v="AQ462"/>
        <s v="AQ463"/>
        <s v="AQ464"/>
        <s v="AQ465"/>
        <s v="AQ466"/>
        <s v="AQ467"/>
        <s v="AQ468"/>
        <s v="AQ469"/>
        <s v="AQ470"/>
        <s v="AQ471"/>
        <s v="AQ472"/>
        <s v="AQ473"/>
        <s v="AQ474"/>
        <s v="AQ475"/>
        <s v="AQ476"/>
        <s v="AQ477"/>
        <s v="AQ478"/>
        <s v="AQ479"/>
        <s v="AQ480"/>
        <s v="AQ482"/>
        <s v="AQ483"/>
        <s v="AQ484"/>
        <s v="AQ485"/>
        <s v="AQ486"/>
        <s v="AQ487"/>
        <s v="AQ489"/>
        <s v="AQ490"/>
        <s v="AQ491"/>
        <s v="AQ492"/>
        <s v="AQ493"/>
        <s v="AQ494"/>
        <s v="AQ495"/>
        <s v="AQ496"/>
        <s v="AQ497"/>
        <s v="AQ498"/>
        <s v="AQ499"/>
        <s v="AQ500"/>
        <s v="AQ501"/>
        <s v="AQ502"/>
        <s v="AQ503"/>
        <s v="AQ504"/>
        <s v="AQ505"/>
        <s v="AQ512"/>
        <s v="AQ513"/>
        <s v="AQ514"/>
        <s v="AQ515"/>
        <s v="AQ516"/>
        <s v="AQ517"/>
        <s v="AQ518"/>
        <s v="AQ519"/>
        <s v="AQ520"/>
        <s v="AQ521"/>
        <s v="AQ522"/>
        <s v="AQ523"/>
        <s v="AQ524"/>
        <s v="AQ525"/>
        <s v="AQ526"/>
        <s v="AQ527"/>
        <s v="AQ531"/>
        <s v="AQ532"/>
        <s v="AQ533"/>
        <s v="AQ534"/>
        <s v="AQ535"/>
        <s v="AQ536"/>
        <s v="AQ537"/>
        <s v="AQ538"/>
        <s v="AQ539"/>
        <s v="AQ541"/>
        <s v="AQ543"/>
        <s v="AQ544"/>
        <s v="AQ551"/>
        <s v="AQ552"/>
        <s v="AQ553"/>
        <s v="AQ554"/>
        <s v="AQ555"/>
        <s v="AQ556"/>
        <s v="AQ557"/>
        <s v="AQ558"/>
        <s v="AQ559"/>
        <s v="AQ560"/>
        <s v="AQ561"/>
        <s v="AQ562"/>
        <s v="AQ563"/>
        <s v="AQ564"/>
        <s v="AQ565"/>
        <s v="AQ566"/>
        <s v="AQ567"/>
        <s v="AQ568"/>
        <s v="AQ570"/>
        <s v="AQ571"/>
        <s v="AQ572"/>
        <s v="AQ573"/>
        <s v="AQ574"/>
        <s v="AQ575"/>
        <s v="AQ576"/>
        <s v="AQ577"/>
        <s v="AQ578"/>
        <s v="AQ579"/>
        <s v="AQ580"/>
        <s v="AQ581"/>
        <s v="AQ582"/>
        <s v="AQ583"/>
        <s v="AQ584"/>
        <s v="AQ585"/>
        <s v="AQ586"/>
        <s v="AQ587"/>
        <s v="AQ588"/>
        <s v="AQ589"/>
        <s v="AQ590"/>
        <s v="AQ591"/>
        <s v="AQ592"/>
        <s v="AQ593"/>
        <s v="AQ594"/>
        <s v="AQ595"/>
        <s v="AQ596"/>
        <s v="AQ598"/>
        <s v="AQ605"/>
        <s v="AQ606"/>
        <s v="AQ607"/>
        <s v="AQ608"/>
        <s v="AQ610"/>
        <s v="AQ611"/>
        <s v="AQ612"/>
        <s v="AQ613"/>
        <s v="AQ614"/>
        <s v="AQ615"/>
        <s v="AQ616"/>
        <s v="AQ617"/>
        <s v="AQ618"/>
        <s v="AQ619"/>
        <s v="AQ620"/>
        <s v="AQ622"/>
        <s v="AQ623"/>
        <s v="AQ625"/>
        <s v="AQ626"/>
        <s v="AQ627"/>
        <s v="AQ629"/>
        <s v="AQ630"/>
        <s v="AQ631"/>
        <s v="AQ632"/>
        <s v="AQ633"/>
        <s v="AQ634"/>
        <s v="AQ635"/>
        <s v="AQ636"/>
        <s v="AQ637"/>
        <s v="AQ639"/>
        <s v="AQ643"/>
        <s v="AQ651"/>
        <s v="AQ652"/>
        <s v="AQ653"/>
        <s v="AQ654"/>
        <s v="AQ655"/>
        <s v="AQ656"/>
        <s v="AQ657"/>
        <s v="AQ658"/>
        <s v="AQ659"/>
        <s v="AQ660"/>
        <s v="AQ661"/>
        <s v="AQ662"/>
        <s v="AQ663"/>
        <s v="AQ664"/>
        <s v="AQ665"/>
        <s v="AQ666"/>
        <s v="AQ667"/>
        <s v="AQ668"/>
        <s v="AQ669"/>
        <s v="AQ670"/>
        <s v="AQ671"/>
        <s v="AQ672"/>
        <s v="AQ673"/>
        <s v="AQ675"/>
        <s v="AQ676"/>
        <s v="AQ677"/>
        <s v="AQ678"/>
        <s v="AQ679"/>
        <s v="AQ680"/>
        <s v="AQ681"/>
        <s v="AQ682"/>
        <s v="AQ683"/>
        <s v="AQ684"/>
        <s v="AQ685"/>
        <s v="AQ701"/>
        <s v="AQ702"/>
        <s v="AQ703"/>
        <s v="AQ704"/>
        <s v="AQ705"/>
        <s v="AQ706"/>
        <s v="AQ707"/>
        <s v="AQ709"/>
        <s v="AQ710"/>
        <s v="AQ711"/>
        <s v="AQ712"/>
        <s v="AQ713"/>
        <s v="AQ714"/>
        <s v="AQ717"/>
        <s v="AQ718"/>
        <s v="AQ719"/>
        <s v="AQ720"/>
        <s v="AQ721"/>
        <s v="AQ722"/>
        <s v="AQ725"/>
        <s v="AQ726"/>
        <s v="AQ727"/>
        <s v="AQ728"/>
        <s v="AQ729"/>
        <s v="AQ730"/>
        <s v="AQ731"/>
        <s v="AQ732"/>
        <s v="AQ733"/>
        <s v="AQ734"/>
        <s v="AQ735"/>
        <s v="AQ736"/>
        <s v="AQ737"/>
        <s v="AQ738"/>
        <s v="AQ739"/>
        <s v="AQ740"/>
        <s v="AQ741"/>
        <s v="AQ742"/>
        <s v="AQ743"/>
        <s v="AQ744"/>
        <s v="AQ745"/>
        <s v="AQ746"/>
        <s v="AQ747"/>
        <s v="AQ748"/>
        <s v="AQ749"/>
        <s v="AQ750"/>
        <s v="AQ752"/>
        <s v="AQ753"/>
        <s v="AQ754"/>
        <s v="AQ755"/>
        <s v="AQ756"/>
        <s v="AQ757"/>
        <s v="AQ758"/>
        <s v="AQ759"/>
        <s v="AQ760"/>
        <s v="AQ761"/>
        <s v="AQ762"/>
        <s v="AQ763"/>
        <s v="AQ764"/>
        <s v="AQ765"/>
        <s v="AQ766"/>
        <s v="AQ767"/>
        <s v="AQ768"/>
        <s v="AQ769"/>
        <s v="AQ770"/>
        <s v="AQ771"/>
        <s v="AQ772"/>
        <s v="AQ773"/>
        <s v="AQ774"/>
        <s v="AQ775"/>
        <s v="AQ776"/>
        <s v="AQ777"/>
        <s v="AQ778"/>
        <s v="AQ784"/>
        <s v="AQ785"/>
        <s v="AQ786"/>
        <s v="AQ787"/>
        <s v="AQ788"/>
        <s v="AQ789"/>
        <s v="AQ790"/>
        <s v="AQ791"/>
        <s v="AQ792"/>
        <s v="AQ793"/>
        <s v="AQ794"/>
        <s v="AQ795"/>
        <s v="AQ796"/>
        <s v="AQ797"/>
        <s v="AQ798"/>
        <s v="AQ801"/>
        <s v="AQ802"/>
        <s v="AQ803"/>
        <s v="AQ804"/>
        <s v="AQ805"/>
        <s v="AQ806"/>
        <s v="AQ807"/>
        <s v="AQ808"/>
        <s v="AQ809"/>
        <s v="AQ810"/>
        <s v="AQ811"/>
        <s v="AQ812"/>
        <s v="AQ813"/>
        <s v="AQ814"/>
        <s v="AQ815"/>
        <s v="AQ816"/>
        <s v="AQ817"/>
        <s v="AQ818"/>
        <s v="AQ819"/>
        <s v="AQ820"/>
        <s v="AQ821"/>
        <s v="AQ822"/>
        <s v="AQ823"/>
        <s v="AQ824"/>
        <s v="AQ825"/>
        <s v="AQ827"/>
        <s v="AQ828"/>
        <s v="AQ829"/>
        <s v="AQ830"/>
        <s v="AQ831"/>
        <s v="AQ832"/>
        <s v="AQ833"/>
        <s v="AQ834"/>
        <s v="AQ835"/>
        <s v="AQ837"/>
        <s v="AQ838"/>
        <s v="AQ839"/>
        <s v="AQ840"/>
        <s v="AQ841"/>
        <s v="AQ842"/>
        <s v="AQ843"/>
        <s v="AQ844"/>
        <s v="AQ845"/>
        <s v="AQ846"/>
        <s v="AQ847"/>
        <s v="AQ848"/>
        <s v="AQ849"/>
        <s v="AQ851"/>
        <s v="AQ852"/>
        <s v="AQ853"/>
        <s v="AQ854"/>
        <s v="AQ855"/>
        <s v="AQ856"/>
        <s v="AQ857"/>
        <s v="AQ858"/>
        <s v="AQ859"/>
        <s v="AQ860"/>
        <s v="AQ861"/>
        <s v="AQ862"/>
        <s v="AQ863"/>
        <s v="AQ864"/>
        <s v="AQ866"/>
        <s v="AQ867"/>
        <s v="AQ868"/>
        <s v="AQ869"/>
        <s v="AQ870"/>
        <s v="AQ871"/>
        <s v="AQ872"/>
        <s v="AQ873"/>
        <s v="AQ874"/>
        <s v="AQ875"/>
        <s v="AQ876"/>
        <s v="AQ879"/>
        <s v="AQ880"/>
        <s v="AQ881"/>
        <s v="AQ882"/>
        <s v="AQ883"/>
        <s v="AQ884"/>
        <s v="AQ885"/>
        <s v="AQ886"/>
        <s v="AQ888"/>
        <s v="AQ889"/>
        <s v="AQ890"/>
        <s v="AQ891"/>
        <s v="AQ892"/>
        <s v="AQ893"/>
        <s v="AQ897"/>
        <s v="AQ898"/>
        <s v="AQ899"/>
        <s v="AQ900"/>
        <s v="AQ901"/>
        <s v="AQ902"/>
        <s v="AQ903"/>
        <s v="AQ904"/>
        <s v="AQ905"/>
        <s v="AQ906"/>
        <s v="AQ907"/>
        <s v="AQ908"/>
        <s v="AQ909"/>
        <s v="AQ911"/>
        <s v="AQ912"/>
        <s v="AQ913"/>
        <s v="AQ914"/>
        <s v="AQ915"/>
        <s v="AQ916"/>
        <s v="AQ917"/>
        <s v="AQ919"/>
        <s v="AQ921"/>
        <s v="AQ922"/>
        <s v="AQ923"/>
        <s v="AQ924"/>
        <s v="AQ925"/>
        <s v="AQ926"/>
        <s v="AQ927"/>
        <s v="AQ928"/>
        <s v="AQ931"/>
        <s v="AQ933"/>
        <s v="AQ934"/>
        <s v="AQ935"/>
        <s v="AQ936"/>
        <s v="AQ937"/>
        <s v="AQ938"/>
        <s v="AQ939"/>
        <s v="AQ940"/>
        <s v="AQ941"/>
        <s v="AQ942"/>
        <s v="AQ943"/>
        <s v="AQ944"/>
        <s v="AQ946"/>
        <s v="AQ947"/>
        <s v="AQ949"/>
        <s v="AQ950"/>
        <s v="AQ951"/>
        <s v="AQ952"/>
        <s v="AQ953"/>
        <s v="AQ954"/>
        <s v="AQ955"/>
        <s v="AQ956"/>
        <s v="AQ957"/>
        <s v="AQ958"/>
        <s v="AQ959"/>
        <s v="AQ960"/>
        <s v="AQ961"/>
        <s v="AQ962"/>
        <s v="AQ963"/>
        <s v="AQ966"/>
        <s v="AQ967"/>
        <s v="AQ968"/>
        <s v="AQ969"/>
        <s v="AQ970"/>
        <s v="AQ971"/>
        <s v="AQ973"/>
        <s v="AQ974"/>
        <s v="AQ975"/>
        <s v="AQ977"/>
        <s v="AQ978"/>
        <s v="AQ979"/>
        <s v="AQ980"/>
        <s v="AQ986"/>
        <s v="AQ987"/>
        <s v="AQ988"/>
        <s v="AQ996"/>
        <s v="AQ997"/>
        <s v="AQ998"/>
        <s v="AQ999"/>
        <s v="AR427"/>
        <s v="AR608"/>
        <s v="AR664"/>
        <s v="AR665"/>
        <s v="AR667"/>
        <s v="AR668"/>
        <s v="AS318"/>
        <s v="AS319"/>
        <s v="AS320"/>
        <s v="AS321"/>
        <s v="AS322"/>
        <s v="AS324"/>
        <s v="AS328"/>
        <s v="AS329"/>
        <s v="AS331"/>
        <s v="AS332"/>
        <s v="AS333"/>
        <s v="AS609"/>
        <s v="AS610"/>
        <s v="AS611"/>
        <s v="AS612"/>
        <s v="AS613"/>
        <s v="AS614"/>
        <s v="AS615"/>
        <s v="AS616"/>
        <s v="AS617"/>
        <s v="AS618"/>
        <s v="AS619"/>
        <s v="AS620"/>
        <s v="AS621"/>
        <s v="AS622"/>
        <s v="AS623"/>
        <s v="AS624"/>
        <s v="AS625"/>
        <s v="AS841"/>
        <s v="AS846"/>
        <s v="AS847"/>
        <s v="AS851"/>
        <s v="AS852"/>
        <s v="AS853"/>
        <s v="AS854"/>
        <s v="AS855"/>
        <s v="AS867"/>
        <s v="AS871"/>
        <s v="AS872"/>
        <s v="AS875"/>
        <s v="AS876"/>
        <s v="AT002"/>
        <s v="AT003"/>
        <s v="AT004"/>
        <s v="AT005"/>
        <s v="AT006"/>
        <s v="AT007"/>
        <s v="AT008"/>
        <s v="AT009"/>
        <s v="AT010"/>
        <s v="AT011"/>
        <s v="AT012"/>
        <s v="AT013"/>
        <s v="AT014"/>
        <s v="AT015"/>
        <s v="AT016"/>
        <s v="AT017"/>
        <s v="AT018"/>
        <s v="AT019"/>
        <s v="AT020"/>
        <s v="AT021"/>
        <s v="AT022"/>
        <s v="AT023"/>
        <s v="AT024"/>
        <s v="AT025"/>
        <s v="AT026"/>
        <s v="AT027"/>
        <s v="AT028"/>
        <s v="AT029"/>
        <s v="AT030"/>
        <s v="AT031"/>
        <s v="AT032"/>
        <s v="AT033"/>
        <s v="AT034"/>
        <s v="AT035"/>
        <s v="AT037"/>
        <s v="AT038"/>
        <s v="AT040"/>
        <s v="AT041"/>
        <s v="AT042"/>
        <s v="AT043"/>
        <s v="AT044"/>
        <s v="AT045"/>
        <s v="AT046"/>
        <s v="AT047"/>
        <s v="AT048"/>
        <s v="AT049"/>
        <s v="AT050"/>
        <s v="AT051"/>
        <s v="AT052"/>
        <s v="AT053"/>
        <s v="AT054"/>
        <s v="AT055"/>
        <s v="AT056"/>
        <s v="AT057"/>
        <s v="AT058"/>
        <s v="AT059"/>
        <s v="AT060"/>
        <s v="AT061"/>
        <s v="AT062"/>
        <s v="AT063"/>
        <s v="AT064"/>
        <s v="AT065"/>
        <s v="AT066"/>
        <s v="AT067"/>
        <s v="AT068"/>
        <s v="AT069"/>
        <s v="AT070"/>
        <s v="AT071"/>
        <s v="AT072"/>
        <s v="AT073"/>
        <s v="AT074"/>
        <s v="AT075"/>
        <s v="AT076"/>
        <s v="AT078"/>
        <s v="AT079"/>
        <s v="AT080"/>
        <s v="AT081"/>
        <s v="AT082"/>
        <s v="AT083"/>
        <s v="AT084"/>
        <s v="AT085"/>
        <s v="AT086"/>
        <s v="AT087"/>
        <s v="AT088"/>
        <s v="AT089"/>
        <s v="AT090"/>
        <s v="AT091"/>
        <s v="AT092"/>
        <s v="AT093"/>
        <s v="AT094"/>
        <s v="AT095"/>
        <s v="AT096"/>
        <s v="AT099"/>
        <s v="AT100"/>
        <s v="AT101"/>
        <s v="AT102"/>
        <s v="AT110"/>
        <s v="AT113"/>
        <s v="AT115"/>
        <s v="AT116"/>
        <s v="AT117"/>
        <s v="AT118"/>
        <s v="AT119"/>
        <s v="AT120"/>
        <s v="AT121"/>
        <s v="AT122"/>
        <s v="AT123"/>
        <s v="AT124"/>
        <s v="AT125"/>
        <s v="AT126"/>
        <s v="AT127"/>
        <s v="AT128"/>
        <s v="AT129"/>
        <s v="AT130"/>
        <s v="AT131"/>
        <s v="AT132"/>
        <s v="AT133"/>
        <s v="AT134"/>
        <s v="AT135"/>
        <s v="AT136"/>
        <s v="AT137"/>
        <s v="AT138"/>
        <s v="AT140"/>
        <s v="AT141"/>
        <s v="AT142"/>
        <s v="AT143"/>
        <s v="AT144"/>
        <s v="AT145"/>
        <s v="AT146"/>
        <s v="AT148"/>
        <s v="AT152"/>
        <s v="AT153"/>
        <s v="AT154"/>
        <s v="AT155"/>
        <s v="AT156"/>
        <s v="AT157"/>
        <s v="AT158"/>
        <s v="AT159"/>
        <s v="AT160"/>
        <s v="AT161"/>
        <s v="AT162"/>
        <s v="AT163"/>
        <s v="AT164"/>
        <s v="AT165"/>
        <s v="AT166"/>
        <s v="AT167"/>
        <s v="AT168"/>
        <s v="AT169"/>
        <s v="AT170"/>
        <s v="AT171"/>
        <s v="AT172"/>
        <s v="AT173"/>
        <s v="AT174"/>
        <s v="AT175"/>
        <s v="AT181"/>
        <s v="AT182"/>
        <s v="AT183"/>
        <s v="AT184"/>
        <s v="AT185"/>
        <s v="AT186"/>
        <s v="AT187"/>
        <s v="AT188"/>
        <s v="AT189"/>
        <s v="AT190"/>
        <s v="AT191"/>
        <s v="AT193"/>
        <s v="AT195"/>
        <s v="AT196"/>
        <s v="AT197"/>
        <s v="AT198"/>
        <s v="AT199"/>
        <s v="AT200"/>
        <s v="AT201"/>
        <s v="AT202"/>
        <s v="AT204"/>
        <s v="AT205"/>
        <s v="AT206"/>
        <s v="AT207"/>
        <s v="AT208"/>
        <s v="AT209"/>
        <s v="AT210"/>
        <s v="AT212"/>
        <s v="AT213"/>
        <s v="AT214"/>
        <s v="AT215"/>
        <s v="AT216"/>
        <s v="AT217"/>
        <s v="AT218"/>
        <s v="AT219"/>
        <s v="AT220"/>
        <s v="AT221"/>
        <s v="AT222"/>
        <s v="AT223"/>
        <s v="AT224"/>
        <s v="AT225"/>
        <s v="AT226"/>
        <s v="AT227"/>
        <s v="AT228"/>
        <s v="AT229"/>
        <s v="AT231"/>
        <s v="AT232"/>
        <s v="AT233"/>
        <s v="AT234"/>
        <s v="AT235"/>
        <s v="AT237"/>
        <s v="AT238"/>
        <s v="AT239"/>
        <s v="AT240"/>
        <s v="AT241"/>
        <s v="AT242"/>
        <s v="AT243"/>
        <s v="AT244"/>
        <s v="AT245"/>
        <s v="AT246"/>
        <s v="AT247"/>
        <s v="AT248"/>
        <s v="AT249"/>
        <s v="AT250"/>
        <s v="AT251"/>
        <s v="AT252"/>
        <s v="AT253"/>
        <s v="AT255"/>
        <s v="AT256"/>
        <s v="AT257"/>
        <s v="AT258"/>
        <s v="AT259"/>
        <s v="AT260"/>
        <s v="AT266"/>
        <s v="AT267"/>
        <s v="AT268"/>
        <s v="AT269"/>
        <s v="AT270"/>
        <s v="AT271"/>
        <s v="AT272"/>
        <s v="AT273"/>
        <s v="AT274"/>
        <s v="AT275"/>
        <s v="AT276"/>
        <s v="AT277"/>
        <s v="AT278"/>
        <s v="AT279"/>
        <s v="AT282"/>
        <s v="AT283"/>
        <s v="AT284"/>
        <s v="AT285"/>
        <s v="AT286"/>
        <s v="AT288"/>
        <s v="AT292"/>
        <s v="AT293"/>
        <s v="AT295"/>
        <s v="AT296"/>
        <s v="AT297"/>
        <s v="AT298"/>
        <s v="AT299"/>
        <s v="AT300"/>
        <s v="AT301"/>
        <s v="AT302"/>
        <s v="AT303"/>
        <s v="AT304"/>
        <s v="AT305"/>
        <s v="AT306"/>
        <s v="AT307"/>
        <s v="AT308"/>
        <s v="AT309"/>
        <s v="AT310"/>
        <s v="AT311"/>
        <s v="AT312"/>
        <s v="AT313"/>
        <s v="AT314"/>
        <s v="AT315"/>
        <s v="AT316"/>
        <s v="AT324"/>
        <s v="AT326"/>
        <s v="AT327"/>
        <s v="AT328"/>
        <s v="AT329"/>
        <s v="AT330"/>
        <s v="AT331"/>
        <s v="AT332"/>
        <s v="AT333"/>
        <s v="AT334"/>
        <s v="AT335"/>
        <s v="AT336"/>
        <s v="AT337"/>
        <s v="AT338"/>
        <s v="AT339"/>
        <s v="AT340"/>
        <s v="AT341"/>
        <s v="AT342"/>
        <s v="AT343"/>
        <s v="AT344"/>
        <s v="AT345"/>
        <s v="AT346"/>
        <s v="AT347"/>
        <s v="AT348"/>
        <s v="AT349"/>
        <s v="AT350"/>
        <s v="AT351"/>
        <s v="AT352"/>
        <s v="AT353"/>
        <s v="AT354"/>
        <s v="AT355"/>
        <s v="AT356"/>
        <s v="AT357"/>
        <s v="AT358"/>
        <s v="AT359"/>
        <s v="AT360"/>
        <s v="AT361"/>
        <s v="AT362"/>
        <s v="AT363"/>
        <s v="AT364"/>
        <s v="AT365"/>
        <s v="AT366"/>
        <s v="AT367"/>
        <s v="AT368"/>
        <s v="AT369"/>
        <s v="AT371"/>
        <s v="AT372"/>
        <s v="AT373"/>
        <s v="AT374"/>
        <s v="AT375"/>
        <s v="AT376"/>
        <s v="AT379"/>
        <s v="AT380"/>
        <s v="AT381"/>
        <s v="AT382"/>
        <s v="AT383"/>
        <s v="AT385"/>
        <s v="AT387"/>
        <s v="AT388"/>
        <s v="AT389"/>
        <s v="AT390"/>
        <s v="AT391"/>
        <s v="AT394"/>
        <s v="AT395"/>
        <s v="AT396"/>
        <s v="AT397"/>
        <s v="AT398"/>
        <s v="AT399"/>
        <s v="AT422"/>
        <s v="AT429"/>
        <s v="AT437"/>
        <s v="AT438"/>
        <s v="AT439"/>
        <s v="AT440"/>
        <s v="AT442"/>
        <s v="AT443"/>
        <s v="AT445"/>
        <s v="AT446"/>
        <s v="AT449"/>
        <s v="AT450"/>
        <s v="AT452"/>
        <s v="AT453"/>
        <s v="AT454"/>
        <s v="AT455"/>
        <s v="AT456"/>
        <s v="AT457"/>
        <s v="AT458"/>
        <s v="AT459"/>
        <s v="AT460"/>
        <s v="AT461"/>
        <s v="AT462"/>
        <s v="AT463"/>
        <s v="AT464"/>
        <s v="AT465"/>
        <s v="AT466"/>
        <s v="AT479"/>
        <s v="AT490"/>
        <s v="AT491"/>
        <s v="AT492"/>
        <s v="AT493"/>
        <s v="AT494"/>
        <s v="AT495"/>
        <s v="AT496"/>
        <s v="AT498"/>
        <s v="AT499"/>
        <s v="AT502"/>
        <s v="AT503"/>
        <s v="AT504"/>
        <s v="AT516"/>
        <s v="AT517"/>
        <s v="AT601"/>
        <s v="AT603"/>
        <s v="AT604"/>
        <s v="AT605"/>
        <s v="AT606"/>
        <s v="AT609"/>
        <s v="AT610"/>
        <s v="AT616"/>
        <s v="AT617"/>
        <s v="AT620"/>
        <s v="AT623"/>
        <s v="AT626"/>
        <s v="AT627"/>
        <s v="AT628"/>
        <s v="AT629"/>
        <s v="AT630"/>
        <s v="AT631"/>
        <s v="AT633"/>
        <s v="AT635"/>
        <s v="AT636"/>
        <s v="AT637"/>
        <s v="AT638"/>
        <s v="AT639"/>
        <s v="AT640"/>
        <s v="AT644"/>
        <s v="AT645"/>
        <s v="AT646"/>
        <s v="AT647"/>
        <s v="AT649"/>
        <s v="AT650"/>
        <s v="AT651"/>
        <s v="AT652"/>
        <s v="AT653"/>
        <s v="AT654"/>
        <s v="AT655"/>
        <s v="AT656"/>
        <s v="AT657"/>
        <s v="AT658"/>
        <s v="AT659"/>
        <s v="AT660"/>
        <s v="AT661"/>
        <s v="AT662"/>
        <s v="AT663"/>
        <s v="AT664"/>
        <s v="AT665"/>
        <s v="AT666"/>
        <s v="AT667"/>
        <s v="AT670"/>
        <s v="AT671"/>
        <s v="AT673"/>
        <s v="AT688"/>
        <s v="AT689"/>
        <s v="AT690"/>
        <s v="AT701"/>
        <s v="AT704"/>
        <s v="AT705"/>
        <s v="AT706"/>
        <s v="AT707"/>
        <s v="AT708"/>
        <s v="AT709"/>
        <s v="AT710"/>
        <s v="AT711"/>
        <s v="AT712"/>
        <s v="AT713"/>
        <s v="AT714"/>
        <s v="AT715"/>
        <s v="AT716"/>
        <s v="AT717"/>
        <s v="AT718"/>
        <s v="AT719"/>
        <s v="AT725"/>
        <s v="AT726"/>
        <s v="AT727"/>
        <s v="AT728"/>
        <s v="AT729"/>
        <s v="AT730"/>
        <s v="AT732"/>
        <s v="AT733"/>
        <s v="AT736"/>
        <s v="AT737"/>
        <s v="AT749"/>
        <s v="AT751"/>
        <s v="AT752"/>
        <s v="AT753"/>
        <s v="AT754"/>
        <s v="AT767"/>
        <s v="AT768"/>
        <s v="AT769"/>
        <s v="AT770"/>
        <s v="AT771"/>
        <s v="AT772"/>
        <s v="AT773"/>
        <s v="AT774"/>
        <s v="AT775"/>
        <s v="AT776"/>
        <s v="AT777"/>
        <s v="AT778"/>
        <s v="AT779"/>
        <s v="AT795"/>
        <s v="AT797"/>
        <s v="AT798"/>
        <s v="AT808"/>
        <s v="AT809"/>
        <s v="AT810"/>
        <s v="AT814"/>
        <s v="AT822"/>
        <s v="AT823"/>
        <s v="AT824"/>
        <s v="AT825"/>
        <s v="AT826"/>
        <s v="AT828"/>
        <s v="AT829"/>
        <s v="AT833"/>
        <s v="AT834"/>
        <s v="AT835"/>
        <s v="AT836"/>
        <s v="AT837"/>
        <s v="AT838"/>
        <s v="AT839"/>
        <s v="AT840"/>
        <s v="AT841"/>
        <s v="AT842"/>
        <s v="AT848"/>
        <s v="AT853"/>
        <s v="AT854"/>
        <s v="AT855"/>
        <s v="AT857"/>
        <s v="AT858"/>
        <s v="AT874"/>
        <s v="AT875"/>
        <s v="AT886"/>
        <s v="AT887"/>
        <s v="AT888"/>
        <s v="AT889"/>
        <s v="AT893"/>
        <s v="AT894"/>
        <s v="AT895"/>
        <s v="AT896"/>
        <s v="AT899"/>
        <s v="AT900"/>
        <s v="AT901"/>
        <s v="AT902"/>
        <s v="AT903"/>
        <s v="AT905"/>
        <s v="AT906"/>
        <s v="AT907"/>
        <s v="AT908"/>
        <s v="AT909"/>
        <s v="AT910"/>
        <s v="AT911"/>
        <s v="AT912"/>
        <s v="AT913"/>
        <s v="AT919"/>
        <s v="AT920"/>
        <s v="AT921"/>
        <s v="AT922"/>
        <s v="AT923"/>
        <s v="AT926"/>
        <s v="AT927"/>
        <s v="AT928"/>
        <s v="AT929"/>
        <s v="AT930"/>
        <s v="AT931"/>
        <s v="AT932"/>
        <s v="AT933"/>
        <s v="AT934"/>
        <s v="AT935"/>
        <s v="AT936"/>
        <s v="AT937"/>
        <s v="AT939"/>
        <s v="AT940"/>
        <s v="AT941"/>
        <s v="AT944"/>
        <s v="AT945"/>
        <s v="AT953"/>
        <s v="AT954"/>
        <s v="AT955"/>
        <s v="AT958"/>
        <s v="AT963"/>
        <s v="AT964"/>
        <s v="AT965"/>
        <s v="AT966"/>
        <s v="AT967"/>
        <s v="AT968"/>
        <s v="AT971"/>
        <s v="AT985"/>
        <s v="AT986"/>
        <s v="AT987"/>
        <s v="AU172"/>
        <s v="AU185"/>
        <s v="AU186"/>
        <s v="AU808"/>
        <s v="AU829"/>
        <s v="AU830"/>
        <s v="AU843"/>
        <s v="AU844"/>
        <s v="AU848"/>
        <s v="AU860"/>
        <s v="AU877"/>
        <s v="AU893"/>
        <s v="AV075"/>
        <s v="AV155"/>
        <s v="AV238"/>
        <s v="AV280"/>
        <s v="AV549"/>
        <s v="AV649"/>
        <s v="AV650"/>
        <s v="AV714"/>
        <s v="AV715"/>
        <s v="AV724"/>
        <s v="AV739"/>
        <s v="AV740"/>
        <s v="AV753"/>
        <s v="AV754"/>
        <s v="AV755"/>
        <s v="AV756"/>
        <s v="AV765"/>
        <s v="AV796"/>
        <s v="AV797"/>
        <s v="AV798"/>
        <s v="AV799"/>
        <s v="AV800"/>
        <s v="AV916"/>
        <s v="AV917"/>
        <s v="AV918"/>
        <s v="AW252"/>
        <s v="AW283"/>
        <s v="AW297"/>
        <s v="AW348"/>
        <s v="AW365"/>
        <s v="AW366"/>
        <s v="AW380"/>
        <s v="AW398"/>
        <s v="AW399"/>
        <s v="AW595"/>
        <s v="AW599"/>
        <s v="AW600"/>
        <s v="AW846"/>
        <s v="AW896"/>
        <s v="AW900"/>
        <s v="AW901"/>
        <s v="AW970"/>
        <s v="AX001"/>
        <s v="AX002"/>
        <s v="AX003"/>
        <s v="AX004"/>
        <s v="AX007"/>
        <s v="AX010"/>
        <s v="AX016"/>
        <s v="AX017"/>
        <s v="AX022"/>
        <s v="AX023"/>
        <s v="AX213"/>
        <s v="AX214"/>
        <s v="AX215"/>
        <s v="AX222"/>
        <s v="AX379"/>
        <s v="AX457"/>
        <s v="AX651"/>
        <s v="AX774"/>
        <s v="AX779"/>
        <s v="AX901"/>
        <s v="AX904"/>
        <s v="AX905"/>
        <s v="AX906"/>
        <s v="AX908"/>
        <s v="AY003"/>
        <s v="AY008"/>
        <s v="AY009"/>
        <s v="AY026"/>
        <s v="AY027"/>
        <s v="AY030"/>
        <s v="AY032"/>
        <s v="AY033"/>
        <s v="AY051"/>
        <s v="AY052"/>
        <s v="AY056"/>
        <s v="AY061"/>
        <s v="AY062"/>
        <s v="AY069"/>
        <s v="AY070"/>
        <s v="AY071"/>
        <s v="AY072"/>
        <s v="AY073"/>
        <s v="AY074"/>
        <s v="AY075"/>
        <s v="AY077"/>
        <s v="AY079"/>
        <s v="AY082"/>
        <s v="AY083"/>
        <s v="AY084"/>
        <s v="AY087"/>
        <s v="AY092"/>
        <s v="AY093"/>
        <s v="AY100"/>
        <s v="AY119"/>
        <s v="AY124"/>
        <s v="AY125"/>
        <s v="AY126"/>
        <s v="AY127"/>
        <s v="AY131"/>
        <s v="AY134"/>
        <s v="AY136"/>
        <s v="AY138"/>
        <s v="AY139"/>
        <s v="AY140"/>
        <s v="AY141"/>
        <s v="AY142"/>
        <s v="AY143"/>
        <s v="AY144"/>
        <s v="AY146"/>
        <s v="AY147"/>
        <s v="AY148"/>
        <s v="AY149"/>
        <s v="AY150"/>
        <s v="AY151"/>
        <s v="AY153"/>
        <s v="AY154"/>
        <s v="AY155"/>
        <s v="AY156"/>
        <s v="AY157"/>
        <s v="AY158"/>
        <s v="AY159"/>
        <s v="AY160"/>
        <s v="AY161"/>
        <s v="AY162"/>
        <s v="AY163"/>
        <s v="AY164"/>
        <s v="AY165"/>
        <s v="AY166"/>
        <s v="AY167"/>
        <s v="AY171"/>
        <s v="AY176"/>
        <s v="AY177"/>
        <s v="AY181"/>
        <s v="AY182"/>
        <s v="AY183"/>
        <s v="AY187"/>
        <s v="AY188"/>
        <s v="AY189"/>
        <s v="AY196"/>
        <s v="AY197"/>
        <s v="AY200"/>
        <s v="AY202"/>
        <s v="AY203"/>
        <s v="AY204"/>
        <s v="AY205"/>
        <s v="AY206"/>
        <s v="AY209"/>
        <s v="AY213"/>
        <s v="AY214"/>
        <s v="AY218"/>
        <s v="AY219"/>
        <s v="AY225"/>
        <s v="AY227"/>
        <s v="AY238"/>
        <s v="AY255"/>
        <s v="AY266"/>
        <s v="AY267"/>
        <s v="AY268"/>
        <s v="AY270"/>
        <s v="AY278"/>
        <s v="AY279"/>
        <s v="AY287"/>
        <s v="AY300"/>
        <s v="AY314"/>
        <s v="AY315"/>
        <s v="AY319"/>
        <s v="AY321"/>
        <s v="AY325"/>
        <s v="AY334"/>
        <s v="AY339"/>
        <s v="AY438"/>
        <s v="AY439"/>
        <s v="AY440"/>
        <s v="AY441"/>
        <s v="AY444"/>
        <s v="AY448"/>
        <s v="AY452"/>
        <s v="AY459"/>
        <s v="AY460"/>
        <s v="AY464"/>
        <s v="AY465"/>
        <s v="AY475"/>
        <s v="AY476"/>
        <s v="AY478"/>
        <s v="AY486"/>
        <s v="AY499"/>
        <s v="AY500"/>
        <s v="AY552"/>
        <s v="AY553"/>
        <s v="AY554"/>
        <s v="AY579"/>
        <s v="AY582"/>
        <s v="AY585"/>
        <s v="AY592"/>
        <s v="AY603"/>
        <s v="AY604"/>
        <s v="AY607"/>
        <s v="AY608"/>
        <s v="AY609"/>
        <s v="AY610"/>
        <s v="AY616"/>
        <s v="AY617"/>
        <s v="AY618"/>
        <s v="AY619"/>
        <s v="AY620"/>
        <s v="AY621"/>
        <s v="AY624"/>
        <s v="AY625"/>
        <s v="AY627"/>
        <s v="AY628"/>
        <s v="AY631"/>
        <s v="AY632"/>
        <s v="AY633"/>
        <s v="AY634"/>
        <s v="AY670"/>
        <s v="AY692"/>
        <s v="AY693"/>
        <s v="AY694"/>
        <s v="AY695"/>
        <s v="AY696"/>
        <s v="AY697"/>
        <s v="AY701"/>
        <s v="AY702"/>
        <s v="AY704"/>
        <s v="AY705"/>
        <s v="AY709"/>
        <s v="AY710"/>
        <s v="AY711"/>
        <s v="AY712"/>
        <s v="AY713"/>
        <s v="AY714"/>
        <s v="AY715"/>
        <s v="AY716"/>
        <s v="AY717"/>
        <s v="AY718"/>
        <s v="AY719"/>
        <s v="AY720"/>
        <s v="AY721"/>
        <s v="AY722"/>
        <s v="AY723"/>
        <s v="AY724"/>
        <s v="AY725"/>
        <s v="AY726"/>
        <s v="AY727"/>
        <s v="AY728"/>
        <s v="AY729"/>
        <s v="AY730"/>
        <s v="AY731"/>
        <s v="AY736"/>
        <s v="AY737"/>
        <s v="AY738"/>
        <s v="AY739"/>
        <s v="AY740"/>
        <s v="AY757"/>
        <s v="AY763"/>
        <s v="AY791"/>
        <s v="AY792"/>
        <s v="AY795"/>
        <s v="AY832"/>
        <s v="AY833"/>
        <s v="AY834"/>
        <s v="AY835"/>
        <s v="AY836"/>
        <s v="AY837"/>
        <s v="AY838"/>
        <s v="AY839"/>
        <s v="AY840"/>
        <s v="AY841"/>
        <s v="AY842"/>
        <s v="AY844"/>
        <s v="AY845"/>
        <s v="AY846"/>
        <s v="AY849"/>
        <s v="AY851"/>
        <s v="AY852"/>
        <s v="AY853"/>
        <s v="AY854"/>
        <s v="AY856"/>
        <s v="AY859"/>
        <s v="AY860"/>
        <s v="AY861"/>
        <s v="AY866"/>
        <s v="AY871"/>
        <s v="AY874"/>
        <s v="AY875"/>
        <s v="AY876"/>
        <s v="AY877"/>
        <s v="BA073"/>
        <s v="BA321"/>
        <s v="BA560"/>
        <s v="BA720"/>
        <s v="BA740"/>
        <s v="BA755"/>
        <s v="BA756"/>
        <s v="BA768"/>
        <s v="BA769"/>
        <s v="BA770"/>
        <s v="BA771"/>
        <s v="BA772"/>
        <s v="BA773"/>
        <s v="BA774"/>
        <s v="BA775"/>
        <s v="BA776"/>
        <s v="BA777"/>
        <s v="BA778"/>
        <s v="BA794"/>
        <s v="BA795"/>
        <s v="BA796"/>
        <s v="BA797"/>
        <s v="BA838"/>
        <s v="BA976"/>
        <s v="BA977"/>
        <s v="BA978"/>
        <s v="BA979"/>
        <s v="BB222"/>
        <s v="BB368"/>
        <s v="BB533"/>
        <s v="BB555"/>
        <s v="BB611"/>
        <s v="BB612"/>
        <s v="BB613"/>
        <s v="BB614"/>
        <s v="BB615"/>
        <s v="BB616"/>
        <s v="BB706"/>
        <s v="BB712"/>
        <s v="BB736"/>
        <s v="BB986"/>
        <s v="BB987"/>
        <s v="BB988"/>
        <s v="BB989"/>
        <s v="BC141"/>
        <s v="BC142"/>
        <s v="BC143"/>
        <s v="BC147"/>
        <s v="BC152"/>
        <s v="BC153"/>
        <s v="BC154"/>
        <s v="BC271"/>
        <s v="BC279"/>
        <s v="BC283"/>
        <s v="BC468"/>
        <s v="BC469"/>
        <s v="BC506"/>
        <s v="BC507"/>
        <s v="BC541"/>
        <s v="BC656"/>
        <s v="BC657"/>
        <s v="BC658"/>
        <s v="BC659"/>
        <s v="BC660"/>
        <s v="BC661"/>
        <s v="BC662"/>
        <s v="BC663"/>
        <s v="BC693"/>
        <s v="BC697"/>
        <s v="BC744"/>
        <s v="BC747"/>
        <s v="BC749"/>
        <s v="BC750"/>
        <s v="BC805"/>
        <s v="BC806"/>
        <s v="BC852"/>
        <s v="BC853"/>
        <s v="BC856"/>
        <s v="BC857"/>
        <s v="BD034"/>
        <s v="BD037"/>
        <s v="BD050"/>
        <s v="BD057"/>
        <s v="BD068"/>
        <s v="BD069"/>
        <s v="BD122"/>
        <s v="BD123"/>
        <s v="BD124"/>
        <s v="BD137"/>
        <s v="BD138"/>
        <s v="BD139"/>
        <s v="BD146"/>
        <s v="BD168"/>
        <s v="BD170"/>
        <s v="BD171"/>
        <s v="BD220"/>
        <s v="BD221"/>
        <s v="BD222"/>
        <s v="BD223"/>
        <s v="BD417"/>
        <s v="BD707"/>
        <s v="BD708"/>
        <s v="BD821"/>
        <s v="BE568"/>
        <s v="BE703"/>
        <s v="BF191"/>
        <s v="BF198"/>
        <s v="BF547"/>
        <s v="BF548"/>
        <s v="BG089"/>
        <s v="BG246"/>
        <s v="BG254"/>
        <s v="BG306"/>
        <s v="BG307"/>
        <s v="BG326"/>
        <s v="BG327"/>
        <s v="BG328"/>
        <s v="BG329"/>
        <s v="BG351"/>
        <s v="BG352"/>
        <s v="BG353"/>
        <s v="BG354"/>
        <s v="BG355"/>
        <s v="BG356"/>
        <s v="BG357"/>
        <s v="BG358"/>
        <s v="BG359"/>
        <s v="BG360"/>
        <s v="BG361"/>
        <s v="BG362"/>
        <s v="BG363"/>
        <s v="BG364"/>
        <s v="BG365"/>
        <s v="BG366"/>
        <s v="BG386"/>
        <s v="BG403"/>
        <s v="BG404"/>
        <s v="BG405"/>
        <s v="BG406"/>
        <s v="BG743"/>
        <s v="BG744"/>
        <s v="BG745"/>
        <s v="BH085"/>
        <s v="BH086"/>
        <s v="BH905"/>
        <s v="BH914"/>
        <s v="BH930"/>
        <s v="BH932"/>
        <s v="BH941"/>
        <s v="BH947"/>
        <s v="BH951"/>
        <s v="BH984"/>
        <s v="BI101"/>
        <s v="BI102"/>
        <s v="BI176"/>
        <s v="BI206"/>
        <s v="BI500"/>
        <s v="BI701"/>
        <s v="BI703"/>
        <s v="BI704"/>
        <s v="BI705"/>
        <s v="BI737"/>
        <s v="BI809"/>
        <s v="BI810"/>
        <s v="BJ101"/>
        <s v="BJ152"/>
        <s v="BJ252"/>
        <s v="BJ310"/>
        <s v="BJ834"/>
        <s v="BJ895"/>
        <s v="BJ903"/>
        <s v="BJ904"/>
        <s v="BJ995"/>
        <s v="BK013"/>
        <s v="BK808"/>
        <s v="R639"/>
        <s v="Y209"/>
        <s v="Y211"/>
        <s v="Y226"/>
        <s v="Y227"/>
        <s v="Y228"/>
        <s v="Y235"/>
        <s v="Y236"/>
        <s v="Y237"/>
        <s v="Y239"/>
        <s v="Y240"/>
        <s v="Y241"/>
        <s v="Y242"/>
        <s v="Y243"/>
        <s v="Y244"/>
        <s v="Y245"/>
        <s v="Y246"/>
        <s v="Y247"/>
        <s v="Y249"/>
        <s v="Y250"/>
        <s v="Y251"/>
        <s v="Y252"/>
        <s v="Y253"/>
        <s v="Y254"/>
        <s v="Y258"/>
        <s v="Y263"/>
        <s v="Y264"/>
        <s v="Y265"/>
        <s v="Y267"/>
        <s v="Y276"/>
        <s v="Y277"/>
        <s v="Y289"/>
        <s v="Y291"/>
        <s v="Y292"/>
        <m/>
      </sharedItems>
    </cacheField>
    <cacheField name="門市" numFmtId="0">
      <sharedItems count="424">
        <s v="一中"/>
        <s v="七堵"/>
        <s v="三多"/>
        <s v="三峽"/>
        <s v="三峽復興"/>
        <s v="三星"/>
        <s v="三義"/>
        <s v="三芝"/>
        <s v="三重"/>
        <s v="三重正義"/>
        <s v="下營"/>
        <s v="中原"/>
        <s v="中和南山"/>
        <s v="中埔"/>
        <s v="中壢"/>
        <s v="中興"/>
        <s v="二崙"/>
        <s v="二林"/>
        <s v="二水"/>
        <s v="五分埔"/>
        <s v="五甲"/>
        <s v="五福"/>
        <s v="五股"/>
        <s v="仁和"/>
        <s v="仁壽"/>
        <s v="仁德"/>
        <s v="仁昌"/>
        <s v="仁武"/>
        <s v="伸港"/>
        <s v="佳冬"/>
        <s v="佳里延平"/>
        <s v="元長"/>
        <s v="光彩"/>
        <s v="光復"/>
        <s v="內埔"/>
        <s v="內壢"/>
        <s v="內壢忠孝"/>
        <s v="內湖"/>
        <s v="內湖成功"/>
        <s v="八德"/>
        <s v="八德大湳"/>
        <s v="八里"/>
        <s v="六家"/>
        <s v="六甲"/>
        <s v="六龜"/>
        <s v="冬山"/>
        <s v="力行"/>
        <s v="力行辦公室"/>
        <s v="北台中"/>
        <s v="北台中辦公室"/>
        <s v="北埔"/>
        <s v="北大"/>
        <s v="北投"/>
        <s v="北投中和"/>
        <s v="北斗"/>
        <s v="北港"/>
        <s v="十全"/>
        <s v="十甲"/>
        <s v="卓蘭"/>
        <s v="南京東"/>
        <s v="南勢角"/>
        <s v="南台中"/>
        <s v="南屯"/>
        <s v="南崁"/>
        <s v="南崗"/>
        <s v="南庄"/>
        <s v="南投"/>
        <s v="南機場"/>
        <s v="南港"/>
        <s v="南科"/>
        <s v="口湖"/>
        <s v="古坑"/>
        <s v="台中公益"/>
        <s v="台中北屯"/>
        <s v="台中學府"/>
        <s v="台中東山"/>
        <s v="台中東興"/>
        <s v="台中機場"/>
        <s v="台中永安"/>
        <s v="台北三創"/>
        <s v="台北光復"/>
        <s v="台北公園"/>
        <s v="台北公館"/>
        <s v="台北北區"/>
        <s v="台北南區"/>
        <s v="台北博愛"/>
        <s v="台北師大"/>
        <s v="台北忠孝"/>
        <s v="台北敦北"/>
        <s v="台北木新"/>
        <s v="台北東區"/>
        <s v="台北東湖"/>
        <s v="台北東門"/>
        <s v="台北松江"/>
        <s v="台北民生"/>
        <s v="台北通化"/>
        <s v="台南"/>
        <s v="台南中華"/>
        <s v="台南公園"/>
        <s v="台南成功"/>
        <s v="台南東門"/>
        <s v="台東"/>
        <s v="台東成功"/>
        <s v="台西"/>
        <s v="右昌"/>
        <s v="吉安"/>
        <s v="名間"/>
        <s v="后里"/>
        <s v="和平"/>
        <s v="和美"/>
        <s v="員林"/>
        <s v="善化"/>
        <s v="嘉義"/>
        <s v="嘉義中山"/>
        <s v="嘉義辦公室"/>
        <s v="四湖"/>
        <s v="國光"/>
        <s v="國姓"/>
        <s v="國際"/>
        <s v="土城"/>
        <s v="土庫"/>
        <s v="埔里"/>
        <s v="埔里中正"/>
        <s v="埤頭"/>
        <s v="基隆"/>
        <s v="塗城"/>
        <s v="士林"/>
        <s v="士林夜市"/>
        <s v="壽豐"/>
        <s v="大同"/>
        <s v="大園"/>
        <s v="大坪林"/>
        <s v="大城"/>
        <s v="大埔"/>
        <s v="大埤"/>
        <s v="大墩"/>
        <s v="大安"/>
        <s v="大寮"/>
        <s v="大昌"/>
        <s v="大有"/>
        <s v="大林"/>
        <s v="大業"/>
        <s v="大武"/>
        <s v="大湖"/>
        <s v="大溪"/>
        <s v="大甲"/>
        <s v="大直"/>
        <s v="大稻埕"/>
        <s v="大竹"/>
        <s v="大肚"/>
        <s v="大里"/>
        <s v="大雅"/>
        <s v="大順"/>
        <s v="大龍峒"/>
        <s v="天后"/>
        <s v="太保"/>
        <s v="太平"/>
        <s v="太麻里"/>
        <s v="學士"/>
        <s v="學甲"/>
        <s v="安一"/>
        <s v="安中"/>
        <s v="安南"/>
        <s v="安康"/>
        <s v="安樂"/>
        <s v="宜大"/>
        <s v="宜蘭"/>
        <s v="富里"/>
        <s v="將軍"/>
        <s v="小港"/>
        <s v="小港機場"/>
        <s v="山仔頂"/>
        <s v="岡山"/>
        <s v="岡德"/>
        <s v="崇德"/>
        <s v="崇德捷運"/>
        <s v="崙背"/>
        <s v="工學"/>
        <s v="左營"/>
        <s v="布袋"/>
        <s v="平鎮"/>
        <s v="府中"/>
        <s v="康寧"/>
        <s v="廣華"/>
        <s v="建國"/>
        <s v="建工"/>
        <s v="建新"/>
        <s v="彰化"/>
        <s v="彰師大"/>
        <s v="後港"/>
        <s v="後龍"/>
        <s v="德民"/>
        <s v="德行東"/>
        <s v="恆春"/>
        <s v="惠來"/>
        <s v="成大"/>
        <s v="敦南"/>
        <s v="文信"/>
        <s v="文山"/>
        <s v="文心"/>
        <s v="文賢"/>
        <s v="斗六"/>
        <s v="斗南"/>
        <s v="新化"/>
        <s v="新園"/>
        <s v="新城"/>
        <s v="新埔"/>
        <s v="新屋"/>
        <s v="新市中正"/>
        <s v="新店"/>
        <s v="新港"/>
        <s v="新營"/>
        <s v="新營中山"/>
        <s v="新竹"/>
        <s v="新竹博愛"/>
        <s v="新竹民生"/>
        <s v="新莊"/>
        <s v="新莊中平"/>
        <s v="新莊幸福"/>
        <s v="新莊民安"/>
        <s v="新豐"/>
        <s v="旗山"/>
        <s v="日南"/>
        <s v="日月潭"/>
        <s v="明志"/>
        <s v="明道"/>
        <s v="景安捷運"/>
        <s v="景文"/>
        <s v="景美"/>
        <s v="曹公"/>
        <s v="木柵"/>
        <s v="朴子"/>
        <s v="東勢"/>
        <s v="東勢厝"/>
        <s v="東港"/>
        <s v="東石"/>
        <s v="松山機場"/>
        <s v="板橋"/>
        <s v="板橋三民"/>
        <s v="板橋四維"/>
        <s v="板橋新埔"/>
        <s v="枋寮"/>
        <s v="林內"/>
        <s v="林口"/>
        <s v="林口忠孝"/>
        <s v="林園"/>
        <s v="林森"/>
        <s v="林邊"/>
        <s v="桂林"/>
        <s v="桃園"/>
        <s v="桃園中平"/>
        <s v="桃園國際機場服務中心(桃園國際機場部)"/>
        <s v="桃園國際機場服務中心(桃園國際機場部)桃園機場一航廈入境管制區"/>
        <s v="桃園國際機場服務中心(桃園國際機場部)桃園機場一航廈出境"/>
        <s v="桃園國際機場服務中心(桃園國際機場部)桃園機場二航廈入境"/>
        <s v="桃園國際機場服務中心(桃園國際機場部)桃園機場二航廈出境"/>
        <s v="桃園國際機場服務中心(桃園國際機場部)管制區"/>
        <s v="桃園夜市"/>
        <s v="桃園復興"/>
        <s v="桃園辦公室"/>
        <s v="桃鶯"/>
        <s v="梅山"/>
        <s v="梧棲"/>
        <s v="梨山"/>
        <s v="楊梅"/>
        <s v="楠梓"/>
        <s v="樂華夜市"/>
        <s v="樹林"/>
        <s v="樹林中華"/>
        <s v="橋頭"/>
        <s v="武慶"/>
        <s v="歸仁"/>
        <s v="民興"/>
        <s v="民雄"/>
        <s v="水上"/>
        <s v="水林"/>
        <s v="水里"/>
        <s v="永和"/>
        <s v="永和中正"/>
        <s v="永安"/>
        <s v="永康"/>
        <s v="永康中山"/>
        <s v="永福"/>
        <s v="永豐"/>
        <s v="永靖"/>
        <s v="汐止"/>
        <s v="汐止福德"/>
        <s v="江翠"/>
        <s v="池上"/>
        <s v="沙鹿"/>
        <s v="沙鹿中山"/>
        <s v="泰明"/>
        <s v="海山捷運"/>
        <s v="淡水"/>
        <s v="淡水捷運"/>
        <s v="淡水新市"/>
        <s v="深坑"/>
        <s v="清水"/>
        <s v="湖口"/>
        <s v="湖西"/>
        <s v="溪口"/>
        <s v="溪州"/>
        <s v="溪湖"/>
        <s v="漢民"/>
        <s v="潭子"/>
        <s v="潮州"/>
        <s v="澄觀"/>
        <s v="澎南"/>
        <s v="烏日"/>
        <s v="玉井"/>
        <s v="玉里"/>
        <s v="王功"/>
        <s v="琉球"/>
        <s v="瑞穗"/>
        <s v="瑞芳"/>
        <s v="瑞隆"/>
        <s v="環球"/>
        <s v="田中"/>
        <s v="白沙"/>
        <s v="白河"/>
        <s v="知本"/>
        <s v="石牌"/>
        <s v="礁溪"/>
        <s v="社子"/>
        <s v="社頭"/>
        <s v="福誠"/>
        <s v="萬丹"/>
        <s v="萬里"/>
        <s v="科園"/>
        <s v="立法院"/>
        <s v="站前"/>
        <s v="竹北"/>
        <s v="竹南"/>
        <s v="竹圍"/>
        <s v="竹塘"/>
        <s v="竹山"/>
        <s v="竹崎"/>
        <s v="竹東"/>
        <s v="羅東"/>
        <s v="美村"/>
        <s v="美濃"/>
        <s v="義竹"/>
        <s v="至聖"/>
        <s v="興業"/>
        <s v="芝山"/>
        <s v="芬園"/>
        <s v="花壇"/>
        <s v="花蓮"/>
        <s v="苑裡"/>
        <s v="苗栗"/>
        <s v="苗栗公館"/>
        <s v="茄萣"/>
        <s v="草屯"/>
        <s v="莿桐"/>
        <s v="華平"/>
        <s v="華榮"/>
        <s v="華美"/>
        <s v="蒜頭"/>
        <s v="蘆洲"/>
        <s v="蘆洲中華"/>
        <s v="蘆竹"/>
        <s v="蘇澳"/>
        <s v="虎尾"/>
        <s v="虎科"/>
        <s v="褒忠"/>
        <s v="西子灣"/>
        <s v="西嶼"/>
        <s v="西港"/>
        <s v="西螺"/>
        <s v="西門町"/>
        <s v="觀音"/>
        <s v="豐原"/>
        <s v="豐原中山"/>
        <s v="通霄"/>
        <s v="逢甲"/>
        <s v="連城"/>
        <s v="過溝"/>
        <s v="里港"/>
        <s v="金城"/>
        <s v="金山"/>
        <s v="銅鑼"/>
        <s v="長春"/>
        <s v="關廟"/>
        <s v="關新"/>
        <s v="關西"/>
        <s v="阿蓮"/>
        <s v="陽明山"/>
        <s v="集賢"/>
        <s v="集集"/>
        <s v="雙溪"/>
        <s v="雲科"/>
        <s v="霧峰"/>
        <s v="靜修"/>
        <s v="頂好"/>
        <s v="頭份"/>
        <s v="頭城"/>
        <s v="馬公"/>
        <s v="高雄"/>
        <s v="高雄復興"/>
        <s v="高雄文化"/>
        <s v="高雄民族"/>
        <s v="高雄美術館"/>
        <s v="高雄自由"/>
        <s v="高雄華夏"/>
        <s v="高雄辦公室"/>
        <s v="魚池"/>
        <s v="鳳山"/>
        <s v="鳳山中山"/>
        <s v="鳳林"/>
        <s v="鶯歌"/>
        <s v="鹽埔"/>
        <s v="鹽水"/>
        <s v="鹿港"/>
        <s v="鹿草"/>
        <s v="鹿谷"/>
        <s v="麥寮"/>
        <s v="麻豆"/>
        <s v="黎明"/>
        <s v="龍安"/>
        <s v="龍東"/>
        <s v="龍潭"/>
        <s v="龍潭中興"/>
        <s v="龜山"/>
        <s v="龜山長庚"/>
      </sharedItems>
    </cacheField>
    <cacheField name="機型" numFmtId="0">
      <sharedItems count="6">
        <s v="4012i"/>
        <s v="L3750CDW"/>
        <s v="L5700DN"/>
        <s v="L6400DW"/>
        <s v="L6900DW"/>
        <s v="L8900CDW"/>
      </sharedItems>
    </cacheField>
    <cacheField name="惠傑申請型號" numFmtId="0">
      <sharedItems count="3">
        <s v="彩色多功能"/>
        <s v="黑白單功能"/>
        <s v="黑白多功能"/>
      </sharedItems>
    </cacheField>
    <cacheField name="現有型號" numFmtId="0">
      <sharedItems count="4">
        <s v="彩色多功能"/>
        <s v="黑白單功能"/>
        <s v="黑白多功能"/>
        <s v="黑白複合機"/>
      </sharedItems>
    </cacheField>
    <cacheField name="營運別" numFmtId="0">
      <sharedItems count="9">
        <s v="營運一處"/>
        <s v="營運三處"/>
        <s v="營運二處"/>
        <s v="營運五處"/>
        <s v="營運六處"/>
        <s v="營運四處"/>
        <s v="通路營運三處"/>
        <s v="通路管理處"/>
        <s v="通路行銷處"/>
      </sharedItems>
    </cacheField>
    <cacheField name="部別" numFmtId="0">
      <sharedItems count="40">
        <s v="中一部"/>
        <s v="中三部"/>
        <s v="中二部"/>
        <s v="中四部"/>
        <s v="南一部"/>
        <s v="南三部"/>
        <s v="南二部"/>
        <s v="南投部"/>
        <s v="台北一部"/>
        <s v="台北三部"/>
        <s v="台北二部"/>
        <s v="台北五部"/>
        <s v="台北六部"/>
        <s v="台北四部"/>
        <s v="台東部"/>
        <s v="嘉義部"/>
        <s v="基隆部"/>
        <s v="宜蘭部"/>
        <s v="屏東部"/>
        <s v="彰化一部"/>
        <s v="彰化二部"/>
        <s v="新北一部"/>
        <s v="新北三部"/>
        <s v="新北二部"/>
        <s v="新北五部"/>
        <s v="新北四部"/>
        <s v="新竹部"/>
        <s v="桃一部"/>
        <s v="桃三部"/>
        <s v="桃二部"/>
        <s v="管理三部"/>
        <s v="花蓮部"/>
        <s v="苗栗部"/>
        <s v="行銷四部"/>
        <s v="雲林部"/>
        <s v="高一部"/>
        <s v="高三部"/>
        <s v="高二部"/>
        <s v="高五部"/>
        <s v="高四部"/>
      </sharedItems>
    </cacheField>
    <cacheField name="地址" numFmtId="0">
      <sharedItems count="419">
        <s v="330桃園市桃園區復興路189號"/>
        <s v="404臺中市北區中清路一段347號"/>
        <s v="600嘉義市東區光彩街269號"/>
        <s v="800高雄市新興區七賢一路18號(通信大樓2樓)"/>
        <s v="南投縣南投市中山一街6號"/>
        <s v="南投縣南投市光華路7號"/>
        <s v="南投縣南投市南崗三路26號"/>
        <s v="南投縣南投市民族路160號"/>
        <s v="南投縣名間鄉彰南路34號"/>
        <s v="南投縣國姓鄉國姓路462號"/>
        <s v="南投縣埔里鎮中正路443號"/>
        <s v="南投縣埔里鎮中華路211號"/>
        <s v="南投縣水里鄉博愛路35號"/>
        <s v="南投縣竹山鎮竹山路138號"/>
        <s v="南投縣草屯鎮中正路629號"/>
        <s v="南投縣集集鎮民生路110號之2"/>
        <s v="南投縣魚池鄉名勝街36號"/>
        <s v="南投縣魚池鄉秀水巷32號之10"/>
        <s v="南投縣鹿谷鄉中正路二段164號"/>
        <s v="台中市北區中清路一段347號"/>
        <s v="台中市北區太平路10號"/>
        <s v="台中市北區學士路187號"/>
        <s v="台中市北區進化路322號"/>
        <s v="台中市北區進化路322號9F"/>
        <s v="台中市北屯區北屯路208之5號"/>
        <s v="台中市北屯區崇德路三段165號"/>
        <s v="台中市北屯區崇德路二段201號"/>
        <s v="台中市北屯區東山路一段212之2號"/>
        <s v="台中市南區學府路73、75號"/>
        <s v="台中市南區工學路82號"/>
        <s v="台中市南屯區文心路一段351號"/>
        <s v="台中市南屯區東興路二段62號"/>
        <s v="台中市南屯區黎明路一段975號"/>
        <s v="台中市南屯區黎明路二段147之1號"/>
        <s v="台中市后里區甲后路一段641號"/>
        <s v="台中市和平區中正路90號"/>
        <s v="台中市大甲區中山路二段183號"/>
        <s v="台中市大甲區順天路159號"/>
        <s v="台中市大肚區榮華街3號"/>
        <s v="台中市大里區國光路二段735號"/>
        <s v="台中市大里區大智路727號"/>
        <s v="台中市大里區成功路463號"/>
        <s v="台中市大雅區民興街59號"/>
        <s v="台中市大雅區神林南路182號"/>
        <s v="台中市太平區太平路577號"/>
        <s v="台中市太平區樹孝路25號"/>
        <s v="台中市東勢區本街244號"/>
        <s v="台中市東區十甲路450號"/>
        <s v="台中市梧棲區大智路二段197號"/>
        <s v="台中市沙鹿區中山路205號"/>
        <s v="台中市沙鹿區成功東街94號"/>
        <s v="台中市清水區中山路79號"/>
        <s v="台中市潭子區潭興路三段40號"/>
        <s v="台中市烏日區三民街212號"/>
        <s v="台中市烏日區中山路一段402號"/>
        <s v="台中市西區市府路37號"/>
        <s v="台中市西區精誠路105-8號"/>
        <s v="台中市西區美村路一段685號"/>
        <s v="台中市西屯區台灣大道四段1238號"/>
        <s v="台中市西屯區大墩路932號"/>
        <s v="台中市西屯區永福路139號1樓"/>
        <s v="台中市西屯區漢口路二段292號"/>
        <s v="台中市西屯區西屯路二段104號"/>
        <s v="台中市西屯區逢甲路230號"/>
        <s v="台中市豐原區中山路412號"/>
        <s v="台中市豐原區豐西街21號"/>
        <s v="台中市霧峰區中正路933號"/>
        <s v="台中市龍井區遊園南路257號"/>
        <s v="台北市中山區北安路662號"/>
        <s v="台北市中山區建國北路二段216號"/>
        <s v="台北市中山區松江路67之1號"/>
        <s v="台北市中山區長春路27號"/>
        <s v="台北市中正區仁愛路一段42號"/>
        <s v="台北市中正區公園路18號"/>
        <s v="台北市中正區博愛路168號"/>
        <s v="台北市中正區市民大道三段2號1樓"/>
        <s v="台北市中正區濟南路一段1號2樓"/>
        <s v="台北市中正區羅斯福路四段76號"/>
        <s v="台北市信義區仁愛路四段420-1號"/>
        <s v="台北市信義區松仁路130號"/>
        <s v="台北市信義區永吉路521號"/>
        <s v="台北市內湖區內湖路一段596號"/>
        <s v="台北市內湖區康寧路三段75巷22號"/>
        <s v="台北市內湖區成功路三段135號"/>
        <s v="台北市內湖區東湖路33巷1號"/>
        <s v="台北市北投區中和街260號"/>
        <s v="台北市北投區光明路176號"/>
        <s v="台北市北投區石牌路一段73號"/>
        <s v="台北市北投區紗帽路139號"/>
        <s v="台北市南港區南港路一段356號"/>
        <s v="台北市士林區基河路10號"/>
        <s v="台北市士林區延平北路五段211號"/>
        <s v="台北市士林區德行東路177號"/>
        <s v="台北市士林區文林路158號"/>
        <s v="台北市士林區福國路57號"/>
        <s v="台北市大同區承德路三段249號"/>
        <s v="台北市大同區民生西路305號"/>
        <s v="台北市大安區信義路四段89之1號"/>
        <s v="台北市大安區和平東路一段182之2號"/>
        <s v="台北市大安區忠孝東路三段214號"/>
        <s v="台北市大安區愛國東路35-1號"/>
        <s v="台北市大安區敦化南路一段158號"/>
        <s v="台北市大安區敦化南路二段162號"/>
        <s v="台北市大安區通化街177號"/>
        <s v="台北市文山區景文街60號"/>
        <s v="台北市文山區木新路三段200號"/>
        <s v="台北市文山區木柵路三段79號"/>
        <s v="台北市文山區羅斯福路六段159巷19號"/>
        <s v="台北市松山區南京東路五段135號"/>
        <s v="台北市松山區敦化北路340之9號"/>
        <s v="台北市松山區民生東路五段206號"/>
        <s v="台北市松山區民生東路四段69號"/>
        <s v="台北市萬華區昆明街126號"/>
        <s v="台北市萬華區西藏路125巷20號"/>
        <s v="台南市下營區中山路一段257號"/>
        <s v="台南市中西區大同路一段236號"/>
        <s v="台南市中西區成功路3號"/>
        <s v="台南市中西區西門路一段701號"/>
        <s v="台南市仁德區中正路二段1136號"/>
        <s v="台南市佳里區延平路106號"/>
        <s v="台南市六甲區建國街67號"/>
        <s v="台南市北區公園路966號"/>
        <s v="台南市北區文賢路815號"/>
        <s v="台南市善化區中山路246號"/>
        <s v="台南市學甲區濟生路67號"/>
        <s v="台南市安南區安中路一段678號"/>
        <s v="台南市安南區安中路三段370號"/>
        <s v="台南市安平區華平路500號"/>
        <s v="台南市將軍區忠興里187號"/>
        <s v="台南市新化區大德路30號"/>
        <s v="台南市新市區中正路47號"/>
        <s v="台南市新市區南科六路6號之1"/>
        <s v="台南市新營區中山路175之1號"/>
        <s v="台南市新營區民治路105號"/>
        <s v="台南市東區仁和路76號"/>
        <s v="台南市東區東寧路西段15號"/>
        <s v="台南市東區東門路二段350號"/>
        <s v="台南市歸仁區文化街二段15號"/>
        <s v="台南市永康區中山南路462號"/>
        <s v="台南市永康區中山南路515號"/>
        <s v="台南市永康區中華路680號"/>
        <s v="台南市玉井區中正路42號"/>
        <s v="台南市白河區三民路408號"/>
        <s v="台南市西港區文化路60號"/>
        <s v="台南市鹽水區南門路132號"/>
        <s v="台南市麻豆區興國路23號"/>
        <s v="台東縣台東市大同路128號"/>
        <s v="台東縣台東市青海路四段271巷11號"/>
        <s v="台東縣大武鄉民生街51號"/>
        <s v="台東縣太麻里鄉文化路16號"/>
        <s v="台東縣成功鎮中華路79號"/>
        <s v="台東縣池上鄉中山路103號之1"/>
        <s v="嘉義市東區光彩街269號"/>
        <s v="嘉義市西區中山路360號"/>
        <s v="嘉義市西區中興路322號"/>
        <s v="嘉義市西區興業西路34號"/>
        <s v="嘉義縣中埔鄉中埔村80號之4"/>
        <s v="嘉義縣六腳鄉蒜頭村126號"/>
        <s v="嘉義縣大林鎮中正路621號"/>
        <s v="嘉義縣太保市後潭里376號"/>
        <s v="嘉義縣布袋鎮中安里頂厝11號之1"/>
        <s v="嘉義縣布袋鎮自由路8號"/>
        <s v="嘉義縣新港鄉中正路8號之1"/>
        <s v="嘉義縣朴子市山通路21號"/>
        <s v="嘉義縣東石鄉東石村4號之4"/>
        <s v="嘉義縣梅山鄉中山路408號"/>
        <s v="嘉義縣民雄鄉保生街291號"/>
        <s v="嘉義縣水上鄉中正路49號"/>
        <s v="嘉義縣溪口鄉中正東路39號"/>
        <s v="嘉義縣竹崎鄉和平村坑仔坪160號"/>
        <s v="嘉義縣義竹鄉岸腳村59號之23"/>
        <s v="嘉義縣鹿草鄉鹿草村440號"/>
        <s v="基隆市七堵區崇智街2-5號"/>
        <s v="基隆市仁愛區仁一路321號"/>
        <s v="基隆市安樂區安一路123號"/>
        <s v="基隆市安樂區安樂路二段129號"/>
        <s v="宜蘭縣三星鄉中山路26號"/>
        <s v="宜蘭縣冬山鄉冬山路一段879號"/>
        <s v="宜蘭縣宜蘭市東港路二段420號"/>
        <s v="宜蘭縣宜蘭市神農路一段170號"/>
        <s v="宜蘭縣礁溪鄉礁溪路四段128號"/>
        <s v="宜蘭縣羅東鎮公正路112號"/>
        <s v="宜蘭縣蘇澳鎮中山路一段220號"/>
        <s v="宜蘭縣頭城鎮民鋒路15號"/>
        <s v="屏東縣佳冬鄉佳和路130號"/>
        <s v="屏東縣內埔鄉南寧路192號"/>
        <s v="屏東縣屏東市廣東路607號"/>
        <s v="屏東縣屏東市棒球路10號"/>
        <s v="屏東縣恆春鎮省北路64號"/>
        <s v="屏東縣新園鄉永吉路21號"/>
        <s v="屏東縣東港鎮中正路227號"/>
        <s v="屏東縣枋寮鄉中山路240號"/>
        <s v="屏東縣林邊鄉中山路70號"/>
        <s v="屏東縣潮州鎮新生路123號"/>
        <s v="屏東縣琉球鄉中興路39號"/>
        <s v="屏東縣萬丹鄉萬丹路一段406號"/>
        <s v="屏東縣里港鄉中山路2號"/>
        <s v="屏東縣鹽埔鄉興學路3號"/>
        <s v="彰化縣二林鎮斗苑路四段613號"/>
        <s v="彰化縣二水鄉員集路三段743號"/>
        <s v="彰化縣伸港鄉仁愛路1號"/>
        <s v="彰化縣北斗鎮宮後街27號"/>
        <s v="彰化縣和美鎮彰美路五段323號"/>
        <s v="彰化縣員林市靜修路52-6號1樓"/>
        <s v="彰化縣員林鎮員東路二段498號"/>
        <s v="彰化縣埤頭鄉斗苑西路36號"/>
        <s v="彰化縣大城鄉東城村東平路74號"/>
        <s v="彰化縣彰化市中山路二段1018號"/>
        <s v="彰化縣彰化市和平路52號"/>
        <s v="彰化縣彰化市大埔路503號"/>
        <s v="彰化縣彰化市永安街379號1樓"/>
        <s v="彰化縣永靖鄉瑚璉路433號"/>
        <s v="彰化縣溪州鄉中山路三段270巷2號"/>
        <s v="彰化縣溪湖鎮彰水路四段323號"/>
        <s v="彰化縣田中鎮中州路一段77號"/>
        <s v="彰化縣社頭鄉員集路二段555號"/>
        <s v="彰化縣竹塘鄉竹五路45號"/>
        <s v="彰化縣芬園鄉彰南路三段496號"/>
        <s v="彰化縣花壇鄉花壇村平和街135號"/>
        <s v="彰化縣芳苑鄉芳漢路王功段266巷17號"/>
        <s v="彰化縣鹿港鎮中山路175號"/>
        <s v="彰化縣鹿港鎮民權路82號"/>
        <s v="新北市三峽區大學路168號"/>
        <s v="新北市三峽區復興路172號"/>
        <s v="新北市三峽區民權街36號"/>
        <s v="新北市三芝區公正街1號"/>
        <s v="新北市三重區正義北路15-3號"/>
        <s v="新北市三重區重新路三段27號"/>
        <s v="新北市中和區中和路138號"/>
        <s v="新北市中和區中山路三段117號"/>
        <s v="新北市中和區景平路155號"/>
        <s v="新北市中和區景平路476號"/>
        <s v="新北市中和區連城路94號"/>
        <s v="新北市五股區成泰路三段18號"/>
        <s v="新北市八里區中山路二段356巷12號"/>
        <s v="新北市土城區裕民路73號"/>
        <s v="新北市土城區青雲路136號"/>
        <s v="新北市新店區北新路一段72號"/>
        <s v="新北市新店區安康路二段337號之一"/>
        <s v="新北市新店區民權路48號"/>
        <s v="新北市新莊區中平路369號"/>
        <s v="新北市新莊區中華路一段57號"/>
        <s v="新北市新莊區四維路7號"/>
        <s v="新北市新莊區幸福路612號1樓"/>
        <s v="新北市新莊區民安路214號1樓"/>
        <s v="新北市板橋區三民路二段171號"/>
        <s v="新北市板橋區四維路229號"/>
        <s v="新北市板橋區府後街1號"/>
        <s v="新北市板橋區文化路二段51號"/>
        <s v="新北市板橋區民族路166號"/>
        <s v="新北市板橋區雙十路二段70巷2號"/>
        <s v="新北市林口區中山路262號"/>
        <s v="新北市林口區忠孝路370號1樓"/>
        <s v="新北市樹林區中華路144號"/>
        <s v="新北市樹林區樹新路15號"/>
        <s v="新北市永和區中正路261號"/>
        <s v="新北市永和區國光路8號"/>
        <s v="新北市永和區永和路一段57號"/>
        <s v="新北市汐止區仁愛路12號"/>
        <s v="新北市汐止區忠孝東路286號"/>
        <s v="新北市汐止區福德一路264號"/>
        <s v="新北市泰山區明志路一段167號1樓"/>
        <s v="新北市泰山區明志路三段155號"/>
        <s v="新北市淡水區中山北路二段191號"/>
        <s v="新北市淡水區中正東路51號"/>
        <s v="新北市淡水區中正路201號"/>
        <s v="新北市淡水區民權路127號"/>
        <s v="新北市深坑區深坑街14號"/>
        <s v="新北市瑞芳區中正路65號2樓"/>
        <s v="新北市萬里區瑪鍊路16號"/>
        <s v="新北市蘆洲區三民路91號"/>
        <s v="新北市蘆洲區中華街73號1樓"/>
        <s v="新北市蘆洲區集賢路338號1樓"/>
        <s v="新北市金山區金包里街1號"/>
        <s v="新北市雙溪區中華路107號"/>
        <s v="新北市鶯歌區國慶街93號"/>
        <s v="新竹市北區中正路105號"/>
        <s v="新竹市東區光復路一段354巷1弄7號"/>
        <s v="新竹市東區園區一路99號"/>
        <s v="新竹市東區建新路112號"/>
        <s v="新竹市東區林森路22號"/>
        <s v="新竹市東區民生路168號"/>
        <s v="新竹縣北埔鄉北埔街107號"/>
        <s v="新竹縣新埔鎮中正路208號"/>
        <s v="新竹縣新豐鄉建興路一段201巷9-1號"/>
        <s v="新竹縣湖口鄉中央街20號"/>
        <s v="新竹縣竹北市博愛街426-1號"/>
        <s v="新竹縣竹北市文興路二段5號"/>
        <s v="新竹縣竹北市縣政九路136號"/>
        <s v="新竹縣竹東鎮杞林路68號"/>
        <s v="新竹縣關西鎮正義路53號"/>
        <s v="桃園市中壢區中山路152號"/>
        <s v="桃園市中壢區忠孝路65號"/>
        <s v="桃園市中壢區日新路49號"/>
        <s v="桃園市中壢區興仁路一段188號"/>
        <s v="桃園市中壢區龍東路471號"/>
        <s v="桃園市八德區介壽路一段199號"/>
        <s v="桃園市八德區介壽路一段894號"/>
        <s v="桃園市大園區新興路42號"/>
        <s v="桃園市大園區航站南路15號(第一航廈出境)"/>
        <s v="桃園市大溪區慈湖路78號"/>
        <s v="桃園市平鎮區南豐路95號"/>
        <s v="桃園市平鎮區德育路二段175號"/>
        <s v="桃園市復興區中正路70號"/>
        <s v="桃園市新屋區電信街10號"/>
        <s v="桃園市桃園區中正路417號"/>
        <s v="桃園市桃園區大有路455號"/>
        <s v="桃園市桃園區大業路一段353號"/>
        <s v="桃園市桃園區宏昌六街237號"/>
        <s v="桃園市桃園區復興路189號"/>
        <s v="桃園市桃園區桃鶯路157號"/>
        <s v="桃園市桃園區龍安街107號"/>
        <s v="桃園市楊梅區大成路167號"/>
        <s v="桃園市蘆竹區南崁路128號"/>
        <s v="桃園市蘆竹區大竹路442號"/>
        <s v="桃園市蘆竹區福祿五街6號"/>
        <s v="桃園市觀音區中山路38號"/>
        <s v="桃園市龍潭區中正路194巷25號"/>
        <s v="桃園市龍潭區中興路396號"/>
        <s v="桃園市龜山區中興路359號"/>
        <s v="桃園市龜山區復興一路310號"/>
        <s v="澎湖縣湖西鄉湖西村77號之16"/>
        <s v="澎湖縣白沙鄉大赤崁村357號之2"/>
        <s v="澎湖縣西嶼鄉池東村211號"/>
        <s v="澎湖縣馬公市五德里37號之1"/>
        <s v="澎湖縣馬公市信義路3號"/>
        <s v="臺中市沙鹿區中航路一段168號"/>
        <s v="臺南市關廟區忠孝街113號"/>
        <s v="花蓮縣光復鄉中正路一段132號"/>
        <s v="花蓮縣吉安鄉中山路三段76號"/>
        <s v="花蓮縣壽豐鄉壽豐村壽豐路一段109號"/>
        <s v="花蓮縣富里鄉中山路304號"/>
        <s v="花蓮縣新城鄉北埔路11號"/>
        <s v="花蓮縣玉里鎮中山路二段137號"/>
        <s v="花蓮縣瑞穗鄉中山路一段176號"/>
        <s v="花蓮縣花蓮市中正路595號"/>
        <s v="花蓮縣鳳林鎮中正路二段62號"/>
        <s v="苗栗縣三義鄉中正路138號"/>
        <s v="苗栗縣公館鄉館南村館南160之2號"/>
        <s v="苗栗縣卓蘭鎮中山路140號"/>
        <s v="苗栗縣南庄鄉中正路147之1號"/>
        <s v="苗栗縣大湖鄉民族路105號"/>
        <s v="苗栗縣後龍鎮三民路110號"/>
        <s v="苗栗縣竹南鎮和平街81-2號"/>
        <s v="苗栗縣苑裡鎮忠勇街17號"/>
        <s v="苗栗縣苗栗市中正路560號"/>
        <s v="苗栗縣通霄鎮中正路74-2號"/>
        <s v="苗栗縣銅鑼鄉郵電街31號"/>
        <s v="苗栗縣頭份市和平路70號"/>
        <s v="苗栗縣頭份市民族路739號"/>
        <s v="金門縣金城鎮民權路182號"/>
        <s v="雲林縣二崙鄉中山路一段170號"/>
        <s v="雲林縣元長鄉長南村仁愛路1號"/>
        <s v="雲林縣北港鎮中正路20號之1"/>
        <s v="雲林縣口湖鄉湖東村文明路88號"/>
        <s v="雲林縣古坑鄉中華路25號"/>
        <s v="雲林縣台西鄉民生路78號"/>
        <s v="雲林縣四湖鄉中山東路5號"/>
        <s v="雲林縣土庫鎮新建路33號"/>
        <s v="雲林縣大埤鄉中正路21號"/>
        <s v="雲林縣崙背鄉南光路42號"/>
        <s v="雲林縣斗六市文化路38號"/>
        <s v="雲林縣斗六市民生南路246號"/>
        <s v="雲林縣斗南鎮南昌路147號"/>
        <s v="雲林縣東勢鄉東勢東路349號"/>
        <s v="雲林縣林內鄉中正路382號"/>
        <s v="雲林縣水林鄉水北村新興北路20號"/>
        <s v="雲林縣莿桐鄉和平路74號"/>
        <s v="雲林縣虎尾鎮中正路281號"/>
        <s v="雲林縣虎尾鎮新生路136號"/>
        <s v="雲林縣褒忠鄉中正路67號"/>
        <s v="雲林縣西螺鎮平和路111號"/>
        <s v="雲林縣麥寮鄉光復南路342號"/>
        <s v="高雄市三民區哈爾濱街185號"/>
        <s v="高雄市三民區大昌二路28號"/>
        <s v="高雄市三民區建工路569號"/>
        <s v="高雄市仁武區八德南路351號"/>
        <s v="高雄市仁武區鳳仁路280號之8"/>
        <s v="高雄市六龜區華南街34號"/>
        <s v="高雄市前鎮區三多三路181號"/>
        <s v="高雄市前鎮區瑞隆路615號"/>
        <s v="高雄市大寮區鳳林4路6號"/>
        <s v="高雄市小港區中山四路2號"/>
        <s v="高雄市小港區小港一街5號"/>
        <s v="高雄市小港區漢民路290號"/>
        <s v="高雄市岡山區介壽路27號"/>
        <s v="高雄市岡山區岡山路420號"/>
        <s v="高雄市左營區實踐路45號"/>
        <s v="高雄市左營區民族一路899之1號"/>
        <s v="高雄市左營區自由二路340-1號"/>
        <s v="高雄市左營區至聖路200號"/>
        <s v="高雄市左營區華夏路663號"/>
        <s v="高雄市新興區五福二路213號"/>
        <s v="高雄市新興區林森一路230號"/>
        <s v="高雄市旗山區延平一路509號"/>
        <s v="高雄市林園區林園北路367號"/>
        <s v="高雄市楠梓區德民路154號"/>
        <s v="高雄市楠梓區楠梓新路245號"/>
        <s v="高雄市楠梓區藍昌路296號"/>
        <s v="高雄市楠梓區軍校路981號"/>
        <s v="高雄市橋頭區成功路235號"/>
        <s v="高雄市美濃區泰安路103號"/>
        <s v="高雄市苓雅區大順三路18號"/>
        <s v="高雄市苓雅區廣州一街157-3號"/>
        <s v="高雄市苓雅區復興二路77號"/>
        <s v="高雄市苓雅區武昌路200號"/>
        <s v="高雄市茄萣區白砂路100號"/>
        <s v="高雄市阿蓮區民生路103號"/>
        <s v="高雄市鳳山區中山路83號"/>
        <s v="高雄市鳳山區五甲三路8號"/>
        <s v="高雄市鳳山區五甲二路280號"/>
        <s v="高雄市鳳山區曹公路25號"/>
        <s v="高雄市鳳山區經武路58號"/>
        <s v="高雄市鳳山區青年路二段358-5號"/>
        <s v="高雄市鳳山區鳳頂路61號"/>
        <s v="高雄市鼓山區文信路262號"/>
        <s v="高雄市鼓山區臨海二路43號"/>
        <s v="高雄市鼓山區華榮路414號"/>
        <s v="高雄市鼓山區青海路116號"/>
      </sharedItems>
    </cacheField>
    <cacheField name="電話" numFmtId="0">
      <sharedItems containsBlank="1" count="415">
        <s v="02-22014154"/>
        <s v="02-22152205"/>
        <s v="02-22436189"/>
        <s v="02-22726556"/>
        <s v="02-22733599"/>
        <s v="02-22792566"/>
        <s v="02-22792588"/>
        <s v="02-22846006"/>
        <s v="02-22846016"/>
        <s v="02-23034122"/>
        <s v="02-23140508"/>
        <s v="02-23252369"/>
        <s v="02-23442475"/>
        <s v="02-23456166"/>
        <s v="02-23688688"/>
        <s v="02-23698868"/>
        <s v="02-23708688"/>
        <s v="02-23776886"/>
        <s v="02-23812168"/>
        <s v="02-23929133"/>
        <s v="02-23958998"/>
        <s v="02-23968166"/>
        <s v="02-24210368"/>
        <s v="02-24210467"/>
        <s v="02-24346434"/>
        <s v="02-24562445"/>
        <s v="02-24922744"/>
        <s v="02-24931043"/>
        <s v="02-24973071"/>
        <s v="02-24981911"/>
        <s v="02-25016341"/>
        <s v="02-25081688"/>
        <s v="02-25536588"/>
        <s v="02-25813443"/>
        <s v="02-25910411"/>
        <s v="02-26005028"/>
        <s v="02-26013344"/>
        <s v="02-26102510"/>
        <s v="02-26269507"/>
        <s v="02-26269527"/>
        <s v="02-26285418"/>
        <s v="02-26308123"/>
        <s v="02-26330660"/>
        <s v="02-26362510"/>
        <s v="02-26416888"/>
        <s v="02-26593135"/>
        <s v="02-26643354"/>
        <s v="02-26735644"/>
        <s v="02-26746899"/>
        <s v="02-26792070"/>
        <s v="02-26835118"/>
        <s v="02-26945951"/>
        <s v="02-27041340"/>
        <s v="02-27198889"/>
        <s v="02-27200110"/>
        <s v="02-27628868"/>
        <s v="02-27666288"/>
        <s v="02-27687166"/>
        <s v="02-27731441"/>
        <s v="02-27818889"/>
        <s v="02-27836676"/>
        <s v="02-28099507"/>
        <s v="02-28253545"/>
        <s v="02-28388445"/>
        <s v="02-28616112"/>
        <s v="02-28834024"/>
        <s v="02-28863481"/>
        <s v="02-28986571"/>
        <s v="02-28986588"/>
        <s v="02-29005168"/>
        <s v="02-29076266"/>
        <s v="02-29268111"/>
        <s v="02-29268168"/>
        <s v="02-29311280"/>
        <s v="02-29368444"/>
        <s v="02-29399919"/>
        <s v="02-29904500"/>
        <s v="02-82016068"/>
        <s v="02-82218576"/>
        <s v="02-82453111"/>
        <s v="02-82596169"/>
        <s v="02-82597368"/>
        <s v="02-82597588"/>
        <s v="02-82731088"/>
        <s v="02-82821234"/>
        <s v="02-82952454"/>
        <s v="02-85098688"/>
        <s v="02-86464889"/>
        <s v="02-86726199"/>
        <s v="02-86840899"/>
        <s v="02-87702899"/>
        <s v="02-87928828"/>
        <s v="02-88114411"/>
        <s v="02-88664411"/>
        <s v="02-89110668"/>
        <s v="02-89353637"/>
        <s v="02-89411255"/>
        <s v="02-89415409"/>
        <s v="02-89415799"/>
        <s v="02-89446107"/>
        <s v="02-89525968"/>
        <s v="02-89527205"/>
        <s v="02-89712002"/>
        <s v="02-89712899"/>
        <s v="03-2283636"/>
        <s v="03-2854443"/>
        <s v="03-3033200"/>
        <s v="03-3110568"/>
        <s v="03-3138858"/>
        <s v="03-3172688"/>
        <s v="03-3192385"/>
        <s v="03-3375299"/>
        <s v="03-3533636"/>
        <s v="03-3562768"/>
        <s v="03-3697988"/>
        <s v="03-3753737"/>
        <s v="03-3758558"/>
        <s v="03-3779899"/>
        <s v="03-3822144"/>
        <s v="03-3864491"/>
        <s v="03-3881501"/>
        <s v="03-3932841"/>
        <s v="03-3961388"/>
        <s v="03-4263614"/>
        <s v="03-4357268"/>
        <s v="03-4368188"/>
        <s v="03-4658188"/>
        <s v="03-4685464"/>
        <s v="03-4696228"/>
        <s v="03-4732454"/>
        <s v="03-4772001"/>
        <s v="03-4882882"/>
        <s v="03-4895454"/>
        <s v="03-4898288"/>
        <s v="03-5212100"/>
        <s v="03-5212516"/>
        <s v="03-5345600"/>
        <s v="03-5504600"/>
        <s v="03-5544600"/>
        <s v="03-5552144"/>
        <s v="03-5591144"/>
        <s v="03-5633100"/>
        <s v="03-5639600"/>
        <s v="03-5753501"/>
        <s v="03-5802200"/>
        <s v="03-5872600"/>
        <s v="03-5882600"/>
        <s v="03-5969431"/>
        <s v="03-5992134"/>
        <s v="03-8267144"/>
        <s v="03-8324411"/>
        <s v="03-8524411"/>
        <s v="03-8651011"/>
        <s v="03-8701064"/>
        <s v="03-8764141"/>
        <s v="03-8831400"/>
        <s v="03-8872932"/>
        <s v="03-8888901"/>
        <s v="03-9385911"/>
        <s v="03-9549903"/>
        <s v="03-9549961"/>
        <s v="03-9699365"/>
        <s v="03-9770439"/>
        <s v="03-9880541"/>
        <s v="03-9893891"/>
        <s v="03-9953471"/>
        <s v="037-223396"/>
        <s v="037-339182"/>
        <s v="037-467388"/>
        <s v="037-632015"/>
        <s v="037-669014"/>
        <s v="037-730814"/>
        <s v="037-752521"/>
        <s v="037-822000"/>
        <s v="037-862213"/>
        <s v="037-870325"/>
        <s v="037-981000"/>
        <s v="037-991101"/>
        <s v="04-22126608"/>
        <s v="04-22298585"/>
        <s v="04-22352818"/>
        <s v="04-22382556"/>
        <s v="04-22420697"/>
        <s v="04-22550677"/>
        <s v="04-22616751"/>
        <s v="04-22762886"/>
        <s v="04-22853788"/>
        <s v="04-23112316"/>
        <s v="04-23125789"/>
        <s v="04-23282098"/>
        <s v="04-23285911"/>
        <s v="04-23361144"/>
        <s v="04-23386869"/>
        <s v="04-23393442"/>
        <s v="04-23445236"/>
        <s v="04-23446207"/>
        <s v="04-23447600"/>
        <s v="04-23785557"/>
        <s v="04-23815668"/>
        <s v="04-23823528"/>
        <s v="04-23916144"/>
        <s v="04-24060877"/>
        <s v="04-24229619"/>
        <s v="04-24371088"/>
        <s v="04-24525244"/>
        <s v="04-24622467"/>
        <s v="04-24631288"/>
        <s v="04-24723858"/>
        <s v="04-24838044"/>
        <s v="04-24966369"/>
        <s v="04-25123414"/>
        <s v="04-25276450"/>
        <s v="04-25324467"/>
        <s v="04-25561493"/>
        <s v="04-25650244"/>
        <s v="04-25673121"/>
        <s v="04-25882405"/>
        <s v="04-25892914"/>
        <s v="04-25989201"/>
        <s v="04-26155100"/>
        <s v="04-26235104"/>
        <s v="04-26312003"/>
        <s v="04-26350322"/>
        <s v="04-26572281"/>
        <s v="04-26626623"/>
        <s v="04-26813711"/>
        <s v="04-26881910"/>
        <s v="04-26992050"/>
        <s v="04-7125161"/>
        <s v="04-7220678"/>
        <s v="04-7225203"/>
        <s v="04-7353528"/>
        <s v="04-7552001"/>
        <s v="04-7770395"/>
        <s v="04-7781858"/>
        <s v="04-7862006"/>
        <s v="04-7984000"/>
        <s v="04-8224040"/>
        <s v="04-8329991"/>
        <s v="04-8331258"/>
        <s v="04-8734040"/>
        <s v="04-8744040"/>
        <s v="04-8790004"/>
        <s v="04-8854040"/>
        <s v="04-8884041"/>
        <s v="04-8894056"/>
        <s v="04-8925042"/>
        <s v="04-8932441"/>
        <s v="04-8944040"/>
        <s v="04-8964040"/>
        <s v="04-8972490"/>
        <s v="049-2230811"/>
        <s v="049-2236837"/>
        <s v="049-2261403"/>
        <s v="049-2319027"/>
        <s v="049-2334809"/>
        <s v="049-2528976"/>
        <s v="049-2643226"/>
        <s v="049-2721081"/>
        <s v="049-2732801"/>
        <s v="049-2753079"/>
        <s v="049-2762541"/>
        <s v="049-2772011"/>
        <s v="049-2855111"/>
        <s v="049-2895500"/>
        <s v="049-2992744"/>
        <s v="049-2992800"/>
        <s v="05-2240500"/>
        <s v="05-2280358"/>
        <s v="05-2344491"/>
        <s v="05-2440002"/>
        <s v="05-2442501"/>
        <s v="05-2443466"/>
        <s v="05-2444226"/>
        <s v="05-2446730"/>
        <s v="05-2447755"/>
        <s v="05-2448448"/>
        <s v="05-2449440"/>
        <s v="05-3440001"/>
        <s v="05-3440037"/>
        <s v="05-3440038"/>
        <s v="05-3440039"/>
        <s v="05-3441951"/>
        <s v="05-3444403"/>
        <s v="05-3445440"/>
        <s v="05-3446940"/>
        <s v="05-3451044"/>
        <s v="05-5324844"/>
        <s v="05-5325565"/>
        <s v="05-5822999"/>
        <s v="05-5842000"/>
        <s v="05-5864956"/>
        <s v="05-5892080"/>
        <s v="05-5912000"/>
        <s v="05-5973642"/>
        <s v="05-5982000"/>
        <s v="05-6321199"/>
        <s v="05-6324400"/>
        <s v="05-6624001"/>
        <s v="05-6931405"/>
        <s v="05-6965001"/>
        <s v="05-6974010"/>
        <s v="05-6984001"/>
        <s v="05-6995144"/>
        <s v="05-7824123"/>
        <s v="05-7853244"/>
        <s v="05-7871001"/>
        <s v="05-7881001"/>
        <s v="05-7891001"/>
        <s v="06-2442207"/>
        <s v="06-2442216"/>
        <s v="06-2442219"/>
        <s v="06-2442229"/>
        <s v="06-2442255"/>
        <s v="06-2442260"/>
        <s v="06-2442267"/>
        <s v="06-2442270"/>
        <s v="06-2442275"/>
        <s v="06-2442278"/>
        <s v="06-2442280"/>
        <s v="06-2442289"/>
        <s v="06-2442290"/>
        <s v="06-2442295"/>
        <s v="06-2442299"/>
        <s v="06-2442688"/>
        <s v="06-5052668"/>
        <s v="06-5441699"/>
        <s v="06-5442020"/>
        <s v="06-5444011"/>
        <s v="06-5445810"/>
        <s v="06-5448789"/>
        <s v="06-5892898"/>
        <s v="06-6333199"/>
        <s v="06-6440045"/>
        <s v="06-6441400"/>
        <s v="06-6443121"/>
        <s v="06-6444740"/>
        <s v="06-6446000"/>
        <s v="06-7440577"/>
        <s v="06-7441441"/>
        <s v="06-7443802"/>
        <s v="06-7444701"/>
        <s v="06-9440557"/>
        <s v="06-9921000"/>
        <s v="06-9931000"/>
        <s v="06-9951000"/>
        <s v="06-9981100"/>
        <s v="07-2620145"/>
        <s v="07-2622562"/>
        <s v="07-3227334"/>
        <s v="07-3441220"/>
        <s v="07-3441229"/>
        <s v="07-3441288"/>
        <s v="07-3441318"/>
        <s v="07-3441530"/>
        <s v="07-3441568"/>
        <s v="07-3441631"/>
        <s v="07-3441688"/>
        <s v="07-3441788"/>
        <s v="07-3442168"/>
        <s v="07-3442345"/>
        <s v="07-3443777"/>
        <s v="07-3445303"/>
        <s v="07-3445318"/>
        <s v="07-3445319"/>
        <s v="07-3445326"/>
        <s v="07-3446001"/>
        <s v="07-3446388"/>
        <s v="07-3446500"/>
        <s v="07-3446537"/>
        <s v="07-3446560"/>
        <s v="07-3446888"/>
        <s v="07-3447410"/>
        <s v="07-3447463"/>
        <s v="07-3447466"/>
        <s v="07-3447468"/>
        <s v="07-3447488"/>
        <s v="07-3447491"/>
        <s v="07-3447497"/>
        <s v="07-3447580"/>
        <s v="07-3514433"/>
        <s v="07-3982998"/>
        <s v="07-5823098"/>
        <s v="07-6225699"/>
        <s v="07-6440066"/>
        <s v="07-6441000"/>
        <s v="07-6444316"/>
        <s v="07-6446400"/>
        <s v="07-6447700"/>
        <s v="07-6449212"/>
        <s v="07-6892000"/>
        <s v="07-7408399"/>
        <s v="07-8027004"/>
        <s v="08-7380365"/>
        <s v="08-7440371"/>
        <s v="08-7441011"/>
        <s v="08-7443140"/>
        <s v="08-7445000"/>
        <s v="08-7446880"/>
        <s v="08-7775501"/>
        <s v="08-8440101"/>
        <s v="08-8442441"/>
        <s v="08-8443111"/>
        <s v="08-8444001"/>
        <s v="08-8445668"/>
        <s v="08-8447123"/>
        <s v="08-8448139"/>
        <s v="082-325127"/>
        <s v="089-311430"/>
        <s v="089-512854"/>
        <s v="089-781304"/>
        <s v="089-791000"/>
        <s v="089-851000"/>
        <s v="089-861000"/>
        <m/>
      </sharedItems>
    </cacheField>
    <cacheField name="營業時間" numFmtId="0">
      <sharedItems containsBlank="1" count="100">
        <s v="一出：週一至週日08:00~22:00&#10;一入：週一至週日07:00~24:00&#10;一入管：週一至週日09:00~24:00&#10;二出：週一至週日07:00~19:00&#10;二入：週一至週日05:00~22:00"/>
        <s v="週一、週三、週五08:00~16:30&#10;(12:00~12:30休息)"/>
        <s v="週一、週三、週五08:30~17:30&#10;(12:30~13:30休息)"/>
        <s v="週一至週五 08:30~17:30&#10;週六 08:30~12:30"/>
        <s v="週一至週五 08:30~17:30&#10;週六：08:30~12:30"/>
        <s v="週一至週五 09:00~20:00&#10;週六 09:00~18:00"/>
        <s v="週一至週五 09:00~21:00&#10;週六至週日 13:00~21:00"/>
        <s v="週一至週五：08:30~18:00&#10;週六：08:30~12:30"/>
        <s v="週一至週五08:00~17:00"/>
        <s v="週一至週五08:00~17:00&#10; (12:00~13:00休息)"/>
        <s v="週一至週五08:00~17:00&#10;(12:00~13:00休息)"/>
        <s v="週一至週五08:00~17:00&#10;(12:00~13:30休息)"/>
        <s v="週一至週五08:00~18:00&#10; 週六08:30~12:30"/>
        <s v="週一至週五08:00~18:00&#10;週六：09:00~13:00"/>
        <s v="週一至週五08:00~18:00&#10;週六09:00~13:00"/>
        <s v="週一至週五08:00~20:00&#10;週六09:00~13:00"/>
        <s v="週一至週五08:00~20:00&#10;週六10:00~18:00"/>
        <s v="週一至週五08:30~12:30"/>
        <s v="週一至週五08:30~16:30&#10;(12:00~13:00休息)"/>
        <s v="週一至週五08:30~16:30&#10;(12:30~13:30休息)"/>
        <s v="週一至週五08:30~17:00"/>
        <s v="週一至週五08:30~17:00&#10;(12:00~13:30休息)"/>
        <s v="週一至週五08:30~17:30"/>
        <s v="週一至週五08:30~17:30&#10; (12:30~13:30休息)"/>
        <s v="週一至週五08:30~17:30&#10; 週六08:30~12:30"/>
        <s v="週一至週五08:30~17:30&#10; 週六09:00~13:00"/>
        <s v="週一至週五08:30~17:30&#10;(12:30~13:30休息)"/>
        <s v="週一至週五08:30~17:30&#10;週六：08:30~12:30"/>
        <s v="週一至週五08:30~17:30&#10;週六08:30~12:30"/>
        <s v="週一至週五08:30~17:30&#10;週六09:00~13:00"/>
        <s v="週一至週五08:30~17:30&#10;週六13:00~17:00"/>
        <s v="週一至週五08:30~18:00&#10; 週六09:00~13:00"/>
        <s v="週一至週五08:30~18:00&#10;週六09:00~13:00"/>
        <s v="週一至週五08:30~18:00&#10;週六至週日09:00~17:00"/>
        <s v="週一至週五08:30~18:30&#10; 週六09:00~17:00"/>
        <s v="週一至週五08:30~18:30&#10;週六08:30~12:30"/>
        <s v="週一至週五08:30~18:30&#10;週六08:30~14:30"/>
        <s v="週一至週五08:30~18:30&#10;週六09:00~17:00"/>
        <s v="週一至週五08:30~18:30&#10;週六10:00~18:00"/>
        <s v="週一至週五08:30~18:30&#10;週六13:00~17:00"/>
        <s v="週一至週五08:30~18:30&#10;週六至週日09:00~18:00"/>
        <s v="週一至週五08:30~19:00&#10;週六08:30~17:30"/>
        <s v="週一至週五08:30~19:00&#10;週六10:00~18:00"/>
        <s v="週一至週五08:30~19:00&#10;週六至週日09:30~18:30"/>
        <s v="週一至週五08:30~20:00&#10;週六至週日09:00~18:00"/>
        <s v="週一至週五08:30~20:30&#10;週六至週日11:00~20:00"/>
        <s v="週一至週五09:00~12:00"/>
        <s v="週一至週五09:00~17:00"/>
        <s v="週一至週五09:00~18:00"/>
        <s v="週一至週五09:00~18:00&#10;週六08:30~12:30"/>
        <s v="週一至週五09:00~18:00&#10;週六09:00~13:00"/>
        <s v="週一至週五09:00~18:00&#10;週六09:00~17:00"/>
        <s v="週一至週五09:00~19:00&#10;週六09:00~13:00"/>
        <s v="週一至週五09:00~19:00&#10;週六09:00~17:00"/>
        <s v="週一至週五09:00~19:00&#10;週六09:00~18:00"/>
        <s v="週一至週五09:00~19:00&#10;週六10:00~18:00"/>
        <s v="週一至週五09:00~19:00&#10;週六13:00~17:00"/>
        <s v="週一至週五09:00~19:00&#10;週六13:00~18:00"/>
        <s v="週一至週五09:00~19:00&#10;週六13:00~19:00"/>
        <s v="週一至週五09:00~20:00&#10;週六10:00~18:00"/>
        <s v="週一至週五09:00~20:00&#10;週六10:00~19:00&#10;週日10:00~18:00"/>
        <s v="週一至週五09:00~20:00&#10;週六至週日10:00~19:00"/>
        <s v="週一至週五09:00~21:00&#10;週六13:00~21:00&#10;週日13:00~17:00"/>
        <s v="週一至週五09:00~21:00&#10;週六至週日10:00~19:00"/>
        <s v="週一至週五11:00~20:00&#10;週六13:00~18:00"/>
        <s v="週一至週五11:00~20:30&#10;週六至週日12:00~20:00"/>
        <s v="週一至週五11:00~21:00&#10;週六11:00~20:00"/>
        <s v="週一至週五11:00~21:00&#10;週六至週日11:00~20:00"/>
        <s v="週一至週六 09:00~18:00"/>
        <s v="週一至週六08:00~18:00"/>
        <s v="週一至週六08:30~17:30"/>
        <s v="週一至週六08:30~18:00"/>
        <s v="週一至週六08:30~18:30"/>
        <s v="週一至週六09:00~18:00"/>
        <s v="週一至週六09:00~19:00"/>
        <s v="週一至週六11:00~21:00&#10;週日11:00~19:00"/>
        <s v="週一至週六11:00~21:00&#10;週日12:00~21:00"/>
        <s v="週一至週日06:30~22:30&#10;全年無休"/>
        <s v="週一至週日08:00~20:00&#10;全年無休"/>
        <s v="週一至週日10:00~20:00"/>
        <s v="週一至週日10:00~21:00"/>
        <s v="週一至週日10:00~22:00&#10; 全年無休"/>
        <s v="週一至週日11:00~19:00"/>
        <s v="週一至週日11:00~20:00"/>
        <s v="週一至週日11:00~21:00"/>
        <s v="週一至週日11:30~19:30"/>
        <s v="週一至週日11:30~20:00"/>
        <s v="週一至週日11:30~20:30"/>
        <s v="週一至週日12:00~20:00"/>
        <s v="週一至週日12:00~21:00"/>
        <s v="週一至週日12:30~20:30"/>
        <s v="週一至週日12:30~21:00"/>
        <s v="週一至週日12:30~21:30"/>
        <s v="週一至週日13:00~21:00"/>
        <s v="週二、週四08:00~16:30&#10;(12:00~12:30休息)"/>
        <s v="週二、週四08:30~12:30"/>
        <s v="週二、週四08:30~14:00"/>
        <s v="週二、週四08:30~17:30&#10;(12:30~13:30休息)"/>
        <s v="週日至週四11:00~21:30&#10;週五至週六11:00~22:00&#10;(例假日前一天比照五至六)"/>
        <m/>
      </sharedItems>
    </cacheField>
    <cacheField name="備註" numFmtId="0">
      <sharedItems containsBlank="1" count="6">
        <s v="1/22已先安裝"/>
        <s v="1/24配達門市"/>
        <s v="優先汰換"/>
        <s v="先與店長約時間&#10;(店長應維真)"/>
        <s v="測機安裝門市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68">
  <r>
    <x v="0"/>
    <x v="1307"/>
    <x v="124"/>
    <x v="3"/>
    <x v="1"/>
    <x v="1"/>
    <x v="2"/>
    <x v="16"/>
    <x v="173"/>
    <x v="23"/>
    <x v="6"/>
    <x v="5"/>
  </r>
  <r>
    <x v="1080"/>
    <x v="1308"/>
    <x v="124"/>
    <x v="3"/>
    <x v="1"/>
    <x v="1"/>
    <x v="2"/>
    <x v="16"/>
    <x v="173"/>
    <x v="23"/>
    <x v="6"/>
    <x v="5"/>
  </r>
  <r>
    <x v="1191"/>
    <x v="1309"/>
    <x v="124"/>
    <x v="3"/>
    <x v="1"/>
    <x v="1"/>
    <x v="2"/>
    <x v="16"/>
    <x v="173"/>
    <x v="23"/>
    <x v="6"/>
    <x v="5"/>
  </r>
  <r>
    <x v="1302"/>
    <x v="1310"/>
    <x v="124"/>
    <x v="3"/>
    <x v="1"/>
    <x v="1"/>
    <x v="2"/>
    <x v="16"/>
    <x v="173"/>
    <x v="23"/>
    <x v="6"/>
    <x v="5"/>
  </r>
  <r>
    <x v="1413"/>
    <x v="1311"/>
    <x v="124"/>
    <x v="3"/>
    <x v="1"/>
    <x v="1"/>
    <x v="2"/>
    <x v="16"/>
    <x v="173"/>
    <x v="23"/>
    <x v="6"/>
    <x v="5"/>
  </r>
  <r>
    <x v="1524"/>
    <x v="1312"/>
    <x v="124"/>
    <x v="3"/>
    <x v="1"/>
    <x v="1"/>
    <x v="2"/>
    <x v="16"/>
    <x v="173"/>
    <x v="23"/>
    <x v="6"/>
    <x v="5"/>
  </r>
  <r>
    <x v="1635"/>
    <x v="1313"/>
    <x v="124"/>
    <x v="3"/>
    <x v="1"/>
    <x v="1"/>
    <x v="2"/>
    <x v="16"/>
    <x v="173"/>
    <x v="23"/>
    <x v="6"/>
    <x v="5"/>
  </r>
  <r>
    <x v="1746"/>
    <x v="1314"/>
    <x v="124"/>
    <x v="3"/>
    <x v="1"/>
    <x v="1"/>
    <x v="2"/>
    <x v="16"/>
    <x v="173"/>
    <x v="23"/>
    <x v="6"/>
    <x v="5"/>
  </r>
  <r>
    <x v="1857"/>
    <x v="1315"/>
    <x v="124"/>
    <x v="3"/>
    <x v="1"/>
    <x v="1"/>
    <x v="2"/>
    <x v="16"/>
    <x v="173"/>
    <x v="23"/>
    <x v="6"/>
    <x v="5"/>
  </r>
  <r>
    <x v="1"/>
    <x v="1316"/>
    <x v="124"/>
    <x v="3"/>
    <x v="1"/>
    <x v="1"/>
    <x v="2"/>
    <x v="16"/>
    <x v="173"/>
    <x v="23"/>
    <x v="6"/>
    <x v="5"/>
  </r>
  <r>
    <x v="112"/>
    <x v="1317"/>
    <x v="124"/>
    <x v="3"/>
    <x v="1"/>
    <x v="1"/>
    <x v="2"/>
    <x v="16"/>
    <x v="173"/>
    <x v="23"/>
    <x v="6"/>
    <x v="5"/>
  </r>
  <r>
    <x v="223"/>
    <x v="1318"/>
    <x v="124"/>
    <x v="3"/>
    <x v="1"/>
    <x v="1"/>
    <x v="2"/>
    <x v="16"/>
    <x v="173"/>
    <x v="23"/>
    <x v="6"/>
    <x v="5"/>
  </r>
  <r>
    <x v="334"/>
    <x v="1319"/>
    <x v="124"/>
    <x v="3"/>
    <x v="1"/>
    <x v="1"/>
    <x v="2"/>
    <x v="16"/>
    <x v="173"/>
    <x v="23"/>
    <x v="6"/>
    <x v="5"/>
  </r>
  <r>
    <x v="445"/>
    <x v="1320"/>
    <x v="124"/>
    <x v="3"/>
    <x v="1"/>
    <x v="1"/>
    <x v="2"/>
    <x v="16"/>
    <x v="173"/>
    <x v="23"/>
    <x v="6"/>
    <x v="5"/>
  </r>
  <r>
    <x v="556"/>
    <x v="1321"/>
    <x v="124"/>
    <x v="3"/>
    <x v="1"/>
    <x v="1"/>
    <x v="2"/>
    <x v="16"/>
    <x v="173"/>
    <x v="23"/>
    <x v="6"/>
    <x v="5"/>
  </r>
  <r>
    <x v="667"/>
    <x v="1322"/>
    <x v="124"/>
    <x v="3"/>
    <x v="1"/>
    <x v="1"/>
    <x v="2"/>
    <x v="16"/>
    <x v="173"/>
    <x v="23"/>
    <x v="6"/>
    <x v="5"/>
  </r>
  <r>
    <x v="778"/>
    <x v="1323"/>
    <x v="124"/>
    <x v="3"/>
    <x v="1"/>
    <x v="1"/>
    <x v="2"/>
    <x v="16"/>
    <x v="173"/>
    <x v="23"/>
    <x v="6"/>
    <x v="5"/>
  </r>
  <r>
    <x v="889"/>
    <x v="1324"/>
    <x v="124"/>
    <x v="4"/>
    <x v="2"/>
    <x v="2"/>
    <x v="2"/>
    <x v="16"/>
    <x v="173"/>
    <x v="23"/>
    <x v="6"/>
    <x v="5"/>
  </r>
  <r>
    <x v="1000"/>
    <x v="1713"/>
    <x v="124"/>
    <x v="1"/>
    <x v="0"/>
    <x v="0"/>
    <x v="2"/>
    <x v="16"/>
    <x v="173"/>
    <x v="23"/>
    <x v="6"/>
    <x v="5"/>
  </r>
  <r>
    <x v="1081"/>
    <x v="747"/>
    <x v="8"/>
    <x v="3"/>
    <x v="1"/>
    <x v="1"/>
    <x v="2"/>
    <x v="24"/>
    <x v="227"/>
    <x v="102"/>
    <x v="63"/>
    <x v="5"/>
  </r>
  <r>
    <x v="1092"/>
    <x v="748"/>
    <x v="8"/>
    <x v="3"/>
    <x v="1"/>
    <x v="1"/>
    <x v="2"/>
    <x v="24"/>
    <x v="227"/>
    <x v="102"/>
    <x v="63"/>
    <x v="5"/>
  </r>
  <r>
    <x v="1103"/>
    <x v="749"/>
    <x v="8"/>
    <x v="3"/>
    <x v="1"/>
    <x v="1"/>
    <x v="2"/>
    <x v="24"/>
    <x v="227"/>
    <x v="102"/>
    <x v="63"/>
    <x v="5"/>
  </r>
  <r>
    <x v="1114"/>
    <x v="750"/>
    <x v="8"/>
    <x v="3"/>
    <x v="1"/>
    <x v="1"/>
    <x v="2"/>
    <x v="24"/>
    <x v="227"/>
    <x v="102"/>
    <x v="63"/>
    <x v="5"/>
  </r>
  <r>
    <x v="1125"/>
    <x v="843"/>
    <x v="8"/>
    <x v="3"/>
    <x v="1"/>
    <x v="1"/>
    <x v="2"/>
    <x v="24"/>
    <x v="227"/>
    <x v="102"/>
    <x v="63"/>
    <x v="5"/>
  </r>
  <r>
    <x v="1136"/>
    <x v="844"/>
    <x v="8"/>
    <x v="3"/>
    <x v="1"/>
    <x v="1"/>
    <x v="2"/>
    <x v="24"/>
    <x v="227"/>
    <x v="102"/>
    <x v="63"/>
    <x v="5"/>
  </r>
  <r>
    <x v="1147"/>
    <x v="845"/>
    <x v="8"/>
    <x v="3"/>
    <x v="1"/>
    <x v="1"/>
    <x v="2"/>
    <x v="24"/>
    <x v="227"/>
    <x v="102"/>
    <x v="63"/>
    <x v="5"/>
  </r>
  <r>
    <x v="1158"/>
    <x v="846"/>
    <x v="8"/>
    <x v="3"/>
    <x v="1"/>
    <x v="1"/>
    <x v="2"/>
    <x v="24"/>
    <x v="227"/>
    <x v="102"/>
    <x v="63"/>
    <x v="5"/>
  </r>
  <r>
    <x v="1169"/>
    <x v="847"/>
    <x v="8"/>
    <x v="3"/>
    <x v="1"/>
    <x v="1"/>
    <x v="2"/>
    <x v="24"/>
    <x v="227"/>
    <x v="102"/>
    <x v="63"/>
    <x v="5"/>
  </r>
  <r>
    <x v="1180"/>
    <x v="848"/>
    <x v="8"/>
    <x v="3"/>
    <x v="1"/>
    <x v="1"/>
    <x v="2"/>
    <x v="24"/>
    <x v="227"/>
    <x v="102"/>
    <x v="63"/>
    <x v="5"/>
  </r>
  <r>
    <x v="1192"/>
    <x v="849"/>
    <x v="8"/>
    <x v="3"/>
    <x v="1"/>
    <x v="1"/>
    <x v="2"/>
    <x v="24"/>
    <x v="227"/>
    <x v="102"/>
    <x v="63"/>
    <x v="5"/>
  </r>
  <r>
    <x v="1203"/>
    <x v="850"/>
    <x v="8"/>
    <x v="3"/>
    <x v="1"/>
    <x v="1"/>
    <x v="2"/>
    <x v="24"/>
    <x v="227"/>
    <x v="102"/>
    <x v="63"/>
    <x v="5"/>
  </r>
  <r>
    <x v="1214"/>
    <x v="851"/>
    <x v="8"/>
    <x v="3"/>
    <x v="1"/>
    <x v="1"/>
    <x v="2"/>
    <x v="24"/>
    <x v="227"/>
    <x v="102"/>
    <x v="63"/>
    <x v="5"/>
  </r>
  <r>
    <x v="1225"/>
    <x v="852"/>
    <x v="8"/>
    <x v="3"/>
    <x v="1"/>
    <x v="1"/>
    <x v="2"/>
    <x v="24"/>
    <x v="227"/>
    <x v="102"/>
    <x v="63"/>
    <x v="5"/>
  </r>
  <r>
    <x v="1236"/>
    <x v="853"/>
    <x v="8"/>
    <x v="3"/>
    <x v="1"/>
    <x v="1"/>
    <x v="2"/>
    <x v="24"/>
    <x v="227"/>
    <x v="102"/>
    <x v="63"/>
    <x v="5"/>
  </r>
  <r>
    <x v="1247"/>
    <x v="854"/>
    <x v="8"/>
    <x v="3"/>
    <x v="1"/>
    <x v="1"/>
    <x v="2"/>
    <x v="24"/>
    <x v="227"/>
    <x v="102"/>
    <x v="63"/>
    <x v="5"/>
  </r>
  <r>
    <x v="1258"/>
    <x v="855"/>
    <x v="8"/>
    <x v="3"/>
    <x v="1"/>
    <x v="1"/>
    <x v="2"/>
    <x v="24"/>
    <x v="227"/>
    <x v="102"/>
    <x v="63"/>
    <x v="5"/>
  </r>
  <r>
    <x v="1269"/>
    <x v="856"/>
    <x v="8"/>
    <x v="3"/>
    <x v="1"/>
    <x v="1"/>
    <x v="2"/>
    <x v="24"/>
    <x v="227"/>
    <x v="102"/>
    <x v="63"/>
    <x v="5"/>
  </r>
  <r>
    <x v="1280"/>
    <x v="857"/>
    <x v="8"/>
    <x v="3"/>
    <x v="1"/>
    <x v="1"/>
    <x v="2"/>
    <x v="24"/>
    <x v="227"/>
    <x v="102"/>
    <x v="63"/>
    <x v="5"/>
  </r>
  <r>
    <x v="1291"/>
    <x v="858"/>
    <x v="8"/>
    <x v="4"/>
    <x v="2"/>
    <x v="2"/>
    <x v="2"/>
    <x v="24"/>
    <x v="227"/>
    <x v="102"/>
    <x v="63"/>
    <x v="5"/>
  </r>
  <r>
    <x v="1303"/>
    <x v="859"/>
    <x v="8"/>
    <x v="1"/>
    <x v="0"/>
    <x v="0"/>
    <x v="2"/>
    <x v="24"/>
    <x v="227"/>
    <x v="102"/>
    <x v="63"/>
    <x v="5"/>
  </r>
  <r>
    <x v="1314"/>
    <x v="839"/>
    <x v="90"/>
    <x v="1"/>
    <x v="0"/>
    <x v="0"/>
    <x v="0"/>
    <x v="9"/>
    <x v="79"/>
    <x v="54"/>
    <x v="80"/>
    <x v="5"/>
  </r>
  <r>
    <x v="1325"/>
    <x v="838"/>
    <x v="90"/>
    <x v="4"/>
    <x v="2"/>
    <x v="2"/>
    <x v="0"/>
    <x v="9"/>
    <x v="79"/>
    <x v="54"/>
    <x v="80"/>
    <x v="5"/>
  </r>
  <r>
    <x v="1336"/>
    <x v="832"/>
    <x v="90"/>
    <x v="3"/>
    <x v="1"/>
    <x v="1"/>
    <x v="0"/>
    <x v="9"/>
    <x v="79"/>
    <x v="54"/>
    <x v="80"/>
    <x v="5"/>
  </r>
  <r>
    <x v="1347"/>
    <x v="833"/>
    <x v="90"/>
    <x v="3"/>
    <x v="1"/>
    <x v="1"/>
    <x v="0"/>
    <x v="9"/>
    <x v="79"/>
    <x v="54"/>
    <x v="80"/>
    <x v="5"/>
  </r>
  <r>
    <x v="1358"/>
    <x v="834"/>
    <x v="90"/>
    <x v="3"/>
    <x v="1"/>
    <x v="1"/>
    <x v="0"/>
    <x v="9"/>
    <x v="79"/>
    <x v="54"/>
    <x v="80"/>
    <x v="5"/>
  </r>
  <r>
    <x v="1369"/>
    <x v="835"/>
    <x v="90"/>
    <x v="3"/>
    <x v="1"/>
    <x v="1"/>
    <x v="0"/>
    <x v="9"/>
    <x v="79"/>
    <x v="54"/>
    <x v="80"/>
    <x v="5"/>
  </r>
  <r>
    <x v="1380"/>
    <x v="836"/>
    <x v="90"/>
    <x v="3"/>
    <x v="1"/>
    <x v="1"/>
    <x v="0"/>
    <x v="9"/>
    <x v="79"/>
    <x v="54"/>
    <x v="80"/>
    <x v="5"/>
  </r>
  <r>
    <x v="1391"/>
    <x v="837"/>
    <x v="90"/>
    <x v="3"/>
    <x v="1"/>
    <x v="1"/>
    <x v="0"/>
    <x v="9"/>
    <x v="79"/>
    <x v="54"/>
    <x v="80"/>
    <x v="5"/>
  </r>
  <r>
    <x v="1402"/>
    <x v="840"/>
    <x v="90"/>
    <x v="3"/>
    <x v="1"/>
    <x v="1"/>
    <x v="0"/>
    <x v="9"/>
    <x v="79"/>
    <x v="54"/>
    <x v="80"/>
    <x v="5"/>
  </r>
  <r>
    <x v="1414"/>
    <x v="841"/>
    <x v="90"/>
    <x v="3"/>
    <x v="1"/>
    <x v="1"/>
    <x v="0"/>
    <x v="9"/>
    <x v="79"/>
    <x v="54"/>
    <x v="80"/>
    <x v="5"/>
  </r>
  <r>
    <x v="1425"/>
    <x v="842"/>
    <x v="90"/>
    <x v="3"/>
    <x v="1"/>
    <x v="1"/>
    <x v="0"/>
    <x v="9"/>
    <x v="79"/>
    <x v="54"/>
    <x v="80"/>
    <x v="5"/>
  </r>
  <r>
    <x v="1436"/>
    <x v="487"/>
    <x v="246"/>
    <x v="3"/>
    <x v="1"/>
    <x v="1"/>
    <x v="1"/>
    <x v="26"/>
    <x v="280"/>
    <x v="135"/>
    <x v="80"/>
    <x v="5"/>
  </r>
  <r>
    <x v="1447"/>
    <x v="488"/>
    <x v="246"/>
    <x v="3"/>
    <x v="1"/>
    <x v="1"/>
    <x v="1"/>
    <x v="26"/>
    <x v="280"/>
    <x v="135"/>
    <x v="80"/>
    <x v="5"/>
  </r>
  <r>
    <x v="1458"/>
    <x v="489"/>
    <x v="246"/>
    <x v="3"/>
    <x v="1"/>
    <x v="1"/>
    <x v="1"/>
    <x v="26"/>
    <x v="280"/>
    <x v="135"/>
    <x v="80"/>
    <x v="5"/>
  </r>
  <r>
    <x v="1469"/>
    <x v="490"/>
    <x v="246"/>
    <x v="3"/>
    <x v="1"/>
    <x v="1"/>
    <x v="1"/>
    <x v="26"/>
    <x v="280"/>
    <x v="135"/>
    <x v="80"/>
    <x v="5"/>
  </r>
  <r>
    <x v="1480"/>
    <x v="491"/>
    <x v="246"/>
    <x v="3"/>
    <x v="1"/>
    <x v="1"/>
    <x v="1"/>
    <x v="26"/>
    <x v="280"/>
    <x v="135"/>
    <x v="80"/>
    <x v="5"/>
  </r>
  <r>
    <x v="1491"/>
    <x v="492"/>
    <x v="246"/>
    <x v="3"/>
    <x v="1"/>
    <x v="1"/>
    <x v="1"/>
    <x v="26"/>
    <x v="280"/>
    <x v="135"/>
    <x v="80"/>
    <x v="5"/>
  </r>
  <r>
    <x v="1502"/>
    <x v="493"/>
    <x v="246"/>
    <x v="3"/>
    <x v="1"/>
    <x v="1"/>
    <x v="1"/>
    <x v="26"/>
    <x v="280"/>
    <x v="135"/>
    <x v="80"/>
    <x v="5"/>
  </r>
  <r>
    <x v="1513"/>
    <x v="494"/>
    <x v="246"/>
    <x v="3"/>
    <x v="1"/>
    <x v="1"/>
    <x v="1"/>
    <x v="26"/>
    <x v="280"/>
    <x v="135"/>
    <x v="80"/>
    <x v="5"/>
  </r>
  <r>
    <x v="1525"/>
    <x v="495"/>
    <x v="246"/>
    <x v="3"/>
    <x v="1"/>
    <x v="1"/>
    <x v="1"/>
    <x v="26"/>
    <x v="280"/>
    <x v="135"/>
    <x v="80"/>
    <x v="5"/>
  </r>
  <r>
    <x v="1536"/>
    <x v="496"/>
    <x v="246"/>
    <x v="3"/>
    <x v="1"/>
    <x v="1"/>
    <x v="1"/>
    <x v="26"/>
    <x v="280"/>
    <x v="135"/>
    <x v="80"/>
    <x v="5"/>
  </r>
  <r>
    <x v="1547"/>
    <x v="497"/>
    <x v="246"/>
    <x v="3"/>
    <x v="1"/>
    <x v="1"/>
    <x v="1"/>
    <x v="26"/>
    <x v="280"/>
    <x v="135"/>
    <x v="80"/>
    <x v="5"/>
  </r>
  <r>
    <x v="1558"/>
    <x v="498"/>
    <x v="246"/>
    <x v="3"/>
    <x v="1"/>
    <x v="1"/>
    <x v="1"/>
    <x v="26"/>
    <x v="280"/>
    <x v="135"/>
    <x v="80"/>
    <x v="5"/>
  </r>
  <r>
    <x v="1569"/>
    <x v="499"/>
    <x v="246"/>
    <x v="3"/>
    <x v="1"/>
    <x v="1"/>
    <x v="1"/>
    <x v="26"/>
    <x v="280"/>
    <x v="135"/>
    <x v="80"/>
    <x v="5"/>
  </r>
  <r>
    <x v="1580"/>
    <x v="500"/>
    <x v="246"/>
    <x v="3"/>
    <x v="1"/>
    <x v="1"/>
    <x v="1"/>
    <x v="26"/>
    <x v="280"/>
    <x v="135"/>
    <x v="80"/>
    <x v="5"/>
  </r>
  <r>
    <x v="1591"/>
    <x v="501"/>
    <x v="246"/>
    <x v="3"/>
    <x v="1"/>
    <x v="1"/>
    <x v="1"/>
    <x v="26"/>
    <x v="280"/>
    <x v="135"/>
    <x v="80"/>
    <x v="5"/>
  </r>
  <r>
    <x v="1602"/>
    <x v="502"/>
    <x v="246"/>
    <x v="3"/>
    <x v="1"/>
    <x v="1"/>
    <x v="1"/>
    <x v="26"/>
    <x v="280"/>
    <x v="135"/>
    <x v="80"/>
    <x v="5"/>
  </r>
  <r>
    <x v="1613"/>
    <x v="503"/>
    <x v="246"/>
    <x v="1"/>
    <x v="0"/>
    <x v="0"/>
    <x v="1"/>
    <x v="26"/>
    <x v="280"/>
    <x v="135"/>
    <x v="80"/>
    <x v="5"/>
  </r>
  <r>
    <x v="1624"/>
    <x v="504"/>
    <x v="246"/>
    <x v="4"/>
    <x v="2"/>
    <x v="2"/>
    <x v="1"/>
    <x v="26"/>
    <x v="280"/>
    <x v="135"/>
    <x v="80"/>
    <x v="5"/>
  </r>
  <r>
    <x v="1636"/>
    <x v="1848"/>
    <x v="246"/>
    <x v="0"/>
    <x v="2"/>
    <x v="3"/>
    <x v="1"/>
    <x v="26"/>
    <x v="280"/>
    <x v="135"/>
    <x v="80"/>
    <x v="5"/>
  </r>
  <r>
    <x v="1647"/>
    <x v="540"/>
    <x v="92"/>
    <x v="3"/>
    <x v="1"/>
    <x v="1"/>
    <x v="0"/>
    <x v="8"/>
    <x v="100"/>
    <x v="21"/>
    <x v="64"/>
    <x v="5"/>
  </r>
  <r>
    <x v="1658"/>
    <x v="541"/>
    <x v="92"/>
    <x v="3"/>
    <x v="1"/>
    <x v="1"/>
    <x v="0"/>
    <x v="8"/>
    <x v="100"/>
    <x v="21"/>
    <x v="64"/>
    <x v="5"/>
  </r>
  <r>
    <x v="1669"/>
    <x v="542"/>
    <x v="92"/>
    <x v="3"/>
    <x v="1"/>
    <x v="1"/>
    <x v="0"/>
    <x v="8"/>
    <x v="100"/>
    <x v="21"/>
    <x v="64"/>
    <x v="5"/>
  </r>
  <r>
    <x v="1680"/>
    <x v="543"/>
    <x v="92"/>
    <x v="3"/>
    <x v="1"/>
    <x v="1"/>
    <x v="0"/>
    <x v="8"/>
    <x v="100"/>
    <x v="21"/>
    <x v="64"/>
    <x v="5"/>
  </r>
  <r>
    <x v="1691"/>
    <x v="544"/>
    <x v="92"/>
    <x v="3"/>
    <x v="1"/>
    <x v="1"/>
    <x v="0"/>
    <x v="8"/>
    <x v="100"/>
    <x v="21"/>
    <x v="64"/>
    <x v="5"/>
  </r>
  <r>
    <x v="1702"/>
    <x v="545"/>
    <x v="92"/>
    <x v="3"/>
    <x v="1"/>
    <x v="1"/>
    <x v="0"/>
    <x v="8"/>
    <x v="100"/>
    <x v="21"/>
    <x v="64"/>
    <x v="5"/>
  </r>
  <r>
    <x v="1713"/>
    <x v="546"/>
    <x v="92"/>
    <x v="3"/>
    <x v="1"/>
    <x v="1"/>
    <x v="0"/>
    <x v="8"/>
    <x v="100"/>
    <x v="21"/>
    <x v="64"/>
    <x v="5"/>
  </r>
  <r>
    <x v="1724"/>
    <x v="550"/>
    <x v="92"/>
    <x v="3"/>
    <x v="1"/>
    <x v="1"/>
    <x v="0"/>
    <x v="8"/>
    <x v="100"/>
    <x v="21"/>
    <x v="64"/>
    <x v="5"/>
  </r>
  <r>
    <x v="1735"/>
    <x v="551"/>
    <x v="92"/>
    <x v="3"/>
    <x v="1"/>
    <x v="1"/>
    <x v="0"/>
    <x v="8"/>
    <x v="100"/>
    <x v="21"/>
    <x v="64"/>
    <x v="5"/>
  </r>
  <r>
    <x v="1747"/>
    <x v="552"/>
    <x v="92"/>
    <x v="3"/>
    <x v="1"/>
    <x v="1"/>
    <x v="0"/>
    <x v="8"/>
    <x v="100"/>
    <x v="21"/>
    <x v="64"/>
    <x v="5"/>
  </r>
  <r>
    <x v="1758"/>
    <x v="553"/>
    <x v="92"/>
    <x v="3"/>
    <x v="1"/>
    <x v="1"/>
    <x v="0"/>
    <x v="8"/>
    <x v="100"/>
    <x v="21"/>
    <x v="64"/>
    <x v="5"/>
  </r>
  <r>
    <x v="1769"/>
    <x v="554"/>
    <x v="92"/>
    <x v="3"/>
    <x v="1"/>
    <x v="1"/>
    <x v="0"/>
    <x v="8"/>
    <x v="100"/>
    <x v="21"/>
    <x v="64"/>
    <x v="5"/>
  </r>
  <r>
    <x v="1780"/>
    <x v="555"/>
    <x v="92"/>
    <x v="4"/>
    <x v="2"/>
    <x v="2"/>
    <x v="0"/>
    <x v="8"/>
    <x v="100"/>
    <x v="21"/>
    <x v="64"/>
    <x v="5"/>
  </r>
  <r>
    <x v="1791"/>
    <x v="556"/>
    <x v="92"/>
    <x v="3"/>
    <x v="1"/>
    <x v="1"/>
    <x v="0"/>
    <x v="8"/>
    <x v="100"/>
    <x v="21"/>
    <x v="64"/>
    <x v="5"/>
  </r>
  <r>
    <x v="1802"/>
    <x v="557"/>
    <x v="92"/>
    <x v="3"/>
    <x v="1"/>
    <x v="1"/>
    <x v="0"/>
    <x v="8"/>
    <x v="100"/>
    <x v="21"/>
    <x v="64"/>
    <x v="5"/>
  </r>
  <r>
    <x v="1813"/>
    <x v="558"/>
    <x v="92"/>
    <x v="1"/>
    <x v="0"/>
    <x v="0"/>
    <x v="0"/>
    <x v="8"/>
    <x v="100"/>
    <x v="21"/>
    <x v="64"/>
    <x v="5"/>
  </r>
  <r>
    <x v="1824"/>
    <x v="559"/>
    <x v="92"/>
    <x v="3"/>
    <x v="1"/>
    <x v="1"/>
    <x v="0"/>
    <x v="8"/>
    <x v="100"/>
    <x v="21"/>
    <x v="64"/>
    <x v="5"/>
  </r>
  <r>
    <x v="1835"/>
    <x v="1454"/>
    <x v="92"/>
    <x v="4"/>
    <x v="2"/>
    <x v="2"/>
    <x v="0"/>
    <x v="8"/>
    <x v="100"/>
    <x v="21"/>
    <x v="64"/>
    <x v="5"/>
  </r>
  <r>
    <x v="1846"/>
    <x v="1118"/>
    <x v="381"/>
    <x v="1"/>
    <x v="0"/>
    <x v="0"/>
    <x v="0"/>
    <x v="13"/>
    <x v="71"/>
    <x v="33"/>
    <x v="62"/>
    <x v="5"/>
  </r>
  <r>
    <x v="1858"/>
    <x v="1111"/>
    <x v="381"/>
    <x v="4"/>
    <x v="2"/>
    <x v="2"/>
    <x v="0"/>
    <x v="13"/>
    <x v="71"/>
    <x v="33"/>
    <x v="62"/>
    <x v="5"/>
  </r>
  <r>
    <x v="1869"/>
    <x v="1112"/>
    <x v="381"/>
    <x v="3"/>
    <x v="1"/>
    <x v="1"/>
    <x v="0"/>
    <x v="13"/>
    <x v="71"/>
    <x v="33"/>
    <x v="62"/>
    <x v="5"/>
  </r>
  <r>
    <x v="1880"/>
    <x v="1113"/>
    <x v="381"/>
    <x v="3"/>
    <x v="1"/>
    <x v="1"/>
    <x v="0"/>
    <x v="13"/>
    <x v="71"/>
    <x v="33"/>
    <x v="62"/>
    <x v="5"/>
  </r>
  <r>
    <x v="1891"/>
    <x v="1114"/>
    <x v="381"/>
    <x v="3"/>
    <x v="1"/>
    <x v="1"/>
    <x v="0"/>
    <x v="13"/>
    <x v="71"/>
    <x v="33"/>
    <x v="62"/>
    <x v="5"/>
  </r>
  <r>
    <x v="1902"/>
    <x v="1115"/>
    <x v="381"/>
    <x v="3"/>
    <x v="1"/>
    <x v="1"/>
    <x v="0"/>
    <x v="13"/>
    <x v="71"/>
    <x v="33"/>
    <x v="62"/>
    <x v="5"/>
  </r>
  <r>
    <x v="1913"/>
    <x v="1116"/>
    <x v="381"/>
    <x v="3"/>
    <x v="1"/>
    <x v="1"/>
    <x v="0"/>
    <x v="13"/>
    <x v="71"/>
    <x v="33"/>
    <x v="62"/>
    <x v="5"/>
  </r>
  <r>
    <x v="1924"/>
    <x v="1117"/>
    <x v="381"/>
    <x v="3"/>
    <x v="1"/>
    <x v="1"/>
    <x v="0"/>
    <x v="13"/>
    <x v="71"/>
    <x v="33"/>
    <x v="62"/>
    <x v="5"/>
  </r>
  <r>
    <x v="1935"/>
    <x v="1119"/>
    <x v="381"/>
    <x v="3"/>
    <x v="1"/>
    <x v="1"/>
    <x v="0"/>
    <x v="13"/>
    <x v="71"/>
    <x v="33"/>
    <x v="62"/>
    <x v="5"/>
  </r>
  <r>
    <x v="1946"/>
    <x v="1120"/>
    <x v="381"/>
    <x v="3"/>
    <x v="1"/>
    <x v="1"/>
    <x v="0"/>
    <x v="13"/>
    <x v="71"/>
    <x v="33"/>
    <x v="62"/>
    <x v="5"/>
  </r>
  <r>
    <x v="1957"/>
    <x v="1121"/>
    <x v="381"/>
    <x v="3"/>
    <x v="1"/>
    <x v="1"/>
    <x v="0"/>
    <x v="13"/>
    <x v="71"/>
    <x v="33"/>
    <x v="62"/>
    <x v="5"/>
  </r>
  <r>
    <x v="2"/>
    <x v="1122"/>
    <x v="381"/>
    <x v="3"/>
    <x v="1"/>
    <x v="1"/>
    <x v="0"/>
    <x v="13"/>
    <x v="71"/>
    <x v="33"/>
    <x v="62"/>
    <x v="5"/>
  </r>
  <r>
    <x v="13"/>
    <x v="1123"/>
    <x v="381"/>
    <x v="3"/>
    <x v="1"/>
    <x v="1"/>
    <x v="0"/>
    <x v="13"/>
    <x v="71"/>
    <x v="33"/>
    <x v="62"/>
    <x v="5"/>
  </r>
  <r>
    <x v="24"/>
    <x v="1124"/>
    <x v="381"/>
    <x v="3"/>
    <x v="1"/>
    <x v="1"/>
    <x v="0"/>
    <x v="13"/>
    <x v="71"/>
    <x v="33"/>
    <x v="62"/>
    <x v="5"/>
  </r>
  <r>
    <x v="35"/>
    <x v="1125"/>
    <x v="381"/>
    <x v="3"/>
    <x v="1"/>
    <x v="1"/>
    <x v="0"/>
    <x v="13"/>
    <x v="71"/>
    <x v="33"/>
    <x v="62"/>
    <x v="5"/>
  </r>
  <r>
    <x v="46"/>
    <x v="1126"/>
    <x v="381"/>
    <x v="3"/>
    <x v="1"/>
    <x v="1"/>
    <x v="0"/>
    <x v="13"/>
    <x v="71"/>
    <x v="33"/>
    <x v="62"/>
    <x v="5"/>
  </r>
  <r>
    <x v="57"/>
    <x v="1127"/>
    <x v="381"/>
    <x v="3"/>
    <x v="1"/>
    <x v="1"/>
    <x v="0"/>
    <x v="13"/>
    <x v="71"/>
    <x v="33"/>
    <x v="62"/>
    <x v="5"/>
  </r>
  <r>
    <x v="68"/>
    <x v="1331"/>
    <x v="381"/>
    <x v="3"/>
    <x v="1"/>
    <x v="1"/>
    <x v="0"/>
    <x v="13"/>
    <x v="71"/>
    <x v="33"/>
    <x v="62"/>
    <x v="5"/>
  </r>
  <r>
    <x v="79"/>
    <x v="1330"/>
    <x v="381"/>
    <x v="3"/>
    <x v="1"/>
    <x v="1"/>
    <x v="0"/>
    <x v="13"/>
    <x v="71"/>
    <x v="33"/>
    <x v="62"/>
    <x v="5"/>
  </r>
  <r>
    <x v="90"/>
    <x v="1032"/>
    <x v="131"/>
    <x v="1"/>
    <x v="0"/>
    <x v="0"/>
    <x v="0"/>
    <x v="10"/>
    <x v="239"/>
    <x v="94"/>
    <x v="84"/>
    <x v="5"/>
  </r>
  <r>
    <x v="101"/>
    <x v="1036"/>
    <x v="131"/>
    <x v="4"/>
    <x v="2"/>
    <x v="2"/>
    <x v="0"/>
    <x v="10"/>
    <x v="239"/>
    <x v="94"/>
    <x v="84"/>
    <x v="5"/>
  </r>
  <r>
    <x v="113"/>
    <x v="1034"/>
    <x v="131"/>
    <x v="3"/>
    <x v="1"/>
    <x v="1"/>
    <x v="0"/>
    <x v="10"/>
    <x v="239"/>
    <x v="94"/>
    <x v="84"/>
    <x v="5"/>
  </r>
  <r>
    <x v="124"/>
    <x v="1033"/>
    <x v="131"/>
    <x v="3"/>
    <x v="1"/>
    <x v="1"/>
    <x v="0"/>
    <x v="10"/>
    <x v="239"/>
    <x v="94"/>
    <x v="84"/>
    <x v="5"/>
  </r>
  <r>
    <x v="135"/>
    <x v="1035"/>
    <x v="131"/>
    <x v="3"/>
    <x v="1"/>
    <x v="1"/>
    <x v="0"/>
    <x v="10"/>
    <x v="239"/>
    <x v="94"/>
    <x v="84"/>
    <x v="5"/>
  </r>
  <r>
    <x v="146"/>
    <x v="1737"/>
    <x v="131"/>
    <x v="3"/>
    <x v="1"/>
    <x v="1"/>
    <x v="0"/>
    <x v="10"/>
    <x v="239"/>
    <x v="94"/>
    <x v="84"/>
    <x v="5"/>
  </r>
  <r>
    <x v="157"/>
    <x v="140"/>
    <x v="82"/>
    <x v="1"/>
    <x v="0"/>
    <x v="0"/>
    <x v="0"/>
    <x v="8"/>
    <x v="77"/>
    <x v="15"/>
    <x v="84"/>
    <x v="5"/>
  </r>
  <r>
    <x v="168"/>
    <x v="532"/>
    <x v="82"/>
    <x v="3"/>
    <x v="1"/>
    <x v="1"/>
    <x v="0"/>
    <x v="8"/>
    <x v="77"/>
    <x v="15"/>
    <x v="84"/>
    <x v="5"/>
  </r>
  <r>
    <x v="179"/>
    <x v="533"/>
    <x v="82"/>
    <x v="3"/>
    <x v="1"/>
    <x v="1"/>
    <x v="0"/>
    <x v="8"/>
    <x v="77"/>
    <x v="15"/>
    <x v="84"/>
    <x v="5"/>
  </r>
  <r>
    <x v="190"/>
    <x v="534"/>
    <x v="82"/>
    <x v="3"/>
    <x v="1"/>
    <x v="1"/>
    <x v="0"/>
    <x v="8"/>
    <x v="77"/>
    <x v="15"/>
    <x v="84"/>
    <x v="5"/>
  </r>
  <r>
    <x v="201"/>
    <x v="535"/>
    <x v="82"/>
    <x v="3"/>
    <x v="1"/>
    <x v="1"/>
    <x v="0"/>
    <x v="8"/>
    <x v="77"/>
    <x v="15"/>
    <x v="84"/>
    <x v="5"/>
  </r>
  <r>
    <x v="212"/>
    <x v="536"/>
    <x v="82"/>
    <x v="3"/>
    <x v="1"/>
    <x v="1"/>
    <x v="0"/>
    <x v="8"/>
    <x v="77"/>
    <x v="15"/>
    <x v="84"/>
    <x v="5"/>
  </r>
  <r>
    <x v="224"/>
    <x v="537"/>
    <x v="82"/>
    <x v="4"/>
    <x v="2"/>
    <x v="2"/>
    <x v="0"/>
    <x v="8"/>
    <x v="77"/>
    <x v="15"/>
    <x v="84"/>
    <x v="5"/>
  </r>
  <r>
    <x v="235"/>
    <x v="539"/>
    <x v="89"/>
    <x v="4"/>
    <x v="2"/>
    <x v="2"/>
    <x v="0"/>
    <x v="8"/>
    <x v="105"/>
    <x v="75"/>
    <x v="89"/>
    <x v="5"/>
  </r>
  <r>
    <x v="246"/>
    <x v="1095"/>
    <x v="89"/>
    <x v="1"/>
    <x v="0"/>
    <x v="0"/>
    <x v="0"/>
    <x v="8"/>
    <x v="105"/>
    <x v="75"/>
    <x v="89"/>
    <x v="5"/>
  </r>
  <r>
    <x v="257"/>
    <x v="1094"/>
    <x v="89"/>
    <x v="3"/>
    <x v="1"/>
    <x v="1"/>
    <x v="0"/>
    <x v="8"/>
    <x v="105"/>
    <x v="75"/>
    <x v="89"/>
    <x v="5"/>
  </r>
  <r>
    <x v="268"/>
    <x v="1037"/>
    <x v="89"/>
    <x v="3"/>
    <x v="1"/>
    <x v="1"/>
    <x v="0"/>
    <x v="8"/>
    <x v="105"/>
    <x v="75"/>
    <x v="89"/>
    <x v="5"/>
  </r>
  <r>
    <x v="279"/>
    <x v="1093"/>
    <x v="89"/>
    <x v="3"/>
    <x v="1"/>
    <x v="1"/>
    <x v="0"/>
    <x v="8"/>
    <x v="105"/>
    <x v="75"/>
    <x v="89"/>
    <x v="5"/>
  </r>
  <r>
    <x v="290"/>
    <x v="1329"/>
    <x v="86"/>
    <x v="1"/>
    <x v="0"/>
    <x v="0"/>
    <x v="0"/>
    <x v="8"/>
    <x v="98"/>
    <x v="14"/>
    <x v="89"/>
    <x v="5"/>
  </r>
  <r>
    <x v="301"/>
    <x v="1328"/>
    <x v="86"/>
    <x v="4"/>
    <x v="2"/>
    <x v="2"/>
    <x v="0"/>
    <x v="8"/>
    <x v="98"/>
    <x v="14"/>
    <x v="89"/>
    <x v="5"/>
  </r>
  <r>
    <x v="312"/>
    <x v="1327"/>
    <x v="86"/>
    <x v="3"/>
    <x v="1"/>
    <x v="1"/>
    <x v="0"/>
    <x v="8"/>
    <x v="98"/>
    <x v="14"/>
    <x v="89"/>
    <x v="5"/>
  </r>
  <r>
    <x v="323"/>
    <x v="1326"/>
    <x v="86"/>
    <x v="3"/>
    <x v="1"/>
    <x v="1"/>
    <x v="0"/>
    <x v="8"/>
    <x v="98"/>
    <x v="14"/>
    <x v="89"/>
    <x v="5"/>
  </r>
  <r>
    <x v="335"/>
    <x v="1325"/>
    <x v="86"/>
    <x v="3"/>
    <x v="1"/>
    <x v="1"/>
    <x v="0"/>
    <x v="8"/>
    <x v="98"/>
    <x v="14"/>
    <x v="89"/>
    <x v="5"/>
  </r>
  <r>
    <x v="346"/>
    <x v="1027"/>
    <x v="227"/>
    <x v="3"/>
    <x v="1"/>
    <x v="1"/>
    <x v="0"/>
    <x v="8"/>
    <x v="104"/>
    <x v="95"/>
    <x v="89"/>
    <x v="5"/>
  </r>
  <r>
    <x v="357"/>
    <x v="1028"/>
    <x v="227"/>
    <x v="3"/>
    <x v="1"/>
    <x v="1"/>
    <x v="0"/>
    <x v="8"/>
    <x v="104"/>
    <x v="95"/>
    <x v="89"/>
    <x v="5"/>
  </r>
  <r>
    <x v="368"/>
    <x v="1029"/>
    <x v="227"/>
    <x v="3"/>
    <x v="1"/>
    <x v="1"/>
    <x v="0"/>
    <x v="8"/>
    <x v="104"/>
    <x v="95"/>
    <x v="89"/>
    <x v="5"/>
  </r>
  <r>
    <x v="379"/>
    <x v="1030"/>
    <x v="227"/>
    <x v="4"/>
    <x v="2"/>
    <x v="2"/>
    <x v="0"/>
    <x v="8"/>
    <x v="104"/>
    <x v="95"/>
    <x v="89"/>
    <x v="5"/>
  </r>
  <r>
    <x v="390"/>
    <x v="1031"/>
    <x v="227"/>
    <x v="1"/>
    <x v="0"/>
    <x v="0"/>
    <x v="0"/>
    <x v="8"/>
    <x v="104"/>
    <x v="95"/>
    <x v="89"/>
    <x v="5"/>
  </r>
  <r>
    <x v="401"/>
    <x v="531"/>
    <x v="227"/>
    <x v="3"/>
    <x v="1"/>
    <x v="1"/>
    <x v="0"/>
    <x v="8"/>
    <x v="104"/>
    <x v="95"/>
    <x v="89"/>
    <x v="5"/>
  </r>
  <r>
    <x v="412"/>
    <x v="131"/>
    <x v="209"/>
    <x v="3"/>
    <x v="1"/>
    <x v="1"/>
    <x v="0"/>
    <x v="10"/>
    <x v="237"/>
    <x v="99"/>
    <x v="5"/>
    <x v="5"/>
  </r>
  <r>
    <x v="423"/>
    <x v="132"/>
    <x v="209"/>
    <x v="3"/>
    <x v="1"/>
    <x v="1"/>
    <x v="0"/>
    <x v="10"/>
    <x v="237"/>
    <x v="99"/>
    <x v="5"/>
    <x v="5"/>
  </r>
  <r>
    <x v="434"/>
    <x v="133"/>
    <x v="209"/>
    <x v="3"/>
    <x v="1"/>
    <x v="1"/>
    <x v="0"/>
    <x v="10"/>
    <x v="237"/>
    <x v="99"/>
    <x v="5"/>
    <x v="5"/>
  </r>
  <r>
    <x v="446"/>
    <x v="134"/>
    <x v="209"/>
    <x v="3"/>
    <x v="1"/>
    <x v="1"/>
    <x v="0"/>
    <x v="10"/>
    <x v="237"/>
    <x v="99"/>
    <x v="5"/>
    <x v="5"/>
  </r>
  <r>
    <x v="457"/>
    <x v="135"/>
    <x v="209"/>
    <x v="3"/>
    <x v="1"/>
    <x v="1"/>
    <x v="0"/>
    <x v="10"/>
    <x v="237"/>
    <x v="99"/>
    <x v="5"/>
    <x v="5"/>
  </r>
  <r>
    <x v="468"/>
    <x v="136"/>
    <x v="209"/>
    <x v="3"/>
    <x v="1"/>
    <x v="1"/>
    <x v="0"/>
    <x v="10"/>
    <x v="237"/>
    <x v="99"/>
    <x v="5"/>
    <x v="5"/>
  </r>
  <r>
    <x v="479"/>
    <x v="137"/>
    <x v="209"/>
    <x v="3"/>
    <x v="1"/>
    <x v="1"/>
    <x v="0"/>
    <x v="10"/>
    <x v="237"/>
    <x v="99"/>
    <x v="5"/>
    <x v="5"/>
  </r>
  <r>
    <x v="490"/>
    <x v="138"/>
    <x v="209"/>
    <x v="4"/>
    <x v="2"/>
    <x v="2"/>
    <x v="0"/>
    <x v="10"/>
    <x v="237"/>
    <x v="99"/>
    <x v="5"/>
    <x v="5"/>
  </r>
  <r>
    <x v="501"/>
    <x v="139"/>
    <x v="209"/>
    <x v="1"/>
    <x v="0"/>
    <x v="0"/>
    <x v="0"/>
    <x v="10"/>
    <x v="237"/>
    <x v="99"/>
    <x v="5"/>
    <x v="5"/>
  </r>
  <r>
    <x v="512"/>
    <x v="141"/>
    <x v="209"/>
    <x v="3"/>
    <x v="1"/>
    <x v="1"/>
    <x v="0"/>
    <x v="10"/>
    <x v="237"/>
    <x v="99"/>
    <x v="5"/>
    <x v="5"/>
  </r>
  <r>
    <x v="523"/>
    <x v="142"/>
    <x v="209"/>
    <x v="3"/>
    <x v="1"/>
    <x v="1"/>
    <x v="0"/>
    <x v="10"/>
    <x v="237"/>
    <x v="99"/>
    <x v="5"/>
    <x v="5"/>
  </r>
  <r>
    <x v="534"/>
    <x v="143"/>
    <x v="209"/>
    <x v="3"/>
    <x v="1"/>
    <x v="1"/>
    <x v="0"/>
    <x v="10"/>
    <x v="237"/>
    <x v="99"/>
    <x v="5"/>
    <x v="5"/>
  </r>
  <r>
    <x v="545"/>
    <x v="144"/>
    <x v="209"/>
    <x v="3"/>
    <x v="1"/>
    <x v="1"/>
    <x v="0"/>
    <x v="10"/>
    <x v="237"/>
    <x v="99"/>
    <x v="5"/>
    <x v="5"/>
  </r>
  <r>
    <x v="557"/>
    <x v="538"/>
    <x v="209"/>
    <x v="3"/>
    <x v="1"/>
    <x v="1"/>
    <x v="0"/>
    <x v="10"/>
    <x v="237"/>
    <x v="99"/>
    <x v="5"/>
    <x v="5"/>
  </r>
  <r>
    <x v="568"/>
    <x v="930"/>
    <x v="136"/>
    <x v="1"/>
    <x v="0"/>
    <x v="0"/>
    <x v="0"/>
    <x v="10"/>
    <x v="97"/>
    <x v="11"/>
    <x v="57"/>
    <x v="5"/>
  </r>
  <r>
    <x v="579"/>
    <x v="931"/>
    <x v="136"/>
    <x v="3"/>
    <x v="1"/>
    <x v="1"/>
    <x v="0"/>
    <x v="10"/>
    <x v="97"/>
    <x v="11"/>
    <x v="57"/>
    <x v="5"/>
  </r>
  <r>
    <x v="590"/>
    <x v="932"/>
    <x v="136"/>
    <x v="3"/>
    <x v="1"/>
    <x v="1"/>
    <x v="0"/>
    <x v="10"/>
    <x v="97"/>
    <x v="11"/>
    <x v="57"/>
    <x v="5"/>
  </r>
  <r>
    <x v="601"/>
    <x v="933"/>
    <x v="136"/>
    <x v="3"/>
    <x v="1"/>
    <x v="1"/>
    <x v="0"/>
    <x v="10"/>
    <x v="97"/>
    <x v="11"/>
    <x v="57"/>
    <x v="5"/>
  </r>
  <r>
    <x v="612"/>
    <x v="934"/>
    <x v="136"/>
    <x v="3"/>
    <x v="1"/>
    <x v="1"/>
    <x v="0"/>
    <x v="10"/>
    <x v="97"/>
    <x v="11"/>
    <x v="57"/>
    <x v="5"/>
  </r>
  <r>
    <x v="623"/>
    <x v="935"/>
    <x v="136"/>
    <x v="3"/>
    <x v="1"/>
    <x v="1"/>
    <x v="0"/>
    <x v="10"/>
    <x v="97"/>
    <x v="11"/>
    <x v="57"/>
    <x v="5"/>
  </r>
  <r>
    <x v="634"/>
    <x v="936"/>
    <x v="136"/>
    <x v="4"/>
    <x v="2"/>
    <x v="2"/>
    <x v="0"/>
    <x v="10"/>
    <x v="97"/>
    <x v="11"/>
    <x v="57"/>
    <x v="5"/>
  </r>
  <r>
    <x v="645"/>
    <x v="937"/>
    <x v="136"/>
    <x v="3"/>
    <x v="1"/>
    <x v="1"/>
    <x v="0"/>
    <x v="10"/>
    <x v="97"/>
    <x v="11"/>
    <x v="57"/>
    <x v="5"/>
  </r>
  <r>
    <x v="656"/>
    <x v="938"/>
    <x v="136"/>
    <x v="3"/>
    <x v="1"/>
    <x v="1"/>
    <x v="0"/>
    <x v="10"/>
    <x v="97"/>
    <x v="11"/>
    <x v="57"/>
    <x v="5"/>
  </r>
  <r>
    <x v="668"/>
    <x v="939"/>
    <x v="136"/>
    <x v="3"/>
    <x v="1"/>
    <x v="1"/>
    <x v="0"/>
    <x v="10"/>
    <x v="97"/>
    <x v="11"/>
    <x v="57"/>
    <x v="5"/>
  </r>
  <r>
    <x v="679"/>
    <x v="1457"/>
    <x v="136"/>
    <x v="4"/>
    <x v="2"/>
    <x v="2"/>
    <x v="0"/>
    <x v="10"/>
    <x v="97"/>
    <x v="11"/>
    <x v="57"/>
    <x v="5"/>
  </r>
  <r>
    <x v="690"/>
    <x v="547"/>
    <x v="79"/>
    <x v="1"/>
    <x v="0"/>
    <x v="0"/>
    <x v="0"/>
    <x v="8"/>
    <x v="75"/>
    <x v="20"/>
    <x v="98"/>
    <x v="5"/>
  </r>
  <r>
    <x v="701"/>
    <x v="548"/>
    <x v="79"/>
    <x v="3"/>
    <x v="1"/>
    <x v="1"/>
    <x v="0"/>
    <x v="8"/>
    <x v="75"/>
    <x v="20"/>
    <x v="98"/>
    <x v="5"/>
  </r>
  <r>
    <x v="712"/>
    <x v="549"/>
    <x v="79"/>
    <x v="3"/>
    <x v="1"/>
    <x v="1"/>
    <x v="0"/>
    <x v="8"/>
    <x v="75"/>
    <x v="20"/>
    <x v="98"/>
    <x v="5"/>
  </r>
  <r>
    <x v="723"/>
    <x v="1096"/>
    <x v="79"/>
    <x v="4"/>
    <x v="2"/>
    <x v="2"/>
    <x v="0"/>
    <x v="8"/>
    <x v="75"/>
    <x v="20"/>
    <x v="98"/>
    <x v="5"/>
  </r>
  <r>
    <x v="734"/>
    <x v="1097"/>
    <x v="79"/>
    <x v="3"/>
    <x v="1"/>
    <x v="1"/>
    <x v="0"/>
    <x v="8"/>
    <x v="75"/>
    <x v="20"/>
    <x v="98"/>
    <x v="5"/>
  </r>
  <r>
    <x v="745"/>
    <x v="1098"/>
    <x v="79"/>
    <x v="3"/>
    <x v="1"/>
    <x v="1"/>
    <x v="0"/>
    <x v="8"/>
    <x v="75"/>
    <x v="20"/>
    <x v="98"/>
    <x v="5"/>
  </r>
  <r>
    <x v="756"/>
    <x v="1099"/>
    <x v="79"/>
    <x v="3"/>
    <x v="1"/>
    <x v="1"/>
    <x v="0"/>
    <x v="8"/>
    <x v="75"/>
    <x v="20"/>
    <x v="98"/>
    <x v="5"/>
  </r>
  <r>
    <x v="767"/>
    <x v="877"/>
    <x v="81"/>
    <x v="1"/>
    <x v="0"/>
    <x v="0"/>
    <x v="0"/>
    <x v="10"/>
    <x v="73"/>
    <x v="16"/>
    <x v="84"/>
    <x v="5"/>
  </r>
  <r>
    <x v="779"/>
    <x v="878"/>
    <x v="81"/>
    <x v="4"/>
    <x v="2"/>
    <x v="2"/>
    <x v="0"/>
    <x v="10"/>
    <x v="73"/>
    <x v="16"/>
    <x v="84"/>
    <x v="4"/>
  </r>
  <r>
    <x v="790"/>
    <x v="879"/>
    <x v="81"/>
    <x v="3"/>
    <x v="1"/>
    <x v="1"/>
    <x v="0"/>
    <x v="10"/>
    <x v="73"/>
    <x v="16"/>
    <x v="84"/>
    <x v="4"/>
  </r>
  <r>
    <x v="801"/>
    <x v="880"/>
    <x v="81"/>
    <x v="3"/>
    <x v="1"/>
    <x v="1"/>
    <x v="0"/>
    <x v="10"/>
    <x v="73"/>
    <x v="16"/>
    <x v="84"/>
    <x v="5"/>
  </r>
  <r>
    <x v="812"/>
    <x v="881"/>
    <x v="81"/>
    <x v="3"/>
    <x v="1"/>
    <x v="1"/>
    <x v="0"/>
    <x v="10"/>
    <x v="73"/>
    <x v="16"/>
    <x v="84"/>
    <x v="5"/>
  </r>
  <r>
    <x v="823"/>
    <x v="882"/>
    <x v="81"/>
    <x v="3"/>
    <x v="1"/>
    <x v="1"/>
    <x v="0"/>
    <x v="10"/>
    <x v="73"/>
    <x v="16"/>
    <x v="84"/>
    <x v="5"/>
  </r>
  <r>
    <x v="834"/>
    <x v="1038"/>
    <x v="84"/>
    <x v="3"/>
    <x v="1"/>
    <x v="1"/>
    <x v="0"/>
    <x v="8"/>
    <x v="72"/>
    <x v="12"/>
    <x v="73"/>
    <x v="5"/>
  </r>
  <r>
    <x v="845"/>
    <x v="1039"/>
    <x v="84"/>
    <x v="3"/>
    <x v="1"/>
    <x v="1"/>
    <x v="0"/>
    <x v="8"/>
    <x v="72"/>
    <x v="12"/>
    <x v="73"/>
    <x v="5"/>
  </r>
  <r>
    <x v="856"/>
    <x v="1040"/>
    <x v="84"/>
    <x v="3"/>
    <x v="1"/>
    <x v="1"/>
    <x v="0"/>
    <x v="8"/>
    <x v="72"/>
    <x v="12"/>
    <x v="73"/>
    <x v="5"/>
  </r>
  <r>
    <x v="867"/>
    <x v="1041"/>
    <x v="84"/>
    <x v="3"/>
    <x v="1"/>
    <x v="1"/>
    <x v="0"/>
    <x v="8"/>
    <x v="72"/>
    <x v="12"/>
    <x v="73"/>
    <x v="5"/>
  </r>
  <r>
    <x v="878"/>
    <x v="1042"/>
    <x v="84"/>
    <x v="3"/>
    <x v="1"/>
    <x v="1"/>
    <x v="0"/>
    <x v="8"/>
    <x v="72"/>
    <x v="12"/>
    <x v="73"/>
    <x v="5"/>
  </r>
  <r>
    <x v="890"/>
    <x v="1043"/>
    <x v="84"/>
    <x v="3"/>
    <x v="1"/>
    <x v="1"/>
    <x v="0"/>
    <x v="8"/>
    <x v="72"/>
    <x v="12"/>
    <x v="73"/>
    <x v="5"/>
  </r>
  <r>
    <x v="901"/>
    <x v="1044"/>
    <x v="84"/>
    <x v="3"/>
    <x v="1"/>
    <x v="1"/>
    <x v="0"/>
    <x v="8"/>
    <x v="72"/>
    <x v="12"/>
    <x v="73"/>
    <x v="5"/>
  </r>
  <r>
    <x v="912"/>
    <x v="1072"/>
    <x v="84"/>
    <x v="3"/>
    <x v="1"/>
    <x v="1"/>
    <x v="0"/>
    <x v="8"/>
    <x v="72"/>
    <x v="12"/>
    <x v="73"/>
    <x v="5"/>
  </r>
  <r>
    <x v="923"/>
    <x v="1073"/>
    <x v="84"/>
    <x v="3"/>
    <x v="1"/>
    <x v="1"/>
    <x v="0"/>
    <x v="8"/>
    <x v="72"/>
    <x v="12"/>
    <x v="73"/>
    <x v="5"/>
  </r>
  <r>
    <x v="934"/>
    <x v="1074"/>
    <x v="84"/>
    <x v="3"/>
    <x v="1"/>
    <x v="1"/>
    <x v="0"/>
    <x v="8"/>
    <x v="72"/>
    <x v="12"/>
    <x v="73"/>
    <x v="5"/>
  </r>
  <r>
    <x v="945"/>
    <x v="1075"/>
    <x v="84"/>
    <x v="3"/>
    <x v="1"/>
    <x v="1"/>
    <x v="0"/>
    <x v="8"/>
    <x v="72"/>
    <x v="12"/>
    <x v="73"/>
    <x v="5"/>
  </r>
  <r>
    <x v="956"/>
    <x v="1076"/>
    <x v="84"/>
    <x v="3"/>
    <x v="1"/>
    <x v="1"/>
    <x v="0"/>
    <x v="8"/>
    <x v="72"/>
    <x v="12"/>
    <x v="73"/>
    <x v="5"/>
  </r>
  <r>
    <x v="967"/>
    <x v="1077"/>
    <x v="84"/>
    <x v="3"/>
    <x v="1"/>
    <x v="1"/>
    <x v="0"/>
    <x v="8"/>
    <x v="72"/>
    <x v="12"/>
    <x v="73"/>
    <x v="5"/>
  </r>
  <r>
    <x v="978"/>
    <x v="1078"/>
    <x v="84"/>
    <x v="3"/>
    <x v="1"/>
    <x v="1"/>
    <x v="0"/>
    <x v="8"/>
    <x v="72"/>
    <x v="12"/>
    <x v="73"/>
    <x v="5"/>
  </r>
  <r>
    <x v="989"/>
    <x v="1079"/>
    <x v="84"/>
    <x v="3"/>
    <x v="1"/>
    <x v="1"/>
    <x v="0"/>
    <x v="8"/>
    <x v="72"/>
    <x v="12"/>
    <x v="73"/>
    <x v="5"/>
  </r>
  <r>
    <x v="1001"/>
    <x v="1080"/>
    <x v="84"/>
    <x v="3"/>
    <x v="1"/>
    <x v="1"/>
    <x v="0"/>
    <x v="8"/>
    <x v="72"/>
    <x v="12"/>
    <x v="73"/>
    <x v="5"/>
  </r>
  <r>
    <x v="1012"/>
    <x v="1081"/>
    <x v="84"/>
    <x v="4"/>
    <x v="2"/>
    <x v="2"/>
    <x v="0"/>
    <x v="8"/>
    <x v="72"/>
    <x v="12"/>
    <x v="73"/>
    <x v="5"/>
  </r>
  <r>
    <x v="1023"/>
    <x v="1082"/>
    <x v="84"/>
    <x v="1"/>
    <x v="0"/>
    <x v="0"/>
    <x v="0"/>
    <x v="8"/>
    <x v="72"/>
    <x v="12"/>
    <x v="73"/>
    <x v="5"/>
  </r>
  <r>
    <x v="1034"/>
    <x v="966"/>
    <x v="95"/>
    <x v="1"/>
    <x v="0"/>
    <x v="0"/>
    <x v="0"/>
    <x v="10"/>
    <x v="103"/>
    <x v="17"/>
    <x v="89"/>
    <x v="5"/>
  </r>
  <r>
    <x v="1045"/>
    <x v="1012"/>
    <x v="95"/>
    <x v="4"/>
    <x v="2"/>
    <x v="2"/>
    <x v="0"/>
    <x v="10"/>
    <x v="103"/>
    <x v="17"/>
    <x v="89"/>
    <x v="5"/>
  </r>
  <r>
    <x v="1056"/>
    <x v="1013"/>
    <x v="95"/>
    <x v="3"/>
    <x v="1"/>
    <x v="1"/>
    <x v="0"/>
    <x v="10"/>
    <x v="103"/>
    <x v="17"/>
    <x v="89"/>
    <x v="5"/>
  </r>
  <r>
    <x v="1067"/>
    <x v="1014"/>
    <x v="95"/>
    <x v="3"/>
    <x v="1"/>
    <x v="1"/>
    <x v="0"/>
    <x v="10"/>
    <x v="103"/>
    <x v="17"/>
    <x v="89"/>
    <x v="5"/>
  </r>
  <r>
    <x v="1077"/>
    <x v="1015"/>
    <x v="95"/>
    <x v="3"/>
    <x v="1"/>
    <x v="1"/>
    <x v="0"/>
    <x v="10"/>
    <x v="103"/>
    <x v="17"/>
    <x v="89"/>
    <x v="5"/>
  </r>
  <r>
    <x v="1078"/>
    <x v="1016"/>
    <x v="95"/>
    <x v="3"/>
    <x v="1"/>
    <x v="1"/>
    <x v="0"/>
    <x v="10"/>
    <x v="103"/>
    <x v="17"/>
    <x v="89"/>
    <x v="5"/>
  </r>
  <r>
    <x v="1079"/>
    <x v="1618"/>
    <x v="369"/>
    <x v="3"/>
    <x v="1"/>
    <x v="1"/>
    <x v="0"/>
    <x v="10"/>
    <x v="112"/>
    <x v="18"/>
    <x v="89"/>
    <x v="5"/>
  </r>
  <r>
    <x v="1082"/>
    <x v="873"/>
    <x v="369"/>
    <x v="3"/>
    <x v="1"/>
    <x v="1"/>
    <x v="0"/>
    <x v="10"/>
    <x v="112"/>
    <x v="18"/>
    <x v="89"/>
    <x v="5"/>
  </r>
  <r>
    <x v="1083"/>
    <x v="874"/>
    <x v="369"/>
    <x v="3"/>
    <x v="1"/>
    <x v="1"/>
    <x v="0"/>
    <x v="10"/>
    <x v="112"/>
    <x v="18"/>
    <x v="89"/>
    <x v="5"/>
  </r>
  <r>
    <x v="1084"/>
    <x v="875"/>
    <x v="369"/>
    <x v="4"/>
    <x v="2"/>
    <x v="2"/>
    <x v="0"/>
    <x v="10"/>
    <x v="112"/>
    <x v="18"/>
    <x v="89"/>
    <x v="5"/>
  </r>
  <r>
    <x v="1085"/>
    <x v="876"/>
    <x v="369"/>
    <x v="1"/>
    <x v="0"/>
    <x v="0"/>
    <x v="0"/>
    <x v="10"/>
    <x v="112"/>
    <x v="18"/>
    <x v="89"/>
    <x v="5"/>
  </r>
  <r>
    <x v="1086"/>
    <x v="907"/>
    <x v="19"/>
    <x v="1"/>
    <x v="0"/>
    <x v="0"/>
    <x v="0"/>
    <x v="9"/>
    <x v="80"/>
    <x v="56"/>
    <x v="84"/>
    <x v="5"/>
  </r>
  <r>
    <x v="1087"/>
    <x v="908"/>
    <x v="19"/>
    <x v="3"/>
    <x v="1"/>
    <x v="1"/>
    <x v="0"/>
    <x v="9"/>
    <x v="80"/>
    <x v="56"/>
    <x v="84"/>
    <x v="5"/>
  </r>
  <r>
    <x v="1088"/>
    <x v="1917"/>
    <x v="19"/>
    <x v="3"/>
    <x v="1"/>
    <x v="1"/>
    <x v="0"/>
    <x v="9"/>
    <x v="80"/>
    <x v="56"/>
    <x v="84"/>
    <x v="5"/>
  </r>
  <r>
    <x v="1089"/>
    <x v="909"/>
    <x v="19"/>
    <x v="3"/>
    <x v="1"/>
    <x v="1"/>
    <x v="0"/>
    <x v="9"/>
    <x v="80"/>
    <x v="56"/>
    <x v="84"/>
    <x v="5"/>
  </r>
  <r>
    <x v="1090"/>
    <x v="892"/>
    <x v="37"/>
    <x v="3"/>
    <x v="1"/>
    <x v="1"/>
    <x v="0"/>
    <x v="9"/>
    <x v="81"/>
    <x v="45"/>
    <x v="52"/>
    <x v="5"/>
  </r>
  <r>
    <x v="1091"/>
    <x v="893"/>
    <x v="37"/>
    <x v="3"/>
    <x v="1"/>
    <x v="1"/>
    <x v="0"/>
    <x v="9"/>
    <x v="81"/>
    <x v="45"/>
    <x v="52"/>
    <x v="5"/>
  </r>
  <r>
    <x v="1093"/>
    <x v="894"/>
    <x v="37"/>
    <x v="3"/>
    <x v="1"/>
    <x v="1"/>
    <x v="0"/>
    <x v="9"/>
    <x v="81"/>
    <x v="45"/>
    <x v="52"/>
    <x v="5"/>
  </r>
  <r>
    <x v="1094"/>
    <x v="895"/>
    <x v="37"/>
    <x v="3"/>
    <x v="1"/>
    <x v="1"/>
    <x v="0"/>
    <x v="9"/>
    <x v="81"/>
    <x v="45"/>
    <x v="52"/>
    <x v="5"/>
  </r>
  <r>
    <x v="1095"/>
    <x v="896"/>
    <x v="37"/>
    <x v="3"/>
    <x v="1"/>
    <x v="1"/>
    <x v="0"/>
    <x v="9"/>
    <x v="81"/>
    <x v="45"/>
    <x v="52"/>
    <x v="5"/>
  </r>
  <r>
    <x v="1096"/>
    <x v="897"/>
    <x v="37"/>
    <x v="3"/>
    <x v="1"/>
    <x v="1"/>
    <x v="0"/>
    <x v="9"/>
    <x v="81"/>
    <x v="45"/>
    <x v="52"/>
    <x v="5"/>
  </r>
  <r>
    <x v="1097"/>
    <x v="898"/>
    <x v="37"/>
    <x v="3"/>
    <x v="1"/>
    <x v="1"/>
    <x v="0"/>
    <x v="9"/>
    <x v="81"/>
    <x v="45"/>
    <x v="52"/>
    <x v="5"/>
  </r>
  <r>
    <x v="1098"/>
    <x v="899"/>
    <x v="37"/>
    <x v="3"/>
    <x v="1"/>
    <x v="1"/>
    <x v="0"/>
    <x v="9"/>
    <x v="81"/>
    <x v="45"/>
    <x v="52"/>
    <x v="5"/>
  </r>
  <r>
    <x v="1099"/>
    <x v="900"/>
    <x v="37"/>
    <x v="3"/>
    <x v="1"/>
    <x v="1"/>
    <x v="0"/>
    <x v="9"/>
    <x v="81"/>
    <x v="45"/>
    <x v="52"/>
    <x v="5"/>
  </r>
  <r>
    <x v="1100"/>
    <x v="945"/>
    <x v="37"/>
    <x v="3"/>
    <x v="1"/>
    <x v="1"/>
    <x v="0"/>
    <x v="9"/>
    <x v="81"/>
    <x v="45"/>
    <x v="52"/>
    <x v="5"/>
  </r>
  <r>
    <x v="1101"/>
    <x v="946"/>
    <x v="37"/>
    <x v="3"/>
    <x v="1"/>
    <x v="1"/>
    <x v="0"/>
    <x v="9"/>
    <x v="81"/>
    <x v="45"/>
    <x v="52"/>
    <x v="5"/>
  </r>
  <r>
    <x v="1102"/>
    <x v="947"/>
    <x v="37"/>
    <x v="3"/>
    <x v="1"/>
    <x v="1"/>
    <x v="0"/>
    <x v="9"/>
    <x v="81"/>
    <x v="45"/>
    <x v="52"/>
    <x v="5"/>
  </r>
  <r>
    <x v="1104"/>
    <x v="948"/>
    <x v="37"/>
    <x v="1"/>
    <x v="0"/>
    <x v="0"/>
    <x v="0"/>
    <x v="9"/>
    <x v="81"/>
    <x v="45"/>
    <x v="52"/>
    <x v="5"/>
  </r>
  <r>
    <x v="1105"/>
    <x v="1436"/>
    <x v="37"/>
    <x v="4"/>
    <x v="2"/>
    <x v="2"/>
    <x v="0"/>
    <x v="9"/>
    <x v="81"/>
    <x v="45"/>
    <x v="52"/>
    <x v="5"/>
  </r>
  <r>
    <x v="1106"/>
    <x v="889"/>
    <x v="38"/>
    <x v="3"/>
    <x v="1"/>
    <x v="1"/>
    <x v="0"/>
    <x v="9"/>
    <x v="83"/>
    <x v="91"/>
    <x v="84"/>
    <x v="5"/>
  </r>
  <r>
    <x v="1107"/>
    <x v="890"/>
    <x v="38"/>
    <x v="3"/>
    <x v="1"/>
    <x v="1"/>
    <x v="0"/>
    <x v="9"/>
    <x v="83"/>
    <x v="91"/>
    <x v="84"/>
    <x v="5"/>
  </r>
  <r>
    <x v="1108"/>
    <x v="891"/>
    <x v="38"/>
    <x v="3"/>
    <x v="1"/>
    <x v="1"/>
    <x v="0"/>
    <x v="9"/>
    <x v="83"/>
    <x v="91"/>
    <x v="84"/>
    <x v="5"/>
  </r>
  <r>
    <x v="1109"/>
    <x v="901"/>
    <x v="38"/>
    <x v="1"/>
    <x v="0"/>
    <x v="0"/>
    <x v="0"/>
    <x v="9"/>
    <x v="83"/>
    <x v="91"/>
    <x v="84"/>
    <x v="5"/>
  </r>
  <r>
    <x v="1110"/>
    <x v="902"/>
    <x v="94"/>
    <x v="3"/>
    <x v="1"/>
    <x v="1"/>
    <x v="0"/>
    <x v="9"/>
    <x v="110"/>
    <x v="55"/>
    <x v="84"/>
    <x v="5"/>
  </r>
  <r>
    <x v="1111"/>
    <x v="903"/>
    <x v="94"/>
    <x v="3"/>
    <x v="1"/>
    <x v="1"/>
    <x v="0"/>
    <x v="9"/>
    <x v="110"/>
    <x v="55"/>
    <x v="84"/>
    <x v="5"/>
  </r>
  <r>
    <x v="1112"/>
    <x v="904"/>
    <x v="94"/>
    <x v="1"/>
    <x v="0"/>
    <x v="0"/>
    <x v="0"/>
    <x v="9"/>
    <x v="110"/>
    <x v="55"/>
    <x v="84"/>
    <x v="5"/>
  </r>
  <r>
    <x v="1113"/>
    <x v="905"/>
    <x v="94"/>
    <x v="3"/>
    <x v="1"/>
    <x v="1"/>
    <x v="0"/>
    <x v="9"/>
    <x v="110"/>
    <x v="55"/>
    <x v="84"/>
    <x v="5"/>
  </r>
  <r>
    <x v="1115"/>
    <x v="906"/>
    <x v="94"/>
    <x v="3"/>
    <x v="1"/>
    <x v="1"/>
    <x v="0"/>
    <x v="9"/>
    <x v="110"/>
    <x v="55"/>
    <x v="84"/>
    <x v="5"/>
  </r>
  <r>
    <x v="1116"/>
    <x v="1916"/>
    <x v="94"/>
    <x v="3"/>
    <x v="1"/>
    <x v="1"/>
    <x v="0"/>
    <x v="9"/>
    <x v="110"/>
    <x v="55"/>
    <x v="84"/>
    <x v="5"/>
  </r>
  <r>
    <x v="1117"/>
    <x v="1083"/>
    <x v="80"/>
    <x v="3"/>
    <x v="1"/>
    <x v="1"/>
    <x v="0"/>
    <x v="9"/>
    <x v="78"/>
    <x v="13"/>
    <x v="89"/>
    <x v="5"/>
  </r>
  <r>
    <x v="1118"/>
    <x v="1084"/>
    <x v="80"/>
    <x v="3"/>
    <x v="1"/>
    <x v="1"/>
    <x v="0"/>
    <x v="9"/>
    <x v="78"/>
    <x v="13"/>
    <x v="89"/>
    <x v="5"/>
  </r>
  <r>
    <x v="1119"/>
    <x v="1085"/>
    <x v="80"/>
    <x v="3"/>
    <x v="1"/>
    <x v="1"/>
    <x v="0"/>
    <x v="9"/>
    <x v="78"/>
    <x v="13"/>
    <x v="89"/>
    <x v="5"/>
  </r>
  <r>
    <x v="1120"/>
    <x v="1086"/>
    <x v="80"/>
    <x v="3"/>
    <x v="1"/>
    <x v="1"/>
    <x v="0"/>
    <x v="9"/>
    <x v="78"/>
    <x v="13"/>
    <x v="89"/>
    <x v="5"/>
  </r>
  <r>
    <x v="1121"/>
    <x v="1087"/>
    <x v="80"/>
    <x v="1"/>
    <x v="0"/>
    <x v="0"/>
    <x v="0"/>
    <x v="9"/>
    <x v="78"/>
    <x v="13"/>
    <x v="89"/>
    <x v="5"/>
  </r>
  <r>
    <x v="1122"/>
    <x v="940"/>
    <x v="91"/>
    <x v="3"/>
    <x v="1"/>
    <x v="1"/>
    <x v="0"/>
    <x v="9"/>
    <x v="84"/>
    <x v="41"/>
    <x v="89"/>
    <x v="5"/>
  </r>
  <r>
    <x v="1123"/>
    <x v="941"/>
    <x v="91"/>
    <x v="3"/>
    <x v="1"/>
    <x v="1"/>
    <x v="0"/>
    <x v="9"/>
    <x v="84"/>
    <x v="41"/>
    <x v="89"/>
    <x v="5"/>
  </r>
  <r>
    <x v="1124"/>
    <x v="942"/>
    <x v="91"/>
    <x v="3"/>
    <x v="1"/>
    <x v="1"/>
    <x v="0"/>
    <x v="9"/>
    <x v="84"/>
    <x v="41"/>
    <x v="89"/>
    <x v="5"/>
  </r>
  <r>
    <x v="1126"/>
    <x v="943"/>
    <x v="91"/>
    <x v="3"/>
    <x v="1"/>
    <x v="1"/>
    <x v="0"/>
    <x v="9"/>
    <x v="84"/>
    <x v="41"/>
    <x v="89"/>
    <x v="5"/>
  </r>
  <r>
    <x v="1127"/>
    <x v="944"/>
    <x v="91"/>
    <x v="1"/>
    <x v="0"/>
    <x v="0"/>
    <x v="0"/>
    <x v="9"/>
    <x v="84"/>
    <x v="41"/>
    <x v="89"/>
    <x v="5"/>
  </r>
  <r>
    <x v="1128"/>
    <x v="1017"/>
    <x v="59"/>
    <x v="3"/>
    <x v="1"/>
    <x v="1"/>
    <x v="0"/>
    <x v="9"/>
    <x v="108"/>
    <x v="57"/>
    <x v="67"/>
    <x v="5"/>
  </r>
  <r>
    <x v="1129"/>
    <x v="1018"/>
    <x v="59"/>
    <x v="3"/>
    <x v="1"/>
    <x v="1"/>
    <x v="0"/>
    <x v="9"/>
    <x v="108"/>
    <x v="57"/>
    <x v="67"/>
    <x v="5"/>
  </r>
  <r>
    <x v="1130"/>
    <x v="1019"/>
    <x v="59"/>
    <x v="1"/>
    <x v="0"/>
    <x v="0"/>
    <x v="0"/>
    <x v="9"/>
    <x v="108"/>
    <x v="57"/>
    <x v="67"/>
    <x v="5"/>
  </r>
  <r>
    <x v="1131"/>
    <x v="1020"/>
    <x v="59"/>
    <x v="3"/>
    <x v="1"/>
    <x v="1"/>
    <x v="0"/>
    <x v="9"/>
    <x v="108"/>
    <x v="57"/>
    <x v="67"/>
    <x v="5"/>
  </r>
  <r>
    <x v="1132"/>
    <x v="1105"/>
    <x v="146"/>
    <x v="3"/>
    <x v="1"/>
    <x v="1"/>
    <x v="0"/>
    <x v="13"/>
    <x v="68"/>
    <x v="86"/>
    <x v="84"/>
    <x v="5"/>
  </r>
  <r>
    <x v="1133"/>
    <x v="1106"/>
    <x v="146"/>
    <x v="3"/>
    <x v="1"/>
    <x v="1"/>
    <x v="0"/>
    <x v="13"/>
    <x v="68"/>
    <x v="86"/>
    <x v="84"/>
    <x v="5"/>
  </r>
  <r>
    <x v="1134"/>
    <x v="1107"/>
    <x v="146"/>
    <x v="3"/>
    <x v="1"/>
    <x v="1"/>
    <x v="0"/>
    <x v="13"/>
    <x v="68"/>
    <x v="86"/>
    <x v="84"/>
    <x v="5"/>
  </r>
  <r>
    <x v="1135"/>
    <x v="1108"/>
    <x v="146"/>
    <x v="4"/>
    <x v="2"/>
    <x v="2"/>
    <x v="0"/>
    <x v="13"/>
    <x v="68"/>
    <x v="86"/>
    <x v="84"/>
    <x v="5"/>
  </r>
  <r>
    <x v="1137"/>
    <x v="1109"/>
    <x v="146"/>
    <x v="1"/>
    <x v="0"/>
    <x v="0"/>
    <x v="0"/>
    <x v="13"/>
    <x v="68"/>
    <x v="86"/>
    <x v="84"/>
    <x v="5"/>
  </r>
  <r>
    <x v="1138"/>
    <x v="949"/>
    <x v="147"/>
    <x v="1"/>
    <x v="0"/>
    <x v="0"/>
    <x v="0"/>
    <x v="13"/>
    <x v="96"/>
    <x v="32"/>
    <x v="84"/>
    <x v="5"/>
  </r>
  <r>
    <x v="1139"/>
    <x v="950"/>
    <x v="147"/>
    <x v="3"/>
    <x v="1"/>
    <x v="1"/>
    <x v="0"/>
    <x v="13"/>
    <x v="96"/>
    <x v="32"/>
    <x v="84"/>
    <x v="5"/>
  </r>
  <r>
    <x v="1140"/>
    <x v="951"/>
    <x v="147"/>
    <x v="3"/>
    <x v="1"/>
    <x v="1"/>
    <x v="0"/>
    <x v="13"/>
    <x v="96"/>
    <x v="32"/>
    <x v="84"/>
    <x v="5"/>
  </r>
  <r>
    <x v="1141"/>
    <x v="952"/>
    <x v="147"/>
    <x v="3"/>
    <x v="1"/>
    <x v="1"/>
    <x v="0"/>
    <x v="13"/>
    <x v="96"/>
    <x v="32"/>
    <x v="84"/>
    <x v="5"/>
  </r>
  <r>
    <x v="1142"/>
    <x v="569"/>
    <x v="87"/>
    <x v="3"/>
    <x v="1"/>
    <x v="1"/>
    <x v="0"/>
    <x v="13"/>
    <x v="99"/>
    <x v="59"/>
    <x v="89"/>
    <x v="5"/>
  </r>
  <r>
    <x v="1143"/>
    <x v="570"/>
    <x v="87"/>
    <x v="1"/>
    <x v="0"/>
    <x v="0"/>
    <x v="0"/>
    <x v="13"/>
    <x v="99"/>
    <x v="59"/>
    <x v="89"/>
    <x v="5"/>
  </r>
  <r>
    <x v="1144"/>
    <x v="571"/>
    <x v="87"/>
    <x v="3"/>
    <x v="1"/>
    <x v="1"/>
    <x v="0"/>
    <x v="13"/>
    <x v="99"/>
    <x v="59"/>
    <x v="89"/>
    <x v="5"/>
  </r>
  <r>
    <x v="1145"/>
    <x v="572"/>
    <x v="87"/>
    <x v="3"/>
    <x v="1"/>
    <x v="1"/>
    <x v="0"/>
    <x v="13"/>
    <x v="99"/>
    <x v="59"/>
    <x v="89"/>
    <x v="5"/>
  </r>
  <r>
    <x v="1146"/>
    <x v="573"/>
    <x v="87"/>
    <x v="3"/>
    <x v="1"/>
    <x v="1"/>
    <x v="0"/>
    <x v="13"/>
    <x v="99"/>
    <x v="59"/>
    <x v="89"/>
    <x v="5"/>
  </r>
  <r>
    <x v="1148"/>
    <x v="1021"/>
    <x v="93"/>
    <x v="3"/>
    <x v="1"/>
    <x v="1"/>
    <x v="0"/>
    <x v="13"/>
    <x v="70"/>
    <x v="31"/>
    <x v="66"/>
    <x v="5"/>
  </r>
  <r>
    <x v="1149"/>
    <x v="1022"/>
    <x v="93"/>
    <x v="1"/>
    <x v="0"/>
    <x v="0"/>
    <x v="0"/>
    <x v="13"/>
    <x v="70"/>
    <x v="31"/>
    <x v="66"/>
    <x v="5"/>
  </r>
  <r>
    <x v="1150"/>
    <x v="1023"/>
    <x v="93"/>
    <x v="3"/>
    <x v="1"/>
    <x v="1"/>
    <x v="0"/>
    <x v="13"/>
    <x v="70"/>
    <x v="31"/>
    <x v="66"/>
    <x v="5"/>
  </r>
  <r>
    <x v="1151"/>
    <x v="1024"/>
    <x v="93"/>
    <x v="3"/>
    <x v="1"/>
    <x v="1"/>
    <x v="0"/>
    <x v="13"/>
    <x v="70"/>
    <x v="31"/>
    <x v="66"/>
    <x v="5"/>
  </r>
  <r>
    <x v="1152"/>
    <x v="1025"/>
    <x v="93"/>
    <x v="4"/>
    <x v="2"/>
    <x v="2"/>
    <x v="0"/>
    <x v="13"/>
    <x v="70"/>
    <x v="31"/>
    <x v="66"/>
    <x v="5"/>
  </r>
  <r>
    <x v="1153"/>
    <x v="1026"/>
    <x v="93"/>
    <x v="3"/>
    <x v="1"/>
    <x v="1"/>
    <x v="0"/>
    <x v="13"/>
    <x v="70"/>
    <x v="31"/>
    <x v="66"/>
    <x v="5"/>
  </r>
  <r>
    <x v="1154"/>
    <x v="1102"/>
    <x v="88"/>
    <x v="3"/>
    <x v="1"/>
    <x v="1"/>
    <x v="0"/>
    <x v="13"/>
    <x v="111"/>
    <x v="53"/>
    <x v="84"/>
    <x v="5"/>
  </r>
  <r>
    <x v="1155"/>
    <x v="1103"/>
    <x v="88"/>
    <x v="3"/>
    <x v="1"/>
    <x v="1"/>
    <x v="0"/>
    <x v="13"/>
    <x v="111"/>
    <x v="53"/>
    <x v="84"/>
    <x v="5"/>
  </r>
  <r>
    <x v="1156"/>
    <x v="1104"/>
    <x v="88"/>
    <x v="3"/>
    <x v="1"/>
    <x v="1"/>
    <x v="0"/>
    <x v="13"/>
    <x v="111"/>
    <x v="53"/>
    <x v="84"/>
    <x v="5"/>
  </r>
  <r>
    <x v="1157"/>
    <x v="1110"/>
    <x v="88"/>
    <x v="3"/>
    <x v="1"/>
    <x v="1"/>
    <x v="0"/>
    <x v="13"/>
    <x v="111"/>
    <x v="53"/>
    <x v="84"/>
    <x v="5"/>
  </r>
  <r>
    <x v="1159"/>
    <x v="1101"/>
    <x v="88"/>
    <x v="4"/>
    <x v="2"/>
    <x v="2"/>
    <x v="0"/>
    <x v="13"/>
    <x v="111"/>
    <x v="53"/>
    <x v="84"/>
    <x v="5"/>
  </r>
  <r>
    <x v="1160"/>
    <x v="1100"/>
    <x v="88"/>
    <x v="1"/>
    <x v="0"/>
    <x v="0"/>
    <x v="0"/>
    <x v="13"/>
    <x v="111"/>
    <x v="53"/>
    <x v="84"/>
    <x v="5"/>
  </r>
  <r>
    <x v="1161"/>
    <x v="560"/>
    <x v="393"/>
    <x v="1"/>
    <x v="0"/>
    <x v="0"/>
    <x v="0"/>
    <x v="13"/>
    <x v="101"/>
    <x v="58"/>
    <x v="58"/>
    <x v="5"/>
  </r>
  <r>
    <x v="1162"/>
    <x v="561"/>
    <x v="393"/>
    <x v="4"/>
    <x v="2"/>
    <x v="2"/>
    <x v="0"/>
    <x v="13"/>
    <x v="101"/>
    <x v="58"/>
    <x v="58"/>
    <x v="5"/>
  </r>
  <r>
    <x v="1163"/>
    <x v="562"/>
    <x v="393"/>
    <x v="3"/>
    <x v="1"/>
    <x v="1"/>
    <x v="0"/>
    <x v="13"/>
    <x v="101"/>
    <x v="58"/>
    <x v="58"/>
    <x v="5"/>
  </r>
  <r>
    <x v="1164"/>
    <x v="563"/>
    <x v="393"/>
    <x v="3"/>
    <x v="1"/>
    <x v="1"/>
    <x v="0"/>
    <x v="13"/>
    <x v="101"/>
    <x v="58"/>
    <x v="58"/>
    <x v="5"/>
  </r>
  <r>
    <x v="1165"/>
    <x v="564"/>
    <x v="393"/>
    <x v="3"/>
    <x v="1"/>
    <x v="1"/>
    <x v="0"/>
    <x v="13"/>
    <x v="101"/>
    <x v="58"/>
    <x v="58"/>
    <x v="5"/>
  </r>
  <r>
    <x v="1166"/>
    <x v="565"/>
    <x v="393"/>
    <x v="3"/>
    <x v="1"/>
    <x v="1"/>
    <x v="0"/>
    <x v="13"/>
    <x v="101"/>
    <x v="58"/>
    <x v="58"/>
    <x v="5"/>
  </r>
  <r>
    <x v="1167"/>
    <x v="566"/>
    <x v="393"/>
    <x v="3"/>
    <x v="1"/>
    <x v="1"/>
    <x v="0"/>
    <x v="13"/>
    <x v="101"/>
    <x v="58"/>
    <x v="58"/>
    <x v="5"/>
  </r>
  <r>
    <x v="1168"/>
    <x v="567"/>
    <x v="393"/>
    <x v="3"/>
    <x v="1"/>
    <x v="1"/>
    <x v="0"/>
    <x v="13"/>
    <x v="101"/>
    <x v="58"/>
    <x v="58"/>
    <x v="5"/>
  </r>
  <r>
    <x v="1170"/>
    <x v="568"/>
    <x v="393"/>
    <x v="3"/>
    <x v="1"/>
    <x v="1"/>
    <x v="0"/>
    <x v="13"/>
    <x v="101"/>
    <x v="58"/>
    <x v="58"/>
    <x v="5"/>
  </r>
  <r>
    <x v="1171"/>
    <x v="921"/>
    <x v="127"/>
    <x v="3"/>
    <x v="1"/>
    <x v="1"/>
    <x v="0"/>
    <x v="11"/>
    <x v="93"/>
    <x v="65"/>
    <x v="92"/>
    <x v="5"/>
  </r>
  <r>
    <x v="1172"/>
    <x v="922"/>
    <x v="127"/>
    <x v="3"/>
    <x v="1"/>
    <x v="1"/>
    <x v="0"/>
    <x v="11"/>
    <x v="93"/>
    <x v="65"/>
    <x v="92"/>
    <x v="5"/>
  </r>
  <r>
    <x v="1173"/>
    <x v="923"/>
    <x v="127"/>
    <x v="3"/>
    <x v="1"/>
    <x v="1"/>
    <x v="0"/>
    <x v="11"/>
    <x v="93"/>
    <x v="65"/>
    <x v="92"/>
    <x v="5"/>
  </r>
  <r>
    <x v="1174"/>
    <x v="924"/>
    <x v="127"/>
    <x v="3"/>
    <x v="1"/>
    <x v="1"/>
    <x v="0"/>
    <x v="11"/>
    <x v="93"/>
    <x v="65"/>
    <x v="92"/>
    <x v="5"/>
  </r>
  <r>
    <x v="1175"/>
    <x v="956"/>
    <x v="127"/>
    <x v="3"/>
    <x v="1"/>
    <x v="1"/>
    <x v="0"/>
    <x v="11"/>
    <x v="93"/>
    <x v="65"/>
    <x v="92"/>
    <x v="5"/>
  </r>
  <r>
    <x v="1176"/>
    <x v="957"/>
    <x v="127"/>
    <x v="3"/>
    <x v="1"/>
    <x v="1"/>
    <x v="0"/>
    <x v="11"/>
    <x v="93"/>
    <x v="65"/>
    <x v="92"/>
    <x v="5"/>
  </r>
  <r>
    <x v="1177"/>
    <x v="958"/>
    <x v="127"/>
    <x v="4"/>
    <x v="2"/>
    <x v="2"/>
    <x v="0"/>
    <x v="11"/>
    <x v="93"/>
    <x v="65"/>
    <x v="92"/>
    <x v="5"/>
  </r>
  <r>
    <x v="1178"/>
    <x v="959"/>
    <x v="127"/>
    <x v="1"/>
    <x v="0"/>
    <x v="0"/>
    <x v="0"/>
    <x v="11"/>
    <x v="93"/>
    <x v="65"/>
    <x v="92"/>
    <x v="5"/>
  </r>
  <r>
    <x v="1179"/>
    <x v="964"/>
    <x v="127"/>
    <x v="3"/>
    <x v="1"/>
    <x v="1"/>
    <x v="0"/>
    <x v="11"/>
    <x v="93"/>
    <x v="65"/>
    <x v="92"/>
    <x v="5"/>
  </r>
  <r>
    <x v="1181"/>
    <x v="910"/>
    <x v="53"/>
    <x v="3"/>
    <x v="1"/>
    <x v="1"/>
    <x v="0"/>
    <x v="11"/>
    <x v="85"/>
    <x v="68"/>
    <x v="89"/>
    <x v="5"/>
  </r>
  <r>
    <x v="1182"/>
    <x v="911"/>
    <x v="53"/>
    <x v="3"/>
    <x v="1"/>
    <x v="1"/>
    <x v="0"/>
    <x v="11"/>
    <x v="85"/>
    <x v="68"/>
    <x v="89"/>
    <x v="5"/>
  </r>
  <r>
    <x v="1183"/>
    <x v="912"/>
    <x v="53"/>
    <x v="3"/>
    <x v="1"/>
    <x v="1"/>
    <x v="0"/>
    <x v="11"/>
    <x v="85"/>
    <x v="68"/>
    <x v="89"/>
    <x v="5"/>
  </r>
  <r>
    <x v="1184"/>
    <x v="913"/>
    <x v="53"/>
    <x v="3"/>
    <x v="1"/>
    <x v="1"/>
    <x v="0"/>
    <x v="11"/>
    <x v="85"/>
    <x v="68"/>
    <x v="89"/>
    <x v="5"/>
  </r>
  <r>
    <x v="1185"/>
    <x v="914"/>
    <x v="53"/>
    <x v="4"/>
    <x v="2"/>
    <x v="2"/>
    <x v="0"/>
    <x v="11"/>
    <x v="85"/>
    <x v="68"/>
    <x v="89"/>
    <x v="5"/>
  </r>
  <r>
    <x v="1186"/>
    <x v="915"/>
    <x v="53"/>
    <x v="1"/>
    <x v="0"/>
    <x v="0"/>
    <x v="0"/>
    <x v="11"/>
    <x v="85"/>
    <x v="68"/>
    <x v="89"/>
    <x v="5"/>
  </r>
  <r>
    <x v="1187"/>
    <x v="925"/>
    <x v="321"/>
    <x v="3"/>
    <x v="1"/>
    <x v="1"/>
    <x v="0"/>
    <x v="12"/>
    <x v="87"/>
    <x v="62"/>
    <x v="84"/>
    <x v="5"/>
  </r>
  <r>
    <x v="1188"/>
    <x v="926"/>
    <x v="321"/>
    <x v="3"/>
    <x v="1"/>
    <x v="1"/>
    <x v="0"/>
    <x v="12"/>
    <x v="87"/>
    <x v="62"/>
    <x v="84"/>
    <x v="5"/>
  </r>
  <r>
    <x v="1189"/>
    <x v="927"/>
    <x v="321"/>
    <x v="3"/>
    <x v="1"/>
    <x v="1"/>
    <x v="0"/>
    <x v="12"/>
    <x v="87"/>
    <x v="62"/>
    <x v="84"/>
    <x v="5"/>
  </r>
  <r>
    <x v="1190"/>
    <x v="928"/>
    <x v="321"/>
    <x v="4"/>
    <x v="2"/>
    <x v="2"/>
    <x v="0"/>
    <x v="12"/>
    <x v="87"/>
    <x v="62"/>
    <x v="84"/>
    <x v="5"/>
  </r>
  <r>
    <x v="1193"/>
    <x v="929"/>
    <x v="321"/>
    <x v="1"/>
    <x v="0"/>
    <x v="0"/>
    <x v="0"/>
    <x v="12"/>
    <x v="87"/>
    <x v="62"/>
    <x v="84"/>
    <x v="5"/>
  </r>
  <r>
    <x v="1194"/>
    <x v="708"/>
    <x v="333"/>
    <x v="3"/>
    <x v="1"/>
    <x v="1"/>
    <x v="0"/>
    <x v="12"/>
    <x v="266"/>
    <x v="61"/>
    <x v="84"/>
    <x v="5"/>
  </r>
  <r>
    <x v="1195"/>
    <x v="709"/>
    <x v="333"/>
    <x v="3"/>
    <x v="1"/>
    <x v="1"/>
    <x v="0"/>
    <x v="12"/>
    <x v="266"/>
    <x v="61"/>
    <x v="84"/>
    <x v="5"/>
  </r>
  <r>
    <x v="1196"/>
    <x v="710"/>
    <x v="333"/>
    <x v="3"/>
    <x v="1"/>
    <x v="1"/>
    <x v="0"/>
    <x v="12"/>
    <x v="266"/>
    <x v="61"/>
    <x v="84"/>
    <x v="5"/>
  </r>
  <r>
    <x v="1197"/>
    <x v="711"/>
    <x v="333"/>
    <x v="4"/>
    <x v="2"/>
    <x v="2"/>
    <x v="0"/>
    <x v="12"/>
    <x v="266"/>
    <x v="61"/>
    <x v="84"/>
    <x v="5"/>
  </r>
  <r>
    <x v="1198"/>
    <x v="712"/>
    <x v="333"/>
    <x v="1"/>
    <x v="0"/>
    <x v="0"/>
    <x v="0"/>
    <x v="12"/>
    <x v="266"/>
    <x v="61"/>
    <x v="84"/>
    <x v="5"/>
  </r>
  <r>
    <x v="1199"/>
    <x v="960"/>
    <x v="323"/>
    <x v="3"/>
    <x v="1"/>
    <x v="1"/>
    <x v="0"/>
    <x v="11"/>
    <x v="91"/>
    <x v="92"/>
    <x v="89"/>
    <x v="5"/>
  </r>
  <r>
    <x v="1200"/>
    <x v="961"/>
    <x v="323"/>
    <x v="3"/>
    <x v="1"/>
    <x v="1"/>
    <x v="0"/>
    <x v="11"/>
    <x v="91"/>
    <x v="92"/>
    <x v="89"/>
    <x v="5"/>
  </r>
  <r>
    <x v="1201"/>
    <x v="962"/>
    <x v="323"/>
    <x v="4"/>
    <x v="2"/>
    <x v="2"/>
    <x v="0"/>
    <x v="11"/>
    <x v="91"/>
    <x v="92"/>
    <x v="89"/>
    <x v="5"/>
  </r>
  <r>
    <x v="1202"/>
    <x v="963"/>
    <x v="323"/>
    <x v="1"/>
    <x v="0"/>
    <x v="0"/>
    <x v="0"/>
    <x v="11"/>
    <x v="91"/>
    <x v="92"/>
    <x v="89"/>
    <x v="5"/>
  </r>
  <r>
    <x v="1204"/>
    <x v="742"/>
    <x v="294"/>
    <x v="3"/>
    <x v="1"/>
    <x v="1"/>
    <x v="0"/>
    <x v="12"/>
    <x v="264"/>
    <x v="38"/>
    <x v="84"/>
    <x v="5"/>
  </r>
  <r>
    <x v="1205"/>
    <x v="743"/>
    <x v="294"/>
    <x v="3"/>
    <x v="1"/>
    <x v="1"/>
    <x v="0"/>
    <x v="12"/>
    <x v="264"/>
    <x v="38"/>
    <x v="84"/>
    <x v="5"/>
  </r>
  <r>
    <x v="1206"/>
    <x v="744"/>
    <x v="294"/>
    <x v="3"/>
    <x v="1"/>
    <x v="1"/>
    <x v="0"/>
    <x v="12"/>
    <x v="264"/>
    <x v="38"/>
    <x v="84"/>
    <x v="5"/>
  </r>
  <r>
    <x v="1207"/>
    <x v="745"/>
    <x v="294"/>
    <x v="4"/>
    <x v="2"/>
    <x v="2"/>
    <x v="0"/>
    <x v="12"/>
    <x v="264"/>
    <x v="38"/>
    <x v="84"/>
    <x v="5"/>
  </r>
  <r>
    <x v="1208"/>
    <x v="746"/>
    <x v="294"/>
    <x v="1"/>
    <x v="0"/>
    <x v="0"/>
    <x v="0"/>
    <x v="12"/>
    <x v="264"/>
    <x v="38"/>
    <x v="84"/>
    <x v="5"/>
  </r>
  <r>
    <x v="1209"/>
    <x v="735"/>
    <x v="295"/>
    <x v="3"/>
    <x v="1"/>
    <x v="1"/>
    <x v="0"/>
    <x v="12"/>
    <x v="263"/>
    <x v="39"/>
    <x v="84"/>
    <x v="5"/>
  </r>
  <r>
    <x v="1210"/>
    <x v="736"/>
    <x v="295"/>
    <x v="3"/>
    <x v="1"/>
    <x v="1"/>
    <x v="0"/>
    <x v="12"/>
    <x v="263"/>
    <x v="39"/>
    <x v="84"/>
    <x v="5"/>
  </r>
  <r>
    <x v="1211"/>
    <x v="737"/>
    <x v="295"/>
    <x v="3"/>
    <x v="1"/>
    <x v="1"/>
    <x v="0"/>
    <x v="12"/>
    <x v="263"/>
    <x v="39"/>
    <x v="84"/>
    <x v="5"/>
  </r>
  <r>
    <x v="1212"/>
    <x v="738"/>
    <x v="295"/>
    <x v="3"/>
    <x v="1"/>
    <x v="1"/>
    <x v="0"/>
    <x v="12"/>
    <x v="263"/>
    <x v="39"/>
    <x v="84"/>
    <x v="5"/>
  </r>
  <r>
    <x v="1213"/>
    <x v="739"/>
    <x v="295"/>
    <x v="4"/>
    <x v="2"/>
    <x v="2"/>
    <x v="0"/>
    <x v="12"/>
    <x v="263"/>
    <x v="39"/>
    <x v="84"/>
    <x v="5"/>
  </r>
  <r>
    <x v="1215"/>
    <x v="740"/>
    <x v="295"/>
    <x v="1"/>
    <x v="0"/>
    <x v="0"/>
    <x v="0"/>
    <x v="12"/>
    <x v="263"/>
    <x v="39"/>
    <x v="84"/>
    <x v="5"/>
  </r>
  <r>
    <x v="1216"/>
    <x v="916"/>
    <x v="192"/>
    <x v="3"/>
    <x v="1"/>
    <x v="1"/>
    <x v="0"/>
    <x v="11"/>
    <x v="92"/>
    <x v="93"/>
    <x v="84"/>
    <x v="5"/>
  </r>
  <r>
    <x v="1217"/>
    <x v="917"/>
    <x v="192"/>
    <x v="3"/>
    <x v="1"/>
    <x v="1"/>
    <x v="0"/>
    <x v="11"/>
    <x v="92"/>
    <x v="93"/>
    <x v="84"/>
    <x v="5"/>
  </r>
  <r>
    <x v="1218"/>
    <x v="918"/>
    <x v="192"/>
    <x v="4"/>
    <x v="2"/>
    <x v="2"/>
    <x v="0"/>
    <x v="11"/>
    <x v="92"/>
    <x v="93"/>
    <x v="84"/>
    <x v="5"/>
  </r>
  <r>
    <x v="1219"/>
    <x v="919"/>
    <x v="192"/>
    <x v="1"/>
    <x v="0"/>
    <x v="0"/>
    <x v="0"/>
    <x v="11"/>
    <x v="92"/>
    <x v="93"/>
    <x v="84"/>
    <x v="5"/>
  </r>
  <r>
    <x v="1220"/>
    <x v="920"/>
    <x v="192"/>
    <x v="3"/>
    <x v="1"/>
    <x v="1"/>
    <x v="0"/>
    <x v="11"/>
    <x v="92"/>
    <x v="93"/>
    <x v="84"/>
    <x v="5"/>
  </r>
  <r>
    <x v="1221"/>
    <x v="1736"/>
    <x v="192"/>
    <x v="3"/>
    <x v="1"/>
    <x v="1"/>
    <x v="0"/>
    <x v="11"/>
    <x v="92"/>
    <x v="93"/>
    <x v="84"/>
    <x v="5"/>
  </r>
  <r>
    <x v="1222"/>
    <x v="1088"/>
    <x v="160"/>
    <x v="3"/>
    <x v="1"/>
    <x v="1"/>
    <x v="2"/>
    <x v="16"/>
    <x v="174"/>
    <x v="22"/>
    <x v="79"/>
    <x v="5"/>
  </r>
  <r>
    <x v="1223"/>
    <x v="1089"/>
    <x v="160"/>
    <x v="4"/>
    <x v="2"/>
    <x v="2"/>
    <x v="2"/>
    <x v="16"/>
    <x v="174"/>
    <x v="22"/>
    <x v="79"/>
    <x v="5"/>
  </r>
  <r>
    <x v="1224"/>
    <x v="1091"/>
    <x v="160"/>
    <x v="3"/>
    <x v="1"/>
    <x v="1"/>
    <x v="2"/>
    <x v="16"/>
    <x v="174"/>
    <x v="22"/>
    <x v="79"/>
    <x v="5"/>
  </r>
  <r>
    <x v="1226"/>
    <x v="1092"/>
    <x v="160"/>
    <x v="3"/>
    <x v="1"/>
    <x v="1"/>
    <x v="2"/>
    <x v="16"/>
    <x v="174"/>
    <x v="22"/>
    <x v="79"/>
    <x v="5"/>
  </r>
  <r>
    <x v="1227"/>
    <x v="1090"/>
    <x v="160"/>
    <x v="1"/>
    <x v="0"/>
    <x v="0"/>
    <x v="2"/>
    <x v="16"/>
    <x v="174"/>
    <x v="22"/>
    <x v="79"/>
    <x v="5"/>
  </r>
  <r>
    <x v="1228"/>
    <x v="883"/>
    <x v="286"/>
    <x v="3"/>
    <x v="1"/>
    <x v="1"/>
    <x v="2"/>
    <x v="16"/>
    <x v="260"/>
    <x v="51"/>
    <x v="84"/>
    <x v="5"/>
  </r>
  <r>
    <x v="1229"/>
    <x v="884"/>
    <x v="286"/>
    <x v="3"/>
    <x v="1"/>
    <x v="1"/>
    <x v="2"/>
    <x v="16"/>
    <x v="260"/>
    <x v="51"/>
    <x v="84"/>
    <x v="5"/>
  </r>
  <r>
    <x v="1230"/>
    <x v="885"/>
    <x v="286"/>
    <x v="3"/>
    <x v="1"/>
    <x v="1"/>
    <x v="2"/>
    <x v="16"/>
    <x v="260"/>
    <x v="51"/>
    <x v="84"/>
    <x v="5"/>
  </r>
  <r>
    <x v="1231"/>
    <x v="886"/>
    <x v="286"/>
    <x v="3"/>
    <x v="1"/>
    <x v="1"/>
    <x v="2"/>
    <x v="16"/>
    <x v="260"/>
    <x v="51"/>
    <x v="84"/>
    <x v="5"/>
  </r>
  <r>
    <x v="1232"/>
    <x v="887"/>
    <x v="286"/>
    <x v="1"/>
    <x v="0"/>
    <x v="0"/>
    <x v="2"/>
    <x v="16"/>
    <x v="260"/>
    <x v="51"/>
    <x v="84"/>
    <x v="5"/>
  </r>
  <r>
    <x v="1233"/>
    <x v="148"/>
    <x v="165"/>
    <x v="3"/>
    <x v="1"/>
    <x v="1"/>
    <x v="2"/>
    <x v="17"/>
    <x v="179"/>
    <x v="161"/>
    <x v="84"/>
    <x v="5"/>
  </r>
  <r>
    <x v="1234"/>
    <x v="149"/>
    <x v="165"/>
    <x v="3"/>
    <x v="1"/>
    <x v="1"/>
    <x v="2"/>
    <x v="17"/>
    <x v="179"/>
    <x v="161"/>
    <x v="84"/>
    <x v="5"/>
  </r>
  <r>
    <x v="1235"/>
    <x v="150"/>
    <x v="165"/>
    <x v="3"/>
    <x v="1"/>
    <x v="1"/>
    <x v="2"/>
    <x v="17"/>
    <x v="179"/>
    <x v="161"/>
    <x v="84"/>
    <x v="5"/>
  </r>
  <r>
    <x v="1237"/>
    <x v="151"/>
    <x v="165"/>
    <x v="1"/>
    <x v="0"/>
    <x v="0"/>
    <x v="2"/>
    <x v="17"/>
    <x v="179"/>
    <x v="161"/>
    <x v="84"/>
    <x v="5"/>
  </r>
  <r>
    <x v="1238"/>
    <x v="113"/>
    <x v="347"/>
    <x v="3"/>
    <x v="1"/>
    <x v="1"/>
    <x v="2"/>
    <x v="31"/>
    <x v="335"/>
    <x v="150"/>
    <x v="45"/>
    <x v="5"/>
  </r>
  <r>
    <x v="1239"/>
    <x v="114"/>
    <x v="347"/>
    <x v="3"/>
    <x v="1"/>
    <x v="1"/>
    <x v="2"/>
    <x v="31"/>
    <x v="335"/>
    <x v="150"/>
    <x v="45"/>
    <x v="5"/>
  </r>
  <r>
    <x v="1240"/>
    <x v="115"/>
    <x v="347"/>
    <x v="3"/>
    <x v="1"/>
    <x v="1"/>
    <x v="2"/>
    <x v="31"/>
    <x v="335"/>
    <x v="150"/>
    <x v="45"/>
    <x v="5"/>
  </r>
  <r>
    <x v="1241"/>
    <x v="116"/>
    <x v="347"/>
    <x v="4"/>
    <x v="2"/>
    <x v="2"/>
    <x v="2"/>
    <x v="31"/>
    <x v="335"/>
    <x v="150"/>
    <x v="45"/>
    <x v="5"/>
  </r>
  <r>
    <x v="1242"/>
    <x v="117"/>
    <x v="347"/>
    <x v="1"/>
    <x v="0"/>
    <x v="0"/>
    <x v="2"/>
    <x v="31"/>
    <x v="335"/>
    <x v="150"/>
    <x v="45"/>
    <x v="5"/>
  </r>
  <r>
    <x v="1243"/>
    <x v="118"/>
    <x v="347"/>
    <x v="3"/>
    <x v="1"/>
    <x v="1"/>
    <x v="2"/>
    <x v="31"/>
    <x v="335"/>
    <x v="150"/>
    <x v="45"/>
    <x v="5"/>
  </r>
  <r>
    <x v="1244"/>
    <x v="119"/>
    <x v="347"/>
    <x v="3"/>
    <x v="1"/>
    <x v="1"/>
    <x v="2"/>
    <x v="31"/>
    <x v="335"/>
    <x v="150"/>
    <x v="45"/>
    <x v="5"/>
  </r>
  <r>
    <x v="1245"/>
    <x v="120"/>
    <x v="347"/>
    <x v="3"/>
    <x v="1"/>
    <x v="1"/>
    <x v="2"/>
    <x v="31"/>
    <x v="335"/>
    <x v="150"/>
    <x v="45"/>
    <x v="5"/>
  </r>
  <r>
    <x v="1246"/>
    <x v="121"/>
    <x v="347"/>
    <x v="3"/>
    <x v="1"/>
    <x v="1"/>
    <x v="2"/>
    <x v="31"/>
    <x v="335"/>
    <x v="150"/>
    <x v="45"/>
    <x v="5"/>
  </r>
  <r>
    <x v="1248"/>
    <x v="122"/>
    <x v="347"/>
    <x v="3"/>
    <x v="1"/>
    <x v="1"/>
    <x v="2"/>
    <x v="31"/>
    <x v="335"/>
    <x v="150"/>
    <x v="45"/>
    <x v="5"/>
  </r>
  <r>
    <x v="1249"/>
    <x v="123"/>
    <x v="347"/>
    <x v="3"/>
    <x v="1"/>
    <x v="1"/>
    <x v="2"/>
    <x v="31"/>
    <x v="335"/>
    <x v="150"/>
    <x v="45"/>
    <x v="5"/>
  </r>
  <r>
    <x v="1250"/>
    <x v="124"/>
    <x v="347"/>
    <x v="3"/>
    <x v="1"/>
    <x v="1"/>
    <x v="2"/>
    <x v="31"/>
    <x v="335"/>
    <x v="150"/>
    <x v="45"/>
    <x v="5"/>
  </r>
  <r>
    <x v="1251"/>
    <x v="125"/>
    <x v="347"/>
    <x v="3"/>
    <x v="1"/>
    <x v="1"/>
    <x v="2"/>
    <x v="31"/>
    <x v="335"/>
    <x v="150"/>
    <x v="45"/>
    <x v="5"/>
  </r>
  <r>
    <x v="1252"/>
    <x v="126"/>
    <x v="347"/>
    <x v="3"/>
    <x v="1"/>
    <x v="1"/>
    <x v="2"/>
    <x v="31"/>
    <x v="335"/>
    <x v="150"/>
    <x v="45"/>
    <x v="5"/>
  </r>
  <r>
    <x v="1253"/>
    <x v="127"/>
    <x v="347"/>
    <x v="3"/>
    <x v="1"/>
    <x v="1"/>
    <x v="2"/>
    <x v="31"/>
    <x v="335"/>
    <x v="150"/>
    <x v="45"/>
    <x v="5"/>
  </r>
  <r>
    <x v="1254"/>
    <x v="128"/>
    <x v="347"/>
    <x v="3"/>
    <x v="1"/>
    <x v="1"/>
    <x v="2"/>
    <x v="31"/>
    <x v="335"/>
    <x v="150"/>
    <x v="45"/>
    <x v="5"/>
  </r>
  <r>
    <x v="1255"/>
    <x v="129"/>
    <x v="347"/>
    <x v="3"/>
    <x v="1"/>
    <x v="1"/>
    <x v="2"/>
    <x v="31"/>
    <x v="335"/>
    <x v="150"/>
    <x v="45"/>
    <x v="5"/>
  </r>
  <r>
    <x v="1256"/>
    <x v="130"/>
    <x v="347"/>
    <x v="3"/>
    <x v="1"/>
    <x v="1"/>
    <x v="2"/>
    <x v="31"/>
    <x v="335"/>
    <x v="150"/>
    <x v="45"/>
    <x v="5"/>
  </r>
  <r>
    <x v="1257"/>
    <x v="888"/>
    <x v="330"/>
    <x v="3"/>
    <x v="1"/>
    <x v="1"/>
    <x v="2"/>
    <x v="16"/>
    <x v="259"/>
    <x v="87"/>
    <x v="84"/>
    <x v="5"/>
  </r>
  <r>
    <x v="1259"/>
    <x v="953"/>
    <x v="330"/>
    <x v="1"/>
    <x v="0"/>
    <x v="0"/>
    <x v="2"/>
    <x v="16"/>
    <x v="259"/>
    <x v="87"/>
    <x v="84"/>
    <x v="5"/>
  </r>
  <r>
    <x v="1260"/>
    <x v="954"/>
    <x v="330"/>
    <x v="3"/>
    <x v="1"/>
    <x v="1"/>
    <x v="2"/>
    <x v="16"/>
    <x v="259"/>
    <x v="87"/>
    <x v="84"/>
    <x v="5"/>
  </r>
  <r>
    <x v="1261"/>
    <x v="955"/>
    <x v="330"/>
    <x v="3"/>
    <x v="1"/>
    <x v="1"/>
    <x v="2"/>
    <x v="16"/>
    <x v="259"/>
    <x v="87"/>
    <x v="84"/>
    <x v="5"/>
  </r>
  <r>
    <x v="1262"/>
    <x v="1520"/>
    <x v="330"/>
    <x v="3"/>
    <x v="1"/>
    <x v="1"/>
    <x v="2"/>
    <x v="16"/>
    <x v="259"/>
    <x v="87"/>
    <x v="84"/>
    <x v="5"/>
  </r>
  <r>
    <x v="1263"/>
    <x v="107"/>
    <x v="338"/>
    <x v="3"/>
    <x v="1"/>
    <x v="1"/>
    <x v="2"/>
    <x v="17"/>
    <x v="181"/>
    <x v="159"/>
    <x v="60"/>
    <x v="5"/>
  </r>
  <r>
    <x v="1264"/>
    <x v="108"/>
    <x v="338"/>
    <x v="3"/>
    <x v="1"/>
    <x v="1"/>
    <x v="2"/>
    <x v="17"/>
    <x v="181"/>
    <x v="159"/>
    <x v="60"/>
    <x v="5"/>
  </r>
  <r>
    <x v="1265"/>
    <x v="109"/>
    <x v="338"/>
    <x v="3"/>
    <x v="1"/>
    <x v="1"/>
    <x v="2"/>
    <x v="17"/>
    <x v="181"/>
    <x v="159"/>
    <x v="60"/>
    <x v="5"/>
  </r>
  <r>
    <x v="1266"/>
    <x v="110"/>
    <x v="338"/>
    <x v="3"/>
    <x v="1"/>
    <x v="1"/>
    <x v="2"/>
    <x v="17"/>
    <x v="181"/>
    <x v="159"/>
    <x v="60"/>
    <x v="5"/>
  </r>
  <r>
    <x v="1267"/>
    <x v="111"/>
    <x v="338"/>
    <x v="3"/>
    <x v="1"/>
    <x v="1"/>
    <x v="2"/>
    <x v="17"/>
    <x v="181"/>
    <x v="159"/>
    <x v="60"/>
    <x v="5"/>
  </r>
  <r>
    <x v="1268"/>
    <x v="112"/>
    <x v="338"/>
    <x v="3"/>
    <x v="1"/>
    <x v="1"/>
    <x v="2"/>
    <x v="17"/>
    <x v="181"/>
    <x v="159"/>
    <x v="60"/>
    <x v="5"/>
  </r>
  <r>
    <x v="1270"/>
    <x v="145"/>
    <x v="338"/>
    <x v="3"/>
    <x v="1"/>
    <x v="1"/>
    <x v="2"/>
    <x v="17"/>
    <x v="181"/>
    <x v="159"/>
    <x v="60"/>
    <x v="5"/>
  </r>
  <r>
    <x v="1271"/>
    <x v="146"/>
    <x v="338"/>
    <x v="3"/>
    <x v="1"/>
    <x v="1"/>
    <x v="2"/>
    <x v="17"/>
    <x v="181"/>
    <x v="159"/>
    <x v="60"/>
    <x v="5"/>
  </r>
  <r>
    <x v="1272"/>
    <x v="147"/>
    <x v="338"/>
    <x v="3"/>
    <x v="1"/>
    <x v="1"/>
    <x v="2"/>
    <x v="17"/>
    <x v="181"/>
    <x v="159"/>
    <x v="60"/>
    <x v="5"/>
  </r>
  <r>
    <x v="1273"/>
    <x v="152"/>
    <x v="338"/>
    <x v="0"/>
    <x v="0"/>
    <x v="3"/>
    <x v="2"/>
    <x v="17"/>
    <x v="181"/>
    <x v="159"/>
    <x v="60"/>
    <x v="5"/>
  </r>
  <r>
    <x v="1274"/>
    <x v="153"/>
    <x v="338"/>
    <x v="1"/>
    <x v="0"/>
    <x v="0"/>
    <x v="2"/>
    <x v="17"/>
    <x v="181"/>
    <x v="159"/>
    <x v="60"/>
    <x v="5"/>
  </r>
  <r>
    <x v="1275"/>
    <x v="154"/>
    <x v="338"/>
    <x v="4"/>
    <x v="2"/>
    <x v="2"/>
    <x v="2"/>
    <x v="17"/>
    <x v="181"/>
    <x v="159"/>
    <x v="60"/>
    <x v="5"/>
  </r>
  <r>
    <x v="1276"/>
    <x v="828"/>
    <x v="338"/>
    <x v="3"/>
    <x v="1"/>
    <x v="1"/>
    <x v="2"/>
    <x v="17"/>
    <x v="181"/>
    <x v="159"/>
    <x v="60"/>
    <x v="5"/>
  </r>
  <r>
    <x v="1277"/>
    <x v="829"/>
    <x v="338"/>
    <x v="3"/>
    <x v="1"/>
    <x v="1"/>
    <x v="2"/>
    <x v="17"/>
    <x v="181"/>
    <x v="159"/>
    <x v="60"/>
    <x v="5"/>
  </r>
  <r>
    <x v="1278"/>
    <x v="830"/>
    <x v="338"/>
    <x v="3"/>
    <x v="1"/>
    <x v="1"/>
    <x v="2"/>
    <x v="17"/>
    <x v="181"/>
    <x v="159"/>
    <x v="60"/>
    <x v="5"/>
  </r>
  <r>
    <x v="1279"/>
    <x v="831"/>
    <x v="338"/>
    <x v="3"/>
    <x v="1"/>
    <x v="1"/>
    <x v="2"/>
    <x v="17"/>
    <x v="181"/>
    <x v="159"/>
    <x v="60"/>
    <x v="5"/>
  </r>
  <r>
    <x v="1281"/>
    <x v="199"/>
    <x v="4"/>
    <x v="3"/>
    <x v="1"/>
    <x v="1"/>
    <x v="2"/>
    <x v="21"/>
    <x v="223"/>
    <x v="48"/>
    <x v="85"/>
    <x v="5"/>
  </r>
  <r>
    <x v="1282"/>
    <x v="200"/>
    <x v="4"/>
    <x v="3"/>
    <x v="1"/>
    <x v="1"/>
    <x v="2"/>
    <x v="21"/>
    <x v="223"/>
    <x v="48"/>
    <x v="85"/>
    <x v="5"/>
  </r>
  <r>
    <x v="1283"/>
    <x v="1235"/>
    <x v="4"/>
    <x v="1"/>
    <x v="0"/>
    <x v="0"/>
    <x v="2"/>
    <x v="21"/>
    <x v="223"/>
    <x v="48"/>
    <x v="85"/>
    <x v="5"/>
  </r>
  <r>
    <x v="1284"/>
    <x v="222"/>
    <x v="51"/>
    <x v="3"/>
    <x v="1"/>
    <x v="1"/>
    <x v="2"/>
    <x v="21"/>
    <x v="222"/>
    <x v="88"/>
    <x v="86"/>
    <x v="5"/>
  </r>
  <r>
    <x v="1285"/>
    <x v="223"/>
    <x v="51"/>
    <x v="3"/>
    <x v="1"/>
    <x v="1"/>
    <x v="2"/>
    <x v="21"/>
    <x v="222"/>
    <x v="88"/>
    <x v="86"/>
    <x v="5"/>
  </r>
  <r>
    <x v="1286"/>
    <x v="224"/>
    <x v="51"/>
    <x v="3"/>
    <x v="1"/>
    <x v="1"/>
    <x v="2"/>
    <x v="21"/>
    <x v="222"/>
    <x v="88"/>
    <x v="86"/>
    <x v="5"/>
  </r>
  <r>
    <x v="1287"/>
    <x v="225"/>
    <x v="51"/>
    <x v="1"/>
    <x v="0"/>
    <x v="0"/>
    <x v="2"/>
    <x v="21"/>
    <x v="222"/>
    <x v="88"/>
    <x v="86"/>
    <x v="5"/>
  </r>
  <r>
    <x v="1288"/>
    <x v="166"/>
    <x v="239"/>
    <x v="3"/>
    <x v="1"/>
    <x v="1"/>
    <x v="2"/>
    <x v="23"/>
    <x v="246"/>
    <x v="80"/>
    <x v="89"/>
    <x v="5"/>
  </r>
  <r>
    <x v="1289"/>
    <x v="167"/>
    <x v="239"/>
    <x v="3"/>
    <x v="1"/>
    <x v="1"/>
    <x v="2"/>
    <x v="23"/>
    <x v="246"/>
    <x v="80"/>
    <x v="89"/>
    <x v="5"/>
  </r>
  <r>
    <x v="1290"/>
    <x v="168"/>
    <x v="239"/>
    <x v="3"/>
    <x v="1"/>
    <x v="1"/>
    <x v="2"/>
    <x v="23"/>
    <x v="246"/>
    <x v="80"/>
    <x v="89"/>
    <x v="5"/>
  </r>
  <r>
    <x v="1292"/>
    <x v="1229"/>
    <x v="239"/>
    <x v="1"/>
    <x v="0"/>
    <x v="0"/>
    <x v="2"/>
    <x v="23"/>
    <x v="246"/>
    <x v="80"/>
    <x v="89"/>
    <x v="5"/>
  </r>
  <r>
    <x v="1293"/>
    <x v="1710"/>
    <x v="239"/>
    <x v="3"/>
    <x v="1"/>
    <x v="1"/>
    <x v="2"/>
    <x v="23"/>
    <x v="246"/>
    <x v="80"/>
    <x v="89"/>
    <x v="5"/>
  </r>
  <r>
    <x v="1294"/>
    <x v="196"/>
    <x v="240"/>
    <x v="3"/>
    <x v="1"/>
    <x v="1"/>
    <x v="2"/>
    <x v="23"/>
    <x v="248"/>
    <x v="81"/>
    <x v="84"/>
    <x v="5"/>
  </r>
  <r>
    <x v="1295"/>
    <x v="197"/>
    <x v="240"/>
    <x v="3"/>
    <x v="1"/>
    <x v="1"/>
    <x v="2"/>
    <x v="23"/>
    <x v="248"/>
    <x v="81"/>
    <x v="84"/>
    <x v="5"/>
  </r>
  <r>
    <x v="1296"/>
    <x v="198"/>
    <x v="240"/>
    <x v="3"/>
    <x v="1"/>
    <x v="1"/>
    <x v="2"/>
    <x v="23"/>
    <x v="248"/>
    <x v="81"/>
    <x v="84"/>
    <x v="5"/>
  </r>
  <r>
    <x v="1297"/>
    <x v="741"/>
    <x v="240"/>
    <x v="1"/>
    <x v="0"/>
    <x v="0"/>
    <x v="2"/>
    <x v="23"/>
    <x v="248"/>
    <x v="81"/>
    <x v="84"/>
    <x v="5"/>
  </r>
  <r>
    <x v="1298"/>
    <x v="593"/>
    <x v="292"/>
    <x v="3"/>
    <x v="1"/>
    <x v="1"/>
    <x v="2"/>
    <x v="23"/>
    <x v="235"/>
    <x v="83"/>
    <x v="84"/>
    <x v="5"/>
  </r>
  <r>
    <x v="1299"/>
    <x v="594"/>
    <x v="292"/>
    <x v="3"/>
    <x v="1"/>
    <x v="1"/>
    <x v="2"/>
    <x v="23"/>
    <x v="235"/>
    <x v="83"/>
    <x v="84"/>
    <x v="5"/>
  </r>
  <r>
    <x v="1300"/>
    <x v="595"/>
    <x v="292"/>
    <x v="3"/>
    <x v="1"/>
    <x v="1"/>
    <x v="2"/>
    <x v="23"/>
    <x v="235"/>
    <x v="83"/>
    <x v="84"/>
    <x v="5"/>
  </r>
  <r>
    <x v="1301"/>
    <x v="596"/>
    <x v="292"/>
    <x v="1"/>
    <x v="0"/>
    <x v="0"/>
    <x v="2"/>
    <x v="23"/>
    <x v="235"/>
    <x v="83"/>
    <x v="84"/>
    <x v="5"/>
  </r>
  <r>
    <x v="1304"/>
    <x v="597"/>
    <x v="292"/>
    <x v="4"/>
    <x v="2"/>
    <x v="2"/>
    <x v="2"/>
    <x v="23"/>
    <x v="235"/>
    <x v="83"/>
    <x v="84"/>
    <x v="5"/>
  </r>
  <r>
    <x v="1305"/>
    <x v="1212"/>
    <x v="292"/>
    <x v="3"/>
    <x v="1"/>
    <x v="1"/>
    <x v="2"/>
    <x v="23"/>
    <x v="235"/>
    <x v="83"/>
    <x v="84"/>
    <x v="5"/>
  </r>
  <r>
    <x v="1306"/>
    <x v="186"/>
    <x v="268"/>
    <x v="1"/>
    <x v="0"/>
    <x v="0"/>
    <x v="2"/>
    <x v="21"/>
    <x v="253"/>
    <x v="89"/>
    <x v="91"/>
    <x v="5"/>
  </r>
  <r>
    <x v="1307"/>
    <x v="187"/>
    <x v="268"/>
    <x v="3"/>
    <x v="1"/>
    <x v="1"/>
    <x v="2"/>
    <x v="21"/>
    <x v="253"/>
    <x v="89"/>
    <x v="91"/>
    <x v="5"/>
  </r>
  <r>
    <x v="1308"/>
    <x v="188"/>
    <x v="268"/>
    <x v="3"/>
    <x v="1"/>
    <x v="1"/>
    <x v="2"/>
    <x v="21"/>
    <x v="253"/>
    <x v="89"/>
    <x v="91"/>
    <x v="5"/>
  </r>
  <r>
    <x v="1309"/>
    <x v="189"/>
    <x v="268"/>
    <x v="3"/>
    <x v="1"/>
    <x v="1"/>
    <x v="2"/>
    <x v="21"/>
    <x v="253"/>
    <x v="89"/>
    <x v="91"/>
    <x v="5"/>
  </r>
  <r>
    <x v="1310"/>
    <x v="190"/>
    <x v="268"/>
    <x v="3"/>
    <x v="1"/>
    <x v="1"/>
    <x v="2"/>
    <x v="21"/>
    <x v="253"/>
    <x v="89"/>
    <x v="91"/>
    <x v="5"/>
  </r>
  <r>
    <x v="1311"/>
    <x v="619"/>
    <x v="409"/>
    <x v="3"/>
    <x v="1"/>
    <x v="1"/>
    <x v="2"/>
    <x v="21"/>
    <x v="275"/>
    <x v="49"/>
    <x v="73"/>
    <x v="5"/>
  </r>
  <r>
    <x v="1312"/>
    <x v="620"/>
    <x v="409"/>
    <x v="3"/>
    <x v="1"/>
    <x v="1"/>
    <x v="2"/>
    <x v="21"/>
    <x v="275"/>
    <x v="49"/>
    <x v="73"/>
    <x v="5"/>
  </r>
  <r>
    <x v="1313"/>
    <x v="621"/>
    <x v="409"/>
    <x v="3"/>
    <x v="1"/>
    <x v="1"/>
    <x v="2"/>
    <x v="21"/>
    <x v="275"/>
    <x v="49"/>
    <x v="73"/>
    <x v="5"/>
  </r>
  <r>
    <x v="1315"/>
    <x v="622"/>
    <x v="409"/>
    <x v="3"/>
    <x v="1"/>
    <x v="1"/>
    <x v="2"/>
    <x v="21"/>
    <x v="275"/>
    <x v="49"/>
    <x v="73"/>
    <x v="5"/>
  </r>
  <r>
    <x v="1316"/>
    <x v="623"/>
    <x v="409"/>
    <x v="3"/>
    <x v="1"/>
    <x v="1"/>
    <x v="2"/>
    <x v="21"/>
    <x v="275"/>
    <x v="49"/>
    <x v="73"/>
    <x v="5"/>
  </r>
  <r>
    <x v="1317"/>
    <x v="624"/>
    <x v="409"/>
    <x v="3"/>
    <x v="1"/>
    <x v="1"/>
    <x v="2"/>
    <x v="21"/>
    <x v="275"/>
    <x v="49"/>
    <x v="73"/>
    <x v="5"/>
  </r>
  <r>
    <x v="1318"/>
    <x v="625"/>
    <x v="409"/>
    <x v="4"/>
    <x v="2"/>
    <x v="2"/>
    <x v="2"/>
    <x v="21"/>
    <x v="275"/>
    <x v="49"/>
    <x v="73"/>
    <x v="5"/>
  </r>
  <r>
    <x v="1319"/>
    <x v="626"/>
    <x v="409"/>
    <x v="1"/>
    <x v="0"/>
    <x v="0"/>
    <x v="2"/>
    <x v="21"/>
    <x v="275"/>
    <x v="49"/>
    <x v="73"/>
    <x v="5"/>
  </r>
  <r>
    <x v="1320"/>
    <x v="1218"/>
    <x v="409"/>
    <x v="3"/>
    <x v="1"/>
    <x v="1"/>
    <x v="2"/>
    <x v="21"/>
    <x v="275"/>
    <x v="49"/>
    <x v="73"/>
    <x v="5"/>
  </r>
  <r>
    <x v="1321"/>
    <x v="208"/>
    <x v="12"/>
    <x v="3"/>
    <x v="1"/>
    <x v="1"/>
    <x v="2"/>
    <x v="22"/>
    <x v="228"/>
    <x v="2"/>
    <x v="84"/>
    <x v="5"/>
  </r>
  <r>
    <x v="1322"/>
    <x v="209"/>
    <x v="12"/>
    <x v="3"/>
    <x v="1"/>
    <x v="1"/>
    <x v="2"/>
    <x v="22"/>
    <x v="228"/>
    <x v="2"/>
    <x v="84"/>
    <x v="5"/>
  </r>
  <r>
    <x v="1323"/>
    <x v="210"/>
    <x v="12"/>
    <x v="3"/>
    <x v="1"/>
    <x v="1"/>
    <x v="2"/>
    <x v="22"/>
    <x v="228"/>
    <x v="2"/>
    <x v="84"/>
    <x v="5"/>
  </r>
  <r>
    <x v="1324"/>
    <x v="211"/>
    <x v="12"/>
    <x v="1"/>
    <x v="0"/>
    <x v="0"/>
    <x v="2"/>
    <x v="22"/>
    <x v="228"/>
    <x v="2"/>
    <x v="84"/>
    <x v="5"/>
  </r>
  <r>
    <x v="1326"/>
    <x v="212"/>
    <x v="12"/>
    <x v="3"/>
    <x v="1"/>
    <x v="1"/>
    <x v="2"/>
    <x v="22"/>
    <x v="228"/>
    <x v="2"/>
    <x v="84"/>
    <x v="5"/>
  </r>
  <r>
    <x v="1327"/>
    <x v="169"/>
    <x v="278"/>
    <x v="3"/>
    <x v="1"/>
    <x v="1"/>
    <x v="2"/>
    <x v="22"/>
    <x v="255"/>
    <x v="72"/>
    <x v="84"/>
    <x v="5"/>
  </r>
  <r>
    <x v="1328"/>
    <x v="170"/>
    <x v="278"/>
    <x v="3"/>
    <x v="1"/>
    <x v="1"/>
    <x v="2"/>
    <x v="22"/>
    <x v="255"/>
    <x v="72"/>
    <x v="84"/>
    <x v="5"/>
  </r>
  <r>
    <x v="1329"/>
    <x v="171"/>
    <x v="278"/>
    <x v="3"/>
    <x v="1"/>
    <x v="1"/>
    <x v="2"/>
    <x v="22"/>
    <x v="255"/>
    <x v="72"/>
    <x v="84"/>
    <x v="5"/>
  </r>
  <r>
    <x v="1330"/>
    <x v="172"/>
    <x v="278"/>
    <x v="3"/>
    <x v="1"/>
    <x v="1"/>
    <x v="2"/>
    <x v="22"/>
    <x v="255"/>
    <x v="72"/>
    <x v="84"/>
    <x v="5"/>
  </r>
  <r>
    <x v="1331"/>
    <x v="1224"/>
    <x v="278"/>
    <x v="1"/>
    <x v="0"/>
    <x v="0"/>
    <x v="2"/>
    <x v="22"/>
    <x v="255"/>
    <x v="72"/>
    <x v="84"/>
    <x v="5"/>
  </r>
  <r>
    <x v="1332"/>
    <x v="235"/>
    <x v="287"/>
    <x v="3"/>
    <x v="1"/>
    <x v="1"/>
    <x v="2"/>
    <x v="23"/>
    <x v="250"/>
    <x v="82"/>
    <x v="84"/>
    <x v="5"/>
  </r>
  <r>
    <x v="1333"/>
    <x v="236"/>
    <x v="287"/>
    <x v="3"/>
    <x v="1"/>
    <x v="1"/>
    <x v="2"/>
    <x v="23"/>
    <x v="250"/>
    <x v="82"/>
    <x v="84"/>
    <x v="5"/>
  </r>
  <r>
    <x v="1334"/>
    <x v="237"/>
    <x v="287"/>
    <x v="3"/>
    <x v="1"/>
    <x v="1"/>
    <x v="2"/>
    <x v="23"/>
    <x v="250"/>
    <x v="82"/>
    <x v="84"/>
    <x v="5"/>
  </r>
  <r>
    <x v="1335"/>
    <x v="238"/>
    <x v="287"/>
    <x v="1"/>
    <x v="0"/>
    <x v="0"/>
    <x v="2"/>
    <x v="23"/>
    <x v="250"/>
    <x v="82"/>
    <x v="84"/>
    <x v="5"/>
  </r>
  <r>
    <x v="1337"/>
    <x v="239"/>
    <x v="287"/>
    <x v="3"/>
    <x v="1"/>
    <x v="1"/>
    <x v="2"/>
    <x v="23"/>
    <x v="250"/>
    <x v="82"/>
    <x v="84"/>
    <x v="5"/>
  </r>
  <r>
    <x v="1338"/>
    <x v="632"/>
    <x v="238"/>
    <x v="3"/>
    <x v="1"/>
    <x v="1"/>
    <x v="2"/>
    <x v="23"/>
    <x v="245"/>
    <x v="100"/>
    <x v="91"/>
    <x v="5"/>
  </r>
  <r>
    <x v="1339"/>
    <x v="633"/>
    <x v="238"/>
    <x v="3"/>
    <x v="1"/>
    <x v="1"/>
    <x v="2"/>
    <x v="23"/>
    <x v="245"/>
    <x v="100"/>
    <x v="91"/>
    <x v="5"/>
  </r>
  <r>
    <x v="1340"/>
    <x v="634"/>
    <x v="238"/>
    <x v="3"/>
    <x v="1"/>
    <x v="1"/>
    <x v="2"/>
    <x v="23"/>
    <x v="245"/>
    <x v="100"/>
    <x v="91"/>
    <x v="5"/>
  </r>
  <r>
    <x v="1341"/>
    <x v="645"/>
    <x v="238"/>
    <x v="4"/>
    <x v="2"/>
    <x v="2"/>
    <x v="2"/>
    <x v="23"/>
    <x v="245"/>
    <x v="100"/>
    <x v="91"/>
    <x v="5"/>
  </r>
  <r>
    <x v="1342"/>
    <x v="1233"/>
    <x v="238"/>
    <x v="1"/>
    <x v="0"/>
    <x v="0"/>
    <x v="2"/>
    <x v="23"/>
    <x v="245"/>
    <x v="100"/>
    <x v="91"/>
    <x v="5"/>
  </r>
  <r>
    <x v="1343"/>
    <x v="1591"/>
    <x v="238"/>
    <x v="3"/>
    <x v="1"/>
    <x v="1"/>
    <x v="2"/>
    <x v="23"/>
    <x v="245"/>
    <x v="100"/>
    <x v="91"/>
    <x v="5"/>
  </r>
  <r>
    <x v="1344"/>
    <x v="661"/>
    <x v="226"/>
    <x v="3"/>
    <x v="1"/>
    <x v="1"/>
    <x v="2"/>
    <x v="22"/>
    <x v="231"/>
    <x v="98"/>
    <x v="84"/>
    <x v="5"/>
  </r>
  <r>
    <x v="1345"/>
    <x v="662"/>
    <x v="226"/>
    <x v="3"/>
    <x v="1"/>
    <x v="1"/>
    <x v="2"/>
    <x v="22"/>
    <x v="231"/>
    <x v="98"/>
    <x v="84"/>
    <x v="5"/>
  </r>
  <r>
    <x v="1346"/>
    <x v="663"/>
    <x v="226"/>
    <x v="3"/>
    <x v="1"/>
    <x v="1"/>
    <x v="2"/>
    <x v="22"/>
    <x v="231"/>
    <x v="98"/>
    <x v="84"/>
    <x v="5"/>
  </r>
  <r>
    <x v="1348"/>
    <x v="664"/>
    <x v="226"/>
    <x v="1"/>
    <x v="0"/>
    <x v="0"/>
    <x v="2"/>
    <x v="22"/>
    <x v="231"/>
    <x v="98"/>
    <x v="84"/>
    <x v="5"/>
  </r>
  <r>
    <x v="1349"/>
    <x v="587"/>
    <x v="266"/>
    <x v="3"/>
    <x v="1"/>
    <x v="1"/>
    <x v="2"/>
    <x v="22"/>
    <x v="257"/>
    <x v="71"/>
    <x v="84"/>
    <x v="5"/>
  </r>
  <r>
    <x v="1350"/>
    <x v="588"/>
    <x v="266"/>
    <x v="3"/>
    <x v="1"/>
    <x v="1"/>
    <x v="2"/>
    <x v="22"/>
    <x v="257"/>
    <x v="71"/>
    <x v="84"/>
    <x v="5"/>
  </r>
  <r>
    <x v="1351"/>
    <x v="589"/>
    <x v="266"/>
    <x v="3"/>
    <x v="1"/>
    <x v="1"/>
    <x v="2"/>
    <x v="22"/>
    <x v="257"/>
    <x v="71"/>
    <x v="84"/>
    <x v="5"/>
  </r>
  <r>
    <x v="1352"/>
    <x v="590"/>
    <x v="266"/>
    <x v="3"/>
    <x v="1"/>
    <x v="1"/>
    <x v="2"/>
    <x v="22"/>
    <x v="257"/>
    <x v="71"/>
    <x v="84"/>
    <x v="5"/>
  </r>
  <r>
    <x v="1353"/>
    <x v="591"/>
    <x v="266"/>
    <x v="3"/>
    <x v="1"/>
    <x v="1"/>
    <x v="2"/>
    <x v="22"/>
    <x v="257"/>
    <x v="71"/>
    <x v="84"/>
    <x v="5"/>
  </r>
  <r>
    <x v="1354"/>
    <x v="592"/>
    <x v="266"/>
    <x v="1"/>
    <x v="0"/>
    <x v="0"/>
    <x v="2"/>
    <x v="22"/>
    <x v="257"/>
    <x v="71"/>
    <x v="84"/>
    <x v="5"/>
  </r>
  <r>
    <x v="1355"/>
    <x v="635"/>
    <x v="316"/>
    <x v="3"/>
    <x v="1"/>
    <x v="1"/>
    <x v="2"/>
    <x v="23"/>
    <x v="229"/>
    <x v="78"/>
    <x v="89"/>
    <x v="5"/>
  </r>
  <r>
    <x v="1356"/>
    <x v="636"/>
    <x v="316"/>
    <x v="3"/>
    <x v="1"/>
    <x v="1"/>
    <x v="2"/>
    <x v="23"/>
    <x v="229"/>
    <x v="78"/>
    <x v="89"/>
    <x v="5"/>
  </r>
  <r>
    <x v="1357"/>
    <x v="637"/>
    <x v="316"/>
    <x v="3"/>
    <x v="1"/>
    <x v="1"/>
    <x v="2"/>
    <x v="23"/>
    <x v="229"/>
    <x v="78"/>
    <x v="89"/>
    <x v="5"/>
  </r>
  <r>
    <x v="1359"/>
    <x v="638"/>
    <x v="316"/>
    <x v="1"/>
    <x v="0"/>
    <x v="0"/>
    <x v="2"/>
    <x v="23"/>
    <x v="229"/>
    <x v="78"/>
    <x v="89"/>
    <x v="5"/>
  </r>
  <r>
    <x v="1360"/>
    <x v="173"/>
    <x v="9"/>
    <x v="3"/>
    <x v="1"/>
    <x v="1"/>
    <x v="2"/>
    <x v="24"/>
    <x v="226"/>
    <x v="103"/>
    <x v="89"/>
    <x v="5"/>
  </r>
  <r>
    <x v="1361"/>
    <x v="174"/>
    <x v="9"/>
    <x v="3"/>
    <x v="1"/>
    <x v="1"/>
    <x v="2"/>
    <x v="24"/>
    <x v="226"/>
    <x v="103"/>
    <x v="89"/>
    <x v="5"/>
  </r>
  <r>
    <x v="1362"/>
    <x v="175"/>
    <x v="9"/>
    <x v="3"/>
    <x v="1"/>
    <x v="1"/>
    <x v="2"/>
    <x v="24"/>
    <x v="226"/>
    <x v="103"/>
    <x v="89"/>
    <x v="5"/>
  </r>
  <r>
    <x v="1363"/>
    <x v="176"/>
    <x v="9"/>
    <x v="3"/>
    <x v="1"/>
    <x v="1"/>
    <x v="2"/>
    <x v="24"/>
    <x v="226"/>
    <x v="103"/>
    <x v="89"/>
    <x v="5"/>
  </r>
  <r>
    <x v="1364"/>
    <x v="177"/>
    <x v="9"/>
    <x v="1"/>
    <x v="0"/>
    <x v="0"/>
    <x v="2"/>
    <x v="24"/>
    <x v="226"/>
    <x v="103"/>
    <x v="89"/>
    <x v="5"/>
  </r>
  <r>
    <x v="1365"/>
    <x v="182"/>
    <x v="224"/>
    <x v="3"/>
    <x v="1"/>
    <x v="1"/>
    <x v="2"/>
    <x v="24"/>
    <x v="262"/>
    <x v="70"/>
    <x v="89"/>
    <x v="5"/>
  </r>
  <r>
    <x v="1366"/>
    <x v="183"/>
    <x v="224"/>
    <x v="3"/>
    <x v="1"/>
    <x v="1"/>
    <x v="2"/>
    <x v="24"/>
    <x v="262"/>
    <x v="70"/>
    <x v="89"/>
    <x v="5"/>
  </r>
  <r>
    <x v="1367"/>
    <x v="184"/>
    <x v="224"/>
    <x v="3"/>
    <x v="1"/>
    <x v="1"/>
    <x v="2"/>
    <x v="24"/>
    <x v="262"/>
    <x v="70"/>
    <x v="89"/>
    <x v="5"/>
  </r>
  <r>
    <x v="1368"/>
    <x v="185"/>
    <x v="224"/>
    <x v="1"/>
    <x v="0"/>
    <x v="0"/>
    <x v="2"/>
    <x v="24"/>
    <x v="262"/>
    <x v="70"/>
    <x v="89"/>
    <x v="5"/>
  </r>
  <r>
    <x v="1370"/>
    <x v="1647"/>
    <x v="224"/>
    <x v="4"/>
    <x v="2"/>
    <x v="2"/>
    <x v="2"/>
    <x v="24"/>
    <x v="262"/>
    <x v="70"/>
    <x v="89"/>
    <x v="5"/>
  </r>
  <r>
    <x v="1371"/>
    <x v="213"/>
    <x v="244"/>
    <x v="3"/>
    <x v="1"/>
    <x v="1"/>
    <x v="2"/>
    <x v="25"/>
    <x v="252"/>
    <x v="35"/>
    <x v="83"/>
    <x v="5"/>
  </r>
  <r>
    <x v="1372"/>
    <x v="214"/>
    <x v="244"/>
    <x v="3"/>
    <x v="1"/>
    <x v="1"/>
    <x v="2"/>
    <x v="25"/>
    <x v="252"/>
    <x v="35"/>
    <x v="83"/>
    <x v="5"/>
  </r>
  <r>
    <x v="1373"/>
    <x v="215"/>
    <x v="244"/>
    <x v="3"/>
    <x v="1"/>
    <x v="1"/>
    <x v="2"/>
    <x v="25"/>
    <x v="252"/>
    <x v="35"/>
    <x v="83"/>
    <x v="5"/>
  </r>
  <r>
    <x v="1374"/>
    <x v="216"/>
    <x v="244"/>
    <x v="1"/>
    <x v="0"/>
    <x v="0"/>
    <x v="2"/>
    <x v="25"/>
    <x v="252"/>
    <x v="35"/>
    <x v="83"/>
    <x v="5"/>
  </r>
  <r>
    <x v="1375"/>
    <x v="217"/>
    <x v="244"/>
    <x v="3"/>
    <x v="1"/>
    <x v="1"/>
    <x v="2"/>
    <x v="25"/>
    <x v="252"/>
    <x v="35"/>
    <x v="83"/>
    <x v="5"/>
  </r>
  <r>
    <x v="1376"/>
    <x v="218"/>
    <x v="291"/>
    <x v="3"/>
    <x v="1"/>
    <x v="1"/>
    <x v="2"/>
    <x v="24"/>
    <x v="261"/>
    <x v="69"/>
    <x v="79"/>
    <x v="5"/>
  </r>
  <r>
    <x v="1377"/>
    <x v="219"/>
    <x v="291"/>
    <x v="1"/>
    <x v="0"/>
    <x v="0"/>
    <x v="2"/>
    <x v="24"/>
    <x v="261"/>
    <x v="69"/>
    <x v="79"/>
    <x v="5"/>
  </r>
  <r>
    <x v="1378"/>
    <x v="220"/>
    <x v="291"/>
    <x v="3"/>
    <x v="1"/>
    <x v="1"/>
    <x v="2"/>
    <x v="24"/>
    <x v="261"/>
    <x v="69"/>
    <x v="79"/>
    <x v="5"/>
  </r>
  <r>
    <x v="1379"/>
    <x v="221"/>
    <x v="291"/>
    <x v="3"/>
    <x v="1"/>
    <x v="1"/>
    <x v="2"/>
    <x v="24"/>
    <x v="261"/>
    <x v="69"/>
    <x v="79"/>
    <x v="5"/>
  </r>
  <r>
    <x v="1381"/>
    <x v="608"/>
    <x v="387"/>
    <x v="3"/>
    <x v="1"/>
    <x v="1"/>
    <x v="2"/>
    <x v="24"/>
    <x v="272"/>
    <x v="7"/>
    <x v="84"/>
    <x v="5"/>
  </r>
  <r>
    <x v="1382"/>
    <x v="609"/>
    <x v="387"/>
    <x v="3"/>
    <x v="1"/>
    <x v="1"/>
    <x v="2"/>
    <x v="24"/>
    <x v="272"/>
    <x v="7"/>
    <x v="84"/>
    <x v="5"/>
  </r>
  <r>
    <x v="1383"/>
    <x v="610"/>
    <x v="387"/>
    <x v="3"/>
    <x v="1"/>
    <x v="1"/>
    <x v="2"/>
    <x v="24"/>
    <x v="272"/>
    <x v="7"/>
    <x v="84"/>
    <x v="5"/>
  </r>
  <r>
    <x v="1384"/>
    <x v="611"/>
    <x v="387"/>
    <x v="3"/>
    <x v="1"/>
    <x v="1"/>
    <x v="2"/>
    <x v="24"/>
    <x v="272"/>
    <x v="7"/>
    <x v="84"/>
    <x v="5"/>
  </r>
  <r>
    <x v="1385"/>
    <x v="612"/>
    <x v="387"/>
    <x v="4"/>
    <x v="2"/>
    <x v="2"/>
    <x v="2"/>
    <x v="24"/>
    <x v="272"/>
    <x v="7"/>
    <x v="84"/>
    <x v="5"/>
  </r>
  <r>
    <x v="1386"/>
    <x v="613"/>
    <x v="387"/>
    <x v="1"/>
    <x v="0"/>
    <x v="0"/>
    <x v="2"/>
    <x v="24"/>
    <x v="272"/>
    <x v="7"/>
    <x v="84"/>
    <x v="5"/>
  </r>
  <r>
    <x v="1387"/>
    <x v="669"/>
    <x v="216"/>
    <x v="3"/>
    <x v="1"/>
    <x v="1"/>
    <x v="2"/>
    <x v="25"/>
    <x v="241"/>
    <x v="76"/>
    <x v="61"/>
    <x v="5"/>
  </r>
  <r>
    <x v="1388"/>
    <x v="670"/>
    <x v="216"/>
    <x v="3"/>
    <x v="1"/>
    <x v="1"/>
    <x v="2"/>
    <x v="25"/>
    <x v="241"/>
    <x v="76"/>
    <x v="61"/>
    <x v="5"/>
  </r>
  <r>
    <x v="1389"/>
    <x v="671"/>
    <x v="216"/>
    <x v="3"/>
    <x v="1"/>
    <x v="1"/>
    <x v="2"/>
    <x v="25"/>
    <x v="241"/>
    <x v="76"/>
    <x v="61"/>
    <x v="5"/>
  </r>
  <r>
    <x v="1390"/>
    <x v="672"/>
    <x v="216"/>
    <x v="3"/>
    <x v="1"/>
    <x v="1"/>
    <x v="2"/>
    <x v="25"/>
    <x v="241"/>
    <x v="76"/>
    <x v="61"/>
    <x v="5"/>
  </r>
  <r>
    <x v="1392"/>
    <x v="673"/>
    <x v="216"/>
    <x v="3"/>
    <x v="1"/>
    <x v="1"/>
    <x v="2"/>
    <x v="25"/>
    <x v="241"/>
    <x v="76"/>
    <x v="61"/>
    <x v="5"/>
  </r>
  <r>
    <x v="1393"/>
    <x v="674"/>
    <x v="216"/>
    <x v="3"/>
    <x v="1"/>
    <x v="1"/>
    <x v="2"/>
    <x v="25"/>
    <x v="241"/>
    <x v="76"/>
    <x v="61"/>
    <x v="5"/>
  </r>
  <r>
    <x v="1394"/>
    <x v="675"/>
    <x v="216"/>
    <x v="3"/>
    <x v="1"/>
    <x v="1"/>
    <x v="2"/>
    <x v="25"/>
    <x v="241"/>
    <x v="76"/>
    <x v="61"/>
    <x v="5"/>
  </r>
  <r>
    <x v="1395"/>
    <x v="676"/>
    <x v="216"/>
    <x v="3"/>
    <x v="1"/>
    <x v="1"/>
    <x v="2"/>
    <x v="25"/>
    <x v="241"/>
    <x v="76"/>
    <x v="61"/>
    <x v="5"/>
  </r>
  <r>
    <x v="1396"/>
    <x v="677"/>
    <x v="216"/>
    <x v="3"/>
    <x v="1"/>
    <x v="1"/>
    <x v="2"/>
    <x v="25"/>
    <x v="241"/>
    <x v="76"/>
    <x v="61"/>
    <x v="5"/>
  </r>
  <r>
    <x v="1397"/>
    <x v="678"/>
    <x v="216"/>
    <x v="3"/>
    <x v="1"/>
    <x v="1"/>
    <x v="2"/>
    <x v="25"/>
    <x v="241"/>
    <x v="76"/>
    <x v="61"/>
    <x v="5"/>
  </r>
  <r>
    <x v="1398"/>
    <x v="679"/>
    <x v="216"/>
    <x v="3"/>
    <x v="1"/>
    <x v="1"/>
    <x v="2"/>
    <x v="25"/>
    <x v="241"/>
    <x v="76"/>
    <x v="61"/>
    <x v="5"/>
  </r>
  <r>
    <x v="1399"/>
    <x v="680"/>
    <x v="216"/>
    <x v="3"/>
    <x v="1"/>
    <x v="1"/>
    <x v="2"/>
    <x v="25"/>
    <x v="241"/>
    <x v="76"/>
    <x v="61"/>
    <x v="5"/>
  </r>
  <r>
    <x v="1400"/>
    <x v="681"/>
    <x v="216"/>
    <x v="3"/>
    <x v="1"/>
    <x v="1"/>
    <x v="2"/>
    <x v="25"/>
    <x v="241"/>
    <x v="76"/>
    <x v="61"/>
    <x v="5"/>
  </r>
  <r>
    <x v="1401"/>
    <x v="682"/>
    <x v="216"/>
    <x v="4"/>
    <x v="2"/>
    <x v="2"/>
    <x v="2"/>
    <x v="25"/>
    <x v="241"/>
    <x v="76"/>
    <x v="61"/>
    <x v="5"/>
  </r>
  <r>
    <x v="1403"/>
    <x v="683"/>
    <x v="216"/>
    <x v="1"/>
    <x v="0"/>
    <x v="0"/>
    <x v="2"/>
    <x v="25"/>
    <x v="241"/>
    <x v="76"/>
    <x v="61"/>
    <x v="5"/>
  </r>
  <r>
    <x v="1404"/>
    <x v="574"/>
    <x v="217"/>
    <x v="3"/>
    <x v="1"/>
    <x v="1"/>
    <x v="2"/>
    <x v="25"/>
    <x v="240"/>
    <x v="6"/>
    <x v="84"/>
    <x v="5"/>
  </r>
  <r>
    <x v="1405"/>
    <x v="575"/>
    <x v="217"/>
    <x v="3"/>
    <x v="1"/>
    <x v="1"/>
    <x v="2"/>
    <x v="25"/>
    <x v="240"/>
    <x v="6"/>
    <x v="84"/>
    <x v="5"/>
  </r>
  <r>
    <x v="1406"/>
    <x v="576"/>
    <x v="217"/>
    <x v="3"/>
    <x v="1"/>
    <x v="1"/>
    <x v="2"/>
    <x v="25"/>
    <x v="240"/>
    <x v="6"/>
    <x v="84"/>
    <x v="5"/>
  </r>
  <r>
    <x v="1407"/>
    <x v="244"/>
    <x v="217"/>
    <x v="1"/>
    <x v="0"/>
    <x v="0"/>
    <x v="2"/>
    <x v="25"/>
    <x v="240"/>
    <x v="6"/>
    <x v="84"/>
    <x v="5"/>
  </r>
  <r>
    <x v="1408"/>
    <x v="577"/>
    <x v="219"/>
    <x v="3"/>
    <x v="1"/>
    <x v="1"/>
    <x v="2"/>
    <x v="25"/>
    <x v="244"/>
    <x v="77"/>
    <x v="84"/>
    <x v="5"/>
  </r>
  <r>
    <x v="1409"/>
    <x v="578"/>
    <x v="219"/>
    <x v="3"/>
    <x v="1"/>
    <x v="1"/>
    <x v="2"/>
    <x v="25"/>
    <x v="244"/>
    <x v="77"/>
    <x v="84"/>
    <x v="5"/>
  </r>
  <r>
    <x v="1410"/>
    <x v="579"/>
    <x v="219"/>
    <x v="3"/>
    <x v="1"/>
    <x v="1"/>
    <x v="2"/>
    <x v="25"/>
    <x v="244"/>
    <x v="77"/>
    <x v="84"/>
    <x v="5"/>
  </r>
  <r>
    <x v="1411"/>
    <x v="580"/>
    <x v="219"/>
    <x v="1"/>
    <x v="0"/>
    <x v="0"/>
    <x v="2"/>
    <x v="25"/>
    <x v="244"/>
    <x v="77"/>
    <x v="84"/>
    <x v="5"/>
  </r>
  <r>
    <x v="1412"/>
    <x v="646"/>
    <x v="218"/>
    <x v="4"/>
    <x v="2"/>
    <x v="2"/>
    <x v="2"/>
    <x v="25"/>
    <x v="243"/>
    <x v="5"/>
    <x v="89"/>
    <x v="5"/>
  </r>
  <r>
    <x v="1415"/>
    <x v="647"/>
    <x v="218"/>
    <x v="1"/>
    <x v="0"/>
    <x v="0"/>
    <x v="2"/>
    <x v="25"/>
    <x v="243"/>
    <x v="5"/>
    <x v="89"/>
    <x v="5"/>
  </r>
  <r>
    <x v="1416"/>
    <x v="648"/>
    <x v="218"/>
    <x v="3"/>
    <x v="1"/>
    <x v="1"/>
    <x v="2"/>
    <x v="25"/>
    <x v="243"/>
    <x v="5"/>
    <x v="89"/>
    <x v="5"/>
  </r>
  <r>
    <x v="1417"/>
    <x v="649"/>
    <x v="218"/>
    <x v="3"/>
    <x v="1"/>
    <x v="1"/>
    <x v="2"/>
    <x v="25"/>
    <x v="243"/>
    <x v="5"/>
    <x v="89"/>
    <x v="5"/>
  </r>
  <r>
    <x v="1418"/>
    <x v="650"/>
    <x v="218"/>
    <x v="3"/>
    <x v="1"/>
    <x v="1"/>
    <x v="2"/>
    <x v="25"/>
    <x v="243"/>
    <x v="5"/>
    <x v="89"/>
    <x v="5"/>
  </r>
  <r>
    <x v="1419"/>
    <x v="201"/>
    <x v="359"/>
    <x v="3"/>
    <x v="1"/>
    <x v="1"/>
    <x v="2"/>
    <x v="24"/>
    <x v="271"/>
    <x v="8"/>
    <x v="84"/>
    <x v="5"/>
  </r>
  <r>
    <x v="1420"/>
    <x v="202"/>
    <x v="359"/>
    <x v="3"/>
    <x v="1"/>
    <x v="1"/>
    <x v="2"/>
    <x v="24"/>
    <x v="271"/>
    <x v="8"/>
    <x v="84"/>
    <x v="5"/>
  </r>
  <r>
    <x v="1421"/>
    <x v="203"/>
    <x v="359"/>
    <x v="3"/>
    <x v="1"/>
    <x v="1"/>
    <x v="2"/>
    <x v="24"/>
    <x v="271"/>
    <x v="8"/>
    <x v="84"/>
    <x v="5"/>
  </r>
  <r>
    <x v="1422"/>
    <x v="1223"/>
    <x v="359"/>
    <x v="1"/>
    <x v="0"/>
    <x v="0"/>
    <x v="2"/>
    <x v="24"/>
    <x v="271"/>
    <x v="8"/>
    <x v="84"/>
    <x v="5"/>
  </r>
  <r>
    <x v="1423"/>
    <x v="614"/>
    <x v="257"/>
    <x v="3"/>
    <x v="1"/>
    <x v="1"/>
    <x v="1"/>
    <x v="27"/>
    <x v="305"/>
    <x v="111"/>
    <x v="84"/>
    <x v="5"/>
  </r>
  <r>
    <x v="1424"/>
    <x v="615"/>
    <x v="257"/>
    <x v="3"/>
    <x v="1"/>
    <x v="1"/>
    <x v="1"/>
    <x v="27"/>
    <x v="305"/>
    <x v="111"/>
    <x v="84"/>
    <x v="5"/>
  </r>
  <r>
    <x v="1426"/>
    <x v="616"/>
    <x v="257"/>
    <x v="3"/>
    <x v="1"/>
    <x v="1"/>
    <x v="1"/>
    <x v="27"/>
    <x v="305"/>
    <x v="111"/>
    <x v="84"/>
    <x v="5"/>
  </r>
  <r>
    <x v="1427"/>
    <x v="617"/>
    <x v="257"/>
    <x v="4"/>
    <x v="2"/>
    <x v="2"/>
    <x v="1"/>
    <x v="27"/>
    <x v="305"/>
    <x v="111"/>
    <x v="84"/>
    <x v="5"/>
  </r>
  <r>
    <x v="1428"/>
    <x v="618"/>
    <x v="257"/>
    <x v="1"/>
    <x v="0"/>
    <x v="0"/>
    <x v="1"/>
    <x v="27"/>
    <x v="305"/>
    <x v="111"/>
    <x v="84"/>
    <x v="5"/>
  </r>
  <r>
    <x v="1429"/>
    <x v="639"/>
    <x v="141"/>
    <x v="4"/>
    <x v="2"/>
    <x v="2"/>
    <x v="1"/>
    <x v="27"/>
    <x v="307"/>
    <x v="113"/>
    <x v="84"/>
    <x v="5"/>
  </r>
  <r>
    <x v="1430"/>
    <x v="640"/>
    <x v="141"/>
    <x v="3"/>
    <x v="1"/>
    <x v="1"/>
    <x v="1"/>
    <x v="27"/>
    <x v="307"/>
    <x v="113"/>
    <x v="84"/>
    <x v="5"/>
  </r>
  <r>
    <x v="1431"/>
    <x v="641"/>
    <x v="141"/>
    <x v="3"/>
    <x v="1"/>
    <x v="1"/>
    <x v="1"/>
    <x v="27"/>
    <x v="307"/>
    <x v="113"/>
    <x v="84"/>
    <x v="5"/>
  </r>
  <r>
    <x v="1432"/>
    <x v="642"/>
    <x v="141"/>
    <x v="3"/>
    <x v="1"/>
    <x v="1"/>
    <x v="1"/>
    <x v="27"/>
    <x v="307"/>
    <x v="113"/>
    <x v="84"/>
    <x v="5"/>
  </r>
  <r>
    <x v="1433"/>
    <x v="643"/>
    <x v="141"/>
    <x v="3"/>
    <x v="1"/>
    <x v="1"/>
    <x v="1"/>
    <x v="27"/>
    <x v="307"/>
    <x v="113"/>
    <x v="84"/>
    <x v="5"/>
  </r>
  <r>
    <x v="1434"/>
    <x v="644"/>
    <x v="141"/>
    <x v="1"/>
    <x v="0"/>
    <x v="0"/>
    <x v="1"/>
    <x v="27"/>
    <x v="307"/>
    <x v="113"/>
    <x v="84"/>
    <x v="5"/>
  </r>
  <r>
    <x v="1435"/>
    <x v="226"/>
    <x v="264"/>
    <x v="3"/>
    <x v="1"/>
    <x v="1"/>
    <x v="1"/>
    <x v="29"/>
    <x v="312"/>
    <x v="131"/>
    <x v="40"/>
    <x v="5"/>
  </r>
  <r>
    <x v="1437"/>
    <x v="227"/>
    <x v="264"/>
    <x v="3"/>
    <x v="1"/>
    <x v="1"/>
    <x v="1"/>
    <x v="29"/>
    <x v="312"/>
    <x v="131"/>
    <x v="40"/>
    <x v="5"/>
  </r>
  <r>
    <x v="1438"/>
    <x v="228"/>
    <x v="264"/>
    <x v="3"/>
    <x v="1"/>
    <x v="1"/>
    <x v="1"/>
    <x v="29"/>
    <x v="312"/>
    <x v="131"/>
    <x v="40"/>
    <x v="5"/>
  </r>
  <r>
    <x v="1439"/>
    <x v="229"/>
    <x v="264"/>
    <x v="3"/>
    <x v="1"/>
    <x v="1"/>
    <x v="1"/>
    <x v="29"/>
    <x v="312"/>
    <x v="131"/>
    <x v="40"/>
    <x v="5"/>
  </r>
  <r>
    <x v="1440"/>
    <x v="230"/>
    <x v="264"/>
    <x v="3"/>
    <x v="1"/>
    <x v="1"/>
    <x v="1"/>
    <x v="29"/>
    <x v="312"/>
    <x v="131"/>
    <x v="40"/>
    <x v="5"/>
  </r>
  <r>
    <x v="1441"/>
    <x v="231"/>
    <x v="264"/>
    <x v="3"/>
    <x v="1"/>
    <x v="1"/>
    <x v="1"/>
    <x v="29"/>
    <x v="312"/>
    <x v="131"/>
    <x v="40"/>
    <x v="5"/>
  </r>
  <r>
    <x v="1442"/>
    <x v="232"/>
    <x v="264"/>
    <x v="3"/>
    <x v="1"/>
    <x v="1"/>
    <x v="1"/>
    <x v="29"/>
    <x v="312"/>
    <x v="131"/>
    <x v="40"/>
    <x v="5"/>
  </r>
  <r>
    <x v="1443"/>
    <x v="233"/>
    <x v="264"/>
    <x v="3"/>
    <x v="1"/>
    <x v="1"/>
    <x v="1"/>
    <x v="29"/>
    <x v="312"/>
    <x v="131"/>
    <x v="40"/>
    <x v="5"/>
  </r>
  <r>
    <x v="1444"/>
    <x v="234"/>
    <x v="264"/>
    <x v="1"/>
    <x v="0"/>
    <x v="0"/>
    <x v="1"/>
    <x v="29"/>
    <x v="312"/>
    <x v="131"/>
    <x v="40"/>
    <x v="5"/>
  </r>
  <r>
    <x v="1445"/>
    <x v="656"/>
    <x v="422"/>
    <x v="4"/>
    <x v="2"/>
    <x v="2"/>
    <x v="1"/>
    <x v="27"/>
    <x v="319"/>
    <x v="110"/>
    <x v="84"/>
    <x v="5"/>
  </r>
  <r>
    <x v="1446"/>
    <x v="657"/>
    <x v="422"/>
    <x v="3"/>
    <x v="1"/>
    <x v="1"/>
    <x v="1"/>
    <x v="27"/>
    <x v="319"/>
    <x v="110"/>
    <x v="84"/>
    <x v="5"/>
  </r>
  <r>
    <x v="1448"/>
    <x v="658"/>
    <x v="422"/>
    <x v="3"/>
    <x v="1"/>
    <x v="1"/>
    <x v="1"/>
    <x v="27"/>
    <x v="319"/>
    <x v="110"/>
    <x v="84"/>
    <x v="5"/>
  </r>
  <r>
    <x v="1449"/>
    <x v="659"/>
    <x v="422"/>
    <x v="3"/>
    <x v="1"/>
    <x v="1"/>
    <x v="1"/>
    <x v="27"/>
    <x v="319"/>
    <x v="110"/>
    <x v="84"/>
    <x v="5"/>
  </r>
  <r>
    <x v="1450"/>
    <x v="660"/>
    <x v="422"/>
    <x v="1"/>
    <x v="0"/>
    <x v="0"/>
    <x v="1"/>
    <x v="27"/>
    <x v="319"/>
    <x v="110"/>
    <x v="84"/>
    <x v="5"/>
  </r>
  <r>
    <x v="1451"/>
    <x v="665"/>
    <x v="418"/>
    <x v="4"/>
    <x v="2"/>
    <x v="2"/>
    <x v="1"/>
    <x v="27"/>
    <x v="311"/>
    <x v="114"/>
    <x v="89"/>
    <x v="5"/>
  </r>
  <r>
    <x v="1452"/>
    <x v="666"/>
    <x v="418"/>
    <x v="3"/>
    <x v="1"/>
    <x v="1"/>
    <x v="1"/>
    <x v="27"/>
    <x v="311"/>
    <x v="114"/>
    <x v="89"/>
    <x v="5"/>
  </r>
  <r>
    <x v="1453"/>
    <x v="667"/>
    <x v="418"/>
    <x v="3"/>
    <x v="1"/>
    <x v="1"/>
    <x v="1"/>
    <x v="27"/>
    <x v="311"/>
    <x v="114"/>
    <x v="89"/>
    <x v="5"/>
  </r>
  <r>
    <x v="1454"/>
    <x v="668"/>
    <x v="418"/>
    <x v="1"/>
    <x v="0"/>
    <x v="0"/>
    <x v="1"/>
    <x v="27"/>
    <x v="311"/>
    <x v="114"/>
    <x v="89"/>
    <x v="5"/>
  </r>
  <r>
    <x v="1455"/>
    <x v="178"/>
    <x v="423"/>
    <x v="1"/>
    <x v="0"/>
    <x v="0"/>
    <x v="1"/>
    <x v="27"/>
    <x v="320"/>
    <x v="122"/>
    <x v="65"/>
    <x v="5"/>
  </r>
  <r>
    <x v="1456"/>
    <x v="179"/>
    <x v="423"/>
    <x v="3"/>
    <x v="1"/>
    <x v="1"/>
    <x v="1"/>
    <x v="27"/>
    <x v="320"/>
    <x v="122"/>
    <x v="65"/>
    <x v="5"/>
  </r>
  <r>
    <x v="1457"/>
    <x v="180"/>
    <x v="423"/>
    <x v="3"/>
    <x v="1"/>
    <x v="1"/>
    <x v="1"/>
    <x v="27"/>
    <x v="320"/>
    <x v="122"/>
    <x v="65"/>
    <x v="5"/>
  </r>
  <r>
    <x v="1459"/>
    <x v="181"/>
    <x v="423"/>
    <x v="3"/>
    <x v="1"/>
    <x v="1"/>
    <x v="1"/>
    <x v="27"/>
    <x v="320"/>
    <x v="122"/>
    <x v="65"/>
    <x v="5"/>
  </r>
  <r>
    <x v="1460"/>
    <x v="693"/>
    <x v="260"/>
    <x v="4"/>
    <x v="2"/>
    <x v="2"/>
    <x v="1"/>
    <x v="27"/>
    <x v="310"/>
    <x v="116"/>
    <x v="84"/>
    <x v="5"/>
  </r>
  <r>
    <x v="1461"/>
    <x v="694"/>
    <x v="260"/>
    <x v="3"/>
    <x v="1"/>
    <x v="1"/>
    <x v="1"/>
    <x v="27"/>
    <x v="310"/>
    <x v="116"/>
    <x v="84"/>
    <x v="5"/>
  </r>
  <r>
    <x v="1462"/>
    <x v="1623"/>
    <x v="260"/>
    <x v="3"/>
    <x v="1"/>
    <x v="1"/>
    <x v="1"/>
    <x v="27"/>
    <x v="310"/>
    <x v="116"/>
    <x v="84"/>
    <x v="5"/>
  </r>
  <r>
    <x v="1463"/>
    <x v="695"/>
    <x v="260"/>
    <x v="3"/>
    <x v="1"/>
    <x v="1"/>
    <x v="1"/>
    <x v="27"/>
    <x v="310"/>
    <x v="116"/>
    <x v="84"/>
    <x v="5"/>
  </r>
  <r>
    <x v="1464"/>
    <x v="696"/>
    <x v="260"/>
    <x v="1"/>
    <x v="0"/>
    <x v="0"/>
    <x v="1"/>
    <x v="27"/>
    <x v="310"/>
    <x v="116"/>
    <x v="84"/>
    <x v="5"/>
  </r>
  <r>
    <x v="1465"/>
    <x v="240"/>
    <x v="139"/>
    <x v="3"/>
    <x v="1"/>
    <x v="1"/>
    <x v="1"/>
    <x v="27"/>
    <x v="306"/>
    <x v="109"/>
    <x v="93"/>
    <x v="5"/>
  </r>
  <r>
    <x v="1466"/>
    <x v="241"/>
    <x v="139"/>
    <x v="3"/>
    <x v="1"/>
    <x v="1"/>
    <x v="1"/>
    <x v="27"/>
    <x v="306"/>
    <x v="109"/>
    <x v="93"/>
    <x v="5"/>
  </r>
  <r>
    <x v="1467"/>
    <x v="242"/>
    <x v="139"/>
    <x v="3"/>
    <x v="1"/>
    <x v="1"/>
    <x v="1"/>
    <x v="27"/>
    <x v="306"/>
    <x v="109"/>
    <x v="93"/>
    <x v="5"/>
  </r>
  <r>
    <x v="1468"/>
    <x v="243"/>
    <x v="139"/>
    <x v="1"/>
    <x v="0"/>
    <x v="0"/>
    <x v="1"/>
    <x v="27"/>
    <x v="306"/>
    <x v="109"/>
    <x v="93"/>
    <x v="5"/>
  </r>
  <r>
    <x v="1470"/>
    <x v="204"/>
    <x v="148"/>
    <x v="3"/>
    <x v="1"/>
    <x v="1"/>
    <x v="1"/>
    <x v="27"/>
    <x v="314"/>
    <x v="108"/>
    <x v="84"/>
    <x v="5"/>
  </r>
  <r>
    <x v="1471"/>
    <x v="205"/>
    <x v="148"/>
    <x v="3"/>
    <x v="1"/>
    <x v="1"/>
    <x v="1"/>
    <x v="27"/>
    <x v="314"/>
    <x v="108"/>
    <x v="84"/>
    <x v="5"/>
  </r>
  <r>
    <x v="1472"/>
    <x v="206"/>
    <x v="148"/>
    <x v="3"/>
    <x v="1"/>
    <x v="1"/>
    <x v="1"/>
    <x v="27"/>
    <x v="314"/>
    <x v="108"/>
    <x v="84"/>
    <x v="5"/>
  </r>
  <r>
    <x v="1473"/>
    <x v="207"/>
    <x v="148"/>
    <x v="1"/>
    <x v="0"/>
    <x v="0"/>
    <x v="1"/>
    <x v="27"/>
    <x v="314"/>
    <x v="108"/>
    <x v="84"/>
    <x v="5"/>
  </r>
  <r>
    <x v="1474"/>
    <x v="684"/>
    <x v="360"/>
    <x v="3"/>
    <x v="1"/>
    <x v="1"/>
    <x v="1"/>
    <x v="27"/>
    <x v="313"/>
    <x v="107"/>
    <x v="84"/>
    <x v="5"/>
  </r>
  <r>
    <x v="1475"/>
    <x v="685"/>
    <x v="360"/>
    <x v="3"/>
    <x v="1"/>
    <x v="1"/>
    <x v="1"/>
    <x v="27"/>
    <x v="313"/>
    <x v="107"/>
    <x v="84"/>
    <x v="5"/>
  </r>
  <r>
    <x v="1476"/>
    <x v="686"/>
    <x v="360"/>
    <x v="4"/>
    <x v="2"/>
    <x v="2"/>
    <x v="1"/>
    <x v="27"/>
    <x v="313"/>
    <x v="107"/>
    <x v="84"/>
    <x v="5"/>
  </r>
  <r>
    <x v="1477"/>
    <x v="687"/>
    <x v="360"/>
    <x v="1"/>
    <x v="0"/>
    <x v="0"/>
    <x v="1"/>
    <x v="27"/>
    <x v="313"/>
    <x v="107"/>
    <x v="84"/>
    <x v="5"/>
  </r>
  <r>
    <x v="1478"/>
    <x v="1770"/>
    <x v="360"/>
    <x v="3"/>
    <x v="1"/>
    <x v="1"/>
    <x v="1"/>
    <x v="27"/>
    <x v="313"/>
    <x v="107"/>
    <x v="84"/>
    <x v="5"/>
  </r>
  <r>
    <x v="1479"/>
    <x v="697"/>
    <x v="144"/>
    <x v="3"/>
    <x v="1"/>
    <x v="1"/>
    <x v="1"/>
    <x v="28"/>
    <x v="300"/>
    <x v="120"/>
    <x v="39"/>
    <x v="5"/>
  </r>
  <r>
    <x v="1481"/>
    <x v="698"/>
    <x v="144"/>
    <x v="3"/>
    <x v="1"/>
    <x v="1"/>
    <x v="1"/>
    <x v="28"/>
    <x v="300"/>
    <x v="120"/>
    <x v="39"/>
    <x v="5"/>
  </r>
  <r>
    <x v="1482"/>
    <x v="699"/>
    <x v="144"/>
    <x v="3"/>
    <x v="1"/>
    <x v="1"/>
    <x v="1"/>
    <x v="28"/>
    <x v="300"/>
    <x v="120"/>
    <x v="39"/>
    <x v="5"/>
  </r>
  <r>
    <x v="1483"/>
    <x v="700"/>
    <x v="144"/>
    <x v="3"/>
    <x v="1"/>
    <x v="1"/>
    <x v="1"/>
    <x v="28"/>
    <x v="300"/>
    <x v="120"/>
    <x v="39"/>
    <x v="5"/>
  </r>
  <r>
    <x v="1484"/>
    <x v="701"/>
    <x v="144"/>
    <x v="3"/>
    <x v="1"/>
    <x v="1"/>
    <x v="1"/>
    <x v="28"/>
    <x v="300"/>
    <x v="120"/>
    <x v="39"/>
    <x v="5"/>
  </r>
  <r>
    <x v="1485"/>
    <x v="702"/>
    <x v="144"/>
    <x v="1"/>
    <x v="0"/>
    <x v="0"/>
    <x v="1"/>
    <x v="28"/>
    <x v="300"/>
    <x v="120"/>
    <x v="39"/>
    <x v="5"/>
  </r>
  <r>
    <x v="1486"/>
    <x v="703"/>
    <x v="144"/>
    <x v="3"/>
    <x v="1"/>
    <x v="1"/>
    <x v="1"/>
    <x v="28"/>
    <x v="300"/>
    <x v="120"/>
    <x v="39"/>
    <x v="5"/>
  </r>
  <r>
    <x v="1487"/>
    <x v="704"/>
    <x v="144"/>
    <x v="3"/>
    <x v="1"/>
    <x v="1"/>
    <x v="1"/>
    <x v="28"/>
    <x v="300"/>
    <x v="120"/>
    <x v="39"/>
    <x v="5"/>
  </r>
  <r>
    <x v="1488"/>
    <x v="705"/>
    <x v="144"/>
    <x v="3"/>
    <x v="1"/>
    <x v="1"/>
    <x v="1"/>
    <x v="28"/>
    <x v="300"/>
    <x v="120"/>
    <x v="39"/>
    <x v="5"/>
  </r>
  <r>
    <x v="1489"/>
    <x v="706"/>
    <x v="144"/>
    <x v="4"/>
    <x v="2"/>
    <x v="2"/>
    <x v="1"/>
    <x v="28"/>
    <x v="300"/>
    <x v="120"/>
    <x v="39"/>
    <x v="5"/>
  </r>
  <r>
    <x v="1490"/>
    <x v="688"/>
    <x v="171"/>
    <x v="4"/>
    <x v="2"/>
    <x v="2"/>
    <x v="1"/>
    <x v="28"/>
    <x v="301"/>
    <x v="128"/>
    <x v="88"/>
    <x v="5"/>
  </r>
  <r>
    <x v="1492"/>
    <x v="689"/>
    <x v="171"/>
    <x v="1"/>
    <x v="0"/>
    <x v="0"/>
    <x v="1"/>
    <x v="28"/>
    <x v="301"/>
    <x v="128"/>
    <x v="88"/>
    <x v="5"/>
  </r>
  <r>
    <x v="1493"/>
    <x v="690"/>
    <x v="171"/>
    <x v="3"/>
    <x v="1"/>
    <x v="1"/>
    <x v="1"/>
    <x v="28"/>
    <x v="301"/>
    <x v="128"/>
    <x v="88"/>
    <x v="5"/>
  </r>
  <r>
    <x v="1494"/>
    <x v="691"/>
    <x v="171"/>
    <x v="3"/>
    <x v="1"/>
    <x v="1"/>
    <x v="1"/>
    <x v="28"/>
    <x v="301"/>
    <x v="128"/>
    <x v="88"/>
    <x v="5"/>
  </r>
  <r>
    <x v="1495"/>
    <x v="692"/>
    <x v="171"/>
    <x v="3"/>
    <x v="1"/>
    <x v="1"/>
    <x v="1"/>
    <x v="28"/>
    <x v="301"/>
    <x v="128"/>
    <x v="88"/>
    <x v="5"/>
  </r>
  <r>
    <x v="1496"/>
    <x v="598"/>
    <x v="180"/>
    <x v="3"/>
    <x v="1"/>
    <x v="1"/>
    <x v="1"/>
    <x v="28"/>
    <x v="302"/>
    <x v="127"/>
    <x v="35"/>
    <x v="5"/>
  </r>
  <r>
    <x v="1497"/>
    <x v="599"/>
    <x v="180"/>
    <x v="3"/>
    <x v="1"/>
    <x v="1"/>
    <x v="1"/>
    <x v="28"/>
    <x v="302"/>
    <x v="127"/>
    <x v="35"/>
    <x v="5"/>
  </r>
  <r>
    <x v="1498"/>
    <x v="600"/>
    <x v="180"/>
    <x v="4"/>
    <x v="2"/>
    <x v="2"/>
    <x v="1"/>
    <x v="28"/>
    <x v="302"/>
    <x v="127"/>
    <x v="35"/>
    <x v="5"/>
  </r>
  <r>
    <x v="1499"/>
    <x v="601"/>
    <x v="180"/>
    <x v="3"/>
    <x v="1"/>
    <x v="1"/>
    <x v="1"/>
    <x v="28"/>
    <x v="302"/>
    <x v="127"/>
    <x v="35"/>
    <x v="5"/>
  </r>
  <r>
    <x v="1500"/>
    <x v="602"/>
    <x v="180"/>
    <x v="3"/>
    <x v="1"/>
    <x v="1"/>
    <x v="1"/>
    <x v="28"/>
    <x v="302"/>
    <x v="127"/>
    <x v="35"/>
    <x v="5"/>
  </r>
  <r>
    <x v="1501"/>
    <x v="603"/>
    <x v="180"/>
    <x v="3"/>
    <x v="1"/>
    <x v="1"/>
    <x v="1"/>
    <x v="28"/>
    <x v="302"/>
    <x v="127"/>
    <x v="35"/>
    <x v="5"/>
  </r>
  <r>
    <x v="1503"/>
    <x v="604"/>
    <x v="180"/>
    <x v="3"/>
    <x v="1"/>
    <x v="1"/>
    <x v="1"/>
    <x v="28"/>
    <x v="302"/>
    <x v="127"/>
    <x v="35"/>
    <x v="5"/>
  </r>
  <r>
    <x v="1504"/>
    <x v="605"/>
    <x v="180"/>
    <x v="1"/>
    <x v="0"/>
    <x v="0"/>
    <x v="1"/>
    <x v="28"/>
    <x v="302"/>
    <x v="127"/>
    <x v="35"/>
    <x v="5"/>
  </r>
  <r>
    <x v="1505"/>
    <x v="606"/>
    <x v="180"/>
    <x v="3"/>
    <x v="1"/>
    <x v="1"/>
    <x v="1"/>
    <x v="28"/>
    <x v="302"/>
    <x v="127"/>
    <x v="35"/>
    <x v="5"/>
  </r>
  <r>
    <x v="1506"/>
    <x v="607"/>
    <x v="180"/>
    <x v="3"/>
    <x v="1"/>
    <x v="1"/>
    <x v="1"/>
    <x v="28"/>
    <x v="302"/>
    <x v="127"/>
    <x v="35"/>
    <x v="5"/>
  </r>
  <r>
    <x v="1507"/>
    <x v="191"/>
    <x v="11"/>
    <x v="3"/>
    <x v="1"/>
    <x v="1"/>
    <x v="1"/>
    <x v="29"/>
    <x v="293"/>
    <x v="125"/>
    <x v="89"/>
    <x v="5"/>
  </r>
  <r>
    <x v="1508"/>
    <x v="192"/>
    <x v="11"/>
    <x v="3"/>
    <x v="1"/>
    <x v="1"/>
    <x v="1"/>
    <x v="29"/>
    <x v="293"/>
    <x v="125"/>
    <x v="89"/>
    <x v="5"/>
  </r>
  <r>
    <x v="1509"/>
    <x v="193"/>
    <x v="11"/>
    <x v="1"/>
    <x v="0"/>
    <x v="0"/>
    <x v="1"/>
    <x v="29"/>
    <x v="293"/>
    <x v="125"/>
    <x v="89"/>
    <x v="5"/>
  </r>
  <r>
    <x v="1510"/>
    <x v="194"/>
    <x v="11"/>
    <x v="3"/>
    <x v="1"/>
    <x v="1"/>
    <x v="1"/>
    <x v="29"/>
    <x v="293"/>
    <x v="125"/>
    <x v="89"/>
    <x v="5"/>
  </r>
  <r>
    <x v="1511"/>
    <x v="627"/>
    <x v="419"/>
    <x v="1"/>
    <x v="0"/>
    <x v="0"/>
    <x v="1"/>
    <x v="29"/>
    <x v="295"/>
    <x v="126"/>
    <x v="84"/>
    <x v="5"/>
  </r>
  <r>
    <x v="1512"/>
    <x v="628"/>
    <x v="419"/>
    <x v="4"/>
    <x v="2"/>
    <x v="2"/>
    <x v="1"/>
    <x v="29"/>
    <x v="295"/>
    <x v="126"/>
    <x v="84"/>
    <x v="5"/>
  </r>
  <r>
    <x v="1514"/>
    <x v="629"/>
    <x v="419"/>
    <x v="3"/>
    <x v="1"/>
    <x v="1"/>
    <x v="1"/>
    <x v="29"/>
    <x v="295"/>
    <x v="126"/>
    <x v="84"/>
    <x v="5"/>
  </r>
  <r>
    <x v="1515"/>
    <x v="630"/>
    <x v="419"/>
    <x v="3"/>
    <x v="1"/>
    <x v="1"/>
    <x v="1"/>
    <x v="29"/>
    <x v="295"/>
    <x v="126"/>
    <x v="84"/>
    <x v="5"/>
  </r>
  <r>
    <x v="1516"/>
    <x v="631"/>
    <x v="419"/>
    <x v="3"/>
    <x v="1"/>
    <x v="1"/>
    <x v="1"/>
    <x v="29"/>
    <x v="295"/>
    <x v="126"/>
    <x v="84"/>
    <x v="5"/>
  </r>
  <r>
    <x v="1517"/>
    <x v="651"/>
    <x v="36"/>
    <x v="1"/>
    <x v="0"/>
    <x v="0"/>
    <x v="1"/>
    <x v="29"/>
    <x v="292"/>
    <x v="124"/>
    <x v="84"/>
    <x v="5"/>
  </r>
  <r>
    <x v="1518"/>
    <x v="652"/>
    <x v="36"/>
    <x v="3"/>
    <x v="1"/>
    <x v="1"/>
    <x v="1"/>
    <x v="29"/>
    <x v="292"/>
    <x v="124"/>
    <x v="84"/>
    <x v="5"/>
  </r>
  <r>
    <x v="1519"/>
    <x v="653"/>
    <x v="36"/>
    <x v="3"/>
    <x v="1"/>
    <x v="1"/>
    <x v="1"/>
    <x v="29"/>
    <x v="292"/>
    <x v="124"/>
    <x v="84"/>
    <x v="5"/>
  </r>
  <r>
    <x v="1520"/>
    <x v="654"/>
    <x v="36"/>
    <x v="3"/>
    <x v="1"/>
    <x v="1"/>
    <x v="1"/>
    <x v="29"/>
    <x v="292"/>
    <x v="124"/>
    <x v="84"/>
    <x v="5"/>
  </r>
  <r>
    <x v="1521"/>
    <x v="655"/>
    <x v="36"/>
    <x v="4"/>
    <x v="2"/>
    <x v="2"/>
    <x v="1"/>
    <x v="29"/>
    <x v="292"/>
    <x v="124"/>
    <x v="84"/>
    <x v="5"/>
  </r>
  <r>
    <x v="1522"/>
    <x v="161"/>
    <x v="421"/>
    <x v="3"/>
    <x v="1"/>
    <x v="1"/>
    <x v="1"/>
    <x v="28"/>
    <x v="318"/>
    <x v="133"/>
    <x v="83"/>
    <x v="5"/>
  </r>
  <r>
    <x v="1523"/>
    <x v="162"/>
    <x v="421"/>
    <x v="3"/>
    <x v="1"/>
    <x v="1"/>
    <x v="1"/>
    <x v="28"/>
    <x v="318"/>
    <x v="133"/>
    <x v="83"/>
    <x v="5"/>
  </r>
  <r>
    <x v="1526"/>
    <x v="163"/>
    <x v="421"/>
    <x v="3"/>
    <x v="1"/>
    <x v="1"/>
    <x v="1"/>
    <x v="28"/>
    <x v="318"/>
    <x v="133"/>
    <x v="83"/>
    <x v="5"/>
  </r>
  <r>
    <x v="1527"/>
    <x v="164"/>
    <x v="421"/>
    <x v="1"/>
    <x v="0"/>
    <x v="0"/>
    <x v="1"/>
    <x v="28"/>
    <x v="318"/>
    <x v="133"/>
    <x v="83"/>
    <x v="5"/>
  </r>
  <r>
    <x v="1528"/>
    <x v="713"/>
    <x v="40"/>
    <x v="1"/>
    <x v="0"/>
    <x v="0"/>
    <x v="1"/>
    <x v="28"/>
    <x v="297"/>
    <x v="117"/>
    <x v="84"/>
    <x v="5"/>
  </r>
  <r>
    <x v="1529"/>
    <x v="714"/>
    <x v="40"/>
    <x v="4"/>
    <x v="2"/>
    <x v="2"/>
    <x v="1"/>
    <x v="28"/>
    <x v="297"/>
    <x v="117"/>
    <x v="84"/>
    <x v="5"/>
  </r>
  <r>
    <x v="1530"/>
    <x v="715"/>
    <x v="40"/>
    <x v="3"/>
    <x v="1"/>
    <x v="1"/>
    <x v="1"/>
    <x v="28"/>
    <x v="297"/>
    <x v="117"/>
    <x v="84"/>
    <x v="5"/>
  </r>
  <r>
    <x v="1531"/>
    <x v="716"/>
    <x v="40"/>
    <x v="3"/>
    <x v="1"/>
    <x v="1"/>
    <x v="1"/>
    <x v="28"/>
    <x v="297"/>
    <x v="117"/>
    <x v="84"/>
    <x v="5"/>
  </r>
  <r>
    <x v="1532"/>
    <x v="717"/>
    <x v="40"/>
    <x v="3"/>
    <x v="1"/>
    <x v="1"/>
    <x v="1"/>
    <x v="28"/>
    <x v="297"/>
    <x v="117"/>
    <x v="84"/>
    <x v="5"/>
  </r>
  <r>
    <x v="1533"/>
    <x v="58"/>
    <x v="420"/>
    <x v="3"/>
    <x v="1"/>
    <x v="1"/>
    <x v="1"/>
    <x v="28"/>
    <x v="317"/>
    <x v="132"/>
    <x v="36"/>
    <x v="5"/>
  </r>
  <r>
    <x v="1534"/>
    <x v="59"/>
    <x v="420"/>
    <x v="3"/>
    <x v="1"/>
    <x v="1"/>
    <x v="1"/>
    <x v="28"/>
    <x v="317"/>
    <x v="132"/>
    <x v="36"/>
    <x v="5"/>
  </r>
  <r>
    <x v="1535"/>
    <x v="60"/>
    <x v="420"/>
    <x v="3"/>
    <x v="1"/>
    <x v="1"/>
    <x v="1"/>
    <x v="28"/>
    <x v="317"/>
    <x v="132"/>
    <x v="36"/>
    <x v="5"/>
  </r>
  <r>
    <x v="1537"/>
    <x v="61"/>
    <x v="420"/>
    <x v="3"/>
    <x v="1"/>
    <x v="1"/>
    <x v="1"/>
    <x v="28"/>
    <x v="317"/>
    <x v="132"/>
    <x v="36"/>
    <x v="5"/>
  </r>
  <r>
    <x v="1538"/>
    <x v="1620"/>
    <x v="420"/>
    <x v="3"/>
    <x v="1"/>
    <x v="1"/>
    <x v="1"/>
    <x v="28"/>
    <x v="317"/>
    <x v="132"/>
    <x v="36"/>
    <x v="5"/>
  </r>
  <r>
    <x v="1539"/>
    <x v="62"/>
    <x v="420"/>
    <x v="3"/>
    <x v="1"/>
    <x v="1"/>
    <x v="1"/>
    <x v="28"/>
    <x v="317"/>
    <x v="132"/>
    <x v="36"/>
    <x v="5"/>
  </r>
  <r>
    <x v="1540"/>
    <x v="63"/>
    <x v="420"/>
    <x v="3"/>
    <x v="1"/>
    <x v="1"/>
    <x v="1"/>
    <x v="28"/>
    <x v="317"/>
    <x v="132"/>
    <x v="36"/>
    <x v="5"/>
  </r>
  <r>
    <x v="1541"/>
    <x v="64"/>
    <x v="420"/>
    <x v="3"/>
    <x v="1"/>
    <x v="1"/>
    <x v="1"/>
    <x v="28"/>
    <x v="317"/>
    <x v="132"/>
    <x v="36"/>
    <x v="5"/>
  </r>
  <r>
    <x v="1542"/>
    <x v="65"/>
    <x v="420"/>
    <x v="3"/>
    <x v="1"/>
    <x v="1"/>
    <x v="1"/>
    <x v="28"/>
    <x v="317"/>
    <x v="132"/>
    <x v="36"/>
    <x v="5"/>
  </r>
  <r>
    <x v="1543"/>
    <x v="66"/>
    <x v="420"/>
    <x v="3"/>
    <x v="1"/>
    <x v="1"/>
    <x v="1"/>
    <x v="28"/>
    <x v="317"/>
    <x v="132"/>
    <x v="36"/>
    <x v="5"/>
  </r>
  <r>
    <x v="1544"/>
    <x v="159"/>
    <x v="420"/>
    <x v="4"/>
    <x v="2"/>
    <x v="2"/>
    <x v="1"/>
    <x v="28"/>
    <x v="317"/>
    <x v="132"/>
    <x v="36"/>
    <x v="5"/>
  </r>
  <r>
    <x v="1545"/>
    <x v="160"/>
    <x v="420"/>
    <x v="1"/>
    <x v="0"/>
    <x v="0"/>
    <x v="1"/>
    <x v="28"/>
    <x v="317"/>
    <x v="132"/>
    <x v="36"/>
    <x v="5"/>
  </r>
  <r>
    <x v="1546"/>
    <x v="1261"/>
    <x v="108"/>
    <x v="1"/>
    <x v="0"/>
    <x v="0"/>
    <x v="1"/>
    <x v="32"/>
    <x v="343"/>
    <x v="168"/>
    <x v="80"/>
    <x v="5"/>
  </r>
  <r>
    <x v="1548"/>
    <x v="1262"/>
    <x v="108"/>
    <x v="4"/>
    <x v="2"/>
    <x v="2"/>
    <x v="1"/>
    <x v="32"/>
    <x v="343"/>
    <x v="168"/>
    <x v="80"/>
    <x v="5"/>
  </r>
  <r>
    <x v="1549"/>
    <x v="1258"/>
    <x v="108"/>
    <x v="3"/>
    <x v="1"/>
    <x v="1"/>
    <x v="1"/>
    <x v="32"/>
    <x v="343"/>
    <x v="168"/>
    <x v="80"/>
    <x v="5"/>
  </r>
  <r>
    <x v="1550"/>
    <x v="1260"/>
    <x v="108"/>
    <x v="3"/>
    <x v="1"/>
    <x v="1"/>
    <x v="1"/>
    <x v="32"/>
    <x v="343"/>
    <x v="168"/>
    <x v="80"/>
    <x v="5"/>
  </r>
  <r>
    <x v="1551"/>
    <x v="1259"/>
    <x v="108"/>
    <x v="3"/>
    <x v="1"/>
    <x v="1"/>
    <x v="1"/>
    <x v="32"/>
    <x v="343"/>
    <x v="168"/>
    <x v="80"/>
    <x v="5"/>
  </r>
  <r>
    <x v="1552"/>
    <x v="1275"/>
    <x v="383"/>
    <x v="1"/>
    <x v="0"/>
    <x v="0"/>
    <x v="1"/>
    <x v="26"/>
    <x v="277"/>
    <x v="141"/>
    <x v="84"/>
    <x v="5"/>
  </r>
  <r>
    <x v="1553"/>
    <x v="1274"/>
    <x v="383"/>
    <x v="4"/>
    <x v="2"/>
    <x v="2"/>
    <x v="1"/>
    <x v="26"/>
    <x v="277"/>
    <x v="141"/>
    <x v="84"/>
    <x v="5"/>
  </r>
  <r>
    <x v="1554"/>
    <x v="1265"/>
    <x v="383"/>
    <x v="3"/>
    <x v="1"/>
    <x v="1"/>
    <x v="1"/>
    <x v="26"/>
    <x v="277"/>
    <x v="141"/>
    <x v="84"/>
    <x v="5"/>
  </r>
  <r>
    <x v="1555"/>
    <x v="1266"/>
    <x v="383"/>
    <x v="3"/>
    <x v="1"/>
    <x v="1"/>
    <x v="1"/>
    <x v="26"/>
    <x v="277"/>
    <x v="141"/>
    <x v="84"/>
    <x v="5"/>
  </r>
  <r>
    <x v="1556"/>
    <x v="1267"/>
    <x v="383"/>
    <x v="3"/>
    <x v="1"/>
    <x v="1"/>
    <x v="1"/>
    <x v="26"/>
    <x v="277"/>
    <x v="141"/>
    <x v="84"/>
    <x v="5"/>
  </r>
  <r>
    <x v="1557"/>
    <x v="1269"/>
    <x v="383"/>
    <x v="3"/>
    <x v="1"/>
    <x v="1"/>
    <x v="1"/>
    <x v="26"/>
    <x v="277"/>
    <x v="141"/>
    <x v="84"/>
    <x v="5"/>
  </r>
  <r>
    <x v="1559"/>
    <x v="1273"/>
    <x v="383"/>
    <x v="3"/>
    <x v="1"/>
    <x v="1"/>
    <x v="1"/>
    <x v="26"/>
    <x v="277"/>
    <x v="141"/>
    <x v="84"/>
    <x v="5"/>
  </r>
  <r>
    <x v="1560"/>
    <x v="1268"/>
    <x v="383"/>
    <x v="3"/>
    <x v="1"/>
    <x v="1"/>
    <x v="1"/>
    <x v="26"/>
    <x v="277"/>
    <x v="141"/>
    <x v="84"/>
    <x v="5"/>
  </r>
  <r>
    <x v="1561"/>
    <x v="463"/>
    <x v="331"/>
    <x v="3"/>
    <x v="1"/>
    <x v="1"/>
    <x v="1"/>
    <x v="26"/>
    <x v="288"/>
    <x v="139"/>
    <x v="53"/>
    <x v="5"/>
  </r>
  <r>
    <x v="1562"/>
    <x v="464"/>
    <x v="331"/>
    <x v="3"/>
    <x v="1"/>
    <x v="1"/>
    <x v="1"/>
    <x v="26"/>
    <x v="288"/>
    <x v="139"/>
    <x v="53"/>
    <x v="5"/>
  </r>
  <r>
    <x v="1563"/>
    <x v="465"/>
    <x v="331"/>
    <x v="3"/>
    <x v="1"/>
    <x v="1"/>
    <x v="1"/>
    <x v="26"/>
    <x v="288"/>
    <x v="139"/>
    <x v="53"/>
    <x v="5"/>
  </r>
  <r>
    <x v="1564"/>
    <x v="466"/>
    <x v="331"/>
    <x v="3"/>
    <x v="1"/>
    <x v="1"/>
    <x v="1"/>
    <x v="26"/>
    <x v="288"/>
    <x v="139"/>
    <x v="53"/>
    <x v="5"/>
  </r>
  <r>
    <x v="1565"/>
    <x v="467"/>
    <x v="331"/>
    <x v="3"/>
    <x v="1"/>
    <x v="1"/>
    <x v="1"/>
    <x v="26"/>
    <x v="288"/>
    <x v="139"/>
    <x v="53"/>
    <x v="5"/>
  </r>
  <r>
    <x v="1566"/>
    <x v="478"/>
    <x v="331"/>
    <x v="3"/>
    <x v="1"/>
    <x v="1"/>
    <x v="1"/>
    <x v="26"/>
    <x v="288"/>
    <x v="139"/>
    <x v="53"/>
    <x v="5"/>
  </r>
  <r>
    <x v="1567"/>
    <x v="479"/>
    <x v="331"/>
    <x v="3"/>
    <x v="1"/>
    <x v="1"/>
    <x v="1"/>
    <x v="26"/>
    <x v="288"/>
    <x v="139"/>
    <x v="53"/>
    <x v="5"/>
  </r>
  <r>
    <x v="1568"/>
    <x v="480"/>
    <x v="331"/>
    <x v="3"/>
    <x v="1"/>
    <x v="1"/>
    <x v="1"/>
    <x v="26"/>
    <x v="288"/>
    <x v="139"/>
    <x v="53"/>
    <x v="5"/>
  </r>
  <r>
    <x v="1570"/>
    <x v="507"/>
    <x v="331"/>
    <x v="3"/>
    <x v="1"/>
    <x v="1"/>
    <x v="1"/>
    <x v="26"/>
    <x v="288"/>
    <x v="139"/>
    <x v="53"/>
    <x v="5"/>
  </r>
  <r>
    <x v="1571"/>
    <x v="481"/>
    <x v="331"/>
    <x v="1"/>
    <x v="0"/>
    <x v="0"/>
    <x v="1"/>
    <x v="26"/>
    <x v="288"/>
    <x v="139"/>
    <x v="53"/>
    <x v="5"/>
  </r>
  <r>
    <x v="1572"/>
    <x v="508"/>
    <x v="331"/>
    <x v="3"/>
    <x v="1"/>
    <x v="1"/>
    <x v="1"/>
    <x v="26"/>
    <x v="288"/>
    <x v="139"/>
    <x v="53"/>
    <x v="5"/>
  </r>
  <r>
    <x v="1573"/>
    <x v="430"/>
    <x v="215"/>
    <x v="3"/>
    <x v="1"/>
    <x v="1"/>
    <x v="1"/>
    <x v="26"/>
    <x v="281"/>
    <x v="136"/>
    <x v="84"/>
    <x v="5"/>
  </r>
  <r>
    <x v="1574"/>
    <x v="431"/>
    <x v="215"/>
    <x v="3"/>
    <x v="1"/>
    <x v="1"/>
    <x v="1"/>
    <x v="26"/>
    <x v="281"/>
    <x v="136"/>
    <x v="84"/>
    <x v="5"/>
  </r>
  <r>
    <x v="1575"/>
    <x v="432"/>
    <x v="215"/>
    <x v="3"/>
    <x v="1"/>
    <x v="1"/>
    <x v="1"/>
    <x v="26"/>
    <x v="281"/>
    <x v="136"/>
    <x v="84"/>
    <x v="5"/>
  </r>
  <r>
    <x v="1576"/>
    <x v="433"/>
    <x v="215"/>
    <x v="3"/>
    <x v="1"/>
    <x v="1"/>
    <x v="1"/>
    <x v="26"/>
    <x v="281"/>
    <x v="136"/>
    <x v="84"/>
    <x v="5"/>
  </r>
  <r>
    <x v="1577"/>
    <x v="434"/>
    <x v="215"/>
    <x v="1"/>
    <x v="0"/>
    <x v="0"/>
    <x v="1"/>
    <x v="26"/>
    <x v="281"/>
    <x v="136"/>
    <x v="84"/>
    <x v="5"/>
  </r>
  <r>
    <x v="1578"/>
    <x v="444"/>
    <x v="214"/>
    <x v="3"/>
    <x v="1"/>
    <x v="1"/>
    <x v="1"/>
    <x v="26"/>
    <x v="286"/>
    <x v="138"/>
    <x v="84"/>
    <x v="5"/>
  </r>
  <r>
    <x v="1579"/>
    <x v="445"/>
    <x v="214"/>
    <x v="3"/>
    <x v="1"/>
    <x v="1"/>
    <x v="1"/>
    <x v="26"/>
    <x v="286"/>
    <x v="138"/>
    <x v="84"/>
    <x v="5"/>
  </r>
  <r>
    <x v="1581"/>
    <x v="446"/>
    <x v="214"/>
    <x v="3"/>
    <x v="1"/>
    <x v="1"/>
    <x v="1"/>
    <x v="26"/>
    <x v="286"/>
    <x v="138"/>
    <x v="84"/>
    <x v="5"/>
  </r>
  <r>
    <x v="1582"/>
    <x v="447"/>
    <x v="214"/>
    <x v="3"/>
    <x v="1"/>
    <x v="1"/>
    <x v="1"/>
    <x v="26"/>
    <x v="286"/>
    <x v="138"/>
    <x v="84"/>
    <x v="5"/>
  </r>
  <r>
    <x v="1583"/>
    <x v="448"/>
    <x v="214"/>
    <x v="3"/>
    <x v="1"/>
    <x v="1"/>
    <x v="1"/>
    <x v="26"/>
    <x v="286"/>
    <x v="138"/>
    <x v="84"/>
    <x v="5"/>
  </r>
  <r>
    <x v="1584"/>
    <x v="449"/>
    <x v="214"/>
    <x v="1"/>
    <x v="0"/>
    <x v="0"/>
    <x v="1"/>
    <x v="26"/>
    <x v="286"/>
    <x v="138"/>
    <x v="84"/>
    <x v="5"/>
  </r>
  <r>
    <x v="1585"/>
    <x v="450"/>
    <x v="214"/>
    <x v="4"/>
    <x v="2"/>
    <x v="2"/>
    <x v="1"/>
    <x v="26"/>
    <x v="286"/>
    <x v="138"/>
    <x v="84"/>
    <x v="5"/>
  </r>
  <r>
    <x v="1586"/>
    <x v="102"/>
    <x v="349"/>
    <x v="3"/>
    <x v="1"/>
    <x v="1"/>
    <x v="1"/>
    <x v="32"/>
    <x v="345"/>
    <x v="167"/>
    <x v="33"/>
    <x v="5"/>
  </r>
  <r>
    <x v="1587"/>
    <x v="461"/>
    <x v="349"/>
    <x v="3"/>
    <x v="1"/>
    <x v="1"/>
    <x v="1"/>
    <x v="32"/>
    <x v="345"/>
    <x v="167"/>
    <x v="33"/>
    <x v="5"/>
  </r>
  <r>
    <x v="1588"/>
    <x v="468"/>
    <x v="349"/>
    <x v="3"/>
    <x v="1"/>
    <x v="1"/>
    <x v="1"/>
    <x v="32"/>
    <x v="345"/>
    <x v="167"/>
    <x v="33"/>
    <x v="5"/>
  </r>
  <r>
    <x v="1589"/>
    <x v="469"/>
    <x v="349"/>
    <x v="3"/>
    <x v="1"/>
    <x v="1"/>
    <x v="1"/>
    <x v="32"/>
    <x v="345"/>
    <x v="167"/>
    <x v="33"/>
    <x v="5"/>
  </r>
  <r>
    <x v="1590"/>
    <x v="470"/>
    <x v="349"/>
    <x v="3"/>
    <x v="1"/>
    <x v="1"/>
    <x v="1"/>
    <x v="32"/>
    <x v="345"/>
    <x v="167"/>
    <x v="33"/>
    <x v="5"/>
  </r>
  <r>
    <x v="1592"/>
    <x v="471"/>
    <x v="349"/>
    <x v="3"/>
    <x v="1"/>
    <x v="1"/>
    <x v="1"/>
    <x v="32"/>
    <x v="345"/>
    <x v="167"/>
    <x v="33"/>
    <x v="5"/>
  </r>
  <r>
    <x v="1593"/>
    <x v="472"/>
    <x v="349"/>
    <x v="1"/>
    <x v="0"/>
    <x v="0"/>
    <x v="1"/>
    <x v="32"/>
    <x v="345"/>
    <x v="167"/>
    <x v="33"/>
    <x v="5"/>
  </r>
  <r>
    <x v="1594"/>
    <x v="473"/>
    <x v="349"/>
    <x v="3"/>
    <x v="1"/>
    <x v="1"/>
    <x v="1"/>
    <x v="32"/>
    <x v="345"/>
    <x v="167"/>
    <x v="33"/>
    <x v="5"/>
  </r>
  <r>
    <x v="1595"/>
    <x v="474"/>
    <x v="349"/>
    <x v="3"/>
    <x v="1"/>
    <x v="1"/>
    <x v="1"/>
    <x v="32"/>
    <x v="345"/>
    <x v="167"/>
    <x v="33"/>
    <x v="5"/>
  </r>
  <r>
    <x v="1596"/>
    <x v="475"/>
    <x v="349"/>
    <x v="3"/>
    <x v="1"/>
    <x v="1"/>
    <x v="1"/>
    <x v="32"/>
    <x v="345"/>
    <x v="167"/>
    <x v="33"/>
    <x v="5"/>
  </r>
  <r>
    <x v="1597"/>
    <x v="476"/>
    <x v="349"/>
    <x v="3"/>
    <x v="1"/>
    <x v="1"/>
    <x v="1"/>
    <x v="32"/>
    <x v="345"/>
    <x v="167"/>
    <x v="33"/>
    <x v="5"/>
  </r>
  <r>
    <x v="1598"/>
    <x v="477"/>
    <x v="349"/>
    <x v="3"/>
    <x v="1"/>
    <x v="1"/>
    <x v="1"/>
    <x v="32"/>
    <x v="345"/>
    <x v="167"/>
    <x v="33"/>
    <x v="5"/>
  </r>
  <r>
    <x v="1599"/>
    <x v="482"/>
    <x v="349"/>
    <x v="3"/>
    <x v="1"/>
    <x v="1"/>
    <x v="1"/>
    <x v="32"/>
    <x v="345"/>
    <x v="167"/>
    <x v="33"/>
    <x v="5"/>
  </r>
  <r>
    <x v="1600"/>
    <x v="483"/>
    <x v="349"/>
    <x v="3"/>
    <x v="1"/>
    <x v="1"/>
    <x v="1"/>
    <x v="32"/>
    <x v="345"/>
    <x v="167"/>
    <x v="33"/>
    <x v="5"/>
  </r>
  <r>
    <x v="1601"/>
    <x v="484"/>
    <x v="349"/>
    <x v="3"/>
    <x v="1"/>
    <x v="1"/>
    <x v="1"/>
    <x v="32"/>
    <x v="345"/>
    <x v="167"/>
    <x v="33"/>
    <x v="5"/>
  </r>
  <r>
    <x v="1603"/>
    <x v="485"/>
    <x v="349"/>
    <x v="3"/>
    <x v="1"/>
    <x v="1"/>
    <x v="1"/>
    <x v="32"/>
    <x v="345"/>
    <x v="167"/>
    <x v="33"/>
    <x v="5"/>
  </r>
  <r>
    <x v="1604"/>
    <x v="486"/>
    <x v="349"/>
    <x v="3"/>
    <x v="1"/>
    <x v="1"/>
    <x v="1"/>
    <x v="32"/>
    <x v="345"/>
    <x v="167"/>
    <x v="33"/>
    <x v="5"/>
  </r>
  <r>
    <x v="1605"/>
    <x v="827"/>
    <x v="349"/>
    <x v="4"/>
    <x v="2"/>
    <x v="2"/>
    <x v="1"/>
    <x v="32"/>
    <x v="345"/>
    <x v="167"/>
    <x v="33"/>
    <x v="5"/>
  </r>
  <r>
    <x v="1606"/>
    <x v="451"/>
    <x v="394"/>
    <x v="3"/>
    <x v="1"/>
    <x v="1"/>
    <x v="1"/>
    <x v="32"/>
    <x v="348"/>
    <x v="170"/>
    <x v="33"/>
    <x v="5"/>
  </r>
  <r>
    <x v="1607"/>
    <x v="452"/>
    <x v="394"/>
    <x v="4"/>
    <x v="2"/>
    <x v="2"/>
    <x v="1"/>
    <x v="32"/>
    <x v="348"/>
    <x v="170"/>
    <x v="33"/>
    <x v="5"/>
  </r>
  <r>
    <x v="1608"/>
    <x v="453"/>
    <x v="394"/>
    <x v="3"/>
    <x v="1"/>
    <x v="1"/>
    <x v="1"/>
    <x v="32"/>
    <x v="348"/>
    <x v="170"/>
    <x v="33"/>
    <x v="5"/>
  </r>
  <r>
    <x v="1609"/>
    <x v="454"/>
    <x v="394"/>
    <x v="3"/>
    <x v="1"/>
    <x v="1"/>
    <x v="1"/>
    <x v="32"/>
    <x v="348"/>
    <x v="170"/>
    <x v="33"/>
    <x v="5"/>
  </r>
  <r>
    <x v="1610"/>
    <x v="455"/>
    <x v="394"/>
    <x v="3"/>
    <x v="1"/>
    <x v="1"/>
    <x v="1"/>
    <x v="32"/>
    <x v="348"/>
    <x v="170"/>
    <x v="33"/>
    <x v="5"/>
  </r>
  <r>
    <x v="1611"/>
    <x v="456"/>
    <x v="394"/>
    <x v="3"/>
    <x v="1"/>
    <x v="1"/>
    <x v="1"/>
    <x v="32"/>
    <x v="348"/>
    <x v="170"/>
    <x v="33"/>
    <x v="5"/>
  </r>
  <r>
    <x v="1612"/>
    <x v="457"/>
    <x v="394"/>
    <x v="3"/>
    <x v="1"/>
    <x v="1"/>
    <x v="1"/>
    <x v="32"/>
    <x v="348"/>
    <x v="170"/>
    <x v="33"/>
    <x v="5"/>
  </r>
  <r>
    <x v="1614"/>
    <x v="458"/>
    <x v="394"/>
    <x v="3"/>
    <x v="1"/>
    <x v="1"/>
    <x v="1"/>
    <x v="32"/>
    <x v="348"/>
    <x v="170"/>
    <x v="33"/>
    <x v="5"/>
  </r>
  <r>
    <x v="1615"/>
    <x v="459"/>
    <x v="394"/>
    <x v="1"/>
    <x v="0"/>
    <x v="0"/>
    <x v="1"/>
    <x v="32"/>
    <x v="348"/>
    <x v="170"/>
    <x v="33"/>
    <x v="5"/>
  </r>
  <r>
    <x v="1616"/>
    <x v="460"/>
    <x v="394"/>
    <x v="3"/>
    <x v="1"/>
    <x v="1"/>
    <x v="1"/>
    <x v="32"/>
    <x v="348"/>
    <x v="170"/>
    <x v="33"/>
    <x v="5"/>
  </r>
  <r>
    <x v="1617"/>
    <x v="506"/>
    <x v="213"/>
    <x v="1"/>
    <x v="0"/>
    <x v="0"/>
    <x v="1"/>
    <x v="26"/>
    <x v="276"/>
    <x v="134"/>
    <x v="51"/>
    <x v="5"/>
  </r>
  <r>
    <x v="1618"/>
    <x v="435"/>
    <x v="213"/>
    <x v="3"/>
    <x v="1"/>
    <x v="1"/>
    <x v="1"/>
    <x v="26"/>
    <x v="276"/>
    <x v="134"/>
    <x v="51"/>
    <x v="5"/>
  </r>
  <r>
    <x v="1619"/>
    <x v="436"/>
    <x v="213"/>
    <x v="3"/>
    <x v="1"/>
    <x v="1"/>
    <x v="1"/>
    <x v="26"/>
    <x v="276"/>
    <x v="134"/>
    <x v="51"/>
    <x v="5"/>
  </r>
  <r>
    <x v="1620"/>
    <x v="437"/>
    <x v="213"/>
    <x v="3"/>
    <x v="1"/>
    <x v="1"/>
    <x v="1"/>
    <x v="26"/>
    <x v="276"/>
    <x v="134"/>
    <x v="51"/>
    <x v="5"/>
  </r>
  <r>
    <x v="1621"/>
    <x v="438"/>
    <x v="213"/>
    <x v="3"/>
    <x v="1"/>
    <x v="1"/>
    <x v="1"/>
    <x v="26"/>
    <x v="276"/>
    <x v="134"/>
    <x v="51"/>
    <x v="5"/>
  </r>
  <r>
    <x v="1622"/>
    <x v="439"/>
    <x v="213"/>
    <x v="3"/>
    <x v="1"/>
    <x v="1"/>
    <x v="1"/>
    <x v="26"/>
    <x v="276"/>
    <x v="134"/>
    <x v="51"/>
    <x v="5"/>
  </r>
  <r>
    <x v="1623"/>
    <x v="440"/>
    <x v="213"/>
    <x v="3"/>
    <x v="1"/>
    <x v="1"/>
    <x v="1"/>
    <x v="26"/>
    <x v="276"/>
    <x v="134"/>
    <x v="51"/>
    <x v="5"/>
  </r>
  <r>
    <x v="1625"/>
    <x v="441"/>
    <x v="213"/>
    <x v="3"/>
    <x v="1"/>
    <x v="1"/>
    <x v="1"/>
    <x v="26"/>
    <x v="276"/>
    <x v="134"/>
    <x v="51"/>
    <x v="5"/>
  </r>
  <r>
    <x v="1626"/>
    <x v="442"/>
    <x v="213"/>
    <x v="3"/>
    <x v="1"/>
    <x v="1"/>
    <x v="1"/>
    <x v="26"/>
    <x v="276"/>
    <x v="134"/>
    <x v="51"/>
    <x v="5"/>
  </r>
  <r>
    <x v="1627"/>
    <x v="443"/>
    <x v="213"/>
    <x v="3"/>
    <x v="1"/>
    <x v="1"/>
    <x v="1"/>
    <x v="26"/>
    <x v="276"/>
    <x v="134"/>
    <x v="51"/>
    <x v="5"/>
  </r>
  <r>
    <x v="1628"/>
    <x v="282"/>
    <x v="57"/>
    <x v="1"/>
    <x v="0"/>
    <x v="0"/>
    <x v="5"/>
    <x v="0"/>
    <x v="47"/>
    <x v="178"/>
    <x v="93"/>
    <x v="5"/>
  </r>
  <r>
    <x v="1629"/>
    <x v="283"/>
    <x v="57"/>
    <x v="3"/>
    <x v="1"/>
    <x v="1"/>
    <x v="5"/>
    <x v="0"/>
    <x v="47"/>
    <x v="178"/>
    <x v="93"/>
    <x v="5"/>
  </r>
  <r>
    <x v="1630"/>
    <x v="284"/>
    <x v="57"/>
    <x v="3"/>
    <x v="1"/>
    <x v="1"/>
    <x v="5"/>
    <x v="0"/>
    <x v="47"/>
    <x v="178"/>
    <x v="93"/>
    <x v="5"/>
  </r>
  <r>
    <x v="1631"/>
    <x v="285"/>
    <x v="57"/>
    <x v="4"/>
    <x v="2"/>
    <x v="2"/>
    <x v="5"/>
    <x v="0"/>
    <x v="47"/>
    <x v="178"/>
    <x v="93"/>
    <x v="5"/>
  </r>
  <r>
    <x v="1632"/>
    <x v="1132"/>
    <x v="156"/>
    <x v="3"/>
    <x v="1"/>
    <x v="1"/>
    <x v="5"/>
    <x v="0"/>
    <x v="45"/>
    <x v="200"/>
    <x v="72"/>
    <x v="5"/>
  </r>
  <r>
    <x v="1633"/>
    <x v="1137"/>
    <x v="156"/>
    <x v="3"/>
    <x v="1"/>
    <x v="1"/>
    <x v="5"/>
    <x v="0"/>
    <x v="45"/>
    <x v="200"/>
    <x v="72"/>
    <x v="5"/>
  </r>
  <r>
    <x v="1634"/>
    <x v="286"/>
    <x v="156"/>
    <x v="4"/>
    <x v="2"/>
    <x v="2"/>
    <x v="5"/>
    <x v="0"/>
    <x v="45"/>
    <x v="200"/>
    <x v="72"/>
    <x v="5"/>
  </r>
  <r>
    <x v="1637"/>
    <x v="287"/>
    <x v="156"/>
    <x v="1"/>
    <x v="0"/>
    <x v="0"/>
    <x v="5"/>
    <x v="0"/>
    <x v="45"/>
    <x v="200"/>
    <x v="72"/>
    <x v="5"/>
  </r>
  <r>
    <x v="1638"/>
    <x v="314"/>
    <x v="156"/>
    <x v="3"/>
    <x v="1"/>
    <x v="1"/>
    <x v="5"/>
    <x v="0"/>
    <x v="45"/>
    <x v="200"/>
    <x v="72"/>
    <x v="5"/>
  </r>
  <r>
    <x v="1639"/>
    <x v="315"/>
    <x v="156"/>
    <x v="3"/>
    <x v="1"/>
    <x v="1"/>
    <x v="5"/>
    <x v="0"/>
    <x v="45"/>
    <x v="200"/>
    <x v="72"/>
    <x v="5"/>
  </r>
  <r>
    <x v="1640"/>
    <x v="316"/>
    <x v="156"/>
    <x v="3"/>
    <x v="1"/>
    <x v="1"/>
    <x v="5"/>
    <x v="0"/>
    <x v="45"/>
    <x v="200"/>
    <x v="72"/>
    <x v="5"/>
  </r>
  <r>
    <x v="1641"/>
    <x v="317"/>
    <x v="156"/>
    <x v="3"/>
    <x v="1"/>
    <x v="1"/>
    <x v="5"/>
    <x v="0"/>
    <x v="45"/>
    <x v="200"/>
    <x v="72"/>
    <x v="5"/>
  </r>
  <r>
    <x v="1642"/>
    <x v="1191"/>
    <x v="73"/>
    <x v="3"/>
    <x v="1"/>
    <x v="1"/>
    <x v="5"/>
    <x v="1"/>
    <x v="24"/>
    <x v="180"/>
    <x v="93"/>
    <x v="5"/>
  </r>
  <r>
    <x v="1643"/>
    <x v="1192"/>
    <x v="73"/>
    <x v="3"/>
    <x v="1"/>
    <x v="1"/>
    <x v="5"/>
    <x v="1"/>
    <x v="24"/>
    <x v="180"/>
    <x v="93"/>
    <x v="5"/>
  </r>
  <r>
    <x v="1644"/>
    <x v="1193"/>
    <x v="73"/>
    <x v="1"/>
    <x v="0"/>
    <x v="0"/>
    <x v="5"/>
    <x v="1"/>
    <x v="24"/>
    <x v="180"/>
    <x v="93"/>
    <x v="5"/>
  </r>
  <r>
    <x v="1645"/>
    <x v="1194"/>
    <x v="73"/>
    <x v="4"/>
    <x v="2"/>
    <x v="2"/>
    <x v="5"/>
    <x v="1"/>
    <x v="24"/>
    <x v="180"/>
    <x v="93"/>
    <x v="5"/>
  </r>
  <r>
    <x v="1646"/>
    <x v="1195"/>
    <x v="75"/>
    <x v="3"/>
    <x v="1"/>
    <x v="1"/>
    <x v="5"/>
    <x v="1"/>
    <x v="27"/>
    <x v="203"/>
    <x v="84"/>
    <x v="5"/>
  </r>
  <r>
    <x v="1648"/>
    <x v="1196"/>
    <x v="75"/>
    <x v="3"/>
    <x v="1"/>
    <x v="1"/>
    <x v="5"/>
    <x v="1"/>
    <x v="27"/>
    <x v="203"/>
    <x v="84"/>
    <x v="5"/>
  </r>
  <r>
    <x v="1649"/>
    <x v="1197"/>
    <x v="75"/>
    <x v="3"/>
    <x v="1"/>
    <x v="1"/>
    <x v="5"/>
    <x v="1"/>
    <x v="27"/>
    <x v="203"/>
    <x v="84"/>
    <x v="5"/>
  </r>
  <r>
    <x v="1650"/>
    <x v="1198"/>
    <x v="75"/>
    <x v="4"/>
    <x v="2"/>
    <x v="2"/>
    <x v="5"/>
    <x v="1"/>
    <x v="27"/>
    <x v="203"/>
    <x v="84"/>
    <x v="5"/>
  </r>
  <r>
    <x v="1651"/>
    <x v="1199"/>
    <x v="75"/>
    <x v="1"/>
    <x v="0"/>
    <x v="0"/>
    <x v="5"/>
    <x v="1"/>
    <x v="27"/>
    <x v="203"/>
    <x v="84"/>
    <x v="5"/>
  </r>
  <r>
    <x v="1652"/>
    <x v="1190"/>
    <x v="272"/>
    <x v="3"/>
    <x v="1"/>
    <x v="1"/>
    <x v="5"/>
    <x v="1"/>
    <x v="42"/>
    <x v="215"/>
    <x v="84"/>
    <x v="5"/>
  </r>
  <r>
    <x v="1653"/>
    <x v="318"/>
    <x v="272"/>
    <x v="3"/>
    <x v="1"/>
    <x v="1"/>
    <x v="5"/>
    <x v="1"/>
    <x v="42"/>
    <x v="215"/>
    <x v="84"/>
    <x v="5"/>
  </r>
  <r>
    <x v="1654"/>
    <x v="319"/>
    <x v="272"/>
    <x v="1"/>
    <x v="0"/>
    <x v="0"/>
    <x v="5"/>
    <x v="1"/>
    <x v="42"/>
    <x v="215"/>
    <x v="84"/>
    <x v="5"/>
  </r>
  <r>
    <x v="1655"/>
    <x v="320"/>
    <x v="272"/>
    <x v="4"/>
    <x v="2"/>
    <x v="2"/>
    <x v="5"/>
    <x v="1"/>
    <x v="42"/>
    <x v="215"/>
    <x v="84"/>
    <x v="5"/>
  </r>
  <r>
    <x v="1656"/>
    <x v="1167"/>
    <x v="290"/>
    <x v="3"/>
    <x v="1"/>
    <x v="1"/>
    <x v="5"/>
    <x v="2"/>
    <x v="49"/>
    <x v="224"/>
    <x v="84"/>
    <x v="5"/>
  </r>
  <r>
    <x v="1657"/>
    <x v="1168"/>
    <x v="290"/>
    <x v="3"/>
    <x v="1"/>
    <x v="1"/>
    <x v="5"/>
    <x v="2"/>
    <x v="49"/>
    <x v="224"/>
    <x v="84"/>
    <x v="5"/>
  </r>
  <r>
    <x v="1659"/>
    <x v="1169"/>
    <x v="290"/>
    <x v="4"/>
    <x v="2"/>
    <x v="2"/>
    <x v="5"/>
    <x v="2"/>
    <x v="49"/>
    <x v="224"/>
    <x v="84"/>
    <x v="5"/>
  </r>
  <r>
    <x v="1660"/>
    <x v="1170"/>
    <x v="290"/>
    <x v="1"/>
    <x v="0"/>
    <x v="0"/>
    <x v="5"/>
    <x v="2"/>
    <x v="49"/>
    <x v="224"/>
    <x v="84"/>
    <x v="5"/>
  </r>
  <r>
    <x v="1661"/>
    <x v="86"/>
    <x v="175"/>
    <x v="3"/>
    <x v="1"/>
    <x v="1"/>
    <x v="5"/>
    <x v="1"/>
    <x v="26"/>
    <x v="182"/>
    <x v="93"/>
    <x v="5"/>
  </r>
  <r>
    <x v="1662"/>
    <x v="87"/>
    <x v="175"/>
    <x v="3"/>
    <x v="1"/>
    <x v="1"/>
    <x v="5"/>
    <x v="1"/>
    <x v="26"/>
    <x v="182"/>
    <x v="93"/>
    <x v="5"/>
  </r>
  <r>
    <x v="1663"/>
    <x v="88"/>
    <x v="175"/>
    <x v="4"/>
    <x v="2"/>
    <x v="2"/>
    <x v="5"/>
    <x v="1"/>
    <x v="26"/>
    <x v="182"/>
    <x v="93"/>
    <x v="5"/>
  </r>
  <r>
    <x v="1664"/>
    <x v="89"/>
    <x v="175"/>
    <x v="1"/>
    <x v="0"/>
    <x v="0"/>
    <x v="5"/>
    <x v="1"/>
    <x v="26"/>
    <x v="182"/>
    <x v="93"/>
    <x v="5"/>
  </r>
  <r>
    <x v="1665"/>
    <x v="1138"/>
    <x v="304"/>
    <x v="1"/>
    <x v="0"/>
    <x v="0"/>
    <x v="5"/>
    <x v="1"/>
    <x v="52"/>
    <x v="212"/>
    <x v="72"/>
    <x v="5"/>
  </r>
  <r>
    <x v="1666"/>
    <x v="1139"/>
    <x v="304"/>
    <x v="4"/>
    <x v="2"/>
    <x v="2"/>
    <x v="5"/>
    <x v="1"/>
    <x v="52"/>
    <x v="212"/>
    <x v="72"/>
    <x v="5"/>
  </r>
  <r>
    <x v="1667"/>
    <x v="1140"/>
    <x v="304"/>
    <x v="3"/>
    <x v="1"/>
    <x v="1"/>
    <x v="5"/>
    <x v="1"/>
    <x v="52"/>
    <x v="212"/>
    <x v="72"/>
    <x v="5"/>
  </r>
  <r>
    <x v="1668"/>
    <x v="1141"/>
    <x v="304"/>
    <x v="3"/>
    <x v="1"/>
    <x v="1"/>
    <x v="5"/>
    <x v="1"/>
    <x v="52"/>
    <x v="212"/>
    <x v="72"/>
    <x v="5"/>
  </r>
  <r>
    <x v="1670"/>
    <x v="1142"/>
    <x v="304"/>
    <x v="3"/>
    <x v="1"/>
    <x v="1"/>
    <x v="5"/>
    <x v="1"/>
    <x v="52"/>
    <x v="212"/>
    <x v="72"/>
    <x v="5"/>
  </r>
  <r>
    <x v="1671"/>
    <x v="1143"/>
    <x v="304"/>
    <x v="3"/>
    <x v="1"/>
    <x v="1"/>
    <x v="5"/>
    <x v="1"/>
    <x v="52"/>
    <x v="212"/>
    <x v="72"/>
    <x v="5"/>
  </r>
  <r>
    <x v="1672"/>
    <x v="1203"/>
    <x v="118"/>
    <x v="3"/>
    <x v="1"/>
    <x v="1"/>
    <x v="5"/>
    <x v="2"/>
    <x v="67"/>
    <x v="221"/>
    <x v="84"/>
    <x v="5"/>
  </r>
  <r>
    <x v="1673"/>
    <x v="1204"/>
    <x v="118"/>
    <x v="3"/>
    <x v="1"/>
    <x v="1"/>
    <x v="5"/>
    <x v="2"/>
    <x v="67"/>
    <x v="221"/>
    <x v="84"/>
    <x v="5"/>
  </r>
  <r>
    <x v="1674"/>
    <x v="1202"/>
    <x v="118"/>
    <x v="4"/>
    <x v="2"/>
    <x v="2"/>
    <x v="5"/>
    <x v="2"/>
    <x v="67"/>
    <x v="221"/>
    <x v="84"/>
    <x v="5"/>
  </r>
  <r>
    <x v="1675"/>
    <x v="1201"/>
    <x v="118"/>
    <x v="1"/>
    <x v="0"/>
    <x v="0"/>
    <x v="5"/>
    <x v="2"/>
    <x v="67"/>
    <x v="221"/>
    <x v="84"/>
    <x v="5"/>
  </r>
  <r>
    <x v="1676"/>
    <x v="326"/>
    <x v="372"/>
    <x v="1"/>
    <x v="0"/>
    <x v="0"/>
    <x v="5"/>
    <x v="1"/>
    <x v="64"/>
    <x v="210"/>
    <x v="84"/>
    <x v="5"/>
  </r>
  <r>
    <x v="1677"/>
    <x v="327"/>
    <x v="372"/>
    <x v="4"/>
    <x v="2"/>
    <x v="2"/>
    <x v="5"/>
    <x v="1"/>
    <x v="64"/>
    <x v="210"/>
    <x v="84"/>
    <x v="5"/>
  </r>
  <r>
    <x v="1678"/>
    <x v="328"/>
    <x v="372"/>
    <x v="3"/>
    <x v="1"/>
    <x v="1"/>
    <x v="5"/>
    <x v="1"/>
    <x v="64"/>
    <x v="210"/>
    <x v="84"/>
    <x v="5"/>
  </r>
  <r>
    <x v="1679"/>
    <x v="329"/>
    <x v="372"/>
    <x v="3"/>
    <x v="1"/>
    <x v="1"/>
    <x v="5"/>
    <x v="1"/>
    <x v="64"/>
    <x v="210"/>
    <x v="84"/>
    <x v="5"/>
  </r>
  <r>
    <x v="1681"/>
    <x v="330"/>
    <x v="372"/>
    <x v="3"/>
    <x v="1"/>
    <x v="1"/>
    <x v="5"/>
    <x v="1"/>
    <x v="64"/>
    <x v="210"/>
    <x v="84"/>
    <x v="5"/>
  </r>
  <r>
    <x v="1682"/>
    <x v="310"/>
    <x v="135"/>
    <x v="3"/>
    <x v="1"/>
    <x v="1"/>
    <x v="5"/>
    <x v="3"/>
    <x v="59"/>
    <x v="189"/>
    <x v="93"/>
    <x v="2"/>
  </r>
  <r>
    <x v="1683"/>
    <x v="311"/>
    <x v="135"/>
    <x v="4"/>
    <x v="2"/>
    <x v="2"/>
    <x v="5"/>
    <x v="3"/>
    <x v="59"/>
    <x v="189"/>
    <x v="93"/>
    <x v="2"/>
  </r>
  <r>
    <x v="1684"/>
    <x v="312"/>
    <x v="135"/>
    <x v="3"/>
    <x v="1"/>
    <x v="1"/>
    <x v="5"/>
    <x v="3"/>
    <x v="59"/>
    <x v="189"/>
    <x v="93"/>
    <x v="2"/>
  </r>
  <r>
    <x v="1685"/>
    <x v="313"/>
    <x v="135"/>
    <x v="1"/>
    <x v="0"/>
    <x v="0"/>
    <x v="5"/>
    <x v="3"/>
    <x v="59"/>
    <x v="189"/>
    <x v="93"/>
    <x v="2"/>
  </r>
  <r>
    <x v="1686"/>
    <x v="293"/>
    <x v="48"/>
    <x v="3"/>
    <x v="1"/>
    <x v="1"/>
    <x v="5"/>
    <x v="0"/>
    <x v="19"/>
    <x v="194"/>
    <x v="72"/>
    <x v="5"/>
  </r>
  <r>
    <x v="1687"/>
    <x v="294"/>
    <x v="48"/>
    <x v="3"/>
    <x v="1"/>
    <x v="1"/>
    <x v="5"/>
    <x v="0"/>
    <x v="19"/>
    <x v="194"/>
    <x v="72"/>
    <x v="5"/>
  </r>
  <r>
    <x v="1688"/>
    <x v="295"/>
    <x v="48"/>
    <x v="3"/>
    <x v="1"/>
    <x v="1"/>
    <x v="5"/>
    <x v="0"/>
    <x v="19"/>
    <x v="194"/>
    <x v="72"/>
    <x v="5"/>
  </r>
  <r>
    <x v="1689"/>
    <x v="296"/>
    <x v="48"/>
    <x v="3"/>
    <x v="1"/>
    <x v="1"/>
    <x v="5"/>
    <x v="0"/>
    <x v="19"/>
    <x v="194"/>
    <x v="72"/>
    <x v="5"/>
  </r>
  <r>
    <x v="1690"/>
    <x v="297"/>
    <x v="48"/>
    <x v="3"/>
    <x v="1"/>
    <x v="1"/>
    <x v="5"/>
    <x v="0"/>
    <x v="19"/>
    <x v="194"/>
    <x v="72"/>
    <x v="5"/>
  </r>
  <r>
    <x v="1692"/>
    <x v="298"/>
    <x v="48"/>
    <x v="3"/>
    <x v="1"/>
    <x v="1"/>
    <x v="5"/>
    <x v="0"/>
    <x v="19"/>
    <x v="194"/>
    <x v="72"/>
    <x v="5"/>
  </r>
  <r>
    <x v="1693"/>
    <x v="299"/>
    <x v="48"/>
    <x v="4"/>
    <x v="2"/>
    <x v="2"/>
    <x v="5"/>
    <x v="0"/>
    <x v="19"/>
    <x v="194"/>
    <x v="72"/>
    <x v="5"/>
  </r>
  <r>
    <x v="1694"/>
    <x v="300"/>
    <x v="48"/>
    <x v="1"/>
    <x v="0"/>
    <x v="0"/>
    <x v="5"/>
    <x v="0"/>
    <x v="19"/>
    <x v="194"/>
    <x v="72"/>
    <x v="5"/>
  </r>
  <r>
    <x v="1695"/>
    <x v="1470"/>
    <x v="48"/>
    <x v="4"/>
    <x v="2"/>
    <x v="2"/>
    <x v="5"/>
    <x v="0"/>
    <x v="19"/>
    <x v="194"/>
    <x v="72"/>
    <x v="5"/>
  </r>
  <r>
    <x v="1696"/>
    <x v="277"/>
    <x v="72"/>
    <x v="4"/>
    <x v="2"/>
    <x v="2"/>
    <x v="5"/>
    <x v="3"/>
    <x v="56"/>
    <x v="190"/>
    <x v="93"/>
    <x v="5"/>
  </r>
  <r>
    <x v="1697"/>
    <x v="278"/>
    <x v="72"/>
    <x v="3"/>
    <x v="1"/>
    <x v="1"/>
    <x v="5"/>
    <x v="3"/>
    <x v="56"/>
    <x v="190"/>
    <x v="93"/>
    <x v="5"/>
  </r>
  <r>
    <x v="1698"/>
    <x v="281"/>
    <x v="72"/>
    <x v="1"/>
    <x v="0"/>
    <x v="0"/>
    <x v="5"/>
    <x v="3"/>
    <x v="56"/>
    <x v="190"/>
    <x v="93"/>
    <x v="5"/>
  </r>
  <r>
    <x v="1699"/>
    <x v="279"/>
    <x v="72"/>
    <x v="3"/>
    <x v="1"/>
    <x v="1"/>
    <x v="5"/>
    <x v="3"/>
    <x v="56"/>
    <x v="190"/>
    <x v="93"/>
    <x v="5"/>
  </r>
  <r>
    <x v="1700"/>
    <x v="280"/>
    <x v="72"/>
    <x v="3"/>
    <x v="1"/>
    <x v="1"/>
    <x v="5"/>
    <x v="3"/>
    <x v="56"/>
    <x v="190"/>
    <x v="93"/>
    <x v="5"/>
  </r>
  <r>
    <x v="1701"/>
    <x v="288"/>
    <x v="78"/>
    <x v="3"/>
    <x v="1"/>
    <x v="1"/>
    <x v="5"/>
    <x v="0"/>
    <x v="58"/>
    <x v="206"/>
    <x v="84"/>
    <x v="5"/>
  </r>
  <r>
    <x v="1703"/>
    <x v="289"/>
    <x v="78"/>
    <x v="3"/>
    <x v="1"/>
    <x v="1"/>
    <x v="5"/>
    <x v="0"/>
    <x v="58"/>
    <x v="206"/>
    <x v="84"/>
    <x v="5"/>
  </r>
  <r>
    <x v="1704"/>
    <x v="290"/>
    <x v="78"/>
    <x v="1"/>
    <x v="0"/>
    <x v="0"/>
    <x v="5"/>
    <x v="0"/>
    <x v="58"/>
    <x v="206"/>
    <x v="84"/>
    <x v="5"/>
  </r>
  <r>
    <x v="1705"/>
    <x v="291"/>
    <x v="78"/>
    <x v="3"/>
    <x v="1"/>
    <x v="1"/>
    <x v="5"/>
    <x v="0"/>
    <x v="58"/>
    <x v="206"/>
    <x v="84"/>
    <x v="5"/>
  </r>
  <r>
    <x v="1706"/>
    <x v="292"/>
    <x v="78"/>
    <x v="4"/>
    <x v="2"/>
    <x v="2"/>
    <x v="5"/>
    <x v="0"/>
    <x v="58"/>
    <x v="206"/>
    <x v="84"/>
    <x v="5"/>
  </r>
  <r>
    <x v="1707"/>
    <x v="305"/>
    <x v="282"/>
    <x v="3"/>
    <x v="1"/>
    <x v="1"/>
    <x v="5"/>
    <x v="0"/>
    <x v="60"/>
    <x v="205"/>
    <x v="84"/>
    <x v="5"/>
  </r>
  <r>
    <x v="1708"/>
    <x v="306"/>
    <x v="282"/>
    <x v="3"/>
    <x v="1"/>
    <x v="1"/>
    <x v="5"/>
    <x v="0"/>
    <x v="60"/>
    <x v="205"/>
    <x v="84"/>
    <x v="5"/>
  </r>
  <r>
    <x v="1709"/>
    <x v="307"/>
    <x v="282"/>
    <x v="3"/>
    <x v="1"/>
    <x v="1"/>
    <x v="5"/>
    <x v="0"/>
    <x v="60"/>
    <x v="205"/>
    <x v="84"/>
    <x v="5"/>
  </r>
  <r>
    <x v="1710"/>
    <x v="308"/>
    <x v="282"/>
    <x v="4"/>
    <x v="2"/>
    <x v="2"/>
    <x v="5"/>
    <x v="0"/>
    <x v="60"/>
    <x v="205"/>
    <x v="84"/>
    <x v="5"/>
  </r>
  <r>
    <x v="1711"/>
    <x v="309"/>
    <x v="282"/>
    <x v="1"/>
    <x v="0"/>
    <x v="0"/>
    <x v="5"/>
    <x v="0"/>
    <x v="60"/>
    <x v="205"/>
    <x v="84"/>
    <x v="5"/>
  </r>
  <r>
    <x v="1712"/>
    <x v="1174"/>
    <x v="339"/>
    <x v="3"/>
    <x v="1"/>
    <x v="1"/>
    <x v="5"/>
    <x v="3"/>
    <x v="57"/>
    <x v="197"/>
    <x v="84"/>
    <x v="5"/>
  </r>
  <r>
    <x v="1714"/>
    <x v="1175"/>
    <x v="339"/>
    <x v="3"/>
    <x v="1"/>
    <x v="1"/>
    <x v="5"/>
    <x v="3"/>
    <x v="57"/>
    <x v="197"/>
    <x v="84"/>
    <x v="5"/>
  </r>
  <r>
    <x v="1715"/>
    <x v="1176"/>
    <x v="339"/>
    <x v="4"/>
    <x v="2"/>
    <x v="2"/>
    <x v="5"/>
    <x v="3"/>
    <x v="57"/>
    <x v="197"/>
    <x v="84"/>
    <x v="5"/>
  </r>
  <r>
    <x v="1716"/>
    <x v="1177"/>
    <x v="339"/>
    <x v="1"/>
    <x v="0"/>
    <x v="0"/>
    <x v="5"/>
    <x v="3"/>
    <x v="57"/>
    <x v="197"/>
    <x v="84"/>
    <x v="5"/>
  </r>
  <r>
    <x v="1717"/>
    <x v="321"/>
    <x v="174"/>
    <x v="3"/>
    <x v="1"/>
    <x v="1"/>
    <x v="5"/>
    <x v="1"/>
    <x v="25"/>
    <x v="202"/>
    <x v="84"/>
    <x v="5"/>
  </r>
  <r>
    <x v="1718"/>
    <x v="322"/>
    <x v="174"/>
    <x v="3"/>
    <x v="1"/>
    <x v="1"/>
    <x v="5"/>
    <x v="1"/>
    <x v="25"/>
    <x v="202"/>
    <x v="84"/>
    <x v="5"/>
  </r>
  <r>
    <x v="1719"/>
    <x v="323"/>
    <x v="174"/>
    <x v="3"/>
    <x v="1"/>
    <x v="1"/>
    <x v="5"/>
    <x v="1"/>
    <x v="25"/>
    <x v="202"/>
    <x v="84"/>
    <x v="5"/>
  </r>
  <r>
    <x v="1720"/>
    <x v="324"/>
    <x v="174"/>
    <x v="4"/>
    <x v="2"/>
    <x v="2"/>
    <x v="5"/>
    <x v="1"/>
    <x v="25"/>
    <x v="202"/>
    <x v="84"/>
    <x v="5"/>
  </r>
  <r>
    <x v="1721"/>
    <x v="325"/>
    <x v="174"/>
    <x v="1"/>
    <x v="0"/>
    <x v="0"/>
    <x v="5"/>
    <x v="1"/>
    <x v="25"/>
    <x v="202"/>
    <x v="84"/>
    <x v="5"/>
  </r>
  <r>
    <x v="1722"/>
    <x v="1156"/>
    <x v="356"/>
    <x v="3"/>
    <x v="1"/>
    <x v="1"/>
    <x v="5"/>
    <x v="0"/>
    <x v="61"/>
    <x v="187"/>
    <x v="84"/>
    <x v="5"/>
  </r>
  <r>
    <x v="1723"/>
    <x v="1157"/>
    <x v="356"/>
    <x v="3"/>
    <x v="1"/>
    <x v="1"/>
    <x v="5"/>
    <x v="0"/>
    <x v="61"/>
    <x v="187"/>
    <x v="84"/>
    <x v="5"/>
  </r>
  <r>
    <x v="1725"/>
    <x v="1158"/>
    <x v="356"/>
    <x v="1"/>
    <x v="0"/>
    <x v="0"/>
    <x v="5"/>
    <x v="0"/>
    <x v="61"/>
    <x v="187"/>
    <x v="84"/>
    <x v="5"/>
  </r>
  <r>
    <x v="1726"/>
    <x v="1159"/>
    <x v="356"/>
    <x v="4"/>
    <x v="2"/>
    <x v="2"/>
    <x v="5"/>
    <x v="0"/>
    <x v="61"/>
    <x v="187"/>
    <x v="84"/>
    <x v="5"/>
  </r>
  <r>
    <x v="1727"/>
    <x v="1160"/>
    <x v="356"/>
    <x v="3"/>
    <x v="1"/>
    <x v="1"/>
    <x v="5"/>
    <x v="0"/>
    <x v="61"/>
    <x v="187"/>
    <x v="84"/>
    <x v="5"/>
  </r>
  <r>
    <x v="1728"/>
    <x v="1133"/>
    <x v="417"/>
    <x v="1"/>
    <x v="0"/>
    <x v="0"/>
    <x v="5"/>
    <x v="3"/>
    <x v="33"/>
    <x v="199"/>
    <x v="84"/>
    <x v="5"/>
  </r>
  <r>
    <x v="1729"/>
    <x v="1134"/>
    <x v="417"/>
    <x v="4"/>
    <x v="2"/>
    <x v="2"/>
    <x v="5"/>
    <x v="3"/>
    <x v="33"/>
    <x v="199"/>
    <x v="84"/>
    <x v="5"/>
  </r>
  <r>
    <x v="1730"/>
    <x v="1135"/>
    <x v="417"/>
    <x v="3"/>
    <x v="1"/>
    <x v="1"/>
    <x v="5"/>
    <x v="3"/>
    <x v="33"/>
    <x v="199"/>
    <x v="84"/>
    <x v="5"/>
  </r>
  <r>
    <x v="1731"/>
    <x v="1136"/>
    <x v="417"/>
    <x v="3"/>
    <x v="1"/>
    <x v="1"/>
    <x v="5"/>
    <x v="3"/>
    <x v="33"/>
    <x v="199"/>
    <x v="84"/>
    <x v="5"/>
  </r>
  <r>
    <x v="1732"/>
    <x v="339"/>
    <x v="158"/>
    <x v="3"/>
    <x v="1"/>
    <x v="1"/>
    <x v="5"/>
    <x v="0"/>
    <x v="21"/>
    <x v="181"/>
    <x v="84"/>
    <x v="5"/>
  </r>
  <r>
    <x v="1733"/>
    <x v="1144"/>
    <x v="158"/>
    <x v="3"/>
    <x v="1"/>
    <x v="1"/>
    <x v="5"/>
    <x v="0"/>
    <x v="21"/>
    <x v="181"/>
    <x v="84"/>
    <x v="5"/>
  </r>
  <r>
    <x v="1734"/>
    <x v="1847"/>
    <x v="158"/>
    <x v="3"/>
    <x v="1"/>
    <x v="1"/>
    <x v="5"/>
    <x v="0"/>
    <x v="21"/>
    <x v="181"/>
    <x v="84"/>
    <x v="5"/>
  </r>
  <r>
    <x v="1736"/>
    <x v="1740"/>
    <x v="158"/>
    <x v="3"/>
    <x v="1"/>
    <x v="1"/>
    <x v="5"/>
    <x v="0"/>
    <x v="21"/>
    <x v="181"/>
    <x v="84"/>
    <x v="5"/>
  </r>
  <r>
    <x v="1737"/>
    <x v="1145"/>
    <x v="158"/>
    <x v="4"/>
    <x v="2"/>
    <x v="2"/>
    <x v="5"/>
    <x v="0"/>
    <x v="21"/>
    <x v="181"/>
    <x v="84"/>
    <x v="5"/>
  </r>
  <r>
    <x v="1738"/>
    <x v="1146"/>
    <x v="158"/>
    <x v="1"/>
    <x v="0"/>
    <x v="0"/>
    <x v="5"/>
    <x v="0"/>
    <x v="21"/>
    <x v="181"/>
    <x v="84"/>
    <x v="5"/>
  </r>
  <r>
    <x v="1739"/>
    <x v="93"/>
    <x v="391"/>
    <x v="1"/>
    <x v="0"/>
    <x v="0"/>
    <x v="5"/>
    <x v="3"/>
    <x v="66"/>
    <x v="193"/>
    <x v="72"/>
    <x v="5"/>
  </r>
  <r>
    <x v="1740"/>
    <x v="94"/>
    <x v="391"/>
    <x v="3"/>
    <x v="1"/>
    <x v="1"/>
    <x v="5"/>
    <x v="3"/>
    <x v="66"/>
    <x v="193"/>
    <x v="72"/>
    <x v="5"/>
  </r>
  <r>
    <x v="1741"/>
    <x v="95"/>
    <x v="391"/>
    <x v="3"/>
    <x v="1"/>
    <x v="1"/>
    <x v="5"/>
    <x v="3"/>
    <x v="66"/>
    <x v="193"/>
    <x v="72"/>
    <x v="5"/>
  </r>
  <r>
    <x v="1742"/>
    <x v="96"/>
    <x v="391"/>
    <x v="3"/>
    <x v="1"/>
    <x v="1"/>
    <x v="5"/>
    <x v="3"/>
    <x v="66"/>
    <x v="193"/>
    <x v="72"/>
    <x v="5"/>
  </r>
  <r>
    <x v="1743"/>
    <x v="97"/>
    <x v="391"/>
    <x v="3"/>
    <x v="1"/>
    <x v="1"/>
    <x v="5"/>
    <x v="3"/>
    <x v="66"/>
    <x v="193"/>
    <x v="72"/>
    <x v="5"/>
  </r>
  <r>
    <x v="1744"/>
    <x v="98"/>
    <x v="391"/>
    <x v="3"/>
    <x v="1"/>
    <x v="1"/>
    <x v="5"/>
    <x v="3"/>
    <x v="66"/>
    <x v="193"/>
    <x v="72"/>
    <x v="5"/>
  </r>
  <r>
    <x v="1745"/>
    <x v="1147"/>
    <x v="0"/>
    <x v="3"/>
    <x v="1"/>
    <x v="1"/>
    <x v="5"/>
    <x v="0"/>
    <x v="20"/>
    <x v="179"/>
    <x v="93"/>
    <x v="5"/>
  </r>
  <r>
    <x v="1748"/>
    <x v="1148"/>
    <x v="0"/>
    <x v="3"/>
    <x v="1"/>
    <x v="1"/>
    <x v="5"/>
    <x v="0"/>
    <x v="20"/>
    <x v="179"/>
    <x v="93"/>
    <x v="5"/>
  </r>
  <r>
    <x v="1749"/>
    <x v="1149"/>
    <x v="0"/>
    <x v="4"/>
    <x v="2"/>
    <x v="2"/>
    <x v="5"/>
    <x v="0"/>
    <x v="20"/>
    <x v="179"/>
    <x v="93"/>
    <x v="5"/>
  </r>
  <r>
    <x v="1750"/>
    <x v="1150"/>
    <x v="0"/>
    <x v="1"/>
    <x v="0"/>
    <x v="0"/>
    <x v="5"/>
    <x v="0"/>
    <x v="20"/>
    <x v="179"/>
    <x v="93"/>
    <x v="5"/>
  </r>
  <r>
    <x v="1751"/>
    <x v="252"/>
    <x v="177"/>
    <x v="3"/>
    <x v="1"/>
    <x v="1"/>
    <x v="5"/>
    <x v="2"/>
    <x v="29"/>
    <x v="184"/>
    <x v="72"/>
    <x v="5"/>
  </r>
  <r>
    <x v="1752"/>
    <x v="253"/>
    <x v="177"/>
    <x v="3"/>
    <x v="1"/>
    <x v="1"/>
    <x v="5"/>
    <x v="2"/>
    <x v="29"/>
    <x v="184"/>
    <x v="72"/>
    <x v="5"/>
  </r>
  <r>
    <x v="1753"/>
    <x v="254"/>
    <x v="177"/>
    <x v="1"/>
    <x v="0"/>
    <x v="0"/>
    <x v="5"/>
    <x v="2"/>
    <x v="29"/>
    <x v="184"/>
    <x v="72"/>
    <x v="5"/>
  </r>
  <r>
    <x v="1754"/>
    <x v="255"/>
    <x v="177"/>
    <x v="3"/>
    <x v="1"/>
    <x v="1"/>
    <x v="5"/>
    <x v="2"/>
    <x v="29"/>
    <x v="184"/>
    <x v="72"/>
    <x v="5"/>
  </r>
  <r>
    <x v="1755"/>
    <x v="256"/>
    <x v="177"/>
    <x v="3"/>
    <x v="1"/>
    <x v="1"/>
    <x v="5"/>
    <x v="2"/>
    <x v="29"/>
    <x v="184"/>
    <x v="72"/>
    <x v="5"/>
  </r>
  <r>
    <x v="1756"/>
    <x v="257"/>
    <x v="177"/>
    <x v="4"/>
    <x v="2"/>
    <x v="2"/>
    <x v="5"/>
    <x v="2"/>
    <x v="29"/>
    <x v="184"/>
    <x v="72"/>
    <x v="5"/>
  </r>
  <r>
    <x v="1757"/>
    <x v="1161"/>
    <x v="24"/>
    <x v="3"/>
    <x v="1"/>
    <x v="1"/>
    <x v="3"/>
    <x v="7"/>
    <x v="4"/>
    <x v="251"/>
    <x v="84"/>
    <x v="5"/>
  </r>
  <r>
    <x v="1759"/>
    <x v="1162"/>
    <x v="24"/>
    <x v="3"/>
    <x v="1"/>
    <x v="1"/>
    <x v="3"/>
    <x v="7"/>
    <x v="4"/>
    <x v="251"/>
    <x v="84"/>
    <x v="5"/>
  </r>
  <r>
    <x v="1760"/>
    <x v="1163"/>
    <x v="24"/>
    <x v="3"/>
    <x v="1"/>
    <x v="1"/>
    <x v="3"/>
    <x v="7"/>
    <x v="4"/>
    <x v="251"/>
    <x v="84"/>
    <x v="5"/>
  </r>
  <r>
    <x v="1761"/>
    <x v="1164"/>
    <x v="24"/>
    <x v="3"/>
    <x v="1"/>
    <x v="1"/>
    <x v="3"/>
    <x v="7"/>
    <x v="4"/>
    <x v="251"/>
    <x v="84"/>
    <x v="5"/>
  </r>
  <r>
    <x v="1762"/>
    <x v="1165"/>
    <x v="24"/>
    <x v="1"/>
    <x v="0"/>
    <x v="0"/>
    <x v="3"/>
    <x v="7"/>
    <x v="4"/>
    <x v="251"/>
    <x v="84"/>
    <x v="5"/>
  </r>
  <r>
    <x v="1763"/>
    <x v="1166"/>
    <x v="24"/>
    <x v="4"/>
    <x v="2"/>
    <x v="2"/>
    <x v="3"/>
    <x v="7"/>
    <x v="4"/>
    <x v="251"/>
    <x v="84"/>
    <x v="5"/>
  </r>
  <r>
    <x v="1764"/>
    <x v="1128"/>
    <x v="76"/>
    <x v="1"/>
    <x v="0"/>
    <x v="0"/>
    <x v="5"/>
    <x v="3"/>
    <x v="31"/>
    <x v="207"/>
    <x v="84"/>
    <x v="5"/>
  </r>
  <r>
    <x v="1765"/>
    <x v="1129"/>
    <x v="76"/>
    <x v="3"/>
    <x v="1"/>
    <x v="1"/>
    <x v="5"/>
    <x v="3"/>
    <x v="31"/>
    <x v="207"/>
    <x v="84"/>
    <x v="5"/>
  </r>
  <r>
    <x v="1766"/>
    <x v="1130"/>
    <x v="76"/>
    <x v="3"/>
    <x v="1"/>
    <x v="1"/>
    <x v="5"/>
    <x v="3"/>
    <x v="31"/>
    <x v="207"/>
    <x v="84"/>
    <x v="5"/>
  </r>
  <r>
    <x v="1767"/>
    <x v="1131"/>
    <x v="76"/>
    <x v="4"/>
    <x v="2"/>
    <x v="2"/>
    <x v="5"/>
    <x v="3"/>
    <x v="31"/>
    <x v="207"/>
    <x v="84"/>
    <x v="5"/>
  </r>
  <r>
    <x v="1768"/>
    <x v="1178"/>
    <x v="74"/>
    <x v="1"/>
    <x v="0"/>
    <x v="0"/>
    <x v="5"/>
    <x v="3"/>
    <x v="28"/>
    <x v="186"/>
    <x v="84"/>
    <x v="5"/>
  </r>
  <r>
    <x v="1770"/>
    <x v="1179"/>
    <x v="74"/>
    <x v="4"/>
    <x v="2"/>
    <x v="2"/>
    <x v="5"/>
    <x v="3"/>
    <x v="28"/>
    <x v="186"/>
    <x v="84"/>
    <x v="5"/>
  </r>
  <r>
    <x v="1771"/>
    <x v="1180"/>
    <x v="74"/>
    <x v="3"/>
    <x v="1"/>
    <x v="1"/>
    <x v="5"/>
    <x v="3"/>
    <x v="28"/>
    <x v="186"/>
    <x v="84"/>
    <x v="5"/>
  </r>
  <r>
    <x v="1772"/>
    <x v="1181"/>
    <x v="74"/>
    <x v="3"/>
    <x v="1"/>
    <x v="1"/>
    <x v="5"/>
    <x v="3"/>
    <x v="28"/>
    <x v="186"/>
    <x v="84"/>
    <x v="5"/>
  </r>
  <r>
    <x v="1773"/>
    <x v="90"/>
    <x v="283"/>
    <x v="1"/>
    <x v="0"/>
    <x v="0"/>
    <x v="5"/>
    <x v="0"/>
    <x v="44"/>
    <x v="185"/>
    <x v="84"/>
    <x v="5"/>
  </r>
  <r>
    <x v="1774"/>
    <x v="91"/>
    <x v="283"/>
    <x v="3"/>
    <x v="1"/>
    <x v="1"/>
    <x v="5"/>
    <x v="0"/>
    <x v="44"/>
    <x v="185"/>
    <x v="84"/>
    <x v="5"/>
  </r>
  <r>
    <x v="1775"/>
    <x v="92"/>
    <x v="283"/>
    <x v="3"/>
    <x v="1"/>
    <x v="1"/>
    <x v="5"/>
    <x v="0"/>
    <x v="44"/>
    <x v="185"/>
    <x v="84"/>
    <x v="5"/>
  </r>
  <r>
    <x v="1776"/>
    <x v="1171"/>
    <x v="225"/>
    <x v="3"/>
    <x v="1"/>
    <x v="1"/>
    <x v="5"/>
    <x v="2"/>
    <x v="54"/>
    <x v="192"/>
    <x v="84"/>
    <x v="5"/>
  </r>
  <r>
    <x v="1777"/>
    <x v="1172"/>
    <x v="225"/>
    <x v="4"/>
    <x v="2"/>
    <x v="2"/>
    <x v="5"/>
    <x v="2"/>
    <x v="54"/>
    <x v="192"/>
    <x v="84"/>
    <x v="5"/>
  </r>
  <r>
    <x v="1778"/>
    <x v="1173"/>
    <x v="225"/>
    <x v="1"/>
    <x v="0"/>
    <x v="0"/>
    <x v="5"/>
    <x v="2"/>
    <x v="54"/>
    <x v="192"/>
    <x v="84"/>
    <x v="5"/>
  </r>
  <r>
    <x v="1779"/>
    <x v="1480"/>
    <x v="225"/>
    <x v="3"/>
    <x v="1"/>
    <x v="1"/>
    <x v="5"/>
    <x v="2"/>
    <x v="54"/>
    <x v="192"/>
    <x v="84"/>
    <x v="5"/>
  </r>
  <r>
    <x v="1781"/>
    <x v="331"/>
    <x v="122"/>
    <x v="3"/>
    <x v="1"/>
    <x v="1"/>
    <x v="3"/>
    <x v="7"/>
    <x v="10"/>
    <x v="266"/>
    <x v="84"/>
    <x v="5"/>
  </r>
  <r>
    <x v="1782"/>
    <x v="332"/>
    <x v="122"/>
    <x v="3"/>
    <x v="1"/>
    <x v="1"/>
    <x v="3"/>
    <x v="7"/>
    <x v="10"/>
    <x v="266"/>
    <x v="84"/>
    <x v="5"/>
  </r>
  <r>
    <x v="1783"/>
    <x v="1636"/>
    <x v="122"/>
    <x v="3"/>
    <x v="1"/>
    <x v="1"/>
    <x v="3"/>
    <x v="7"/>
    <x v="10"/>
    <x v="266"/>
    <x v="84"/>
    <x v="5"/>
  </r>
  <r>
    <x v="1784"/>
    <x v="333"/>
    <x v="122"/>
    <x v="1"/>
    <x v="0"/>
    <x v="0"/>
    <x v="3"/>
    <x v="7"/>
    <x v="10"/>
    <x v="266"/>
    <x v="84"/>
    <x v="5"/>
  </r>
  <r>
    <x v="1785"/>
    <x v="334"/>
    <x v="122"/>
    <x v="4"/>
    <x v="2"/>
    <x v="2"/>
    <x v="3"/>
    <x v="7"/>
    <x v="10"/>
    <x v="266"/>
    <x v="84"/>
    <x v="5"/>
  </r>
  <r>
    <x v="1786"/>
    <x v="335"/>
    <x v="122"/>
    <x v="3"/>
    <x v="1"/>
    <x v="1"/>
    <x v="3"/>
    <x v="7"/>
    <x v="10"/>
    <x v="266"/>
    <x v="84"/>
    <x v="5"/>
  </r>
  <r>
    <x v="1787"/>
    <x v="336"/>
    <x v="122"/>
    <x v="3"/>
    <x v="1"/>
    <x v="1"/>
    <x v="3"/>
    <x v="7"/>
    <x v="10"/>
    <x v="266"/>
    <x v="84"/>
    <x v="5"/>
  </r>
  <r>
    <x v="1788"/>
    <x v="337"/>
    <x v="122"/>
    <x v="3"/>
    <x v="1"/>
    <x v="1"/>
    <x v="3"/>
    <x v="7"/>
    <x v="10"/>
    <x v="266"/>
    <x v="84"/>
    <x v="5"/>
  </r>
  <r>
    <x v="1789"/>
    <x v="338"/>
    <x v="122"/>
    <x v="3"/>
    <x v="1"/>
    <x v="1"/>
    <x v="3"/>
    <x v="7"/>
    <x v="10"/>
    <x v="266"/>
    <x v="84"/>
    <x v="5"/>
  </r>
  <r>
    <x v="1790"/>
    <x v="270"/>
    <x v="116"/>
    <x v="3"/>
    <x v="1"/>
    <x v="1"/>
    <x v="5"/>
    <x v="3"/>
    <x v="39"/>
    <x v="201"/>
    <x v="84"/>
    <x v="5"/>
  </r>
  <r>
    <x v="1792"/>
    <x v="271"/>
    <x v="116"/>
    <x v="1"/>
    <x v="0"/>
    <x v="0"/>
    <x v="5"/>
    <x v="3"/>
    <x v="39"/>
    <x v="201"/>
    <x v="84"/>
    <x v="5"/>
  </r>
  <r>
    <x v="1793"/>
    <x v="272"/>
    <x v="116"/>
    <x v="4"/>
    <x v="2"/>
    <x v="2"/>
    <x v="5"/>
    <x v="3"/>
    <x v="39"/>
    <x v="201"/>
    <x v="84"/>
    <x v="5"/>
  </r>
  <r>
    <x v="1794"/>
    <x v="301"/>
    <x v="125"/>
    <x v="1"/>
    <x v="0"/>
    <x v="0"/>
    <x v="5"/>
    <x v="3"/>
    <x v="41"/>
    <x v="209"/>
    <x v="84"/>
    <x v="5"/>
  </r>
  <r>
    <x v="1795"/>
    <x v="302"/>
    <x v="125"/>
    <x v="4"/>
    <x v="2"/>
    <x v="2"/>
    <x v="5"/>
    <x v="3"/>
    <x v="41"/>
    <x v="209"/>
    <x v="84"/>
    <x v="5"/>
  </r>
  <r>
    <x v="1796"/>
    <x v="303"/>
    <x v="125"/>
    <x v="3"/>
    <x v="1"/>
    <x v="1"/>
    <x v="5"/>
    <x v="3"/>
    <x v="41"/>
    <x v="209"/>
    <x v="84"/>
    <x v="5"/>
  </r>
  <r>
    <x v="1797"/>
    <x v="304"/>
    <x v="125"/>
    <x v="3"/>
    <x v="1"/>
    <x v="1"/>
    <x v="5"/>
    <x v="3"/>
    <x v="41"/>
    <x v="209"/>
    <x v="84"/>
    <x v="5"/>
  </r>
  <r>
    <x v="1798"/>
    <x v="267"/>
    <x v="133"/>
    <x v="1"/>
    <x v="0"/>
    <x v="0"/>
    <x v="5"/>
    <x v="20"/>
    <x v="209"/>
    <x v="228"/>
    <x v="84"/>
    <x v="5"/>
  </r>
  <r>
    <x v="1799"/>
    <x v="268"/>
    <x v="133"/>
    <x v="3"/>
    <x v="1"/>
    <x v="1"/>
    <x v="5"/>
    <x v="20"/>
    <x v="209"/>
    <x v="228"/>
    <x v="84"/>
    <x v="5"/>
  </r>
  <r>
    <x v="1800"/>
    <x v="269"/>
    <x v="133"/>
    <x v="3"/>
    <x v="1"/>
    <x v="1"/>
    <x v="5"/>
    <x v="20"/>
    <x v="209"/>
    <x v="228"/>
    <x v="84"/>
    <x v="5"/>
  </r>
  <r>
    <x v="1801"/>
    <x v="1151"/>
    <x v="154"/>
    <x v="3"/>
    <x v="1"/>
    <x v="1"/>
    <x v="5"/>
    <x v="19"/>
    <x v="220"/>
    <x v="234"/>
    <x v="89"/>
    <x v="5"/>
  </r>
  <r>
    <x v="1803"/>
    <x v="1152"/>
    <x v="154"/>
    <x v="3"/>
    <x v="1"/>
    <x v="1"/>
    <x v="5"/>
    <x v="19"/>
    <x v="220"/>
    <x v="234"/>
    <x v="89"/>
    <x v="5"/>
  </r>
  <r>
    <x v="1804"/>
    <x v="1153"/>
    <x v="154"/>
    <x v="4"/>
    <x v="2"/>
    <x v="2"/>
    <x v="5"/>
    <x v="19"/>
    <x v="220"/>
    <x v="234"/>
    <x v="89"/>
    <x v="5"/>
  </r>
  <r>
    <x v="1805"/>
    <x v="1154"/>
    <x v="154"/>
    <x v="1"/>
    <x v="0"/>
    <x v="0"/>
    <x v="5"/>
    <x v="19"/>
    <x v="220"/>
    <x v="234"/>
    <x v="89"/>
    <x v="5"/>
  </r>
  <r>
    <x v="1806"/>
    <x v="1155"/>
    <x v="154"/>
    <x v="3"/>
    <x v="1"/>
    <x v="1"/>
    <x v="5"/>
    <x v="19"/>
    <x v="220"/>
    <x v="234"/>
    <x v="89"/>
    <x v="5"/>
  </r>
  <r>
    <x v="1807"/>
    <x v="528"/>
    <x v="202"/>
    <x v="3"/>
    <x v="1"/>
    <x v="1"/>
    <x v="3"/>
    <x v="34"/>
    <x v="363"/>
    <x v="294"/>
    <x v="72"/>
    <x v="5"/>
  </r>
  <r>
    <x v="1808"/>
    <x v="1904"/>
    <x v="202"/>
    <x v="3"/>
    <x v="1"/>
    <x v="1"/>
    <x v="3"/>
    <x v="34"/>
    <x v="363"/>
    <x v="294"/>
    <x v="72"/>
    <x v="5"/>
  </r>
  <r>
    <x v="1809"/>
    <x v="529"/>
    <x v="202"/>
    <x v="3"/>
    <x v="1"/>
    <x v="1"/>
    <x v="3"/>
    <x v="34"/>
    <x v="363"/>
    <x v="294"/>
    <x v="72"/>
    <x v="5"/>
  </r>
  <r>
    <x v="1810"/>
    <x v="530"/>
    <x v="202"/>
    <x v="3"/>
    <x v="1"/>
    <x v="1"/>
    <x v="3"/>
    <x v="34"/>
    <x v="363"/>
    <x v="294"/>
    <x v="72"/>
    <x v="5"/>
  </r>
  <r>
    <x v="1811"/>
    <x v="1045"/>
    <x v="202"/>
    <x v="1"/>
    <x v="0"/>
    <x v="0"/>
    <x v="3"/>
    <x v="34"/>
    <x v="363"/>
    <x v="294"/>
    <x v="72"/>
    <x v="5"/>
  </r>
  <r>
    <x v="1812"/>
    <x v="1046"/>
    <x v="202"/>
    <x v="3"/>
    <x v="1"/>
    <x v="1"/>
    <x v="3"/>
    <x v="34"/>
    <x v="363"/>
    <x v="294"/>
    <x v="72"/>
    <x v="5"/>
  </r>
  <r>
    <x v="1814"/>
    <x v="258"/>
    <x v="54"/>
    <x v="3"/>
    <x v="1"/>
    <x v="1"/>
    <x v="5"/>
    <x v="20"/>
    <x v="201"/>
    <x v="244"/>
    <x v="70"/>
    <x v="5"/>
  </r>
  <r>
    <x v="1815"/>
    <x v="259"/>
    <x v="54"/>
    <x v="3"/>
    <x v="1"/>
    <x v="1"/>
    <x v="5"/>
    <x v="20"/>
    <x v="201"/>
    <x v="244"/>
    <x v="70"/>
    <x v="5"/>
  </r>
  <r>
    <x v="1816"/>
    <x v="260"/>
    <x v="54"/>
    <x v="3"/>
    <x v="1"/>
    <x v="1"/>
    <x v="5"/>
    <x v="20"/>
    <x v="201"/>
    <x v="244"/>
    <x v="70"/>
    <x v="5"/>
  </r>
  <r>
    <x v="1817"/>
    <x v="261"/>
    <x v="54"/>
    <x v="3"/>
    <x v="1"/>
    <x v="1"/>
    <x v="5"/>
    <x v="20"/>
    <x v="201"/>
    <x v="244"/>
    <x v="70"/>
    <x v="5"/>
  </r>
  <r>
    <x v="1818"/>
    <x v="262"/>
    <x v="54"/>
    <x v="3"/>
    <x v="1"/>
    <x v="1"/>
    <x v="5"/>
    <x v="20"/>
    <x v="201"/>
    <x v="244"/>
    <x v="70"/>
    <x v="5"/>
  </r>
  <r>
    <x v="1819"/>
    <x v="263"/>
    <x v="54"/>
    <x v="3"/>
    <x v="1"/>
    <x v="1"/>
    <x v="5"/>
    <x v="20"/>
    <x v="201"/>
    <x v="244"/>
    <x v="70"/>
    <x v="5"/>
  </r>
  <r>
    <x v="1820"/>
    <x v="264"/>
    <x v="54"/>
    <x v="1"/>
    <x v="0"/>
    <x v="0"/>
    <x v="5"/>
    <x v="20"/>
    <x v="201"/>
    <x v="244"/>
    <x v="70"/>
    <x v="5"/>
  </r>
  <r>
    <x v="1821"/>
    <x v="273"/>
    <x v="279"/>
    <x v="1"/>
    <x v="0"/>
    <x v="0"/>
    <x v="5"/>
    <x v="19"/>
    <x v="210"/>
    <x v="231"/>
    <x v="84"/>
    <x v="5"/>
  </r>
  <r>
    <x v="1822"/>
    <x v="274"/>
    <x v="279"/>
    <x v="3"/>
    <x v="1"/>
    <x v="1"/>
    <x v="5"/>
    <x v="19"/>
    <x v="210"/>
    <x v="231"/>
    <x v="84"/>
    <x v="5"/>
  </r>
  <r>
    <x v="1823"/>
    <x v="275"/>
    <x v="279"/>
    <x v="3"/>
    <x v="1"/>
    <x v="1"/>
    <x v="5"/>
    <x v="19"/>
    <x v="210"/>
    <x v="231"/>
    <x v="84"/>
    <x v="5"/>
  </r>
  <r>
    <x v="1825"/>
    <x v="276"/>
    <x v="279"/>
    <x v="3"/>
    <x v="1"/>
    <x v="1"/>
    <x v="5"/>
    <x v="19"/>
    <x v="210"/>
    <x v="231"/>
    <x v="84"/>
    <x v="5"/>
  </r>
  <r>
    <x v="1826"/>
    <x v="514"/>
    <x v="363"/>
    <x v="3"/>
    <x v="1"/>
    <x v="1"/>
    <x v="3"/>
    <x v="34"/>
    <x v="368"/>
    <x v="296"/>
    <x v="84"/>
    <x v="5"/>
  </r>
  <r>
    <x v="1827"/>
    <x v="515"/>
    <x v="363"/>
    <x v="3"/>
    <x v="1"/>
    <x v="1"/>
    <x v="3"/>
    <x v="34"/>
    <x v="368"/>
    <x v="296"/>
    <x v="84"/>
    <x v="5"/>
  </r>
  <r>
    <x v="1828"/>
    <x v="516"/>
    <x v="363"/>
    <x v="3"/>
    <x v="1"/>
    <x v="1"/>
    <x v="3"/>
    <x v="34"/>
    <x v="368"/>
    <x v="296"/>
    <x v="84"/>
    <x v="5"/>
  </r>
  <r>
    <x v="1829"/>
    <x v="517"/>
    <x v="363"/>
    <x v="3"/>
    <x v="1"/>
    <x v="1"/>
    <x v="3"/>
    <x v="34"/>
    <x v="368"/>
    <x v="296"/>
    <x v="84"/>
    <x v="5"/>
  </r>
  <r>
    <x v="1830"/>
    <x v="518"/>
    <x v="363"/>
    <x v="1"/>
    <x v="0"/>
    <x v="0"/>
    <x v="3"/>
    <x v="34"/>
    <x v="368"/>
    <x v="296"/>
    <x v="84"/>
    <x v="5"/>
  </r>
  <r>
    <x v="1831"/>
    <x v="1182"/>
    <x v="412"/>
    <x v="1"/>
    <x v="0"/>
    <x v="0"/>
    <x v="5"/>
    <x v="19"/>
    <x v="221"/>
    <x v="233"/>
    <x v="70"/>
    <x v="5"/>
  </r>
  <r>
    <x v="1832"/>
    <x v="1183"/>
    <x v="412"/>
    <x v="4"/>
    <x v="2"/>
    <x v="2"/>
    <x v="5"/>
    <x v="19"/>
    <x v="221"/>
    <x v="233"/>
    <x v="70"/>
    <x v="5"/>
  </r>
  <r>
    <x v="1833"/>
    <x v="1184"/>
    <x v="412"/>
    <x v="3"/>
    <x v="1"/>
    <x v="1"/>
    <x v="5"/>
    <x v="19"/>
    <x v="221"/>
    <x v="233"/>
    <x v="70"/>
    <x v="5"/>
  </r>
  <r>
    <x v="1834"/>
    <x v="1185"/>
    <x v="412"/>
    <x v="3"/>
    <x v="1"/>
    <x v="1"/>
    <x v="5"/>
    <x v="19"/>
    <x v="221"/>
    <x v="233"/>
    <x v="70"/>
    <x v="5"/>
  </r>
  <r>
    <x v="1836"/>
    <x v="1186"/>
    <x v="412"/>
    <x v="3"/>
    <x v="1"/>
    <x v="1"/>
    <x v="5"/>
    <x v="19"/>
    <x v="221"/>
    <x v="233"/>
    <x v="70"/>
    <x v="5"/>
  </r>
  <r>
    <x v="1837"/>
    <x v="1187"/>
    <x v="412"/>
    <x v="3"/>
    <x v="1"/>
    <x v="1"/>
    <x v="5"/>
    <x v="19"/>
    <x v="221"/>
    <x v="233"/>
    <x v="70"/>
    <x v="5"/>
  </r>
  <r>
    <x v="1838"/>
    <x v="1188"/>
    <x v="412"/>
    <x v="3"/>
    <x v="1"/>
    <x v="1"/>
    <x v="5"/>
    <x v="19"/>
    <x v="221"/>
    <x v="233"/>
    <x v="70"/>
    <x v="5"/>
  </r>
  <r>
    <x v="1839"/>
    <x v="1189"/>
    <x v="412"/>
    <x v="3"/>
    <x v="1"/>
    <x v="1"/>
    <x v="5"/>
    <x v="19"/>
    <x v="221"/>
    <x v="233"/>
    <x v="70"/>
    <x v="5"/>
  </r>
  <r>
    <x v="1840"/>
    <x v="519"/>
    <x v="390"/>
    <x v="3"/>
    <x v="1"/>
    <x v="1"/>
    <x v="3"/>
    <x v="34"/>
    <x v="362"/>
    <x v="288"/>
    <x v="84"/>
    <x v="5"/>
  </r>
  <r>
    <x v="1841"/>
    <x v="520"/>
    <x v="390"/>
    <x v="3"/>
    <x v="1"/>
    <x v="1"/>
    <x v="3"/>
    <x v="34"/>
    <x v="362"/>
    <x v="288"/>
    <x v="84"/>
    <x v="5"/>
  </r>
  <r>
    <x v="1842"/>
    <x v="521"/>
    <x v="390"/>
    <x v="3"/>
    <x v="1"/>
    <x v="1"/>
    <x v="3"/>
    <x v="34"/>
    <x v="362"/>
    <x v="288"/>
    <x v="84"/>
    <x v="5"/>
  </r>
  <r>
    <x v="1843"/>
    <x v="522"/>
    <x v="390"/>
    <x v="4"/>
    <x v="2"/>
    <x v="2"/>
    <x v="3"/>
    <x v="34"/>
    <x v="362"/>
    <x v="288"/>
    <x v="84"/>
    <x v="5"/>
  </r>
  <r>
    <x v="1844"/>
    <x v="523"/>
    <x v="390"/>
    <x v="1"/>
    <x v="0"/>
    <x v="0"/>
    <x v="3"/>
    <x v="34"/>
    <x v="362"/>
    <x v="288"/>
    <x v="84"/>
    <x v="5"/>
  </r>
  <r>
    <x v="1845"/>
    <x v="248"/>
    <x v="188"/>
    <x v="1"/>
    <x v="0"/>
    <x v="0"/>
    <x v="5"/>
    <x v="19"/>
    <x v="207"/>
    <x v="229"/>
    <x v="84"/>
    <x v="5"/>
  </r>
  <r>
    <x v="1847"/>
    <x v="249"/>
    <x v="188"/>
    <x v="3"/>
    <x v="1"/>
    <x v="1"/>
    <x v="5"/>
    <x v="19"/>
    <x v="207"/>
    <x v="229"/>
    <x v="84"/>
    <x v="5"/>
  </r>
  <r>
    <x v="1848"/>
    <x v="250"/>
    <x v="188"/>
    <x v="3"/>
    <x v="1"/>
    <x v="1"/>
    <x v="5"/>
    <x v="19"/>
    <x v="207"/>
    <x v="229"/>
    <x v="84"/>
    <x v="5"/>
  </r>
  <r>
    <x v="1849"/>
    <x v="251"/>
    <x v="188"/>
    <x v="3"/>
    <x v="1"/>
    <x v="1"/>
    <x v="5"/>
    <x v="19"/>
    <x v="207"/>
    <x v="229"/>
    <x v="84"/>
    <x v="5"/>
  </r>
  <r>
    <x v="1850"/>
    <x v="265"/>
    <x v="188"/>
    <x v="3"/>
    <x v="1"/>
    <x v="1"/>
    <x v="5"/>
    <x v="19"/>
    <x v="207"/>
    <x v="229"/>
    <x v="84"/>
    <x v="5"/>
  </r>
  <r>
    <x v="1851"/>
    <x v="266"/>
    <x v="188"/>
    <x v="3"/>
    <x v="1"/>
    <x v="1"/>
    <x v="5"/>
    <x v="19"/>
    <x v="207"/>
    <x v="229"/>
    <x v="84"/>
    <x v="5"/>
  </r>
  <r>
    <x v="1852"/>
    <x v="99"/>
    <x v="392"/>
    <x v="3"/>
    <x v="1"/>
    <x v="1"/>
    <x v="5"/>
    <x v="20"/>
    <x v="203"/>
    <x v="239"/>
    <x v="84"/>
    <x v="5"/>
  </r>
  <r>
    <x v="1853"/>
    <x v="245"/>
    <x v="392"/>
    <x v="3"/>
    <x v="1"/>
    <x v="1"/>
    <x v="5"/>
    <x v="20"/>
    <x v="203"/>
    <x v="239"/>
    <x v="84"/>
    <x v="5"/>
  </r>
  <r>
    <x v="1854"/>
    <x v="246"/>
    <x v="392"/>
    <x v="3"/>
    <x v="1"/>
    <x v="1"/>
    <x v="5"/>
    <x v="20"/>
    <x v="203"/>
    <x v="239"/>
    <x v="84"/>
    <x v="5"/>
  </r>
  <r>
    <x v="1855"/>
    <x v="247"/>
    <x v="392"/>
    <x v="1"/>
    <x v="0"/>
    <x v="0"/>
    <x v="5"/>
    <x v="20"/>
    <x v="203"/>
    <x v="239"/>
    <x v="84"/>
    <x v="5"/>
  </r>
  <r>
    <x v="1856"/>
    <x v="1726"/>
    <x v="392"/>
    <x v="4"/>
    <x v="2"/>
    <x v="2"/>
    <x v="5"/>
    <x v="20"/>
    <x v="203"/>
    <x v="239"/>
    <x v="84"/>
    <x v="5"/>
  </r>
  <r>
    <x v="1859"/>
    <x v="719"/>
    <x v="14"/>
    <x v="1"/>
    <x v="0"/>
    <x v="0"/>
    <x v="1"/>
    <x v="29"/>
    <x v="291"/>
    <x v="123"/>
    <x v="44"/>
    <x v="5"/>
  </r>
  <r>
    <x v="1860"/>
    <x v="732"/>
    <x v="14"/>
    <x v="4"/>
    <x v="2"/>
    <x v="2"/>
    <x v="1"/>
    <x v="29"/>
    <x v="291"/>
    <x v="123"/>
    <x v="44"/>
    <x v="5"/>
  </r>
  <r>
    <x v="1861"/>
    <x v="720"/>
    <x v="14"/>
    <x v="3"/>
    <x v="1"/>
    <x v="1"/>
    <x v="1"/>
    <x v="29"/>
    <x v="291"/>
    <x v="123"/>
    <x v="44"/>
    <x v="5"/>
  </r>
  <r>
    <x v="1862"/>
    <x v="730"/>
    <x v="14"/>
    <x v="3"/>
    <x v="1"/>
    <x v="1"/>
    <x v="1"/>
    <x v="29"/>
    <x v="291"/>
    <x v="123"/>
    <x v="44"/>
    <x v="5"/>
  </r>
  <r>
    <x v="1863"/>
    <x v="727"/>
    <x v="14"/>
    <x v="3"/>
    <x v="1"/>
    <x v="1"/>
    <x v="1"/>
    <x v="29"/>
    <x v="291"/>
    <x v="123"/>
    <x v="44"/>
    <x v="5"/>
  </r>
  <r>
    <x v="1864"/>
    <x v="722"/>
    <x v="14"/>
    <x v="3"/>
    <x v="1"/>
    <x v="1"/>
    <x v="1"/>
    <x v="29"/>
    <x v="291"/>
    <x v="123"/>
    <x v="44"/>
    <x v="5"/>
  </r>
  <r>
    <x v="1865"/>
    <x v="723"/>
    <x v="14"/>
    <x v="3"/>
    <x v="1"/>
    <x v="1"/>
    <x v="1"/>
    <x v="29"/>
    <x v="291"/>
    <x v="123"/>
    <x v="44"/>
    <x v="5"/>
  </r>
  <r>
    <x v="1866"/>
    <x v="725"/>
    <x v="14"/>
    <x v="3"/>
    <x v="1"/>
    <x v="1"/>
    <x v="1"/>
    <x v="29"/>
    <x v="291"/>
    <x v="123"/>
    <x v="44"/>
    <x v="5"/>
  </r>
  <r>
    <x v="1867"/>
    <x v="724"/>
    <x v="14"/>
    <x v="3"/>
    <x v="1"/>
    <x v="1"/>
    <x v="1"/>
    <x v="29"/>
    <x v="291"/>
    <x v="123"/>
    <x v="44"/>
    <x v="5"/>
  </r>
  <r>
    <x v="1868"/>
    <x v="726"/>
    <x v="14"/>
    <x v="3"/>
    <x v="1"/>
    <x v="1"/>
    <x v="1"/>
    <x v="29"/>
    <x v="291"/>
    <x v="123"/>
    <x v="44"/>
    <x v="5"/>
  </r>
  <r>
    <x v="1870"/>
    <x v="707"/>
    <x v="14"/>
    <x v="3"/>
    <x v="1"/>
    <x v="1"/>
    <x v="1"/>
    <x v="29"/>
    <x v="291"/>
    <x v="123"/>
    <x v="44"/>
    <x v="5"/>
  </r>
  <r>
    <x v="1871"/>
    <x v="729"/>
    <x v="14"/>
    <x v="3"/>
    <x v="1"/>
    <x v="1"/>
    <x v="1"/>
    <x v="29"/>
    <x v="291"/>
    <x v="123"/>
    <x v="44"/>
    <x v="5"/>
  </r>
  <r>
    <x v="1872"/>
    <x v="733"/>
    <x v="14"/>
    <x v="3"/>
    <x v="1"/>
    <x v="1"/>
    <x v="1"/>
    <x v="29"/>
    <x v="291"/>
    <x v="123"/>
    <x v="44"/>
    <x v="5"/>
  </r>
  <r>
    <x v="1873"/>
    <x v="718"/>
    <x v="14"/>
    <x v="3"/>
    <x v="1"/>
    <x v="1"/>
    <x v="1"/>
    <x v="29"/>
    <x v="291"/>
    <x v="123"/>
    <x v="44"/>
    <x v="5"/>
  </r>
  <r>
    <x v="1874"/>
    <x v="721"/>
    <x v="14"/>
    <x v="3"/>
    <x v="1"/>
    <x v="1"/>
    <x v="1"/>
    <x v="29"/>
    <x v="291"/>
    <x v="123"/>
    <x v="44"/>
    <x v="5"/>
  </r>
  <r>
    <x v="1875"/>
    <x v="728"/>
    <x v="14"/>
    <x v="3"/>
    <x v="1"/>
    <x v="1"/>
    <x v="1"/>
    <x v="29"/>
    <x v="291"/>
    <x v="123"/>
    <x v="44"/>
    <x v="5"/>
  </r>
  <r>
    <x v="1876"/>
    <x v="731"/>
    <x v="14"/>
    <x v="3"/>
    <x v="1"/>
    <x v="1"/>
    <x v="1"/>
    <x v="29"/>
    <x v="291"/>
    <x v="123"/>
    <x v="44"/>
    <x v="5"/>
  </r>
  <r>
    <x v="1877"/>
    <x v="734"/>
    <x v="14"/>
    <x v="3"/>
    <x v="1"/>
    <x v="1"/>
    <x v="1"/>
    <x v="29"/>
    <x v="291"/>
    <x v="123"/>
    <x v="44"/>
    <x v="5"/>
  </r>
  <r>
    <x v="1878"/>
    <x v="1239"/>
    <x v="14"/>
    <x v="0"/>
    <x v="2"/>
    <x v="3"/>
    <x v="1"/>
    <x v="29"/>
    <x v="291"/>
    <x v="123"/>
    <x v="44"/>
    <x v="5"/>
  </r>
  <r>
    <x v="1879"/>
    <x v="776"/>
    <x v="23"/>
    <x v="3"/>
    <x v="1"/>
    <x v="1"/>
    <x v="3"/>
    <x v="5"/>
    <x v="134"/>
    <x v="318"/>
    <x v="87"/>
    <x v="5"/>
  </r>
  <r>
    <x v="1881"/>
    <x v="1888"/>
    <x v="23"/>
    <x v="3"/>
    <x v="1"/>
    <x v="1"/>
    <x v="3"/>
    <x v="5"/>
    <x v="134"/>
    <x v="318"/>
    <x v="87"/>
    <x v="5"/>
  </r>
  <r>
    <x v="1882"/>
    <x v="777"/>
    <x v="23"/>
    <x v="3"/>
    <x v="1"/>
    <x v="1"/>
    <x v="3"/>
    <x v="5"/>
    <x v="134"/>
    <x v="318"/>
    <x v="87"/>
    <x v="5"/>
  </r>
  <r>
    <x v="1883"/>
    <x v="778"/>
    <x v="23"/>
    <x v="3"/>
    <x v="1"/>
    <x v="1"/>
    <x v="3"/>
    <x v="5"/>
    <x v="134"/>
    <x v="318"/>
    <x v="87"/>
    <x v="5"/>
  </r>
  <r>
    <x v="1884"/>
    <x v="779"/>
    <x v="23"/>
    <x v="1"/>
    <x v="0"/>
    <x v="0"/>
    <x v="3"/>
    <x v="5"/>
    <x v="134"/>
    <x v="318"/>
    <x v="87"/>
    <x v="5"/>
  </r>
  <r>
    <x v="1885"/>
    <x v="76"/>
    <x v="97"/>
    <x v="3"/>
    <x v="1"/>
    <x v="1"/>
    <x v="3"/>
    <x v="6"/>
    <x v="140"/>
    <x v="316"/>
    <x v="76"/>
    <x v="5"/>
  </r>
  <r>
    <x v="1886"/>
    <x v="77"/>
    <x v="97"/>
    <x v="3"/>
    <x v="1"/>
    <x v="1"/>
    <x v="3"/>
    <x v="6"/>
    <x v="140"/>
    <x v="316"/>
    <x v="76"/>
    <x v="5"/>
  </r>
  <r>
    <x v="1887"/>
    <x v="78"/>
    <x v="97"/>
    <x v="3"/>
    <x v="1"/>
    <x v="1"/>
    <x v="3"/>
    <x v="6"/>
    <x v="140"/>
    <x v="316"/>
    <x v="76"/>
    <x v="5"/>
  </r>
  <r>
    <x v="1888"/>
    <x v="79"/>
    <x v="97"/>
    <x v="3"/>
    <x v="1"/>
    <x v="1"/>
    <x v="3"/>
    <x v="6"/>
    <x v="140"/>
    <x v="316"/>
    <x v="76"/>
    <x v="5"/>
  </r>
  <r>
    <x v="1889"/>
    <x v="80"/>
    <x v="97"/>
    <x v="1"/>
    <x v="0"/>
    <x v="0"/>
    <x v="3"/>
    <x v="6"/>
    <x v="140"/>
    <x v="316"/>
    <x v="76"/>
    <x v="5"/>
  </r>
  <r>
    <x v="1890"/>
    <x v="825"/>
    <x v="99"/>
    <x v="1"/>
    <x v="0"/>
    <x v="0"/>
    <x v="3"/>
    <x v="6"/>
    <x v="116"/>
    <x v="319"/>
    <x v="70"/>
    <x v="5"/>
  </r>
  <r>
    <x v="1892"/>
    <x v="817"/>
    <x v="99"/>
    <x v="3"/>
    <x v="1"/>
    <x v="1"/>
    <x v="3"/>
    <x v="6"/>
    <x v="116"/>
    <x v="319"/>
    <x v="70"/>
    <x v="5"/>
  </r>
  <r>
    <x v="1893"/>
    <x v="816"/>
    <x v="99"/>
    <x v="3"/>
    <x v="1"/>
    <x v="1"/>
    <x v="3"/>
    <x v="6"/>
    <x v="116"/>
    <x v="319"/>
    <x v="70"/>
    <x v="5"/>
  </r>
  <r>
    <x v="1894"/>
    <x v="815"/>
    <x v="99"/>
    <x v="3"/>
    <x v="1"/>
    <x v="1"/>
    <x v="3"/>
    <x v="6"/>
    <x v="116"/>
    <x v="319"/>
    <x v="70"/>
    <x v="5"/>
  </r>
  <r>
    <x v="1895"/>
    <x v="822"/>
    <x v="99"/>
    <x v="3"/>
    <x v="1"/>
    <x v="1"/>
    <x v="3"/>
    <x v="6"/>
    <x v="116"/>
    <x v="319"/>
    <x v="70"/>
    <x v="5"/>
  </r>
  <r>
    <x v="1896"/>
    <x v="823"/>
    <x v="99"/>
    <x v="3"/>
    <x v="1"/>
    <x v="1"/>
    <x v="3"/>
    <x v="6"/>
    <x v="116"/>
    <x v="319"/>
    <x v="70"/>
    <x v="5"/>
  </r>
  <r>
    <x v="1897"/>
    <x v="824"/>
    <x v="99"/>
    <x v="3"/>
    <x v="1"/>
    <x v="1"/>
    <x v="3"/>
    <x v="6"/>
    <x v="116"/>
    <x v="319"/>
    <x v="70"/>
    <x v="5"/>
  </r>
  <r>
    <x v="1898"/>
    <x v="814"/>
    <x v="99"/>
    <x v="3"/>
    <x v="1"/>
    <x v="1"/>
    <x v="3"/>
    <x v="6"/>
    <x v="116"/>
    <x v="319"/>
    <x v="70"/>
    <x v="5"/>
  </r>
  <r>
    <x v="1899"/>
    <x v="818"/>
    <x v="99"/>
    <x v="3"/>
    <x v="1"/>
    <x v="1"/>
    <x v="3"/>
    <x v="6"/>
    <x v="116"/>
    <x v="319"/>
    <x v="70"/>
    <x v="5"/>
  </r>
  <r>
    <x v="1900"/>
    <x v="813"/>
    <x v="99"/>
    <x v="3"/>
    <x v="1"/>
    <x v="1"/>
    <x v="3"/>
    <x v="6"/>
    <x v="116"/>
    <x v="319"/>
    <x v="70"/>
    <x v="5"/>
  </r>
  <r>
    <x v="1901"/>
    <x v="764"/>
    <x v="100"/>
    <x v="1"/>
    <x v="0"/>
    <x v="0"/>
    <x v="3"/>
    <x v="5"/>
    <x v="136"/>
    <x v="317"/>
    <x v="76"/>
    <x v="5"/>
  </r>
  <r>
    <x v="1903"/>
    <x v="773"/>
    <x v="100"/>
    <x v="3"/>
    <x v="1"/>
    <x v="1"/>
    <x v="3"/>
    <x v="5"/>
    <x v="136"/>
    <x v="317"/>
    <x v="76"/>
    <x v="5"/>
  </r>
  <r>
    <x v="1904"/>
    <x v="774"/>
    <x v="100"/>
    <x v="3"/>
    <x v="1"/>
    <x v="1"/>
    <x v="3"/>
    <x v="5"/>
    <x v="136"/>
    <x v="317"/>
    <x v="76"/>
    <x v="5"/>
  </r>
  <r>
    <x v="1905"/>
    <x v="775"/>
    <x v="100"/>
    <x v="3"/>
    <x v="1"/>
    <x v="1"/>
    <x v="3"/>
    <x v="5"/>
    <x v="136"/>
    <x v="317"/>
    <x v="76"/>
    <x v="5"/>
  </r>
  <r>
    <x v="1906"/>
    <x v="1892"/>
    <x v="100"/>
    <x v="3"/>
    <x v="1"/>
    <x v="1"/>
    <x v="3"/>
    <x v="5"/>
    <x v="136"/>
    <x v="317"/>
    <x v="76"/>
    <x v="5"/>
  </r>
  <r>
    <x v="1907"/>
    <x v="1510"/>
    <x v="100"/>
    <x v="3"/>
    <x v="1"/>
    <x v="1"/>
    <x v="3"/>
    <x v="5"/>
    <x v="136"/>
    <x v="317"/>
    <x v="76"/>
    <x v="5"/>
  </r>
  <r>
    <x v="1908"/>
    <x v="812"/>
    <x v="281"/>
    <x v="1"/>
    <x v="0"/>
    <x v="0"/>
    <x v="3"/>
    <x v="6"/>
    <x v="138"/>
    <x v="324"/>
    <x v="76"/>
    <x v="5"/>
  </r>
  <r>
    <x v="1909"/>
    <x v="811"/>
    <x v="281"/>
    <x v="3"/>
    <x v="1"/>
    <x v="1"/>
    <x v="3"/>
    <x v="6"/>
    <x v="138"/>
    <x v="324"/>
    <x v="76"/>
    <x v="5"/>
  </r>
  <r>
    <x v="1910"/>
    <x v="1889"/>
    <x v="281"/>
    <x v="3"/>
    <x v="1"/>
    <x v="1"/>
    <x v="3"/>
    <x v="6"/>
    <x v="138"/>
    <x v="324"/>
    <x v="76"/>
    <x v="5"/>
  </r>
  <r>
    <x v="1911"/>
    <x v="1890"/>
    <x v="281"/>
    <x v="3"/>
    <x v="1"/>
    <x v="1"/>
    <x v="3"/>
    <x v="6"/>
    <x v="138"/>
    <x v="324"/>
    <x v="76"/>
    <x v="5"/>
  </r>
  <r>
    <x v="1912"/>
    <x v="765"/>
    <x v="195"/>
    <x v="3"/>
    <x v="1"/>
    <x v="1"/>
    <x v="3"/>
    <x v="6"/>
    <x v="135"/>
    <x v="322"/>
    <x v="76"/>
    <x v="5"/>
  </r>
  <r>
    <x v="1914"/>
    <x v="766"/>
    <x v="195"/>
    <x v="3"/>
    <x v="1"/>
    <x v="1"/>
    <x v="3"/>
    <x v="6"/>
    <x v="135"/>
    <x v="322"/>
    <x v="76"/>
    <x v="5"/>
  </r>
  <r>
    <x v="1915"/>
    <x v="1609"/>
    <x v="195"/>
    <x v="3"/>
    <x v="1"/>
    <x v="1"/>
    <x v="3"/>
    <x v="6"/>
    <x v="135"/>
    <x v="322"/>
    <x v="76"/>
    <x v="5"/>
  </r>
  <r>
    <x v="1916"/>
    <x v="767"/>
    <x v="195"/>
    <x v="1"/>
    <x v="0"/>
    <x v="0"/>
    <x v="3"/>
    <x v="6"/>
    <x v="135"/>
    <x v="322"/>
    <x v="76"/>
    <x v="5"/>
  </r>
  <r>
    <x v="1917"/>
    <x v="1363"/>
    <x v="195"/>
    <x v="3"/>
    <x v="1"/>
    <x v="1"/>
    <x v="3"/>
    <x v="6"/>
    <x v="135"/>
    <x v="322"/>
    <x v="76"/>
    <x v="5"/>
  </r>
  <r>
    <x v="1918"/>
    <x v="787"/>
    <x v="212"/>
    <x v="4"/>
    <x v="2"/>
    <x v="2"/>
    <x v="3"/>
    <x v="4"/>
    <x v="132"/>
    <x v="332"/>
    <x v="84"/>
    <x v="5"/>
  </r>
  <r>
    <x v="1919"/>
    <x v="788"/>
    <x v="212"/>
    <x v="1"/>
    <x v="0"/>
    <x v="0"/>
    <x v="3"/>
    <x v="4"/>
    <x v="132"/>
    <x v="332"/>
    <x v="84"/>
    <x v="5"/>
  </r>
  <r>
    <x v="1920"/>
    <x v="789"/>
    <x v="212"/>
    <x v="3"/>
    <x v="1"/>
    <x v="1"/>
    <x v="3"/>
    <x v="4"/>
    <x v="132"/>
    <x v="332"/>
    <x v="84"/>
    <x v="5"/>
  </r>
  <r>
    <x v="1921"/>
    <x v="790"/>
    <x v="212"/>
    <x v="3"/>
    <x v="1"/>
    <x v="1"/>
    <x v="3"/>
    <x v="4"/>
    <x v="132"/>
    <x v="332"/>
    <x v="84"/>
    <x v="5"/>
  </r>
  <r>
    <x v="1922"/>
    <x v="1852"/>
    <x v="212"/>
    <x v="3"/>
    <x v="1"/>
    <x v="1"/>
    <x v="3"/>
    <x v="4"/>
    <x v="132"/>
    <x v="332"/>
    <x v="84"/>
    <x v="5"/>
  </r>
  <r>
    <x v="1923"/>
    <x v="791"/>
    <x v="212"/>
    <x v="3"/>
    <x v="1"/>
    <x v="1"/>
    <x v="3"/>
    <x v="4"/>
    <x v="132"/>
    <x v="332"/>
    <x v="84"/>
    <x v="5"/>
  </r>
  <r>
    <x v="1925"/>
    <x v="792"/>
    <x v="212"/>
    <x v="3"/>
    <x v="1"/>
    <x v="1"/>
    <x v="3"/>
    <x v="4"/>
    <x v="132"/>
    <x v="332"/>
    <x v="84"/>
    <x v="5"/>
  </r>
  <r>
    <x v="1926"/>
    <x v="509"/>
    <x v="113"/>
    <x v="1"/>
    <x v="0"/>
    <x v="0"/>
    <x v="3"/>
    <x v="15"/>
    <x v="153"/>
    <x v="267"/>
    <x v="84"/>
    <x v="5"/>
  </r>
  <r>
    <x v="1927"/>
    <x v="510"/>
    <x v="113"/>
    <x v="3"/>
    <x v="1"/>
    <x v="1"/>
    <x v="3"/>
    <x v="15"/>
    <x v="153"/>
    <x v="267"/>
    <x v="84"/>
    <x v="5"/>
  </r>
  <r>
    <x v="1928"/>
    <x v="511"/>
    <x v="113"/>
    <x v="3"/>
    <x v="1"/>
    <x v="1"/>
    <x v="3"/>
    <x v="15"/>
    <x v="153"/>
    <x v="267"/>
    <x v="84"/>
    <x v="5"/>
  </r>
  <r>
    <x v="1929"/>
    <x v="512"/>
    <x v="113"/>
    <x v="3"/>
    <x v="1"/>
    <x v="1"/>
    <x v="3"/>
    <x v="15"/>
    <x v="153"/>
    <x v="267"/>
    <x v="84"/>
    <x v="5"/>
  </r>
  <r>
    <x v="1930"/>
    <x v="513"/>
    <x v="113"/>
    <x v="3"/>
    <x v="1"/>
    <x v="1"/>
    <x v="3"/>
    <x v="15"/>
    <x v="153"/>
    <x v="267"/>
    <x v="84"/>
    <x v="5"/>
  </r>
  <r>
    <x v="1931"/>
    <x v="1900"/>
    <x v="113"/>
    <x v="4"/>
    <x v="2"/>
    <x v="2"/>
    <x v="3"/>
    <x v="15"/>
    <x v="153"/>
    <x v="267"/>
    <x v="84"/>
    <x v="5"/>
  </r>
  <r>
    <x v="1932"/>
    <x v="1585"/>
    <x v="343"/>
    <x v="3"/>
    <x v="1"/>
    <x v="1"/>
    <x v="3"/>
    <x v="15"/>
    <x v="155"/>
    <x v="268"/>
    <x v="84"/>
    <x v="5"/>
  </r>
  <r>
    <x v="1933"/>
    <x v="524"/>
    <x v="343"/>
    <x v="3"/>
    <x v="1"/>
    <x v="1"/>
    <x v="3"/>
    <x v="15"/>
    <x v="155"/>
    <x v="268"/>
    <x v="84"/>
    <x v="5"/>
  </r>
  <r>
    <x v="1934"/>
    <x v="525"/>
    <x v="343"/>
    <x v="3"/>
    <x v="1"/>
    <x v="1"/>
    <x v="3"/>
    <x v="15"/>
    <x v="155"/>
    <x v="268"/>
    <x v="84"/>
    <x v="5"/>
  </r>
  <r>
    <x v="1936"/>
    <x v="1586"/>
    <x v="343"/>
    <x v="3"/>
    <x v="1"/>
    <x v="1"/>
    <x v="3"/>
    <x v="15"/>
    <x v="155"/>
    <x v="268"/>
    <x v="84"/>
    <x v="5"/>
  </r>
  <r>
    <x v="1937"/>
    <x v="526"/>
    <x v="343"/>
    <x v="3"/>
    <x v="1"/>
    <x v="1"/>
    <x v="3"/>
    <x v="15"/>
    <x v="155"/>
    <x v="268"/>
    <x v="84"/>
    <x v="5"/>
  </r>
  <r>
    <x v="1938"/>
    <x v="527"/>
    <x v="343"/>
    <x v="1"/>
    <x v="0"/>
    <x v="0"/>
    <x v="3"/>
    <x v="15"/>
    <x v="155"/>
    <x v="268"/>
    <x v="84"/>
    <x v="5"/>
  </r>
  <r>
    <x v="1939"/>
    <x v="1397"/>
    <x v="343"/>
    <x v="3"/>
    <x v="1"/>
    <x v="1"/>
    <x v="3"/>
    <x v="15"/>
    <x v="155"/>
    <x v="268"/>
    <x v="84"/>
    <x v="5"/>
  </r>
  <r>
    <x v="1940"/>
    <x v="751"/>
    <x v="129"/>
    <x v="3"/>
    <x v="1"/>
    <x v="1"/>
    <x v="3"/>
    <x v="6"/>
    <x v="115"/>
    <x v="320"/>
    <x v="87"/>
    <x v="5"/>
  </r>
  <r>
    <x v="1941"/>
    <x v="752"/>
    <x v="129"/>
    <x v="3"/>
    <x v="1"/>
    <x v="1"/>
    <x v="3"/>
    <x v="6"/>
    <x v="115"/>
    <x v="320"/>
    <x v="87"/>
    <x v="5"/>
  </r>
  <r>
    <x v="1942"/>
    <x v="753"/>
    <x v="129"/>
    <x v="3"/>
    <x v="1"/>
    <x v="1"/>
    <x v="3"/>
    <x v="6"/>
    <x v="115"/>
    <x v="320"/>
    <x v="87"/>
    <x v="5"/>
  </r>
  <r>
    <x v="1943"/>
    <x v="754"/>
    <x v="129"/>
    <x v="3"/>
    <x v="1"/>
    <x v="1"/>
    <x v="3"/>
    <x v="6"/>
    <x v="115"/>
    <x v="320"/>
    <x v="87"/>
    <x v="5"/>
  </r>
  <r>
    <x v="1944"/>
    <x v="755"/>
    <x v="129"/>
    <x v="3"/>
    <x v="1"/>
    <x v="1"/>
    <x v="3"/>
    <x v="6"/>
    <x v="115"/>
    <x v="320"/>
    <x v="87"/>
    <x v="5"/>
  </r>
  <r>
    <x v="1945"/>
    <x v="760"/>
    <x v="129"/>
    <x v="4"/>
    <x v="2"/>
    <x v="2"/>
    <x v="3"/>
    <x v="6"/>
    <x v="115"/>
    <x v="320"/>
    <x v="87"/>
    <x v="5"/>
  </r>
  <r>
    <x v="1947"/>
    <x v="761"/>
    <x v="129"/>
    <x v="1"/>
    <x v="0"/>
    <x v="0"/>
    <x v="3"/>
    <x v="6"/>
    <x v="115"/>
    <x v="320"/>
    <x v="87"/>
    <x v="5"/>
  </r>
  <r>
    <x v="1948"/>
    <x v="762"/>
    <x v="200"/>
    <x v="1"/>
    <x v="0"/>
    <x v="0"/>
    <x v="3"/>
    <x v="5"/>
    <x v="122"/>
    <x v="310"/>
    <x v="76"/>
    <x v="5"/>
  </r>
  <r>
    <x v="1949"/>
    <x v="763"/>
    <x v="200"/>
    <x v="4"/>
    <x v="2"/>
    <x v="2"/>
    <x v="3"/>
    <x v="5"/>
    <x v="122"/>
    <x v="310"/>
    <x v="76"/>
    <x v="5"/>
  </r>
  <r>
    <x v="1950"/>
    <x v="768"/>
    <x v="200"/>
    <x v="3"/>
    <x v="1"/>
    <x v="1"/>
    <x v="3"/>
    <x v="5"/>
    <x v="122"/>
    <x v="310"/>
    <x v="76"/>
    <x v="5"/>
  </r>
  <r>
    <x v="1951"/>
    <x v="769"/>
    <x v="200"/>
    <x v="3"/>
    <x v="1"/>
    <x v="1"/>
    <x v="3"/>
    <x v="5"/>
    <x v="122"/>
    <x v="310"/>
    <x v="76"/>
    <x v="5"/>
  </r>
  <r>
    <x v="1952"/>
    <x v="770"/>
    <x v="200"/>
    <x v="3"/>
    <x v="1"/>
    <x v="1"/>
    <x v="3"/>
    <x v="5"/>
    <x v="122"/>
    <x v="310"/>
    <x v="76"/>
    <x v="5"/>
  </r>
  <r>
    <x v="1953"/>
    <x v="771"/>
    <x v="200"/>
    <x v="3"/>
    <x v="1"/>
    <x v="1"/>
    <x v="3"/>
    <x v="5"/>
    <x v="122"/>
    <x v="310"/>
    <x v="76"/>
    <x v="5"/>
  </r>
  <r>
    <x v="1954"/>
    <x v="772"/>
    <x v="200"/>
    <x v="3"/>
    <x v="1"/>
    <x v="1"/>
    <x v="3"/>
    <x v="5"/>
    <x v="122"/>
    <x v="310"/>
    <x v="76"/>
    <x v="5"/>
  </r>
  <r>
    <x v="1955"/>
    <x v="802"/>
    <x v="98"/>
    <x v="1"/>
    <x v="0"/>
    <x v="0"/>
    <x v="3"/>
    <x v="5"/>
    <x v="121"/>
    <x v="312"/>
    <x v="76"/>
    <x v="5"/>
  </r>
  <r>
    <x v="1956"/>
    <x v="801"/>
    <x v="98"/>
    <x v="4"/>
    <x v="2"/>
    <x v="2"/>
    <x v="3"/>
    <x v="5"/>
    <x v="121"/>
    <x v="312"/>
    <x v="76"/>
    <x v="5"/>
  </r>
  <r>
    <x v="1958"/>
    <x v="798"/>
    <x v="98"/>
    <x v="3"/>
    <x v="1"/>
    <x v="1"/>
    <x v="3"/>
    <x v="5"/>
    <x v="121"/>
    <x v="312"/>
    <x v="76"/>
    <x v="5"/>
  </r>
  <r>
    <x v="1959"/>
    <x v="799"/>
    <x v="98"/>
    <x v="3"/>
    <x v="1"/>
    <x v="1"/>
    <x v="3"/>
    <x v="5"/>
    <x v="121"/>
    <x v="312"/>
    <x v="76"/>
    <x v="5"/>
  </r>
  <r>
    <x v="1960"/>
    <x v="800"/>
    <x v="98"/>
    <x v="3"/>
    <x v="1"/>
    <x v="1"/>
    <x v="3"/>
    <x v="5"/>
    <x v="121"/>
    <x v="312"/>
    <x v="76"/>
    <x v="5"/>
  </r>
  <r>
    <x v="1961"/>
    <x v="793"/>
    <x v="161"/>
    <x v="3"/>
    <x v="1"/>
    <x v="1"/>
    <x v="3"/>
    <x v="5"/>
    <x v="126"/>
    <x v="309"/>
    <x v="87"/>
    <x v="5"/>
  </r>
  <r>
    <x v="1962"/>
    <x v="794"/>
    <x v="161"/>
    <x v="3"/>
    <x v="1"/>
    <x v="1"/>
    <x v="3"/>
    <x v="5"/>
    <x v="126"/>
    <x v="309"/>
    <x v="87"/>
    <x v="5"/>
  </r>
  <r>
    <x v="1963"/>
    <x v="795"/>
    <x v="161"/>
    <x v="3"/>
    <x v="1"/>
    <x v="1"/>
    <x v="3"/>
    <x v="5"/>
    <x v="126"/>
    <x v="309"/>
    <x v="87"/>
    <x v="5"/>
  </r>
  <r>
    <x v="1964"/>
    <x v="796"/>
    <x v="161"/>
    <x v="4"/>
    <x v="2"/>
    <x v="2"/>
    <x v="3"/>
    <x v="5"/>
    <x v="126"/>
    <x v="309"/>
    <x v="87"/>
    <x v="5"/>
  </r>
  <r>
    <x v="1965"/>
    <x v="797"/>
    <x v="161"/>
    <x v="1"/>
    <x v="0"/>
    <x v="0"/>
    <x v="3"/>
    <x v="5"/>
    <x v="126"/>
    <x v="309"/>
    <x v="87"/>
    <x v="5"/>
  </r>
  <r>
    <x v="1966"/>
    <x v="67"/>
    <x v="162"/>
    <x v="3"/>
    <x v="1"/>
    <x v="1"/>
    <x v="3"/>
    <x v="5"/>
    <x v="125"/>
    <x v="323"/>
    <x v="73"/>
    <x v="5"/>
  </r>
  <r>
    <x v="1967"/>
    <x v="68"/>
    <x v="162"/>
    <x v="3"/>
    <x v="1"/>
    <x v="1"/>
    <x v="3"/>
    <x v="5"/>
    <x v="125"/>
    <x v="323"/>
    <x v="73"/>
    <x v="5"/>
  </r>
  <r>
    <x v="3"/>
    <x v="69"/>
    <x v="162"/>
    <x v="3"/>
    <x v="1"/>
    <x v="1"/>
    <x v="3"/>
    <x v="5"/>
    <x v="125"/>
    <x v="323"/>
    <x v="73"/>
    <x v="5"/>
  </r>
  <r>
    <x v="4"/>
    <x v="70"/>
    <x v="162"/>
    <x v="1"/>
    <x v="0"/>
    <x v="0"/>
    <x v="3"/>
    <x v="5"/>
    <x v="125"/>
    <x v="323"/>
    <x v="73"/>
    <x v="5"/>
  </r>
  <r>
    <x v="5"/>
    <x v="71"/>
    <x v="162"/>
    <x v="3"/>
    <x v="1"/>
    <x v="1"/>
    <x v="3"/>
    <x v="5"/>
    <x v="125"/>
    <x v="323"/>
    <x v="73"/>
    <x v="5"/>
  </r>
  <r>
    <x v="6"/>
    <x v="72"/>
    <x v="162"/>
    <x v="3"/>
    <x v="1"/>
    <x v="1"/>
    <x v="3"/>
    <x v="5"/>
    <x v="125"/>
    <x v="323"/>
    <x v="73"/>
    <x v="5"/>
  </r>
  <r>
    <x v="7"/>
    <x v="73"/>
    <x v="162"/>
    <x v="3"/>
    <x v="1"/>
    <x v="1"/>
    <x v="3"/>
    <x v="5"/>
    <x v="125"/>
    <x v="323"/>
    <x v="73"/>
    <x v="5"/>
  </r>
  <r>
    <x v="8"/>
    <x v="74"/>
    <x v="162"/>
    <x v="3"/>
    <x v="1"/>
    <x v="1"/>
    <x v="3"/>
    <x v="5"/>
    <x v="125"/>
    <x v="323"/>
    <x v="73"/>
    <x v="5"/>
  </r>
  <r>
    <x v="9"/>
    <x v="75"/>
    <x v="162"/>
    <x v="3"/>
    <x v="1"/>
    <x v="1"/>
    <x v="3"/>
    <x v="5"/>
    <x v="125"/>
    <x v="323"/>
    <x v="73"/>
    <x v="5"/>
  </r>
  <r>
    <x v="10"/>
    <x v="1813"/>
    <x v="162"/>
    <x v="4"/>
    <x v="2"/>
    <x v="2"/>
    <x v="3"/>
    <x v="5"/>
    <x v="125"/>
    <x v="323"/>
    <x v="73"/>
    <x v="5"/>
  </r>
  <r>
    <x v="11"/>
    <x v="780"/>
    <x v="30"/>
    <x v="3"/>
    <x v="1"/>
    <x v="1"/>
    <x v="3"/>
    <x v="5"/>
    <x v="119"/>
    <x v="338"/>
    <x v="84"/>
    <x v="5"/>
  </r>
  <r>
    <x v="12"/>
    <x v="781"/>
    <x v="30"/>
    <x v="3"/>
    <x v="1"/>
    <x v="1"/>
    <x v="3"/>
    <x v="5"/>
    <x v="119"/>
    <x v="338"/>
    <x v="84"/>
    <x v="5"/>
  </r>
  <r>
    <x v="14"/>
    <x v="782"/>
    <x v="30"/>
    <x v="3"/>
    <x v="1"/>
    <x v="1"/>
    <x v="3"/>
    <x v="5"/>
    <x v="119"/>
    <x v="338"/>
    <x v="84"/>
    <x v="5"/>
  </r>
  <r>
    <x v="15"/>
    <x v="783"/>
    <x v="30"/>
    <x v="3"/>
    <x v="1"/>
    <x v="1"/>
    <x v="3"/>
    <x v="5"/>
    <x v="119"/>
    <x v="338"/>
    <x v="84"/>
    <x v="5"/>
  </r>
  <r>
    <x v="16"/>
    <x v="784"/>
    <x v="30"/>
    <x v="3"/>
    <x v="1"/>
    <x v="1"/>
    <x v="3"/>
    <x v="5"/>
    <x v="119"/>
    <x v="338"/>
    <x v="84"/>
    <x v="5"/>
  </r>
  <r>
    <x v="17"/>
    <x v="785"/>
    <x v="30"/>
    <x v="3"/>
    <x v="1"/>
    <x v="1"/>
    <x v="3"/>
    <x v="5"/>
    <x v="119"/>
    <x v="338"/>
    <x v="84"/>
    <x v="5"/>
  </r>
  <r>
    <x v="18"/>
    <x v="786"/>
    <x v="30"/>
    <x v="1"/>
    <x v="0"/>
    <x v="0"/>
    <x v="3"/>
    <x v="5"/>
    <x v="119"/>
    <x v="338"/>
    <x v="84"/>
    <x v="5"/>
  </r>
  <r>
    <x v="19"/>
    <x v="803"/>
    <x v="111"/>
    <x v="3"/>
    <x v="1"/>
    <x v="1"/>
    <x v="3"/>
    <x v="4"/>
    <x v="123"/>
    <x v="326"/>
    <x v="71"/>
    <x v="5"/>
  </r>
  <r>
    <x v="20"/>
    <x v="804"/>
    <x v="111"/>
    <x v="3"/>
    <x v="1"/>
    <x v="1"/>
    <x v="3"/>
    <x v="4"/>
    <x v="123"/>
    <x v="326"/>
    <x v="71"/>
    <x v="5"/>
  </r>
  <r>
    <x v="21"/>
    <x v="805"/>
    <x v="111"/>
    <x v="3"/>
    <x v="1"/>
    <x v="1"/>
    <x v="3"/>
    <x v="4"/>
    <x v="123"/>
    <x v="326"/>
    <x v="71"/>
    <x v="5"/>
  </r>
  <r>
    <x v="22"/>
    <x v="1846"/>
    <x v="111"/>
    <x v="3"/>
    <x v="1"/>
    <x v="1"/>
    <x v="3"/>
    <x v="4"/>
    <x v="123"/>
    <x v="326"/>
    <x v="71"/>
    <x v="5"/>
  </r>
  <r>
    <x v="23"/>
    <x v="1811"/>
    <x v="111"/>
    <x v="3"/>
    <x v="1"/>
    <x v="1"/>
    <x v="3"/>
    <x v="4"/>
    <x v="123"/>
    <x v="326"/>
    <x v="71"/>
    <x v="5"/>
  </r>
  <r>
    <x v="25"/>
    <x v="806"/>
    <x v="111"/>
    <x v="3"/>
    <x v="1"/>
    <x v="1"/>
    <x v="3"/>
    <x v="4"/>
    <x v="123"/>
    <x v="326"/>
    <x v="71"/>
    <x v="5"/>
  </r>
  <r>
    <x v="26"/>
    <x v="807"/>
    <x v="111"/>
    <x v="3"/>
    <x v="1"/>
    <x v="1"/>
    <x v="3"/>
    <x v="4"/>
    <x v="123"/>
    <x v="326"/>
    <x v="71"/>
    <x v="5"/>
  </r>
  <r>
    <x v="27"/>
    <x v="808"/>
    <x v="111"/>
    <x v="3"/>
    <x v="1"/>
    <x v="1"/>
    <x v="3"/>
    <x v="4"/>
    <x v="123"/>
    <x v="326"/>
    <x v="71"/>
    <x v="5"/>
  </r>
  <r>
    <x v="28"/>
    <x v="809"/>
    <x v="111"/>
    <x v="4"/>
    <x v="2"/>
    <x v="2"/>
    <x v="3"/>
    <x v="4"/>
    <x v="123"/>
    <x v="326"/>
    <x v="71"/>
    <x v="5"/>
  </r>
  <r>
    <x v="29"/>
    <x v="810"/>
    <x v="111"/>
    <x v="1"/>
    <x v="0"/>
    <x v="0"/>
    <x v="3"/>
    <x v="4"/>
    <x v="123"/>
    <x v="326"/>
    <x v="71"/>
    <x v="5"/>
  </r>
  <r>
    <x v="30"/>
    <x v="756"/>
    <x v="354"/>
    <x v="3"/>
    <x v="1"/>
    <x v="1"/>
    <x v="3"/>
    <x v="4"/>
    <x v="127"/>
    <x v="311"/>
    <x v="84"/>
    <x v="5"/>
  </r>
  <r>
    <x v="31"/>
    <x v="757"/>
    <x v="354"/>
    <x v="3"/>
    <x v="1"/>
    <x v="1"/>
    <x v="3"/>
    <x v="4"/>
    <x v="127"/>
    <x v="311"/>
    <x v="84"/>
    <x v="5"/>
  </r>
  <r>
    <x v="32"/>
    <x v="758"/>
    <x v="354"/>
    <x v="3"/>
    <x v="1"/>
    <x v="1"/>
    <x v="3"/>
    <x v="4"/>
    <x v="127"/>
    <x v="311"/>
    <x v="84"/>
    <x v="5"/>
  </r>
  <r>
    <x v="33"/>
    <x v="759"/>
    <x v="354"/>
    <x v="3"/>
    <x v="1"/>
    <x v="1"/>
    <x v="3"/>
    <x v="4"/>
    <x v="127"/>
    <x v="311"/>
    <x v="84"/>
    <x v="5"/>
  </r>
  <r>
    <x v="34"/>
    <x v="1915"/>
    <x v="354"/>
    <x v="5"/>
    <x v="0"/>
    <x v="0"/>
    <x v="3"/>
    <x v="4"/>
    <x v="127"/>
    <x v="311"/>
    <x v="84"/>
    <x v="5"/>
  </r>
  <r>
    <x v="36"/>
    <x v="1608"/>
    <x v="354"/>
    <x v="4"/>
    <x v="2"/>
    <x v="2"/>
    <x v="3"/>
    <x v="4"/>
    <x v="127"/>
    <x v="311"/>
    <x v="84"/>
    <x v="5"/>
  </r>
  <r>
    <x v="37"/>
    <x v="1610"/>
    <x v="354"/>
    <x v="3"/>
    <x v="1"/>
    <x v="1"/>
    <x v="3"/>
    <x v="4"/>
    <x v="127"/>
    <x v="311"/>
    <x v="84"/>
    <x v="5"/>
  </r>
  <r>
    <x v="38"/>
    <x v="81"/>
    <x v="208"/>
    <x v="3"/>
    <x v="1"/>
    <x v="1"/>
    <x v="3"/>
    <x v="4"/>
    <x v="130"/>
    <x v="331"/>
    <x v="87"/>
    <x v="5"/>
  </r>
  <r>
    <x v="39"/>
    <x v="82"/>
    <x v="208"/>
    <x v="3"/>
    <x v="1"/>
    <x v="1"/>
    <x v="3"/>
    <x v="4"/>
    <x v="130"/>
    <x v="331"/>
    <x v="87"/>
    <x v="5"/>
  </r>
  <r>
    <x v="40"/>
    <x v="83"/>
    <x v="208"/>
    <x v="3"/>
    <x v="1"/>
    <x v="1"/>
    <x v="3"/>
    <x v="4"/>
    <x v="130"/>
    <x v="331"/>
    <x v="87"/>
    <x v="5"/>
  </r>
  <r>
    <x v="41"/>
    <x v="84"/>
    <x v="208"/>
    <x v="3"/>
    <x v="1"/>
    <x v="1"/>
    <x v="3"/>
    <x v="4"/>
    <x v="130"/>
    <x v="331"/>
    <x v="87"/>
    <x v="5"/>
  </r>
  <r>
    <x v="42"/>
    <x v="85"/>
    <x v="208"/>
    <x v="1"/>
    <x v="0"/>
    <x v="0"/>
    <x v="3"/>
    <x v="4"/>
    <x v="130"/>
    <x v="331"/>
    <x v="87"/>
    <x v="5"/>
  </r>
  <r>
    <x v="43"/>
    <x v="969"/>
    <x v="26"/>
    <x v="3"/>
    <x v="1"/>
    <x v="1"/>
    <x v="4"/>
    <x v="35"/>
    <x v="398"/>
    <x v="359"/>
    <x v="84"/>
    <x v="5"/>
  </r>
  <r>
    <x v="44"/>
    <x v="995"/>
    <x v="26"/>
    <x v="4"/>
    <x v="2"/>
    <x v="2"/>
    <x v="4"/>
    <x v="35"/>
    <x v="398"/>
    <x v="359"/>
    <x v="84"/>
    <x v="5"/>
  </r>
  <r>
    <x v="45"/>
    <x v="996"/>
    <x v="26"/>
    <x v="3"/>
    <x v="1"/>
    <x v="1"/>
    <x v="4"/>
    <x v="35"/>
    <x v="398"/>
    <x v="359"/>
    <x v="84"/>
    <x v="5"/>
  </r>
  <r>
    <x v="47"/>
    <x v="997"/>
    <x v="26"/>
    <x v="3"/>
    <x v="1"/>
    <x v="1"/>
    <x v="4"/>
    <x v="35"/>
    <x v="398"/>
    <x v="359"/>
    <x v="84"/>
    <x v="5"/>
  </r>
  <r>
    <x v="48"/>
    <x v="998"/>
    <x v="26"/>
    <x v="3"/>
    <x v="1"/>
    <x v="1"/>
    <x v="4"/>
    <x v="35"/>
    <x v="398"/>
    <x v="359"/>
    <x v="84"/>
    <x v="5"/>
  </r>
  <r>
    <x v="49"/>
    <x v="999"/>
    <x v="26"/>
    <x v="3"/>
    <x v="1"/>
    <x v="1"/>
    <x v="4"/>
    <x v="35"/>
    <x v="398"/>
    <x v="359"/>
    <x v="84"/>
    <x v="5"/>
  </r>
  <r>
    <x v="50"/>
    <x v="1000"/>
    <x v="26"/>
    <x v="3"/>
    <x v="1"/>
    <x v="1"/>
    <x v="4"/>
    <x v="35"/>
    <x v="398"/>
    <x v="359"/>
    <x v="84"/>
    <x v="5"/>
  </r>
  <r>
    <x v="51"/>
    <x v="1001"/>
    <x v="26"/>
    <x v="1"/>
    <x v="0"/>
    <x v="0"/>
    <x v="4"/>
    <x v="35"/>
    <x v="398"/>
    <x v="359"/>
    <x v="84"/>
    <x v="5"/>
  </r>
  <r>
    <x v="52"/>
    <x v="45"/>
    <x v="104"/>
    <x v="3"/>
    <x v="1"/>
    <x v="1"/>
    <x v="4"/>
    <x v="35"/>
    <x v="399"/>
    <x v="350"/>
    <x v="84"/>
    <x v="5"/>
  </r>
  <r>
    <x v="53"/>
    <x v="48"/>
    <x v="104"/>
    <x v="1"/>
    <x v="0"/>
    <x v="0"/>
    <x v="4"/>
    <x v="35"/>
    <x v="399"/>
    <x v="350"/>
    <x v="84"/>
    <x v="5"/>
  </r>
  <r>
    <x v="54"/>
    <x v="1772"/>
    <x v="104"/>
    <x v="3"/>
    <x v="1"/>
    <x v="1"/>
    <x v="4"/>
    <x v="35"/>
    <x v="399"/>
    <x v="350"/>
    <x v="84"/>
    <x v="5"/>
  </r>
  <r>
    <x v="55"/>
    <x v="49"/>
    <x v="104"/>
    <x v="3"/>
    <x v="1"/>
    <x v="1"/>
    <x v="4"/>
    <x v="35"/>
    <x v="399"/>
    <x v="350"/>
    <x v="84"/>
    <x v="5"/>
  </r>
  <r>
    <x v="56"/>
    <x v="50"/>
    <x v="104"/>
    <x v="3"/>
    <x v="1"/>
    <x v="1"/>
    <x v="4"/>
    <x v="35"/>
    <x v="399"/>
    <x v="350"/>
    <x v="84"/>
    <x v="5"/>
  </r>
  <r>
    <x v="58"/>
    <x v="1301"/>
    <x v="104"/>
    <x v="3"/>
    <x v="1"/>
    <x v="1"/>
    <x v="4"/>
    <x v="35"/>
    <x v="399"/>
    <x v="350"/>
    <x v="84"/>
    <x v="5"/>
  </r>
  <r>
    <x v="59"/>
    <x v="385"/>
    <x v="185"/>
    <x v="3"/>
    <x v="1"/>
    <x v="1"/>
    <x v="4"/>
    <x v="37"/>
    <x v="375"/>
    <x v="367"/>
    <x v="55"/>
    <x v="5"/>
  </r>
  <r>
    <x v="60"/>
    <x v="386"/>
    <x v="185"/>
    <x v="1"/>
    <x v="0"/>
    <x v="0"/>
    <x v="4"/>
    <x v="37"/>
    <x v="375"/>
    <x v="367"/>
    <x v="55"/>
    <x v="5"/>
  </r>
  <r>
    <x v="61"/>
    <x v="387"/>
    <x v="185"/>
    <x v="3"/>
    <x v="1"/>
    <x v="1"/>
    <x v="4"/>
    <x v="37"/>
    <x v="375"/>
    <x v="367"/>
    <x v="55"/>
    <x v="5"/>
  </r>
  <r>
    <x v="62"/>
    <x v="388"/>
    <x v="185"/>
    <x v="3"/>
    <x v="1"/>
    <x v="1"/>
    <x v="4"/>
    <x v="37"/>
    <x v="375"/>
    <x v="367"/>
    <x v="55"/>
    <x v="5"/>
  </r>
  <r>
    <x v="63"/>
    <x v="389"/>
    <x v="185"/>
    <x v="3"/>
    <x v="1"/>
    <x v="1"/>
    <x v="4"/>
    <x v="37"/>
    <x v="375"/>
    <x v="367"/>
    <x v="55"/>
    <x v="5"/>
  </r>
  <r>
    <x v="64"/>
    <x v="390"/>
    <x v="185"/>
    <x v="3"/>
    <x v="1"/>
    <x v="1"/>
    <x v="4"/>
    <x v="37"/>
    <x v="375"/>
    <x v="367"/>
    <x v="55"/>
    <x v="5"/>
  </r>
  <r>
    <x v="65"/>
    <x v="391"/>
    <x v="185"/>
    <x v="3"/>
    <x v="1"/>
    <x v="1"/>
    <x v="4"/>
    <x v="37"/>
    <x v="375"/>
    <x v="367"/>
    <x v="55"/>
    <x v="5"/>
  </r>
  <r>
    <x v="66"/>
    <x v="392"/>
    <x v="185"/>
    <x v="3"/>
    <x v="1"/>
    <x v="1"/>
    <x v="4"/>
    <x v="37"/>
    <x v="375"/>
    <x v="367"/>
    <x v="55"/>
    <x v="5"/>
  </r>
  <r>
    <x v="67"/>
    <x v="393"/>
    <x v="185"/>
    <x v="3"/>
    <x v="1"/>
    <x v="1"/>
    <x v="4"/>
    <x v="37"/>
    <x v="375"/>
    <x v="367"/>
    <x v="55"/>
    <x v="5"/>
  </r>
  <r>
    <x v="69"/>
    <x v="394"/>
    <x v="185"/>
    <x v="3"/>
    <x v="1"/>
    <x v="1"/>
    <x v="4"/>
    <x v="37"/>
    <x v="375"/>
    <x v="367"/>
    <x v="55"/>
    <x v="5"/>
  </r>
  <r>
    <x v="70"/>
    <x v="395"/>
    <x v="185"/>
    <x v="4"/>
    <x v="2"/>
    <x v="2"/>
    <x v="4"/>
    <x v="37"/>
    <x v="375"/>
    <x v="367"/>
    <x v="55"/>
    <x v="5"/>
  </r>
  <r>
    <x v="71"/>
    <x v="2"/>
    <x v="400"/>
    <x v="1"/>
    <x v="0"/>
    <x v="0"/>
    <x v="4"/>
    <x v="35"/>
    <x v="388"/>
    <x v="355"/>
    <x v="84"/>
    <x v="5"/>
  </r>
  <r>
    <x v="72"/>
    <x v="3"/>
    <x v="400"/>
    <x v="3"/>
    <x v="1"/>
    <x v="1"/>
    <x v="4"/>
    <x v="35"/>
    <x v="388"/>
    <x v="355"/>
    <x v="84"/>
    <x v="5"/>
  </r>
  <r>
    <x v="73"/>
    <x v="5"/>
    <x v="400"/>
    <x v="3"/>
    <x v="1"/>
    <x v="1"/>
    <x v="4"/>
    <x v="35"/>
    <x v="388"/>
    <x v="355"/>
    <x v="84"/>
    <x v="5"/>
  </r>
  <r>
    <x v="74"/>
    <x v="1908"/>
    <x v="400"/>
    <x v="3"/>
    <x v="1"/>
    <x v="1"/>
    <x v="4"/>
    <x v="35"/>
    <x v="388"/>
    <x v="355"/>
    <x v="84"/>
    <x v="5"/>
  </r>
  <r>
    <x v="75"/>
    <x v="6"/>
    <x v="400"/>
    <x v="3"/>
    <x v="1"/>
    <x v="1"/>
    <x v="4"/>
    <x v="35"/>
    <x v="388"/>
    <x v="355"/>
    <x v="84"/>
    <x v="5"/>
  </r>
  <r>
    <x v="76"/>
    <x v="7"/>
    <x v="400"/>
    <x v="3"/>
    <x v="1"/>
    <x v="1"/>
    <x v="4"/>
    <x v="35"/>
    <x v="388"/>
    <x v="355"/>
    <x v="84"/>
    <x v="5"/>
  </r>
  <r>
    <x v="77"/>
    <x v="8"/>
    <x v="400"/>
    <x v="3"/>
    <x v="1"/>
    <x v="1"/>
    <x v="4"/>
    <x v="35"/>
    <x v="388"/>
    <x v="355"/>
    <x v="84"/>
    <x v="5"/>
  </r>
  <r>
    <x v="78"/>
    <x v="340"/>
    <x v="402"/>
    <x v="1"/>
    <x v="0"/>
    <x v="0"/>
    <x v="4"/>
    <x v="37"/>
    <x v="389"/>
    <x v="353"/>
    <x v="84"/>
    <x v="5"/>
  </r>
  <r>
    <x v="80"/>
    <x v="341"/>
    <x v="402"/>
    <x v="3"/>
    <x v="1"/>
    <x v="1"/>
    <x v="4"/>
    <x v="37"/>
    <x v="389"/>
    <x v="353"/>
    <x v="84"/>
    <x v="5"/>
  </r>
  <r>
    <x v="81"/>
    <x v="342"/>
    <x v="402"/>
    <x v="3"/>
    <x v="1"/>
    <x v="1"/>
    <x v="4"/>
    <x v="37"/>
    <x v="389"/>
    <x v="353"/>
    <x v="84"/>
    <x v="5"/>
  </r>
  <r>
    <x v="82"/>
    <x v="343"/>
    <x v="402"/>
    <x v="3"/>
    <x v="1"/>
    <x v="1"/>
    <x v="4"/>
    <x v="37"/>
    <x v="389"/>
    <x v="353"/>
    <x v="84"/>
    <x v="5"/>
  </r>
  <r>
    <x v="83"/>
    <x v="344"/>
    <x v="402"/>
    <x v="3"/>
    <x v="1"/>
    <x v="1"/>
    <x v="4"/>
    <x v="37"/>
    <x v="389"/>
    <x v="353"/>
    <x v="84"/>
    <x v="5"/>
  </r>
  <r>
    <x v="84"/>
    <x v="345"/>
    <x v="402"/>
    <x v="3"/>
    <x v="1"/>
    <x v="1"/>
    <x v="4"/>
    <x v="37"/>
    <x v="389"/>
    <x v="353"/>
    <x v="84"/>
    <x v="5"/>
  </r>
  <r>
    <x v="85"/>
    <x v="346"/>
    <x v="402"/>
    <x v="3"/>
    <x v="1"/>
    <x v="1"/>
    <x v="4"/>
    <x v="37"/>
    <x v="389"/>
    <x v="353"/>
    <x v="84"/>
    <x v="5"/>
  </r>
  <r>
    <x v="86"/>
    <x v="362"/>
    <x v="355"/>
    <x v="3"/>
    <x v="1"/>
    <x v="1"/>
    <x v="4"/>
    <x v="37"/>
    <x v="417"/>
    <x v="352"/>
    <x v="87"/>
    <x v="5"/>
  </r>
  <r>
    <x v="87"/>
    <x v="363"/>
    <x v="355"/>
    <x v="3"/>
    <x v="1"/>
    <x v="1"/>
    <x v="4"/>
    <x v="37"/>
    <x v="417"/>
    <x v="352"/>
    <x v="87"/>
    <x v="5"/>
  </r>
  <r>
    <x v="88"/>
    <x v="364"/>
    <x v="355"/>
    <x v="3"/>
    <x v="1"/>
    <x v="1"/>
    <x v="4"/>
    <x v="37"/>
    <x v="417"/>
    <x v="352"/>
    <x v="87"/>
    <x v="5"/>
  </r>
  <r>
    <x v="89"/>
    <x v="365"/>
    <x v="355"/>
    <x v="1"/>
    <x v="0"/>
    <x v="0"/>
    <x v="4"/>
    <x v="37"/>
    <x v="417"/>
    <x v="352"/>
    <x v="87"/>
    <x v="5"/>
  </r>
  <r>
    <x v="91"/>
    <x v="1911"/>
    <x v="355"/>
    <x v="3"/>
    <x v="1"/>
    <x v="1"/>
    <x v="4"/>
    <x v="37"/>
    <x v="417"/>
    <x v="352"/>
    <x v="87"/>
    <x v="5"/>
  </r>
  <r>
    <x v="92"/>
    <x v="10"/>
    <x v="191"/>
    <x v="3"/>
    <x v="1"/>
    <x v="1"/>
    <x v="4"/>
    <x v="35"/>
    <x v="396"/>
    <x v="351"/>
    <x v="84"/>
    <x v="5"/>
  </r>
  <r>
    <x v="93"/>
    <x v="11"/>
    <x v="191"/>
    <x v="3"/>
    <x v="1"/>
    <x v="1"/>
    <x v="4"/>
    <x v="35"/>
    <x v="396"/>
    <x v="351"/>
    <x v="84"/>
    <x v="5"/>
  </r>
  <r>
    <x v="94"/>
    <x v="12"/>
    <x v="191"/>
    <x v="3"/>
    <x v="1"/>
    <x v="1"/>
    <x v="4"/>
    <x v="35"/>
    <x v="396"/>
    <x v="351"/>
    <x v="84"/>
    <x v="5"/>
  </r>
  <r>
    <x v="95"/>
    <x v="13"/>
    <x v="191"/>
    <x v="3"/>
    <x v="1"/>
    <x v="1"/>
    <x v="4"/>
    <x v="35"/>
    <x v="396"/>
    <x v="351"/>
    <x v="84"/>
    <x v="5"/>
  </r>
  <r>
    <x v="96"/>
    <x v="14"/>
    <x v="191"/>
    <x v="3"/>
    <x v="1"/>
    <x v="1"/>
    <x v="4"/>
    <x v="35"/>
    <x v="396"/>
    <x v="351"/>
    <x v="84"/>
    <x v="5"/>
  </r>
  <r>
    <x v="97"/>
    <x v="15"/>
    <x v="191"/>
    <x v="1"/>
    <x v="0"/>
    <x v="0"/>
    <x v="4"/>
    <x v="35"/>
    <x v="396"/>
    <x v="351"/>
    <x v="84"/>
    <x v="5"/>
  </r>
  <r>
    <x v="98"/>
    <x v="379"/>
    <x v="2"/>
    <x v="3"/>
    <x v="1"/>
    <x v="1"/>
    <x v="4"/>
    <x v="36"/>
    <x v="379"/>
    <x v="348"/>
    <x v="84"/>
    <x v="5"/>
  </r>
  <r>
    <x v="99"/>
    <x v="380"/>
    <x v="2"/>
    <x v="3"/>
    <x v="1"/>
    <x v="1"/>
    <x v="4"/>
    <x v="36"/>
    <x v="379"/>
    <x v="348"/>
    <x v="84"/>
    <x v="5"/>
  </r>
  <r>
    <x v="100"/>
    <x v="381"/>
    <x v="2"/>
    <x v="3"/>
    <x v="1"/>
    <x v="1"/>
    <x v="4"/>
    <x v="36"/>
    <x v="379"/>
    <x v="348"/>
    <x v="84"/>
    <x v="5"/>
  </r>
  <r>
    <x v="102"/>
    <x v="1666"/>
    <x v="2"/>
    <x v="3"/>
    <x v="1"/>
    <x v="1"/>
    <x v="4"/>
    <x v="36"/>
    <x v="379"/>
    <x v="348"/>
    <x v="84"/>
    <x v="5"/>
  </r>
  <r>
    <x v="103"/>
    <x v="382"/>
    <x v="2"/>
    <x v="3"/>
    <x v="1"/>
    <x v="1"/>
    <x v="4"/>
    <x v="36"/>
    <x v="379"/>
    <x v="348"/>
    <x v="84"/>
    <x v="5"/>
  </r>
  <r>
    <x v="104"/>
    <x v="383"/>
    <x v="2"/>
    <x v="4"/>
    <x v="2"/>
    <x v="2"/>
    <x v="4"/>
    <x v="36"/>
    <x v="379"/>
    <x v="348"/>
    <x v="84"/>
    <x v="5"/>
  </r>
  <r>
    <x v="105"/>
    <x v="384"/>
    <x v="2"/>
    <x v="1"/>
    <x v="0"/>
    <x v="0"/>
    <x v="4"/>
    <x v="36"/>
    <x v="379"/>
    <x v="348"/>
    <x v="84"/>
    <x v="5"/>
  </r>
  <r>
    <x v="106"/>
    <x v="978"/>
    <x v="152"/>
    <x v="3"/>
    <x v="1"/>
    <x v="1"/>
    <x v="4"/>
    <x v="39"/>
    <x v="402"/>
    <x v="362"/>
    <x v="90"/>
    <x v="5"/>
  </r>
  <r>
    <x v="107"/>
    <x v="979"/>
    <x v="152"/>
    <x v="3"/>
    <x v="1"/>
    <x v="1"/>
    <x v="4"/>
    <x v="39"/>
    <x v="402"/>
    <x v="362"/>
    <x v="90"/>
    <x v="5"/>
  </r>
  <r>
    <x v="108"/>
    <x v="980"/>
    <x v="152"/>
    <x v="3"/>
    <x v="1"/>
    <x v="1"/>
    <x v="4"/>
    <x v="39"/>
    <x v="402"/>
    <x v="362"/>
    <x v="90"/>
    <x v="5"/>
  </r>
  <r>
    <x v="109"/>
    <x v="981"/>
    <x v="152"/>
    <x v="3"/>
    <x v="1"/>
    <x v="1"/>
    <x v="4"/>
    <x v="39"/>
    <x v="402"/>
    <x v="362"/>
    <x v="90"/>
    <x v="5"/>
  </r>
  <r>
    <x v="110"/>
    <x v="982"/>
    <x v="152"/>
    <x v="1"/>
    <x v="0"/>
    <x v="0"/>
    <x v="4"/>
    <x v="39"/>
    <x v="402"/>
    <x v="362"/>
    <x v="90"/>
    <x v="5"/>
  </r>
  <r>
    <x v="111"/>
    <x v="983"/>
    <x v="152"/>
    <x v="4"/>
    <x v="2"/>
    <x v="2"/>
    <x v="4"/>
    <x v="39"/>
    <x v="402"/>
    <x v="362"/>
    <x v="90"/>
    <x v="5"/>
  </r>
  <r>
    <x v="114"/>
    <x v="402"/>
    <x v="21"/>
    <x v="1"/>
    <x v="0"/>
    <x v="0"/>
    <x v="4"/>
    <x v="36"/>
    <x v="392"/>
    <x v="347"/>
    <x v="84"/>
    <x v="5"/>
  </r>
  <r>
    <x v="115"/>
    <x v="403"/>
    <x v="21"/>
    <x v="4"/>
    <x v="2"/>
    <x v="2"/>
    <x v="4"/>
    <x v="36"/>
    <x v="392"/>
    <x v="347"/>
    <x v="84"/>
    <x v="5"/>
  </r>
  <r>
    <x v="116"/>
    <x v="404"/>
    <x v="21"/>
    <x v="3"/>
    <x v="1"/>
    <x v="1"/>
    <x v="4"/>
    <x v="36"/>
    <x v="392"/>
    <x v="347"/>
    <x v="84"/>
    <x v="5"/>
  </r>
  <r>
    <x v="117"/>
    <x v="405"/>
    <x v="21"/>
    <x v="3"/>
    <x v="1"/>
    <x v="1"/>
    <x v="4"/>
    <x v="36"/>
    <x v="392"/>
    <x v="347"/>
    <x v="84"/>
    <x v="5"/>
  </r>
  <r>
    <x v="118"/>
    <x v="406"/>
    <x v="21"/>
    <x v="3"/>
    <x v="1"/>
    <x v="1"/>
    <x v="4"/>
    <x v="36"/>
    <x v="392"/>
    <x v="347"/>
    <x v="84"/>
    <x v="5"/>
  </r>
  <r>
    <x v="119"/>
    <x v="407"/>
    <x v="21"/>
    <x v="3"/>
    <x v="1"/>
    <x v="1"/>
    <x v="4"/>
    <x v="36"/>
    <x v="392"/>
    <x v="347"/>
    <x v="84"/>
    <x v="5"/>
  </r>
  <r>
    <x v="120"/>
    <x v="408"/>
    <x v="21"/>
    <x v="3"/>
    <x v="1"/>
    <x v="1"/>
    <x v="4"/>
    <x v="36"/>
    <x v="392"/>
    <x v="347"/>
    <x v="84"/>
    <x v="5"/>
  </r>
  <r>
    <x v="121"/>
    <x v="409"/>
    <x v="21"/>
    <x v="3"/>
    <x v="1"/>
    <x v="1"/>
    <x v="4"/>
    <x v="36"/>
    <x v="392"/>
    <x v="347"/>
    <x v="84"/>
    <x v="5"/>
  </r>
  <r>
    <x v="122"/>
    <x v="34"/>
    <x v="197"/>
    <x v="3"/>
    <x v="1"/>
    <x v="1"/>
    <x v="4"/>
    <x v="37"/>
    <x v="415"/>
    <x v="354"/>
    <x v="53"/>
    <x v="5"/>
  </r>
  <r>
    <x v="123"/>
    <x v="35"/>
    <x v="197"/>
    <x v="3"/>
    <x v="1"/>
    <x v="1"/>
    <x v="4"/>
    <x v="37"/>
    <x v="415"/>
    <x v="354"/>
    <x v="53"/>
    <x v="5"/>
  </r>
  <r>
    <x v="125"/>
    <x v="36"/>
    <x v="197"/>
    <x v="3"/>
    <x v="1"/>
    <x v="1"/>
    <x v="4"/>
    <x v="37"/>
    <x v="415"/>
    <x v="354"/>
    <x v="53"/>
    <x v="5"/>
  </r>
  <r>
    <x v="126"/>
    <x v="37"/>
    <x v="197"/>
    <x v="3"/>
    <x v="1"/>
    <x v="1"/>
    <x v="4"/>
    <x v="37"/>
    <x v="415"/>
    <x v="354"/>
    <x v="53"/>
    <x v="5"/>
  </r>
  <r>
    <x v="127"/>
    <x v="38"/>
    <x v="197"/>
    <x v="3"/>
    <x v="1"/>
    <x v="1"/>
    <x v="4"/>
    <x v="37"/>
    <x v="415"/>
    <x v="354"/>
    <x v="53"/>
    <x v="5"/>
  </r>
  <r>
    <x v="128"/>
    <x v="39"/>
    <x v="197"/>
    <x v="3"/>
    <x v="1"/>
    <x v="1"/>
    <x v="4"/>
    <x v="37"/>
    <x v="415"/>
    <x v="354"/>
    <x v="53"/>
    <x v="5"/>
  </r>
  <r>
    <x v="129"/>
    <x v="40"/>
    <x v="197"/>
    <x v="3"/>
    <x v="1"/>
    <x v="1"/>
    <x v="4"/>
    <x v="37"/>
    <x v="415"/>
    <x v="354"/>
    <x v="53"/>
    <x v="5"/>
  </r>
  <r>
    <x v="130"/>
    <x v="41"/>
    <x v="197"/>
    <x v="3"/>
    <x v="1"/>
    <x v="1"/>
    <x v="4"/>
    <x v="37"/>
    <x v="415"/>
    <x v="354"/>
    <x v="53"/>
    <x v="5"/>
  </r>
  <r>
    <x v="131"/>
    <x v="42"/>
    <x v="197"/>
    <x v="3"/>
    <x v="1"/>
    <x v="1"/>
    <x v="4"/>
    <x v="37"/>
    <x v="415"/>
    <x v="354"/>
    <x v="53"/>
    <x v="5"/>
  </r>
  <r>
    <x v="132"/>
    <x v="43"/>
    <x v="197"/>
    <x v="4"/>
    <x v="2"/>
    <x v="2"/>
    <x v="4"/>
    <x v="37"/>
    <x v="415"/>
    <x v="354"/>
    <x v="53"/>
    <x v="5"/>
  </r>
  <r>
    <x v="133"/>
    <x v="44"/>
    <x v="197"/>
    <x v="1"/>
    <x v="0"/>
    <x v="0"/>
    <x v="4"/>
    <x v="37"/>
    <x v="415"/>
    <x v="354"/>
    <x v="53"/>
    <x v="5"/>
  </r>
  <r>
    <x v="134"/>
    <x v="419"/>
    <x v="365"/>
    <x v="1"/>
    <x v="0"/>
    <x v="0"/>
    <x v="4"/>
    <x v="36"/>
    <x v="416"/>
    <x v="366"/>
    <x v="82"/>
    <x v="5"/>
  </r>
  <r>
    <x v="136"/>
    <x v="420"/>
    <x v="365"/>
    <x v="3"/>
    <x v="1"/>
    <x v="1"/>
    <x v="4"/>
    <x v="36"/>
    <x v="416"/>
    <x v="366"/>
    <x v="82"/>
    <x v="5"/>
  </r>
  <r>
    <x v="137"/>
    <x v="421"/>
    <x v="365"/>
    <x v="3"/>
    <x v="1"/>
    <x v="1"/>
    <x v="4"/>
    <x v="36"/>
    <x v="416"/>
    <x v="366"/>
    <x v="82"/>
    <x v="5"/>
  </r>
  <r>
    <x v="138"/>
    <x v="422"/>
    <x v="365"/>
    <x v="3"/>
    <x v="1"/>
    <x v="1"/>
    <x v="4"/>
    <x v="36"/>
    <x v="416"/>
    <x v="366"/>
    <x v="82"/>
    <x v="5"/>
  </r>
  <r>
    <x v="139"/>
    <x v="423"/>
    <x v="365"/>
    <x v="3"/>
    <x v="1"/>
    <x v="1"/>
    <x v="4"/>
    <x v="36"/>
    <x v="416"/>
    <x v="366"/>
    <x v="82"/>
    <x v="5"/>
  </r>
  <r>
    <x v="140"/>
    <x v="366"/>
    <x v="397"/>
    <x v="3"/>
    <x v="1"/>
    <x v="1"/>
    <x v="4"/>
    <x v="39"/>
    <x v="393"/>
    <x v="360"/>
    <x v="69"/>
    <x v="5"/>
  </r>
  <r>
    <x v="141"/>
    <x v="367"/>
    <x v="397"/>
    <x v="3"/>
    <x v="1"/>
    <x v="1"/>
    <x v="4"/>
    <x v="39"/>
    <x v="393"/>
    <x v="360"/>
    <x v="69"/>
    <x v="5"/>
  </r>
  <r>
    <x v="142"/>
    <x v="368"/>
    <x v="397"/>
    <x v="3"/>
    <x v="1"/>
    <x v="1"/>
    <x v="4"/>
    <x v="39"/>
    <x v="393"/>
    <x v="360"/>
    <x v="69"/>
    <x v="5"/>
  </r>
  <r>
    <x v="143"/>
    <x v="369"/>
    <x v="397"/>
    <x v="3"/>
    <x v="1"/>
    <x v="1"/>
    <x v="4"/>
    <x v="39"/>
    <x v="393"/>
    <x v="360"/>
    <x v="69"/>
    <x v="5"/>
  </r>
  <r>
    <x v="144"/>
    <x v="370"/>
    <x v="397"/>
    <x v="3"/>
    <x v="1"/>
    <x v="1"/>
    <x v="4"/>
    <x v="39"/>
    <x v="393"/>
    <x v="360"/>
    <x v="69"/>
    <x v="5"/>
  </r>
  <r>
    <x v="145"/>
    <x v="371"/>
    <x v="397"/>
    <x v="3"/>
    <x v="1"/>
    <x v="1"/>
    <x v="4"/>
    <x v="39"/>
    <x v="393"/>
    <x v="360"/>
    <x v="69"/>
    <x v="5"/>
  </r>
  <r>
    <x v="147"/>
    <x v="372"/>
    <x v="397"/>
    <x v="3"/>
    <x v="1"/>
    <x v="1"/>
    <x v="4"/>
    <x v="39"/>
    <x v="393"/>
    <x v="360"/>
    <x v="69"/>
    <x v="5"/>
  </r>
  <r>
    <x v="148"/>
    <x v="373"/>
    <x v="397"/>
    <x v="3"/>
    <x v="1"/>
    <x v="1"/>
    <x v="4"/>
    <x v="39"/>
    <x v="393"/>
    <x v="360"/>
    <x v="69"/>
    <x v="5"/>
  </r>
  <r>
    <x v="149"/>
    <x v="374"/>
    <x v="397"/>
    <x v="3"/>
    <x v="1"/>
    <x v="1"/>
    <x v="4"/>
    <x v="39"/>
    <x v="393"/>
    <x v="360"/>
    <x v="69"/>
    <x v="5"/>
  </r>
  <r>
    <x v="150"/>
    <x v="375"/>
    <x v="397"/>
    <x v="3"/>
    <x v="1"/>
    <x v="1"/>
    <x v="4"/>
    <x v="39"/>
    <x v="393"/>
    <x v="360"/>
    <x v="69"/>
    <x v="5"/>
  </r>
  <r>
    <x v="151"/>
    <x v="376"/>
    <x v="397"/>
    <x v="3"/>
    <x v="1"/>
    <x v="1"/>
    <x v="4"/>
    <x v="39"/>
    <x v="393"/>
    <x v="360"/>
    <x v="69"/>
    <x v="5"/>
  </r>
  <r>
    <x v="152"/>
    <x v="377"/>
    <x v="397"/>
    <x v="4"/>
    <x v="2"/>
    <x v="2"/>
    <x v="4"/>
    <x v="39"/>
    <x v="393"/>
    <x v="360"/>
    <x v="69"/>
    <x v="5"/>
  </r>
  <r>
    <x v="153"/>
    <x v="378"/>
    <x v="397"/>
    <x v="1"/>
    <x v="0"/>
    <x v="0"/>
    <x v="4"/>
    <x v="39"/>
    <x v="393"/>
    <x v="360"/>
    <x v="69"/>
    <x v="5"/>
  </r>
  <r>
    <x v="154"/>
    <x v="1302"/>
    <x v="397"/>
    <x v="4"/>
    <x v="2"/>
    <x v="2"/>
    <x v="4"/>
    <x v="39"/>
    <x v="393"/>
    <x v="360"/>
    <x v="69"/>
    <x v="5"/>
  </r>
  <r>
    <x v="155"/>
    <x v="396"/>
    <x v="399"/>
    <x v="4"/>
    <x v="2"/>
    <x v="2"/>
    <x v="4"/>
    <x v="36"/>
    <x v="403"/>
    <x v="371"/>
    <x v="84"/>
    <x v="5"/>
  </r>
  <r>
    <x v="156"/>
    <x v="397"/>
    <x v="399"/>
    <x v="3"/>
    <x v="1"/>
    <x v="1"/>
    <x v="4"/>
    <x v="36"/>
    <x v="403"/>
    <x v="371"/>
    <x v="84"/>
    <x v="5"/>
  </r>
  <r>
    <x v="158"/>
    <x v="398"/>
    <x v="399"/>
    <x v="3"/>
    <x v="1"/>
    <x v="1"/>
    <x v="4"/>
    <x v="36"/>
    <x v="403"/>
    <x v="371"/>
    <x v="84"/>
    <x v="5"/>
  </r>
  <r>
    <x v="159"/>
    <x v="399"/>
    <x v="399"/>
    <x v="3"/>
    <x v="1"/>
    <x v="1"/>
    <x v="4"/>
    <x v="36"/>
    <x v="403"/>
    <x v="371"/>
    <x v="84"/>
    <x v="5"/>
  </r>
  <r>
    <x v="160"/>
    <x v="400"/>
    <x v="399"/>
    <x v="3"/>
    <x v="1"/>
    <x v="1"/>
    <x v="4"/>
    <x v="36"/>
    <x v="403"/>
    <x v="371"/>
    <x v="84"/>
    <x v="5"/>
  </r>
  <r>
    <x v="161"/>
    <x v="401"/>
    <x v="399"/>
    <x v="1"/>
    <x v="0"/>
    <x v="0"/>
    <x v="4"/>
    <x v="36"/>
    <x v="403"/>
    <x v="371"/>
    <x v="84"/>
    <x v="5"/>
  </r>
  <r>
    <x v="162"/>
    <x v="4"/>
    <x v="401"/>
    <x v="1"/>
    <x v="0"/>
    <x v="0"/>
    <x v="4"/>
    <x v="37"/>
    <x v="418"/>
    <x v="357"/>
    <x v="84"/>
    <x v="5"/>
  </r>
  <r>
    <x v="163"/>
    <x v="46"/>
    <x v="401"/>
    <x v="3"/>
    <x v="1"/>
    <x v="1"/>
    <x v="4"/>
    <x v="37"/>
    <x v="418"/>
    <x v="357"/>
    <x v="84"/>
    <x v="5"/>
  </r>
  <r>
    <x v="164"/>
    <x v="47"/>
    <x v="401"/>
    <x v="3"/>
    <x v="1"/>
    <x v="1"/>
    <x v="4"/>
    <x v="37"/>
    <x v="418"/>
    <x v="357"/>
    <x v="84"/>
    <x v="5"/>
  </r>
  <r>
    <x v="165"/>
    <x v="51"/>
    <x v="401"/>
    <x v="3"/>
    <x v="1"/>
    <x v="1"/>
    <x v="4"/>
    <x v="37"/>
    <x v="418"/>
    <x v="357"/>
    <x v="84"/>
    <x v="5"/>
  </r>
  <r>
    <x v="166"/>
    <x v="52"/>
    <x v="401"/>
    <x v="3"/>
    <x v="1"/>
    <x v="1"/>
    <x v="4"/>
    <x v="37"/>
    <x v="418"/>
    <x v="357"/>
    <x v="84"/>
    <x v="5"/>
  </r>
  <r>
    <x v="167"/>
    <x v="53"/>
    <x v="401"/>
    <x v="3"/>
    <x v="1"/>
    <x v="1"/>
    <x v="4"/>
    <x v="37"/>
    <x v="418"/>
    <x v="357"/>
    <x v="84"/>
    <x v="5"/>
  </r>
  <r>
    <x v="169"/>
    <x v="54"/>
    <x v="401"/>
    <x v="3"/>
    <x v="1"/>
    <x v="1"/>
    <x v="4"/>
    <x v="37"/>
    <x v="418"/>
    <x v="357"/>
    <x v="84"/>
    <x v="5"/>
  </r>
  <r>
    <x v="170"/>
    <x v="1853"/>
    <x v="401"/>
    <x v="3"/>
    <x v="1"/>
    <x v="1"/>
    <x v="4"/>
    <x v="37"/>
    <x v="418"/>
    <x v="357"/>
    <x v="84"/>
    <x v="5"/>
  </r>
  <r>
    <x v="171"/>
    <x v="984"/>
    <x v="398"/>
    <x v="1"/>
    <x v="0"/>
    <x v="0"/>
    <x v="4"/>
    <x v="36"/>
    <x v="404"/>
    <x v="361"/>
    <x v="75"/>
    <x v="5"/>
  </r>
  <r>
    <x v="172"/>
    <x v="985"/>
    <x v="398"/>
    <x v="4"/>
    <x v="2"/>
    <x v="2"/>
    <x v="4"/>
    <x v="36"/>
    <x v="404"/>
    <x v="361"/>
    <x v="75"/>
    <x v="5"/>
  </r>
  <r>
    <x v="173"/>
    <x v="986"/>
    <x v="398"/>
    <x v="3"/>
    <x v="1"/>
    <x v="1"/>
    <x v="4"/>
    <x v="36"/>
    <x v="404"/>
    <x v="361"/>
    <x v="75"/>
    <x v="5"/>
  </r>
  <r>
    <x v="174"/>
    <x v="987"/>
    <x v="398"/>
    <x v="3"/>
    <x v="1"/>
    <x v="1"/>
    <x v="4"/>
    <x v="36"/>
    <x v="404"/>
    <x v="361"/>
    <x v="75"/>
    <x v="5"/>
  </r>
  <r>
    <x v="175"/>
    <x v="988"/>
    <x v="398"/>
    <x v="3"/>
    <x v="1"/>
    <x v="1"/>
    <x v="4"/>
    <x v="36"/>
    <x v="404"/>
    <x v="361"/>
    <x v="75"/>
    <x v="5"/>
  </r>
  <r>
    <x v="176"/>
    <x v="989"/>
    <x v="398"/>
    <x v="3"/>
    <x v="1"/>
    <x v="1"/>
    <x v="4"/>
    <x v="36"/>
    <x v="404"/>
    <x v="361"/>
    <x v="75"/>
    <x v="5"/>
  </r>
  <r>
    <x v="177"/>
    <x v="357"/>
    <x v="315"/>
    <x v="1"/>
    <x v="0"/>
    <x v="0"/>
    <x v="4"/>
    <x v="39"/>
    <x v="380"/>
    <x v="365"/>
    <x v="84"/>
    <x v="5"/>
  </r>
  <r>
    <x v="178"/>
    <x v="358"/>
    <x v="315"/>
    <x v="3"/>
    <x v="1"/>
    <x v="1"/>
    <x v="4"/>
    <x v="39"/>
    <x v="380"/>
    <x v="365"/>
    <x v="84"/>
    <x v="5"/>
  </r>
  <r>
    <x v="180"/>
    <x v="359"/>
    <x v="315"/>
    <x v="3"/>
    <x v="1"/>
    <x v="1"/>
    <x v="4"/>
    <x v="39"/>
    <x v="380"/>
    <x v="365"/>
    <x v="84"/>
    <x v="5"/>
  </r>
  <r>
    <x v="181"/>
    <x v="360"/>
    <x v="315"/>
    <x v="3"/>
    <x v="1"/>
    <x v="1"/>
    <x v="4"/>
    <x v="39"/>
    <x v="380"/>
    <x v="365"/>
    <x v="84"/>
    <x v="5"/>
  </r>
  <r>
    <x v="182"/>
    <x v="361"/>
    <x v="315"/>
    <x v="3"/>
    <x v="1"/>
    <x v="1"/>
    <x v="4"/>
    <x v="39"/>
    <x v="380"/>
    <x v="365"/>
    <x v="84"/>
    <x v="5"/>
  </r>
  <r>
    <x v="183"/>
    <x v="1512"/>
    <x v="315"/>
    <x v="3"/>
    <x v="1"/>
    <x v="1"/>
    <x v="4"/>
    <x v="39"/>
    <x v="380"/>
    <x v="365"/>
    <x v="84"/>
    <x v="5"/>
  </r>
  <r>
    <x v="184"/>
    <x v="971"/>
    <x v="303"/>
    <x v="1"/>
    <x v="0"/>
    <x v="0"/>
    <x v="4"/>
    <x v="39"/>
    <x v="384"/>
    <x v="368"/>
    <x v="84"/>
    <x v="5"/>
  </r>
  <r>
    <x v="185"/>
    <x v="972"/>
    <x v="303"/>
    <x v="3"/>
    <x v="1"/>
    <x v="1"/>
    <x v="4"/>
    <x v="39"/>
    <x v="384"/>
    <x v="368"/>
    <x v="84"/>
    <x v="5"/>
  </r>
  <r>
    <x v="186"/>
    <x v="973"/>
    <x v="303"/>
    <x v="3"/>
    <x v="1"/>
    <x v="1"/>
    <x v="4"/>
    <x v="39"/>
    <x v="384"/>
    <x v="368"/>
    <x v="84"/>
    <x v="5"/>
  </r>
  <r>
    <x v="187"/>
    <x v="974"/>
    <x v="303"/>
    <x v="3"/>
    <x v="1"/>
    <x v="1"/>
    <x v="4"/>
    <x v="39"/>
    <x v="384"/>
    <x v="368"/>
    <x v="84"/>
    <x v="5"/>
  </r>
  <r>
    <x v="188"/>
    <x v="975"/>
    <x v="303"/>
    <x v="3"/>
    <x v="1"/>
    <x v="1"/>
    <x v="4"/>
    <x v="39"/>
    <x v="384"/>
    <x v="368"/>
    <x v="84"/>
    <x v="5"/>
  </r>
  <r>
    <x v="189"/>
    <x v="976"/>
    <x v="303"/>
    <x v="3"/>
    <x v="1"/>
    <x v="1"/>
    <x v="4"/>
    <x v="39"/>
    <x v="384"/>
    <x v="368"/>
    <x v="84"/>
    <x v="5"/>
  </r>
  <r>
    <x v="191"/>
    <x v="977"/>
    <x v="303"/>
    <x v="4"/>
    <x v="2"/>
    <x v="2"/>
    <x v="4"/>
    <x v="39"/>
    <x v="384"/>
    <x v="368"/>
    <x v="84"/>
    <x v="5"/>
  </r>
  <r>
    <x v="192"/>
    <x v="990"/>
    <x v="325"/>
    <x v="4"/>
    <x v="2"/>
    <x v="2"/>
    <x v="4"/>
    <x v="39"/>
    <x v="409"/>
    <x v="369"/>
    <x v="89"/>
    <x v="5"/>
  </r>
  <r>
    <x v="193"/>
    <x v="991"/>
    <x v="325"/>
    <x v="1"/>
    <x v="0"/>
    <x v="0"/>
    <x v="4"/>
    <x v="39"/>
    <x v="409"/>
    <x v="369"/>
    <x v="89"/>
    <x v="5"/>
  </r>
  <r>
    <x v="194"/>
    <x v="992"/>
    <x v="325"/>
    <x v="3"/>
    <x v="1"/>
    <x v="1"/>
    <x v="4"/>
    <x v="39"/>
    <x v="409"/>
    <x v="369"/>
    <x v="89"/>
    <x v="5"/>
  </r>
  <r>
    <x v="195"/>
    <x v="993"/>
    <x v="325"/>
    <x v="3"/>
    <x v="1"/>
    <x v="1"/>
    <x v="4"/>
    <x v="39"/>
    <x v="409"/>
    <x v="369"/>
    <x v="89"/>
    <x v="5"/>
  </r>
  <r>
    <x v="196"/>
    <x v="994"/>
    <x v="325"/>
    <x v="3"/>
    <x v="1"/>
    <x v="1"/>
    <x v="4"/>
    <x v="39"/>
    <x v="409"/>
    <x v="369"/>
    <x v="89"/>
    <x v="5"/>
  </r>
  <r>
    <x v="197"/>
    <x v="1669"/>
    <x v="325"/>
    <x v="3"/>
    <x v="1"/>
    <x v="1"/>
    <x v="4"/>
    <x v="39"/>
    <x v="409"/>
    <x v="369"/>
    <x v="89"/>
    <x v="5"/>
  </r>
  <r>
    <x v="198"/>
    <x v="1292"/>
    <x v="198"/>
    <x v="1"/>
    <x v="0"/>
    <x v="0"/>
    <x v="4"/>
    <x v="38"/>
    <x v="413"/>
    <x v="376"/>
    <x v="84"/>
    <x v="5"/>
  </r>
  <r>
    <x v="199"/>
    <x v="1293"/>
    <x v="198"/>
    <x v="4"/>
    <x v="2"/>
    <x v="2"/>
    <x v="4"/>
    <x v="38"/>
    <x v="413"/>
    <x v="376"/>
    <x v="84"/>
    <x v="5"/>
  </r>
  <r>
    <x v="200"/>
    <x v="1284"/>
    <x v="198"/>
    <x v="3"/>
    <x v="1"/>
    <x v="1"/>
    <x v="4"/>
    <x v="38"/>
    <x v="413"/>
    <x v="376"/>
    <x v="84"/>
    <x v="5"/>
  </r>
  <r>
    <x v="202"/>
    <x v="1285"/>
    <x v="198"/>
    <x v="3"/>
    <x v="1"/>
    <x v="1"/>
    <x v="4"/>
    <x v="38"/>
    <x v="413"/>
    <x v="376"/>
    <x v="84"/>
    <x v="5"/>
  </r>
  <r>
    <x v="203"/>
    <x v="1286"/>
    <x v="198"/>
    <x v="3"/>
    <x v="1"/>
    <x v="1"/>
    <x v="4"/>
    <x v="38"/>
    <x v="413"/>
    <x v="376"/>
    <x v="84"/>
    <x v="5"/>
  </r>
  <r>
    <x v="204"/>
    <x v="1287"/>
    <x v="198"/>
    <x v="3"/>
    <x v="1"/>
    <x v="1"/>
    <x v="4"/>
    <x v="38"/>
    <x v="413"/>
    <x v="376"/>
    <x v="84"/>
    <x v="5"/>
  </r>
  <r>
    <x v="205"/>
    <x v="1288"/>
    <x v="198"/>
    <x v="3"/>
    <x v="1"/>
    <x v="1"/>
    <x v="4"/>
    <x v="38"/>
    <x v="413"/>
    <x v="376"/>
    <x v="84"/>
    <x v="5"/>
  </r>
  <r>
    <x v="206"/>
    <x v="1289"/>
    <x v="198"/>
    <x v="3"/>
    <x v="1"/>
    <x v="1"/>
    <x v="4"/>
    <x v="38"/>
    <x v="413"/>
    <x v="376"/>
    <x v="84"/>
    <x v="5"/>
  </r>
  <r>
    <x v="207"/>
    <x v="1290"/>
    <x v="198"/>
    <x v="3"/>
    <x v="1"/>
    <x v="1"/>
    <x v="4"/>
    <x v="38"/>
    <x v="413"/>
    <x v="376"/>
    <x v="84"/>
    <x v="5"/>
  </r>
  <r>
    <x v="208"/>
    <x v="1291"/>
    <x v="198"/>
    <x v="3"/>
    <x v="1"/>
    <x v="1"/>
    <x v="4"/>
    <x v="38"/>
    <x v="413"/>
    <x v="376"/>
    <x v="84"/>
    <x v="5"/>
  </r>
  <r>
    <x v="209"/>
    <x v="424"/>
    <x v="173"/>
    <x v="4"/>
    <x v="2"/>
    <x v="2"/>
    <x v="4"/>
    <x v="35"/>
    <x v="386"/>
    <x v="383"/>
    <x v="84"/>
    <x v="5"/>
  </r>
  <r>
    <x v="210"/>
    <x v="425"/>
    <x v="173"/>
    <x v="3"/>
    <x v="1"/>
    <x v="1"/>
    <x v="4"/>
    <x v="35"/>
    <x v="386"/>
    <x v="383"/>
    <x v="84"/>
    <x v="5"/>
  </r>
  <r>
    <x v="211"/>
    <x v="426"/>
    <x v="173"/>
    <x v="3"/>
    <x v="1"/>
    <x v="1"/>
    <x v="4"/>
    <x v="35"/>
    <x v="386"/>
    <x v="383"/>
    <x v="84"/>
    <x v="5"/>
  </r>
  <r>
    <x v="213"/>
    <x v="427"/>
    <x v="173"/>
    <x v="3"/>
    <x v="1"/>
    <x v="1"/>
    <x v="4"/>
    <x v="35"/>
    <x v="386"/>
    <x v="383"/>
    <x v="84"/>
    <x v="5"/>
  </r>
  <r>
    <x v="214"/>
    <x v="428"/>
    <x v="173"/>
    <x v="3"/>
    <x v="1"/>
    <x v="1"/>
    <x v="4"/>
    <x v="35"/>
    <x v="386"/>
    <x v="383"/>
    <x v="84"/>
    <x v="5"/>
  </r>
  <r>
    <x v="215"/>
    <x v="429"/>
    <x v="173"/>
    <x v="1"/>
    <x v="0"/>
    <x v="0"/>
    <x v="4"/>
    <x v="35"/>
    <x v="386"/>
    <x v="383"/>
    <x v="84"/>
    <x v="5"/>
  </r>
  <r>
    <x v="216"/>
    <x v="967"/>
    <x v="173"/>
    <x v="3"/>
    <x v="1"/>
    <x v="1"/>
    <x v="4"/>
    <x v="35"/>
    <x v="386"/>
    <x v="383"/>
    <x v="84"/>
    <x v="5"/>
  </r>
  <r>
    <x v="217"/>
    <x v="968"/>
    <x v="173"/>
    <x v="3"/>
    <x v="1"/>
    <x v="1"/>
    <x v="4"/>
    <x v="35"/>
    <x v="386"/>
    <x v="383"/>
    <x v="84"/>
    <x v="5"/>
  </r>
  <r>
    <x v="218"/>
    <x v="16"/>
    <x v="184"/>
    <x v="1"/>
    <x v="0"/>
    <x v="0"/>
    <x v="4"/>
    <x v="18"/>
    <x v="187"/>
    <x v="394"/>
    <x v="32"/>
    <x v="5"/>
  </r>
  <r>
    <x v="219"/>
    <x v="17"/>
    <x v="184"/>
    <x v="3"/>
    <x v="1"/>
    <x v="1"/>
    <x v="4"/>
    <x v="18"/>
    <x v="187"/>
    <x v="394"/>
    <x v="32"/>
    <x v="5"/>
  </r>
  <r>
    <x v="220"/>
    <x v="18"/>
    <x v="184"/>
    <x v="3"/>
    <x v="1"/>
    <x v="1"/>
    <x v="4"/>
    <x v="18"/>
    <x v="187"/>
    <x v="394"/>
    <x v="32"/>
    <x v="5"/>
  </r>
  <r>
    <x v="221"/>
    <x v="19"/>
    <x v="184"/>
    <x v="3"/>
    <x v="1"/>
    <x v="1"/>
    <x v="4"/>
    <x v="18"/>
    <x v="187"/>
    <x v="394"/>
    <x v="32"/>
    <x v="5"/>
  </r>
  <r>
    <x v="222"/>
    <x v="20"/>
    <x v="184"/>
    <x v="3"/>
    <x v="1"/>
    <x v="1"/>
    <x v="4"/>
    <x v="18"/>
    <x v="187"/>
    <x v="394"/>
    <x v="32"/>
    <x v="5"/>
  </r>
  <r>
    <x v="225"/>
    <x v="21"/>
    <x v="184"/>
    <x v="3"/>
    <x v="1"/>
    <x v="1"/>
    <x v="4"/>
    <x v="18"/>
    <x v="187"/>
    <x v="394"/>
    <x v="32"/>
    <x v="5"/>
  </r>
  <r>
    <x v="226"/>
    <x v="22"/>
    <x v="184"/>
    <x v="3"/>
    <x v="1"/>
    <x v="1"/>
    <x v="4"/>
    <x v="18"/>
    <x v="187"/>
    <x v="394"/>
    <x v="32"/>
    <x v="5"/>
  </r>
  <r>
    <x v="227"/>
    <x v="1541"/>
    <x v="184"/>
    <x v="4"/>
    <x v="2"/>
    <x v="2"/>
    <x v="4"/>
    <x v="18"/>
    <x v="187"/>
    <x v="394"/>
    <x v="32"/>
    <x v="5"/>
  </r>
  <r>
    <x v="228"/>
    <x v="23"/>
    <x v="221"/>
    <x v="4"/>
    <x v="2"/>
    <x v="2"/>
    <x v="4"/>
    <x v="38"/>
    <x v="394"/>
    <x v="385"/>
    <x v="74"/>
    <x v="5"/>
  </r>
  <r>
    <x v="229"/>
    <x v="24"/>
    <x v="221"/>
    <x v="3"/>
    <x v="1"/>
    <x v="1"/>
    <x v="4"/>
    <x v="38"/>
    <x v="394"/>
    <x v="385"/>
    <x v="74"/>
    <x v="5"/>
  </r>
  <r>
    <x v="230"/>
    <x v="25"/>
    <x v="221"/>
    <x v="3"/>
    <x v="1"/>
    <x v="1"/>
    <x v="4"/>
    <x v="38"/>
    <x v="394"/>
    <x v="385"/>
    <x v="74"/>
    <x v="5"/>
  </r>
  <r>
    <x v="231"/>
    <x v="26"/>
    <x v="221"/>
    <x v="3"/>
    <x v="1"/>
    <x v="1"/>
    <x v="4"/>
    <x v="38"/>
    <x v="394"/>
    <x v="385"/>
    <x v="74"/>
    <x v="5"/>
  </r>
  <r>
    <x v="232"/>
    <x v="27"/>
    <x v="221"/>
    <x v="3"/>
    <x v="1"/>
    <x v="1"/>
    <x v="4"/>
    <x v="38"/>
    <x v="394"/>
    <x v="385"/>
    <x v="74"/>
    <x v="5"/>
  </r>
  <r>
    <x v="233"/>
    <x v="28"/>
    <x v="221"/>
    <x v="3"/>
    <x v="1"/>
    <x v="1"/>
    <x v="4"/>
    <x v="38"/>
    <x v="394"/>
    <x v="385"/>
    <x v="74"/>
    <x v="5"/>
  </r>
  <r>
    <x v="234"/>
    <x v="29"/>
    <x v="221"/>
    <x v="1"/>
    <x v="0"/>
    <x v="0"/>
    <x v="4"/>
    <x v="38"/>
    <x v="394"/>
    <x v="385"/>
    <x v="74"/>
    <x v="5"/>
  </r>
  <r>
    <x v="236"/>
    <x v="30"/>
    <x v="221"/>
    <x v="3"/>
    <x v="1"/>
    <x v="1"/>
    <x v="4"/>
    <x v="38"/>
    <x v="394"/>
    <x v="385"/>
    <x v="74"/>
    <x v="5"/>
  </r>
  <r>
    <x v="237"/>
    <x v="31"/>
    <x v="221"/>
    <x v="3"/>
    <x v="1"/>
    <x v="1"/>
    <x v="4"/>
    <x v="38"/>
    <x v="394"/>
    <x v="385"/>
    <x v="74"/>
    <x v="5"/>
  </r>
  <r>
    <x v="238"/>
    <x v="32"/>
    <x v="221"/>
    <x v="3"/>
    <x v="1"/>
    <x v="1"/>
    <x v="4"/>
    <x v="38"/>
    <x v="394"/>
    <x v="385"/>
    <x v="74"/>
    <x v="5"/>
  </r>
  <r>
    <x v="239"/>
    <x v="33"/>
    <x v="221"/>
    <x v="3"/>
    <x v="1"/>
    <x v="1"/>
    <x v="4"/>
    <x v="38"/>
    <x v="394"/>
    <x v="385"/>
    <x v="74"/>
    <x v="5"/>
  </r>
  <r>
    <x v="240"/>
    <x v="1010"/>
    <x v="406"/>
    <x v="1"/>
    <x v="0"/>
    <x v="0"/>
    <x v="4"/>
    <x v="38"/>
    <x v="412"/>
    <x v="372"/>
    <x v="70"/>
    <x v="5"/>
  </r>
  <r>
    <x v="241"/>
    <x v="1011"/>
    <x v="406"/>
    <x v="4"/>
    <x v="2"/>
    <x v="2"/>
    <x v="4"/>
    <x v="38"/>
    <x v="412"/>
    <x v="372"/>
    <x v="70"/>
    <x v="5"/>
  </r>
  <r>
    <x v="242"/>
    <x v="1003"/>
    <x v="406"/>
    <x v="3"/>
    <x v="1"/>
    <x v="1"/>
    <x v="4"/>
    <x v="38"/>
    <x v="412"/>
    <x v="372"/>
    <x v="70"/>
    <x v="5"/>
  </r>
  <r>
    <x v="243"/>
    <x v="1004"/>
    <x v="406"/>
    <x v="3"/>
    <x v="1"/>
    <x v="1"/>
    <x v="4"/>
    <x v="38"/>
    <x v="412"/>
    <x v="372"/>
    <x v="70"/>
    <x v="5"/>
  </r>
  <r>
    <x v="244"/>
    <x v="1005"/>
    <x v="406"/>
    <x v="3"/>
    <x v="1"/>
    <x v="1"/>
    <x v="4"/>
    <x v="38"/>
    <x v="412"/>
    <x v="372"/>
    <x v="70"/>
    <x v="5"/>
  </r>
  <r>
    <x v="245"/>
    <x v="1006"/>
    <x v="406"/>
    <x v="3"/>
    <x v="1"/>
    <x v="1"/>
    <x v="4"/>
    <x v="38"/>
    <x v="412"/>
    <x v="372"/>
    <x v="70"/>
    <x v="5"/>
  </r>
  <r>
    <x v="247"/>
    <x v="1007"/>
    <x v="406"/>
    <x v="3"/>
    <x v="1"/>
    <x v="1"/>
    <x v="4"/>
    <x v="38"/>
    <x v="412"/>
    <x v="372"/>
    <x v="70"/>
    <x v="5"/>
  </r>
  <r>
    <x v="248"/>
    <x v="1008"/>
    <x v="406"/>
    <x v="3"/>
    <x v="1"/>
    <x v="1"/>
    <x v="4"/>
    <x v="38"/>
    <x v="412"/>
    <x v="372"/>
    <x v="70"/>
    <x v="5"/>
  </r>
  <r>
    <x v="249"/>
    <x v="1009"/>
    <x v="406"/>
    <x v="3"/>
    <x v="1"/>
    <x v="1"/>
    <x v="4"/>
    <x v="38"/>
    <x v="412"/>
    <x v="372"/>
    <x v="70"/>
    <x v="5"/>
  </r>
  <r>
    <x v="250"/>
    <x v="1842"/>
    <x v="406"/>
    <x v="3"/>
    <x v="1"/>
    <x v="1"/>
    <x v="4"/>
    <x v="38"/>
    <x v="412"/>
    <x v="372"/>
    <x v="70"/>
    <x v="5"/>
  </r>
  <r>
    <x v="251"/>
    <x v="347"/>
    <x v="407"/>
    <x v="3"/>
    <x v="1"/>
    <x v="1"/>
    <x v="4"/>
    <x v="38"/>
    <x v="408"/>
    <x v="391"/>
    <x v="89"/>
    <x v="5"/>
  </r>
  <r>
    <x v="252"/>
    <x v="353"/>
    <x v="407"/>
    <x v="3"/>
    <x v="1"/>
    <x v="1"/>
    <x v="4"/>
    <x v="38"/>
    <x v="408"/>
    <x v="391"/>
    <x v="89"/>
    <x v="5"/>
  </r>
  <r>
    <x v="253"/>
    <x v="354"/>
    <x v="407"/>
    <x v="3"/>
    <x v="1"/>
    <x v="1"/>
    <x v="4"/>
    <x v="38"/>
    <x v="408"/>
    <x v="391"/>
    <x v="89"/>
    <x v="5"/>
  </r>
  <r>
    <x v="254"/>
    <x v="355"/>
    <x v="407"/>
    <x v="3"/>
    <x v="1"/>
    <x v="1"/>
    <x v="4"/>
    <x v="38"/>
    <x v="408"/>
    <x v="391"/>
    <x v="89"/>
    <x v="5"/>
  </r>
  <r>
    <x v="255"/>
    <x v="1854"/>
    <x v="407"/>
    <x v="3"/>
    <x v="1"/>
    <x v="1"/>
    <x v="4"/>
    <x v="38"/>
    <x v="408"/>
    <x v="391"/>
    <x v="89"/>
    <x v="5"/>
  </r>
  <r>
    <x v="256"/>
    <x v="356"/>
    <x v="407"/>
    <x v="1"/>
    <x v="0"/>
    <x v="0"/>
    <x v="4"/>
    <x v="38"/>
    <x v="408"/>
    <x v="391"/>
    <x v="89"/>
    <x v="5"/>
  </r>
  <r>
    <x v="258"/>
    <x v="348"/>
    <x v="183"/>
    <x v="1"/>
    <x v="0"/>
    <x v="0"/>
    <x v="4"/>
    <x v="18"/>
    <x v="186"/>
    <x v="393"/>
    <x v="84"/>
    <x v="5"/>
  </r>
  <r>
    <x v="259"/>
    <x v="349"/>
    <x v="183"/>
    <x v="3"/>
    <x v="1"/>
    <x v="1"/>
    <x v="4"/>
    <x v="18"/>
    <x v="186"/>
    <x v="393"/>
    <x v="84"/>
    <x v="5"/>
  </r>
  <r>
    <x v="260"/>
    <x v="350"/>
    <x v="183"/>
    <x v="3"/>
    <x v="1"/>
    <x v="1"/>
    <x v="4"/>
    <x v="18"/>
    <x v="186"/>
    <x v="393"/>
    <x v="84"/>
    <x v="5"/>
  </r>
  <r>
    <x v="261"/>
    <x v="351"/>
    <x v="183"/>
    <x v="3"/>
    <x v="1"/>
    <x v="1"/>
    <x v="4"/>
    <x v="18"/>
    <x v="186"/>
    <x v="393"/>
    <x v="84"/>
    <x v="5"/>
  </r>
  <r>
    <x v="262"/>
    <x v="352"/>
    <x v="183"/>
    <x v="3"/>
    <x v="1"/>
    <x v="1"/>
    <x v="4"/>
    <x v="18"/>
    <x v="186"/>
    <x v="393"/>
    <x v="84"/>
    <x v="5"/>
  </r>
  <r>
    <x v="263"/>
    <x v="410"/>
    <x v="305"/>
    <x v="3"/>
    <x v="1"/>
    <x v="1"/>
    <x v="4"/>
    <x v="18"/>
    <x v="193"/>
    <x v="395"/>
    <x v="54"/>
    <x v="5"/>
  </r>
  <r>
    <x v="264"/>
    <x v="411"/>
    <x v="305"/>
    <x v="3"/>
    <x v="1"/>
    <x v="1"/>
    <x v="4"/>
    <x v="18"/>
    <x v="193"/>
    <x v="395"/>
    <x v="54"/>
    <x v="5"/>
  </r>
  <r>
    <x v="265"/>
    <x v="412"/>
    <x v="305"/>
    <x v="4"/>
    <x v="2"/>
    <x v="2"/>
    <x v="4"/>
    <x v="18"/>
    <x v="193"/>
    <x v="395"/>
    <x v="54"/>
    <x v="5"/>
  </r>
  <r>
    <x v="266"/>
    <x v="413"/>
    <x v="305"/>
    <x v="3"/>
    <x v="1"/>
    <x v="1"/>
    <x v="4"/>
    <x v="18"/>
    <x v="193"/>
    <x v="395"/>
    <x v="54"/>
    <x v="5"/>
  </r>
  <r>
    <x v="267"/>
    <x v="414"/>
    <x v="305"/>
    <x v="3"/>
    <x v="1"/>
    <x v="1"/>
    <x v="4"/>
    <x v="18"/>
    <x v="193"/>
    <x v="395"/>
    <x v="54"/>
    <x v="5"/>
  </r>
  <r>
    <x v="269"/>
    <x v="415"/>
    <x v="305"/>
    <x v="3"/>
    <x v="1"/>
    <x v="1"/>
    <x v="4"/>
    <x v="18"/>
    <x v="193"/>
    <x v="395"/>
    <x v="54"/>
    <x v="5"/>
  </r>
  <r>
    <x v="270"/>
    <x v="416"/>
    <x v="305"/>
    <x v="3"/>
    <x v="1"/>
    <x v="1"/>
    <x v="4"/>
    <x v="18"/>
    <x v="193"/>
    <x v="395"/>
    <x v="54"/>
    <x v="5"/>
  </r>
  <r>
    <x v="271"/>
    <x v="417"/>
    <x v="305"/>
    <x v="3"/>
    <x v="1"/>
    <x v="1"/>
    <x v="4"/>
    <x v="18"/>
    <x v="193"/>
    <x v="395"/>
    <x v="54"/>
    <x v="5"/>
  </r>
  <r>
    <x v="272"/>
    <x v="1912"/>
    <x v="305"/>
    <x v="3"/>
    <x v="1"/>
    <x v="1"/>
    <x v="4"/>
    <x v="18"/>
    <x v="193"/>
    <x v="395"/>
    <x v="54"/>
    <x v="5"/>
  </r>
  <r>
    <x v="273"/>
    <x v="418"/>
    <x v="305"/>
    <x v="3"/>
    <x v="1"/>
    <x v="1"/>
    <x v="4"/>
    <x v="18"/>
    <x v="193"/>
    <x v="395"/>
    <x v="54"/>
    <x v="5"/>
  </r>
  <r>
    <x v="274"/>
    <x v="1303"/>
    <x v="305"/>
    <x v="1"/>
    <x v="0"/>
    <x v="0"/>
    <x v="4"/>
    <x v="18"/>
    <x v="193"/>
    <x v="395"/>
    <x v="54"/>
    <x v="5"/>
  </r>
  <r>
    <x v="275"/>
    <x v="1300"/>
    <x v="306"/>
    <x v="1"/>
    <x v="0"/>
    <x v="0"/>
    <x v="4"/>
    <x v="38"/>
    <x v="376"/>
    <x v="374"/>
    <x v="84"/>
    <x v="5"/>
  </r>
  <r>
    <x v="276"/>
    <x v="1299"/>
    <x v="306"/>
    <x v="4"/>
    <x v="2"/>
    <x v="2"/>
    <x v="4"/>
    <x v="38"/>
    <x v="376"/>
    <x v="374"/>
    <x v="84"/>
    <x v="5"/>
  </r>
  <r>
    <x v="277"/>
    <x v="1294"/>
    <x v="306"/>
    <x v="3"/>
    <x v="1"/>
    <x v="1"/>
    <x v="4"/>
    <x v="38"/>
    <x v="376"/>
    <x v="374"/>
    <x v="84"/>
    <x v="5"/>
  </r>
  <r>
    <x v="278"/>
    <x v="1295"/>
    <x v="306"/>
    <x v="3"/>
    <x v="1"/>
    <x v="1"/>
    <x v="4"/>
    <x v="38"/>
    <x v="376"/>
    <x v="374"/>
    <x v="84"/>
    <x v="5"/>
  </r>
  <r>
    <x v="280"/>
    <x v="1296"/>
    <x v="306"/>
    <x v="3"/>
    <x v="1"/>
    <x v="1"/>
    <x v="4"/>
    <x v="38"/>
    <x v="376"/>
    <x v="374"/>
    <x v="84"/>
    <x v="5"/>
  </r>
  <r>
    <x v="281"/>
    <x v="1297"/>
    <x v="306"/>
    <x v="3"/>
    <x v="1"/>
    <x v="1"/>
    <x v="4"/>
    <x v="38"/>
    <x v="376"/>
    <x v="374"/>
    <x v="84"/>
    <x v="5"/>
  </r>
  <r>
    <x v="282"/>
    <x v="1298"/>
    <x v="306"/>
    <x v="3"/>
    <x v="1"/>
    <x v="1"/>
    <x v="4"/>
    <x v="38"/>
    <x v="376"/>
    <x v="374"/>
    <x v="84"/>
    <x v="5"/>
  </r>
  <r>
    <x v="283"/>
    <x v="1745"/>
    <x v="285"/>
    <x v="3"/>
    <x v="1"/>
    <x v="1"/>
    <x v="2"/>
    <x v="16"/>
    <x v="258"/>
    <x v="44"/>
    <x v="29"/>
    <x v="5"/>
  </r>
  <r>
    <x v="284"/>
    <x v="1340"/>
    <x v="285"/>
    <x v="1"/>
    <x v="0"/>
    <x v="0"/>
    <x v="2"/>
    <x v="16"/>
    <x v="258"/>
    <x v="44"/>
    <x v="29"/>
    <x v="5"/>
  </r>
  <r>
    <x v="285"/>
    <x v="1477"/>
    <x v="285"/>
    <x v="3"/>
    <x v="1"/>
    <x v="1"/>
    <x v="2"/>
    <x v="16"/>
    <x v="258"/>
    <x v="44"/>
    <x v="29"/>
    <x v="5"/>
  </r>
  <r>
    <x v="286"/>
    <x v="1476"/>
    <x v="285"/>
    <x v="3"/>
    <x v="1"/>
    <x v="1"/>
    <x v="2"/>
    <x v="16"/>
    <x v="258"/>
    <x v="44"/>
    <x v="29"/>
    <x v="5"/>
  </r>
  <r>
    <x v="287"/>
    <x v="1522"/>
    <x v="285"/>
    <x v="4"/>
    <x v="2"/>
    <x v="2"/>
    <x v="2"/>
    <x v="16"/>
    <x v="258"/>
    <x v="44"/>
    <x v="29"/>
    <x v="5"/>
  </r>
  <r>
    <x v="288"/>
    <x v="195"/>
    <x v="259"/>
    <x v="1"/>
    <x v="0"/>
    <x v="0"/>
    <x v="6"/>
    <x v="29"/>
    <x v="0"/>
    <x v="414"/>
    <x v="99"/>
    <x v="5"/>
  </r>
  <r>
    <x v="289"/>
    <x v="1648"/>
    <x v="259"/>
    <x v="1"/>
    <x v="0"/>
    <x v="0"/>
    <x v="6"/>
    <x v="28"/>
    <x v="0"/>
    <x v="414"/>
    <x v="99"/>
    <x v="5"/>
  </r>
  <r>
    <x v="291"/>
    <x v="581"/>
    <x v="256"/>
    <x v="0"/>
    <x v="0"/>
    <x v="3"/>
    <x v="1"/>
    <x v="28"/>
    <x v="299"/>
    <x v="121"/>
    <x v="0"/>
    <x v="3"/>
  </r>
  <r>
    <x v="292"/>
    <x v="582"/>
    <x v="251"/>
    <x v="4"/>
    <x v="2"/>
    <x v="2"/>
    <x v="1"/>
    <x v="28"/>
    <x v="299"/>
    <x v="121"/>
    <x v="99"/>
    <x v="5"/>
  </r>
  <r>
    <x v="293"/>
    <x v="583"/>
    <x v="252"/>
    <x v="0"/>
    <x v="0"/>
    <x v="3"/>
    <x v="1"/>
    <x v="28"/>
    <x v="299"/>
    <x v="121"/>
    <x v="99"/>
    <x v="5"/>
  </r>
  <r>
    <x v="294"/>
    <x v="584"/>
    <x v="253"/>
    <x v="0"/>
    <x v="0"/>
    <x v="3"/>
    <x v="1"/>
    <x v="28"/>
    <x v="299"/>
    <x v="121"/>
    <x v="99"/>
    <x v="5"/>
  </r>
  <r>
    <x v="295"/>
    <x v="585"/>
    <x v="251"/>
    <x v="4"/>
    <x v="2"/>
    <x v="2"/>
    <x v="1"/>
    <x v="28"/>
    <x v="299"/>
    <x v="121"/>
    <x v="99"/>
    <x v="5"/>
  </r>
  <r>
    <x v="296"/>
    <x v="586"/>
    <x v="254"/>
    <x v="0"/>
    <x v="0"/>
    <x v="3"/>
    <x v="1"/>
    <x v="28"/>
    <x v="299"/>
    <x v="121"/>
    <x v="99"/>
    <x v="5"/>
  </r>
  <r>
    <x v="297"/>
    <x v="57"/>
    <x v="255"/>
    <x v="0"/>
    <x v="0"/>
    <x v="3"/>
    <x v="1"/>
    <x v="28"/>
    <x v="299"/>
    <x v="121"/>
    <x v="99"/>
    <x v="5"/>
  </r>
  <r>
    <x v="298"/>
    <x v="826"/>
    <x v="49"/>
    <x v="4"/>
    <x v="2"/>
    <x v="2"/>
    <x v="7"/>
    <x v="30"/>
    <x v="1"/>
    <x v="414"/>
    <x v="99"/>
    <x v="5"/>
  </r>
  <r>
    <x v="299"/>
    <x v="1002"/>
    <x v="404"/>
    <x v="1"/>
    <x v="0"/>
    <x v="0"/>
    <x v="8"/>
    <x v="33"/>
    <x v="3"/>
    <x v="414"/>
    <x v="99"/>
    <x v="5"/>
  </r>
  <r>
    <x v="300"/>
    <x v="965"/>
    <x v="1"/>
    <x v="3"/>
    <x v="1"/>
    <x v="1"/>
    <x v="2"/>
    <x v="16"/>
    <x v="172"/>
    <x v="25"/>
    <x v="22"/>
    <x v="5"/>
  </r>
  <r>
    <x v="302"/>
    <x v="1341"/>
    <x v="1"/>
    <x v="1"/>
    <x v="0"/>
    <x v="0"/>
    <x v="2"/>
    <x v="16"/>
    <x v="172"/>
    <x v="25"/>
    <x v="22"/>
    <x v="5"/>
  </r>
  <r>
    <x v="303"/>
    <x v="1433"/>
    <x v="1"/>
    <x v="3"/>
    <x v="1"/>
    <x v="1"/>
    <x v="2"/>
    <x v="16"/>
    <x v="172"/>
    <x v="25"/>
    <x v="22"/>
    <x v="5"/>
  </r>
  <r>
    <x v="304"/>
    <x v="1434"/>
    <x v="1"/>
    <x v="3"/>
    <x v="1"/>
    <x v="1"/>
    <x v="2"/>
    <x v="16"/>
    <x v="172"/>
    <x v="25"/>
    <x v="22"/>
    <x v="5"/>
  </r>
  <r>
    <x v="305"/>
    <x v="1645"/>
    <x v="1"/>
    <x v="4"/>
    <x v="2"/>
    <x v="2"/>
    <x v="2"/>
    <x v="16"/>
    <x v="172"/>
    <x v="25"/>
    <x v="22"/>
    <x v="5"/>
  </r>
  <r>
    <x v="306"/>
    <x v="1200"/>
    <x v="109"/>
    <x v="1"/>
    <x v="0"/>
    <x v="0"/>
    <x v="5"/>
    <x v="19"/>
    <x v="202"/>
    <x v="232"/>
    <x v="25"/>
    <x v="5"/>
  </r>
  <r>
    <x v="307"/>
    <x v="1442"/>
    <x v="109"/>
    <x v="3"/>
    <x v="1"/>
    <x v="1"/>
    <x v="5"/>
    <x v="19"/>
    <x v="202"/>
    <x v="232"/>
    <x v="25"/>
    <x v="5"/>
  </r>
  <r>
    <x v="308"/>
    <x v="1859"/>
    <x v="109"/>
    <x v="3"/>
    <x v="1"/>
    <x v="1"/>
    <x v="5"/>
    <x v="19"/>
    <x v="202"/>
    <x v="232"/>
    <x v="25"/>
    <x v="5"/>
  </r>
  <r>
    <x v="309"/>
    <x v="1860"/>
    <x v="109"/>
    <x v="3"/>
    <x v="1"/>
    <x v="1"/>
    <x v="5"/>
    <x v="19"/>
    <x v="202"/>
    <x v="232"/>
    <x v="25"/>
    <x v="5"/>
  </r>
  <r>
    <x v="310"/>
    <x v="1857"/>
    <x v="109"/>
    <x v="3"/>
    <x v="1"/>
    <x v="1"/>
    <x v="5"/>
    <x v="19"/>
    <x v="202"/>
    <x v="232"/>
    <x v="25"/>
    <x v="5"/>
  </r>
  <r>
    <x v="311"/>
    <x v="1858"/>
    <x v="109"/>
    <x v="3"/>
    <x v="1"/>
    <x v="1"/>
    <x v="5"/>
    <x v="19"/>
    <x v="202"/>
    <x v="232"/>
    <x v="25"/>
    <x v="5"/>
  </r>
  <r>
    <x v="313"/>
    <x v="1732"/>
    <x v="109"/>
    <x v="3"/>
    <x v="1"/>
    <x v="1"/>
    <x v="5"/>
    <x v="19"/>
    <x v="202"/>
    <x v="232"/>
    <x v="25"/>
    <x v="5"/>
  </r>
  <r>
    <x v="314"/>
    <x v="1047"/>
    <x v="242"/>
    <x v="1"/>
    <x v="0"/>
    <x v="0"/>
    <x v="3"/>
    <x v="34"/>
    <x v="365"/>
    <x v="292"/>
    <x v="22"/>
    <x v="5"/>
  </r>
  <r>
    <x v="315"/>
    <x v="1060"/>
    <x v="242"/>
    <x v="3"/>
    <x v="1"/>
    <x v="1"/>
    <x v="3"/>
    <x v="34"/>
    <x v="365"/>
    <x v="292"/>
    <x v="22"/>
    <x v="5"/>
  </r>
  <r>
    <x v="316"/>
    <x v="1395"/>
    <x v="242"/>
    <x v="3"/>
    <x v="1"/>
    <x v="1"/>
    <x v="3"/>
    <x v="34"/>
    <x v="365"/>
    <x v="292"/>
    <x v="22"/>
    <x v="5"/>
  </r>
  <r>
    <x v="317"/>
    <x v="1570"/>
    <x v="242"/>
    <x v="3"/>
    <x v="1"/>
    <x v="1"/>
    <x v="3"/>
    <x v="34"/>
    <x v="365"/>
    <x v="292"/>
    <x v="22"/>
    <x v="5"/>
  </r>
  <r>
    <x v="318"/>
    <x v="1048"/>
    <x v="134"/>
    <x v="4"/>
    <x v="2"/>
    <x v="2"/>
    <x v="3"/>
    <x v="34"/>
    <x v="359"/>
    <x v="293"/>
    <x v="22"/>
    <x v="5"/>
  </r>
  <r>
    <x v="319"/>
    <x v="1049"/>
    <x v="134"/>
    <x v="1"/>
    <x v="0"/>
    <x v="0"/>
    <x v="3"/>
    <x v="34"/>
    <x v="359"/>
    <x v="293"/>
    <x v="22"/>
    <x v="5"/>
  </r>
  <r>
    <x v="320"/>
    <x v="1408"/>
    <x v="134"/>
    <x v="3"/>
    <x v="1"/>
    <x v="1"/>
    <x v="3"/>
    <x v="34"/>
    <x v="359"/>
    <x v="293"/>
    <x v="22"/>
    <x v="5"/>
  </r>
  <r>
    <x v="321"/>
    <x v="1427"/>
    <x v="134"/>
    <x v="3"/>
    <x v="1"/>
    <x v="1"/>
    <x v="3"/>
    <x v="34"/>
    <x v="359"/>
    <x v="293"/>
    <x v="22"/>
    <x v="5"/>
  </r>
  <r>
    <x v="322"/>
    <x v="1050"/>
    <x v="176"/>
    <x v="3"/>
    <x v="1"/>
    <x v="1"/>
    <x v="3"/>
    <x v="34"/>
    <x v="360"/>
    <x v="300"/>
    <x v="22"/>
    <x v="2"/>
  </r>
  <r>
    <x v="324"/>
    <x v="1051"/>
    <x v="176"/>
    <x v="1"/>
    <x v="0"/>
    <x v="0"/>
    <x v="3"/>
    <x v="34"/>
    <x v="360"/>
    <x v="300"/>
    <x v="22"/>
    <x v="2"/>
  </r>
  <r>
    <x v="325"/>
    <x v="1559"/>
    <x v="176"/>
    <x v="3"/>
    <x v="1"/>
    <x v="1"/>
    <x v="3"/>
    <x v="34"/>
    <x v="360"/>
    <x v="300"/>
    <x v="22"/>
    <x v="2"/>
  </r>
  <r>
    <x v="326"/>
    <x v="1573"/>
    <x v="176"/>
    <x v="3"/>
    <x v="1"/>
    <x v="1"/>
    <x v="3"/>
    <x v="34"/>
    <x v="360"/>
    <x v="300"/>
    <x v="22"/>
    <x v="2"/>
  </r>
  <r>
    <x v="327"/>
    <x v="1052"/>
    <x v="353"/>
    <x v="4"/>
    <x v="2"/>
    <x v="2"/>
    <x v="3"/>
    <x v="34"/>
    <x v="367"/>
    <x v="290"/>
    <x v="22"/>
    <x v="5"/>
  </r>
  <r>
    <x v="328"/>
    <x v="1053"/>
    <x v="353"/>
    <x v="1"/>
    <x v="0"/>
    <x v="0"/>
    <x v="3"/>
    <x v="34"/>
    <x v="367"/>
    <x v="290"/>
    <x v="22"/>
    <x v="5"/>
  </r>
  <r>
    <x v="329"/>
    <x v="1054"/>
    <x v="353"/>
    <x v="3"/>
    <x v="1"/>
    <x v="1"/>
    <x v="3"/>
    <x v="34"/>
    <x v="367"/>
    <x v="290"/>
    <x v="22"/>
    <x v="5"/>
  </r>
  <r>
    <x v="330"/>
    <x v="1406"/>
    <x v="353"/>
    <x v="3"/>
    <x v="1"/>
    <x v="1"/>
    <x v="3"/>
    <x v="34"/>
    <x v="367"/>
    <x v="290"/>
    <x v="22"/>
    <x v="5"/>
  </r>
  <r>
    <x v="331"/>
    <x v="100"/>
    <x v="186"/>
    <x v="1"/>
    <x v="0"/>
    <x v="0"/>
    <x v="1"/>
    <x v="26"/>
    <x v="279"/>
    <x v="143"/>
    <x v="22"/>
    <x v="5"/>
  </r>
  <r>
    <x v="332"/>
    <x v="1271"/>
    <x v="186"/>
    <x v="4"/>
    <x v="2"/>
    <x v="2"/>
    <x v="1"/>
    <x v="26"/>
    <x v="279"/>
    <x v="143"/>
    <x v="22"/>
    <x v="5"/>
  </r>
  <r>
    <x v="333"/>
    <x v="1254"/>
    <x v="50"/>
    <x v="4"/>
    <x v="2"/>
    <x v="2"/>
    <x v="1"/>
    <x v="26"/>
    <x v="282"/>
    <x v="144"/>
    <x v="95"/>
    <x v="5"/>
  </r>
  <r>
    <x v="336"/>
    <x v="104"/>
    <x v="337"/>
    <x v="1"/>
    <x v="0"/>
    <x v="0"/>
    <x v="1"/>
    <x v="26"/>
    <x v="289"/>
    <x v="147"/>
    <x v="22"/>
    <x v="5"/>
  </r>
  <r>
    <x v="337"/>
    <x v="505"/>
    <x v="337"/>
    <x v="4"/>
    <x v="2"/>
    <x v="2"/>
    <x v="1"/>
    <x v="26"/>
    <x v="289"/>
    <x v="147"/>
    <x v="22"/>
    <x v="5"/>
  </r>
  <r>
    <x v="338"/>
    <x v="101"/>
    <x v="384"/>
    <x v="1"/>
    <x v="0"/>
    <x v="0"/>
    <x v="1"/>
    <x v="26"/>
    <x v="290"/>
    <x v="145"/>
    <x v="22"/>
    <x v="5"/>
  </r>
  <r>
    <x v="339"/>
    <x v="105"/>
    <x v="206"/>
    <x v="1"/>
    <x v="0"/>
    <x v="0"/>
    <x v="1"/>
    <x v="26"/>
    <x v="283"/>
    <x v="146"/>
    <x v="22"/>
    <x v="5"/>
  </r>
  <r>
    <x v="340"/>
    <x v="103"/>
    <x v="328"/>
    <x v="1"/>
    <x v="0"/>
    <x v="0"/>
    <x v="1"/>
    <x v="26"/>
    <x v="278"/>
    <x v="142"/>
    <x v="48"/>
    <x v="5"/>
  </r>
  <r>
    <x v="341"/>
    <x v="1255"/>
    <x v="220"/>
    <x v="1"/>
    <x v="0"/>
    <x v="0"/>
    <x v="1"/>
    <x v="26"/>
    <x v="284"/>
    <x v="140"/>
    <x v="22"/>
    <x v="5"/>
  </r>
  <r>
    <x v="342"/>
    <x v="1257"/>
    <x v="298"/>
    <x v="1"/>
    <x v="0"/>
    <x v="0"/>
    <x v="1"/>
    <x v="26"/>
    <x v="285"/>
    <x v="148"/>
    <x v="22"/>
    <x v="5"/>
  </r>
  <r>
    <x v="343"/>
    <x v="819"/>
    <x v="10"/>
    <x v="3"/>
    <x v="1"/>
    <x v="1"/>
    <x v="3"/>
    <x v="4"/>
    <x v="114"/>
    <x v="336"/>
    <x v="22"/>
    <x v="5"/>
  </r>
  <r>
    <x v="344"/>
    <x v="820"/>
    <x v="10"/>
    <x v="3"/>
    <x v="1"/>
    <x v="1"/>
    <x v="3"/>
    <x v="4"/>
    <x v="114"/>
    <x v="336"/>
    <x v="22"/>
    <x v="5"/>
  </r>
  <r>
    <x v="345"/>
    <x v="1606"/>
    <x v="10"/>
    <x v="4"/>
    <x v="2"/>
    <x v="2"/>
    <x v="3"/>
    <x v="4"/>
    <x v="114"/>
    <x v="336"/>
    <x v="22"/>
    <x v="5"/>
  </r>
  <r>
    <x v="347"/>
    <x v="1603"/>
    <x v="10"/>
    <x v="1"/>
    <x v="0"/>
    <x v="0"/>
    <x v="3"/>
    <x v="4"/>
    <x v="114"/>
    <x v="336"/>
    <x v="22"/>
    <x v="5"/>
  </r>
  <r>
    <x v="348"/>
    <x v="56"/>
    <x v="411"/>
    <x v="3"/>
    <x v="1"/>
    <x v="1"/>
    <x v="3"/>
    <x v="4"/>
    <x v="144"/>
    <x v="334"/>
    <x v="22"/>
    <x v="1"/>
  </r>
  <r>
    <x v="349"/>
    <x v="55"/>
    <x v="411"/>
    <x v="3"/>
    <x v="1"/>
    <x v="1"/>
    <x v="3"/>
    <x v="4"/>
    <x v="144"/>
    <x v="334"/>
    <x v="22"/>
    <x v="5"/>
  </r>
  <r>
    <x v="350"/>
    <x v="821"/>
    <x v="411"/>
    <x v="1"/>
    <x v="0"/>
    <x v="0"/>
    <x v="3"/>
    <x v="4"/>
    <x v="144"/>
    <x v="334"/>
    <x v="22"/>
    <x v="5"/>
  </r>
  <r>
    <x v="351"/>
    <x v="156"/>
    <x v="322"/>
    <x v="1"/>
    <x v="0"/>
    <x v="0"/>
    <x v="2"/>
    <x v="17"/>
    <x v="180"/>
    <x v="163"/>
    <x v="22"/>
    <x v="5"/>
  </r>
  <r>
    <x v="352"/>
    <x v="1352"/>
    <x v="322"/>
    <x v="4"/>
    <x v="2"/>
    <x v="2"/>
    <x v="2"/>
    <x v="17"/>
    <x v="180"/>
    <x v="163"/>
    <x v="22"/>
    <x v="5"/>
  </r>
  <r>
    <x v="353"/>
    <x v="1526"/>
    <x v="322"/>
    <x v="3"/>
    <x v="1"/>
    <x v="1"/>
    <x v="2"/>
    <x v="17"/>
    <x v="180"/>
    <x v="163"/>
    <x v="22"/>
    <x v="5"/>
  </r>
  <r>
    <x v="354"/>
    <x v="1527"/>
    <x v="322"/>
    <x v="3"/>
    <x v="1"/>
    <x v="1"/>
    <x v="2"/>
    <x v="17"/>
    <x v="180"/>
    <x v="163"/>
    <x v="22"/>
    <x v="5"/>
  </r>
  <r>
    <x v="355"/>
    <x v="1819"/>
    <x v="322"/>
    <x v="3"/>
    <x v="1"/>
    <x v="1"/>
    <x v="2"/>
    <x v="17"/>
    <x v="180"/>
    <x v="163"/>
    <x v="22"/>
    <x v="5"/>
  </r>
  <r>
    <x v="356"/>
    <x v="1898"/>
    <x v="322"/>
    <x v="3"/>
    <x v="1"/>
    <x v="1"/>
    <x v="2"/>
    <x v="17"/>
    <x v="180"/>
    <x v="163"/>
    <x v="22"/>
    <x v="5"/>
  </r>
  <r>
    <x v="358"/>
    <x v="157"/>
    <x v="361"/>
    <x v="4"/>
    <x v="2"/>
    <x v="2"/>
    <x v="2"/>
    <x v="17"/>
    <x v="182"/>
    <x v="165"/>
    <x v="22"/>
    <x v="5"/>
  </r>
  <r>
    <x v="359"/>
    <x v="1783"/>
    <x v="361"/>
    <x v="3"/>
    <x v="1"/>
    <x v="1"/>
    <x v="2"/>
    <x v="17"/>
    <x v="182"/>
    <x v="165"/>
    <x v="22"/>
    <x v="5"/>
  </r>
  <r>
    <x v="360"/>
    <x v="1820"/>
    <x v="361"/>
    <x v="1"/>
    <x v="0"/>
    <x v="0"/>
    <x v="2"/>
    <x v="17"/>
    <x v="182"/>
    <x v="165"/>
    <x v="22"/>
    <x v="5"/>
  </r>
  <r>
    <x v="361"/>
    <x v="155"/>
    <x v="395"/>
    <x v="1"/>
    <x v="0"/>
    <x v="0"/>
    <x v="2"/>
    <x v="17"/>
    <x v="183"/>
    <x v="162"/>
    <x v="22"/>
    <x v="5"/>
  </r>
  <r>
    <x v="362"/>
    <x v="158"/>
    <x v="5"/>
    <x v="1"/>
    <x v="0"/>
    <x v="0"/>
    <x v="2"/>
    <x v="17"/>
    <x v="176"/>
    <x v="164"/>
    <x v="26"/>
    <x v="5"/>
  </r>
  <r>
    <x v="363"/>
    <x v="1484"/>
    <x v="5"/>
    <x v="3"/>
    <x v="1"/>
    <x v="1"/>
    <x v="2"/>
    <x v="17"/>
    <x v="176"/>
    <x v="164"/>
    <x v="26"/>
    <x v="5"/>
  </r>
  <r>
    <x v="364"/>
    <x v="1483"/>
    <x v="5"/>
    <x v="4"/>
    <x v="2"/>
    <x v="2"/>
    <x v="2"/>
    <x v="17"/>
    <x v="176"/>
    <x v="164"/>
    <x v="26"/>
    <x v="5"/>
  </r>
  <r>
    <x v="365"/>
    <x v="1206"/>
    <x v="374"/>
    <x v="3"/>
    <x v="1"/>
    <x v="1"/>
    <x v="5"/>
    <x v="0"/>
    <x v="63"/>
    <x v="204"/>
    <x v="22"/>
    <x v="5"/>
  </r>
  <r>
    <x v="366"/>
    <x v="1207"/>
    <x v="374"/>
    <x v="3"/>
    <x v="1"/>
    <x v="1"/>
    <x v="5"/>
    <x v="0"/>
    <x v="63"/>
    <x v="204"/>
    <x v="22"/>
    <x v="5"/>
  </r>
  <r>
    <x v="367"/>
    <x v="1208"/>
    <x v="374"/>
    <x v="4"/>
    <x v="2"/>
    <x v="2"/>
    <x v="5"/>
    <x v="0"/>
    <x v="63"/>
    <x v="204"/>
    <x v="22"/>
    <x v="5"/>
  </r>
  <r>
    <x v="369"/>
    <x v="1453"/>
    <x v="374"/>
    <x v="1"/>
    <x v="0"/>
    <x v="0"/>
    <x v="5"/>
    <x v="0"/>
    <x v="63"/>
    <x v="204"/>
    <x v="22"/>
    <x v="5"/>
  </r>
  <r>
    <x v="370"/>
    <x v="1877"/>
    <x v="374"/>
    <x v="3"/>
    <x v="1"/>
    <x v="1"/>
    <x v="5"/>
    <x v="0"/>
    <x v="63"/>
    <x v="204"/>
    <x v="22"/>
    <x v="5"/>
  </r>
  <r>
    <x v="371"/>
    <x v="1679"/>
    <x v="374"/>
    <x v="3"/>
    <x v="1"/>
    <x v="1"/>
    <x v="5"/>
    <x v="0"/>
    <x v="63"/>
    <x v="204"/>
    <x v="22"/>
    <x v="5"/>
  </r>
  <r>
    <x v="372"/>
    <x v="1209"/>
    <x v="62"/>
    <x v="1"/>
    <x v="0"/>
    <x v="0"/>
    <x v="5"/>
    <x v="3"/>
    <x v="32"/>
    <x v="198"/>
    <x v="22"/>
    <x v="5"/>
  </r>
  <r>
    <x v="373"/>
    <x v="1727"/>
    <x v="46"/>
    <x v="1"/>
    <x v="0"/>
    <x v="0"/>
    <x v="5"/>
    <x v="0"/>
    <x v="22"/>
    <x v="196"/>
    <x v="22"/>
    <x v="5"/>
  </r>
  <r>
    <x v="374"/>
    <x v="1680"/>
    <x v="46"/>
    <x v="4"/>
    <x v="2"/>
    <x v="2"/>
    <x v="5"/>
    <x v="0"/>
    <x v="22"/>
    <x v="196"/>
    <x v="22"/>
    <x v="5"/>
  </r>
  <r>
    <x v="375"/>
    <x v="1728"/>
    <x v="47"/>
    <x v="4"/>
    <x v="2"/>
    <x v="2"/>
    <x v="8"/>
    <x v="33"/>
    <x v="23"/>
    <x v="414"/>
    <x v="99"/>
    <x v="5"/>
  </r>
  <r>
    <x v="376"/>
    <x v="1210"/>
    <x v="28"/>
    <x v="3"/>
    <x v="1"/>
    <x v="1"/>
    <x v="5"/>
    <x v="19"/>
    <x v="200"/>
    <x v="236"/>
    <x v="22"/>
    <x v="5"/>
  </r>
  <r>
    <x v="377"/>
    <x v="1211"/>
    <x v="28"/>
    <x v="3"/>
    <x v="1"/>
    <x v="1"/>
    <x v="5"/>
    <x v="19"/>
    <x v="200"/>
    <x v="236"/>
    <x v="22"/>
    <x v="5"/>
  </r>
  <r>
    <x v="378"/>
    <x v="1205"/>
    <x v="28"/>
    <x v="1"/>
    <x v="0"/>
    <x v="0"/>
    <x v="5"/>
    <x v="19"/>
    <x v="200"/>
    <x v="236"/>
    <x v="22"/>
    <x v="5"/>
  </r>
  <r>
    <x v="380"/>
    <x v="1471"/>
    <x v="28"/>
    <x v="3"/>
    <x v="1"/>
    <x v="1"/>
    <x v="5"/>
    <x v="19"/>
    <x v="200"/>
    <x v="236"/>
    <x v="22"/>
    <x v="5"/>
  </r>
  <r>
    <x v="381"/>
    <x v="1249"/>
    <x v="106"/>
    <x v="3"/>
    <x v="1"/>
    <x v="1"/>
    <x v="3"/>
    <x v="7"/>
    <x v="8"/>
    <x v="259"/>
    <x v="22"/>
    <x v="5"/>
  </r>
  <r>
    <x v="382"/>
    <x v="1250"/>
    <x v="106"/>
    <x v="3"/>
    <x v="1"/>
    <x v="1"/>
    <x v="3"/>
    <x v="7"/>
    <x v="8"/>
    <x v="259"/>
    <x v="22"/>
    <x v="5"/>
  </r>
  <r>
    <x v="383"/>
    <x v="1832"/>
    <x v="106"/>
    <x v="3"/>
    <x v="1"/>
    <x v="1"/>
    <x v="3"/>
    <x v="7"/>
    <x v="8"/>
    <x v="259"/>
    <x v="22"/>
    <x v="5"/>
  </r>
  <r>
    <x v="384"/>
    <x v="1251"/>
    <x v="276"/>
    <x v="1"/>
    <x v="0"/>
    <x v="0"/>
    <x v="3"/>
    <x v="7"/>
    <x v="12"/>
    <x v="262"/>
    <x v="22"/>
    <x v="5"/>
  </r>
  <r>
    <x v="385"/>
    <x v="1855"/>
    <x v="276"/>
    <x v="3"/>
    <x v="1"/>
    <x v="1"/>
    <x v="3"/>
    <x v="7"/>
    <x v="12"/>
    <x v="262"/>
    <x v="22"/>
    <x v="5"/>
  </r>
  <r>
    <x v="386"/>
    <x v="1856"/>
    <x v="276"/>
    <x v="3"/>
    <x v="1"/>
    <x v="1"/>
    <x v="3"/>
    <x v="7"/>
    <x v="12"/>
    <x v="262"/>
    <x v="22"/>
    <x v="5"/>
  </r>
  <r>
    <x v="387"/>
    <x v="1213"/>
    <x v="258"/>
    <x v="4"/>
    <x v="2"/>
    <x v="2"/>
    <x v="1"/>
    <x v="28"/>
    <x v="303"/>
    <x v="118"/>
    <x v="96"/>
    <x v="5"/>
  </r>
  <r>
    <x v="388"/>
    <x v="1332"/>
    <x v="45"/>
    <x v="1"/>
    <x v="0"/>
    <x v="0"/>
    <x v="2"/>
    <x v="17"/>
    <x v="177"/>
    <x v="160"/>
    <x v="17"/>
    <x v="5"/>
  </r>
  <r>
    <x v="389"/>
    <x v="1333"/>
    <x v="45"/>
    <x v="3"/>
    <x v="1"/>
    <x v="1"/>
    <x v="2"/>
    <x v="17"/>
    <x v="177"/>
    <x v="160"/>
    <x v="17"/>
    <x v="5"/>
  </r>
  <r>
    <x v="391"/>
    <x v="1525"/>
    <x v="45"/>
    <x v="4"/>
    <x v="2"/>
    <x v="2"/>
    <x v="2"/>
    <x v="17"/>
    <x v="177"/>
    <x v="160"/>
    <x v="17"/>
    <x v="5"/>
  </r>
  <r>
    <x v="392"/>
    <x v="970"/>
    <x v="138"/>
    <x v="4"/>
    <x v="2"/>
    <x v="2"/>
    <x v="4"/>
    <x v="36"/>
    <x v="374"/>
    <x v="381"/>
    <x v="22"/>
    <x v="5"/>
  </r>
  <r>
    <x v="393"/>
    <x v="1801"/>
    <x v="138"/>
    <x v="3"/>
    <x v="1"/>
    <x v="1"/>
    <x v="4"/>
    <x v="36"/>
    <x v="374"/>
    <x v="381"/>
    <x v="22"/>
    <x v="5"/>
  </r>
  <r>
    <x v="394"/>
    <x v="1662"/>
    <x v="138"/>
    <x v="3"/>
    <x v="1"/>
    <x v="1"/>
    <x v="4"/>
    <x v="36"/>
    <x v="374"/>
    <x v="381"/>
    <x v="22"/>
    <x v="5"/>
  </r>
  <r>
    <x v="395"/>
    <x v="1663"/>
    <x v="138"/>
    <x v="3"/>
    <x v="1"/>
    <x v="1"/>
    <x v="4"/>
    <x v="36"/>
    <x v="374"/>
    <x v="381"/>
    <x v="22"/>
    <x v="5"/>
  </r>
  <r>
    <x v="396"/>
    <x v="1667"/>
    <x v="138"/>
    <x v="3"/>
    <x v="1"/>
    <x v="1"/>
    <x v="4"/>
    <x v="36"/>
    <x v="374"/>
    <x v="381"/>
    <x v="22"/>
    <x v="5"/>
  </r>
  <r>
    <x v="397"/>
    <x v="1334"/>
    <x v="83"/>
    <x v="4"/>
    <x v="2"/>
    <x v="2"/>
    <x v="0"/>
    <x v="13"/>
    <x v="69"/>
    <x v="30"/>
    <x v="48"/>
    <x v="5"/>
  </r>
  <r>
    <x v="398"/>
    <x v="1611"/>
    <x v="83"/>
    <x v="1"/>
    <x v="0"/>
    <x v="0"/>
    <x v="0"/>
    <x v="13"/>
    <x v="69"/>
    <x v="30"/>
    <x v="48"/>
    <x v="5"/>
  </r>
  <r>
    <x v="399"/>
    <x v="1068"/>
    <x v="32"/>
    <x v="4"/>
    <x v="2"/>
    <x v="2"/>
    <x v="3"/>
    <x v="15"/>
    <x v="152"/>
    <x v="273"/>
    <x v="42"/>
    <x v="5"/>
  </r>
  <r>
    <x v="400"/>
    <x v="1069"/>
    <x v="32"/>
    <x v="1"/>
    <x v="0"/>
    <x v="0"/>
    <x v="3"/>
    <x v="15"/>
    <x v="152"/>
    <x v="273"/>
    <x v="42"/>
    <x v="5"/>
  </r>
  <r>
    <x v="402"/>
    <x v="1066"/>
    <x v="273"/>
    <x v="4"/>
    <x v="2"/>
    <x v="2"/>
    <x v="3"/>
    <x v="15"/>
    <x v="166"/>
    <x v="270"/>
    <x v="28"/>
    <x v="5"/>
  </r>
  <r>
    <x v="403"/>
    <x v="1067"/>
    <x v="273"/>
    <x v="1"/>
    <x v="0"/>
    <x v="0"/>
    <x v="3"/>
    <x v="15"/>
    <x v="166"/>
    <x v="270"/>
    <x v="28"/>
    <x v="5"/>
  </r>
  <r>
    <x v="404"/>
    <x v="1062"/>
    <x v="231"/>
    <x v="4"/>
    <x v="2"/>
    <x v="2"/>
    <x v="3"/>
    <x v="15"/>
    <x v="163"/>
    <x v="278"/>
    <x v="27"/>
    <x v="5"/>
  </r>
  <r>
    <x v="405"/>
    <x v="1063"/>
    <x v="231"/>
    <x v="1"/>
    <x v="0"/>
    <x v="0"/>
    <x v="3"/>
    <x v="15"/>
    <x v="163"/>
    <x v="278"/>
    <x v="27"/>
    <x v="5"/>
  </r>
  <r>
    <x v="406"/>
    <x v="1059"/>
    <x v="376"/>
    <x v="4"/>
    <x v="2"/>
    <x v="2"/>
    <x v="3"/>
    <x v="15"/>
    <x v="160"/>
    <x v="286"/>
    <x v="97"/>
    <x v="5"/>
  </r>
  <r>
    <x v="407"/>
    <x v="1056"/>
    <x v="341"/>
    <x v="4"/>
    <x v="2"/>
    <x v="2"/>
    <x v="3"/>
    <x v="15"/>
    <x v="170"/>
    <x v="285"/>
    <x v="26"/>
    <x v="5"/>
  </r>
  <r>
    <x v="408"/>
    <x v="1055"/>
    <x v="341"/>
    <x v="1"/>
    <x v="0"/>
    <x v="0"/>
    <x v="3"/>
    <x v="15"/>
    <x v="170"/>
    <x v="285"/>
    <x v="26"/>
    <x v="5"/>
  </r>
  <r>
    <x v="409"/>
    <x v="1065"/>
    <x v="336"/>
    <x v="4"/>
    <x v="2"/>
    <x v="2"/>
    <x v="3"/>
    <x v="15"/>
    <x v="169"/>
    <x v="272"/>
    <x v="22"/>
    <x v="5"/>
  </r>
  <r>
    <x v="410"/>
    <x v="1064"/>
    <x v="336"/>
    <x v="1"/>
    <x v="0"/>
    <x v="0"/>
    <x v="3"/>
    <x v="15"/>
    <x v="169"/>
    <x v="272"/>
    <x v="22"/>
    <x v="5"/>
  </r>
  <r>
    <x v="411"/>
    <x v="1057"/>
    <x v="179"/>
    <x v="4"/>
    <x v="2"/>
    <x v="2"/>
    <x v="3"/>
    <x v="15"/>
    <x v="161"/>
    <x v="284"/>
    <x v="22"/>
    <x v="5"/>
  </r>
  <r>
    <x v="413"/>
    <x v="1058"/>
    <x v="179"/>
    <x v="1"/>
    <x v="0"/>
    <x v="0"/>
    <x v="3"/>
    <x v="15"/>
    <x v="161"/>
    <x v="284"/>
    <x v="22"/>
    <x v="5"/>
  </r>
  <r>
    <x v="414"/>
    <x v="1061"/>
    <x v="235"/>
    <x v="4"/>
    <x v="2"/>
    <x v="2"/>
    <x v="3"/>
    <x v="15"/>
    <x v="164"/>
    <x v="280"/>
    <x v="2"/>
    <x v="5"/>
  </r>
  <r>
    <x v="415"/>
    <x v="1070"/>
    <x v="261"/>
    <x v="1"/>
    <x v="0"/>
    <x v="0"/>
    <x v="3"/>
    <x v="15"/>
    <x v="165"/>
    <x v="274"/>
    <x v="26"/>
    <x v="5"/>
  </r>
  <r>
    <x v="416"/>
    <x v="1071"/>
    <x v="261"/>
    <x v="4"/>
    <x v="2"/>
    <x v="2"/>
    <x v="3"/>
    <x v="15"/>
    <x v="165"/>
    <x v="274"/>
    <x v="26"/>
    <x v="5"/>
  </r>
  <r>
    <x v="417"/>
    <x v="1277"/>
    <x v="350"/>
    <x v="1"/>
    <x v="0"/>
    <x v="0"/>
    <x v="1"/>
    <x v="32"/>
    <x v="338"/>
    <x v="166"/>
    <x v="22"/>
    <x v="5"/>
  </r>
  <r>
    <x v="418"/>
    <x v="1428"/>
    <x v="350"/>
    <x v="4"/>
    <x v="2"/>
    <x v="2"/>
    <x v="1"/>
    <x v="32"/>
    <x v="338"/>
    <x v="166"/>
    <x v="22"/>
    <x v="5"/>
  </r>
  <r>
    <x v="419"/>
    <x v="1264"/>
    <x v="332"/>
    <x v="1"/>
    <x v="0"/>
    <x v="0"/>
    <x v="1"/>
    <x v="32"/>
    <x v="349"/>
    <x v="169"/>
    <x v="22"/>
    <x v="2"/>
  </r>
  <r>
    <x v="420"/>
    <x v="1513"/>
    <x v="332"/>
    <x v="4"/>
    <x v="2"/>
    <x v="2"/>
    <x v="1"/>
    <x v="32"/>
    <x v="349"/>
    <x v="169"/>
    <x v="22"/>
    <x v="2"/>
  </r>
  <r>
    <x v="421"/>
    <x v="1845"/>
    <x v="332"/>
    <x v="3"/>
    <x v="1"/>
    <x v="1"/>
    <x v="1"/>
    <x v="32"/>
    <x v="349"/>
    <x v="169"/>
    <x v="22"/>
    <x v="2"/>
  </r>
  <r>
    <x v="422"/>
    <x v="1280"/>
    <x v="190"/>
    <x v="1"/>
    <x v="0"/>
    <x v="0"/>
    <x v="1"/>
    <x v="32"/>
    <x v="342"/>
    <x v="171"/>
    <x v="22"/>
    <x v="5"/>
  </r>
  <r>
    <x v="424"/>
    <x v="1282"/>
    <x v="190"/>
    <x v="4"/>
    <x v="2"/>
    <x v="2"/>
    <x v="1"/>
    <x v="32"/>
    <x v="342"/>
    <x v="171"/>
    <x v="22"/>
    <x v="5"/>
  </r>
  <r>
    <x v="425"/>
    <x v="1849"/>
    <x v="190"/>
    <x v="3"/>
    <x v="1"/>
    <x v="1"/>
    <x v="1"/>
    <x v="32"/>
    <x v="342"/>
    <x v="171"/>
    <x v="22"/>
    <x v="5"/>
  </r>
  <r>
    <x v="426"/>
    <x v="1263"/>
    <x v="348"/>
    <x v="1"/>
    <x v="0"/>
    <x v="0"/>
    <x v="1"/>
    <x v="32"/>
    <x v="344"/>
    <x v="174"/>
    <x v="22"/>
    <x v="5"/>
  </r>
  <r>
    <x v="427"/>
    <x v="9"/>
    <x v="348"/>
    <x v="4"/>
    <x v="2"/>
    <x v="2"/>
    <x v="1"/>
    <x v="32"/>
    <x v="344"/>
    <x v="174"/>
    <x v="22"/>
    <x v="5"/>
  </r>
  <r>
    <x v="428"/>
    <x v="1278"/>
    <x v="6"/>
    <x v="1"/>
    <x v="0"/>
    <x v="0"/>
    <x v="1"/>
    <x v="32"/>
    <x v="337"/>
    <x v="175"/>
    <x v="22"/>
    <x v="5"/>
  </r>
  <r>
    <x v="429"/>
    <x v="1270"/>
    <x v="6"/>
    <x v="4"/>
    <x v="2"/>
    <x v="2"/>
    <x v="1"/>
    <x v="32"/>
    <x v="337"/>
    <x v="175"/>
    <x v="22"/>
    <x v="5"/>
  </r>
  <r>
    <x v="430"/>
    <x v="1279"/>
    <x v="380"/>
    <x v="1"/>
    <x v="0"/>
    <x v="0"/>
    <x v="1"/>
    <x v="32"/>
    <x v="347"/>
    <x v="176"/>
    <x v="22"/>
    <x v="5"/>
  </r>
  <r>
    <x v="431"/>
    <x v="1430"/>
    <x v="380"/>
    <x v="4"/>
    <x v="2"/>
    <x v="2"/>
    <x v="1"/>
    <x v="32"/>
    <x v="347"/>
    <x v="176"/>
    <x v="22"/>
    <x v="5"/>
  </r>
  <r>
    <x v="432"/>
    <x v="1281"/>
    <x v="143"/>
    <x v="1"/>
    <x v="0"/>
    <x v="0"/>
    <x v="1"/>
    <x v="32"/>
    <x v="341"/>
    <x v="177"/>
    <x v="2"/>
    <x v="5"/>
  </r>
  <r>
    <x v="433"/>
    <x v="1429"/>
    <x v="143"/>
    <x v="4"/>
    <x v="2"/>
    <x v="2"/>
    <x v="1"/>
    <x v="32"/>
    <x v="341"/>
    <x v="177"/>
    <x v="2"/>
    <x v="5"/>
  </r>
  <r>
    <x v="435"/>
    <x v="1283"/>
    <x v="65"/>
    <x v="1"/>
    <x v="0"/>
    <x v="0"/>
    <x v="1"/>
    <x v="32"/>
    <x v="340"/>
    <x v="173"/>
    <x v="2"/>
    <x v="5"/>
  </r>
  <r>
    <x v="436"/>
    <x v="1514"/>
    <x v="65"/>
    <x v="4"/>
    <x v="2"/>
    <x v="2"/>
    <x v="1"/>
    <x v="32"/>
    <x v="340"/>
    <x v="173"/>
    <x v="2"/>
    <x v="5"/>
  </r>
  <r>
    <x v="437"/>
    <x v="1276"/>
    <x v="373"/>
    <x v="1"/>
    <x v="0"/>
    <x v="0"/>
    <x v="1"/>
    <x v="32"/>
    <x v="346"/>
    <x v="172"/>
    <x v="22"/>
    <x v="5"/>
  </r>
  <r>
    <x v="438"/>
    <x v="462"/>
    <x v="373"/>
    <x v="4"/>
    <x v="2"/>
    <x v="2"/>
    <x v="1"/>
    <x v="32"/>
    <x v="346"/>
    <x v="172"/>
    <x v="22"/>
    <x v="5"/>
  </r>
  <r>
    <x v="439"/>
    <x v="1214"/>
    <x v="370"/>
    <x v="1"/>
    <x v="0"/>
    <x v="0"/>
    <x v="1"/>
    <x v="29"/>
    <x v="316"/>
    <x v="129"/>
    <x v="22"/>
    <x v="5"/>
  </r>
  <r>
    <x v="440"/>
    <x v="1771"/>
    <x v="370"/>
    <x v="4"/>
    <x v="2"/>
    <x v="2"/>
    <x v="1"/>
    <x v="29"/>
    <x v="316"/>
    <x v="129"/>
    <x v="22"/>
    <x v="5"/>
  </r>
  <r>
    <x v="441"/>
    <x v="1219"/>
    <x v="39"/>
    <x v="1"/>
    <x v="0"/>
    <x v="0"/>
    <x v="1"/>
    <x v="28"/>
    <x v="296"/>
    <x v="115"/>
    <x v="22"/>
    <x v="5"/>
  </r>
  <r>
    <x v="442"/>
    <x v="1215"/>
    <x v="130"/>
    <x v="1"/>
    <x v="0"/>
    <x v="0"/>
    <x v="1"/>
    <x v="28"/>
    <x v="298"/>
    <x v="119"/>
    <x v="22"/>
    <x v="5"/>
  </r>
  <r>
    <x v="443"/>
    <x v="1549"/>
    <x v="130"/>
    <x v="4"/>
    <x v="2"/>
    <x v="2"/>
    <x v="1"/>
    <x v="28"/>
    <x v="298"/>
    <x v="119"/>
    <x v="22"/>
    <x v="5"/>
  </r>
  <r>
    <x v="444"/>
    <x v="1221"/>
    <x v="250"/>
    <x v="1"/>
    <x v="0"/>
    <x v="0"/>
    <x v="1"/>
    <x v="27"/>
    <x v="308"/>
    <x v="104"/>
    <x v="22"/>
    <x v="5"/>
  </r>
  <r>
    <x v="447"/>
    <x v="1793"/>
    <x v="250"/>
    <x v="4"/>
    <x v="2"/>
    <x v="2"/>
    <x v="1"/>
    <x v="27"/>
    <x v="308"/>
    <x v="104"/>
    <x v="22"/>
    <x v="5"/>
  </r>
  <r>
    <x v="448"/>
    <x v="165"/>
    <x v="35"/>
    <x v="1"/>
    <x v="0"/>
    <x v="0"/>
    <x v="1"/>
    <x v="29"/>
    <x v="294"/>
    <x v="105"/>
    <x v="22"/>
    <x v="5"/>
  </r>
  <r>
    <x v="449"/>
    <x v="1790"/>
    <x v="35"/>
    <x v="4"/>
    <x v="2"/>
    <x v="2"/>
    <x v="1"/>
    <x v="29"/>
    <x v="294"/>
    <x v="105"/>
    <x v="22"/>
    <x v="5"/>
  </r>
  <r>
    <x v="450"/>
    <x v="1216"/>
    <x v="63"/>
    <x v="1"/>
    <x v="0"/>
    <x v="0"/>
    <x v="1"/>
    <x v="27"/>
    <x v="315"/>
    <x v="112"/>
    <x v="22"/>
    <x v="5"/>
  </r>
  <r>
    <x v="451"/>
    <x v="1791"/>
    <x v="63"/>
    <x v="4"/>
    <x v="2"/>
    <x v="2"/>
    <x v="1"/>
    <x v="27"/>
    <x v="315"/>
    <x v="112"/>
    <x v="22"/>
    <x v="5"/>
  </r>
  <r>
    <x v="452"/>
    <x v="1220"/>
    <x v="249"/>
    <x v="1"/>
    <x v="0"/>
    <x v="0"/>
    <x v="1"/>
    <x v="27"/>
    <x v="309"/>
    <x v="106"/>
    <x v="41"/>
    <x v="5"/>
  </r>
  <r>
    <x v="453"/>
    <x v="1792"/>
    <x v="249"/>
    <x v="4"/>
    <x v="2"/>
    <x v="2"/>
    <x v="1"/>
    <x v="27"/>
    <x v="309"/>
    <x v="106"/>
    <x v="41"/>
    <x v="5"/>
  </r>
  <r>
    <x v="454"/>
    <x v="1217"/>
    <x v="207"/>
    <x v="1"/>
    <x v="0"/>
    <x v="0"/>
    <x v="1"/>
    <x v="29"/>
    <x v="304"/>
    <x v="130"/>
    <x v="22"/>
    <x v="5"/>
  </r>
  <r>
    <x v="455"/>
    <x v="1458"/>
    <x v="207"/>
    <x v="4"/>
    <x v="2"/>
    <x v="2"/>
    <x v="1"/>
    <x v="29"/>
    <x v="304"/>
    <x v="130"/>
    <x v="22"/>
    <x v="5"/>
  </r>
  <r>
    <x v="456"/>
    <x v="1338"/>
    <x v="408"/>
    <x v="1"/>
    <x v="0"/>
    <x v="0"/>
    <x v="2"/>
    <x v="31"/>
    <x v="336"/>
    <x v="154"/>
    <x v="26"/>
    <x v="5"/>
  </r>
  <r>
    <x v="458"/>
    <x v="1766"/>
    <x v="408"/>
    <x v="3"/>
    <x v="1"/>
    <x v="1"/>
    <x v="2"/>
    <x v="31"/>
    <x v="336"/>
    <x v="154"/>
    <x v="26"/>
    <x v="5"/>
  </r>
  <r>
    <x v="459"/>
    <x v="1767"/>
    <x v="408"/>
    <x v="3"/>
    <x v="1"/>
    <x v="1"/>
    <x v="2"/>
    <x v="31"/>
    <x v="336"/>
    <x v="154"/>
    <x v="26"/>
    <x v="5"/>
  </r>
  <r>
    <x v="460"/>
    <x v="1443"/>
    <x v="132"/>
    <x v="1"/>
    <x v="0"/>
    <x v="0"/>
    <x v="5"/>
    <x v="19"/>
    <x v="206"/>
    <x v="248"/>
    <x v="23"/>
    <x v="5"/>
  </r>
  <r>
    <x v="461"/>
    <x v="1444"/>
    <x v="132"/>
    <x v="3"/>
    <x v="1"/>
    <x v="1"/>
    <x v="5"/>
    <x v="19"/>
    <x v="206"/>
    <x v="248"/>
    <x v="23"/>
    <x v="5"/>
  </r>
  <r>
    <x v="462"/>
    <x v="1461"/>
    <x v="132"/>
    <x v="4"/>
    <x v="2"/>
    <x v="2"/>
    <x v="5"/>
    <x v="19"/>
    <x v="206"/>
    <x v="248"/>
    <x v="23"/>
    <x v="5"/>
  </r>
  <r>
    <x v="463"/>
    <x v="1780"/>
    <x v="132"/>
    <x v="3"/>
    <x v="1"/>
    <x v="1"/>
    <x v="5"/>
    <x v="19"/>
    <x v="206"/>
    <x v="248"/>
    <x v="23"/>
    <x v="5"/>
  </r>
  <r>
    <x v="464"/>
    <x v="1252"/>
    <x v="18"/>
    <x v="1"/>
    <x v="0"/>
    <x v="0"/>
    <x v="5"/>
    <x v="20"/>
    <x v="199"/>
    <x v="242"/>
    <x v="23"/>
    <x v="5"/>
  </r>
  <r>
    <x v="465"/>
    <x v="1750"/>
    <x v="18"/>
    <x v="4"/>
    <x v="2"/>
    <x v="2"/>
    <x v="5"/>
    <x v="20"/>
    <x v="199"/>
    <x v="242"/>
    <x v="23"/>
    <x v="5"/>
  </r>
  <r>
    <x v="466"/>
    <x v="1828"/>
    <x v="18"/>
    <x v="3"/>
    <x v="1"/>
    <x v="1"/>
    <x v="5"/>
    <x v="20"/>
    <x v="199"/>
    <x v="242"/>
    <x v="23"/>
    <x v="5"/>
  </r>
  <r>
    <x v="467"/>
    <x v="1829"/>
    <x v="18"/>
    <x v="3"/>
    <x v="1"/>
    <x v="1"/>
    <x v="5"/>
    <x v="20"/>
    <x v="199"/>
    <x v="242"/>
    <x v="23"/>
    <x v="5"/>
  </r>
  <r>
    <x v="469"/>
    <x v="1253"/>
    <x v="324"/>
    <x v="1"/>
    <x v="0"/>
    <x v="0"/>
    <x v="5"/>
    <x v="20"/>
    <x v="215"/>
    <x v="240"/>
    <x v="22"/>
    <x v="5"/>
  </r>
  <r>
    <x v="470"/>
    <x v="1482"/>
    <x v="324"/>
    <x v="3"/>
    <x v="1"/>
    <x v="1"/>
    <x v="5"/>
    <x v="20"/>
    <x v="215"/>
    <x v="240"/>
    <x v="22"/>
    <x v="5"/>
  </r>
  <r>
    <x v="471"/>
    <x v="1761"/>
    <x v="324"/>
    <x v="3"/>
    <x v="1"/>
    <x v="1"/>
    <x v="5"/>
    <x v="20"/>
    <x v="215"/>
    <x v="240"/>
    <x v="22"/>
    <x v="5"/>
  </r>
  <r>
    <x v="472"/>
    <x v="1763"/>
    <x v="324"/>
    <x v="3"/>
    <x v="1"/>
    <x v="1"/>
    <x v="5"/>
    <x v="20"/>
    <x v="215"/>
    <x v="240"/>
    <x v="22"/>
    <x v="5"/>
  </r>
  <r>
    <x v="473"/>
    <x v="1764"/>
    <x v="324"/>
    <x v="3"/>
    <x v="1"/>
    <x v="1"/>
    <x v="5"/>
    <x v="20"/>
    <x v="215"/>
    <x v="240"/>
    <x v="22"/>
    <x v="5"/>
  </r>
  <r>
    <x v="474"/>
    <x v="1449"/>
    <x v="334"/>
    <x v="1"/>
    <x v="0"/>
    <x v="0"/>
    <x v="5"/>
    <x v="19"/>
    <x v="216"/>
    <x v="250"/>
    <x v="23"/>
    <x v="5"/>
  </r>
  <r>
    <x v="475"/>
    <x v="1752"/>
    <x v="334"/>
    <x v="4"/>
    <x v="2"/>
    <x v="2"/>
    <x v="5"/>
    <x v="19"/>
    <x v="216"/>
    <x v="250"/>
    <x v="23"/>
    <x v="5"/>
  </r>
  <r>
    <x v="476"/>
    <x v="1629"/>
    <x v="334"/>
    <x v="3"/>
    <x v="1"/>
    <x v="1"/>
    <x v="5"/>
    <x v="19"/>
    <x v="216"/>
    <x v="250"/>
    <x v="23"/>
    <x v="5"/>
  </r>
  <r>
    <x v="477"/>
    <x v="1723"/>
    <x v="334"/>
    <x v="3"/>
    <x v="1"/>
    <x v="1"/>
    <x v="5"/>
    <x v="19"/>
    <x v="216"/>
    <x v="250"/>
    <x v="23"/>
    <x v="5"/>
  </r>
  <r>
    <x v="478"/>
    <x v="1724"/>
    <x v="334"/>
    <x v="3"/>
    <x v="1"/>
    <x v="1"/>
    <x v="5"/>
    <x v="19"/>
    <x v="216"/>
    <x v="250"/>
    <x v="23"/>
    <x v="5"/>
  </r>
  <r>
    <x v="480"/>
    <x v="1451"/>
    <x v="311"/>
    <x v="1"/>
    <x v="0"/>
    <x v="0"/>
    <x v="5"/>
    <x v="19"/>
    <x v="219"/>
    <x v="247"/>
    <x v="23"/>
    <x v="5"/>
  </r>
  <r>
    <x v="481"/>
    <x v="1518"/>
    <x v="311"/>
    <x v="3"/>
    <x v="1"/>
    <x v="1"/>
    <x v="5"/>
    <x v="19"/>
    <x v="219"/>
    <x v="247"/>
    <x v="23"/>
    <x v="5"/>
  </r>
  <r>
    <x v="482"/>
    <x v="1462"/>
    <x v="311"/>
    <x v="4"/>
    <x v="2"/>
    <x v="2"/>
    <x v="5"/>
    <x v="19"/>
    <x v="219"/>
    <x v="247"/>
    <x v="23"/>
    <x v="5"/>
  </r>
  <r>
    <x v="483"/>
    <x v="1714"/>
    <x v="311"/>
    <x v="3"/>
    <x v="1"/>
    <x v="1"/>
    <x v="5"/>
    <x v="19"/>
    <x v="219"/>
    <x v="247"/>
    <x v="23"/>
    <x v="5"/>
  </r>
  <r>
    <x v="484"/>
    <x v="1448"/>
    <x v="301"/>
    <x v="1"/>
    <x v="0"/>
    <x v="0"/>
    <x v="5"/>
    <x v="20"/>
    <x v="212"/>
    <x v="245"/>
    <x v="23"/>
    <x v="5"/>
  </r>
  <r>
    <x v="485"/>
    <x v="1475"/>
    <x v="301"/>
    <x v="3"/>
    <x v="1"/>
    <x v="1"/>
    <x v="5"/>
    <x v="20"/>
    <x v="212"/>
    <x v="245"/>
    <x v="23"/>
    <x v="5"/>
  </r>
  <r>
    <x v="486"/>
    <x v="1753"/>
    <x v="301"/>
    <x v="4"/>
    <x v="2"/>
    <x v="2"/>
    <x v="5"/>
    <x v="20"/>
    <x v="212"/>
    <x v="245"/>
    <x v="23"/>
    <x v="5"/>
  </r>
  <r>
    <x v="487"/>
    <x v="1782"/>
    <x v="301"/>
    <x v="3"/>
    <x v="1"/>
    <x v="1"/>
    <x v="5"/>
    <x v="20"/>
    <x v="212"/>
    <x v="245"/>
    <x v="23"/>
    <x v="5"/>
  </r>
  <r>
    <x v="488"/>
    <x v="1635"/>
    <x v="301"/>
    <x v="3"/>
    <x v="1"/>
    <x v="1"/>
    <x v="5"/>
    <x v="20"/>
    <x v="212"/>
    <x v="245"/>
    <x v="23"/>
    <x v="5"/>
  </r>
  <r>
    <x v="489"/>
    <x v="1450"/>
    <x v="199"/>
    <x v="1"/>
    <x v="0"/>
    <x v="0"/>
    <x v="5"/>
    <x v="3"/>
    <x v="30"/>
    <x v="183"/>
    <x v="31"/>
    <x v="5"/>
  </r>
  <r>
    <x v="491"/>
    <x v="1491"/>
    <x v="199"/>
    <x v="4"/>
    <x v="2"/>
    <x v="2"/>
    <x v="5"/>
    <x v="3"/>
    <x v="30"/>
    <x v="183"/>
    <x v="31"/>
    <x v="5"/>
  </r>
  <r>
    <x v="492"/>
    <x v="1868"/>
    <x v="199"/>
    <x v="3"/>
    <x v="1"/>
    <x v="1"/>
    <x v="5"/>
    <x v="3"/>
    <x v="30"/>
    <x v="183"/>
    <x v="31"/>
    <x v="1"/>
  </r>
  <r>
    <x v="493"/>
    <x v="1671"/>
    <x v="199"/>
    <x v="3"/>
    <x v="1"/>
    <x v="1"/>
    <x v="5"/>
    <x v="3"/>
    <x v="30"/>
    <x v="183"/>
    <x v="31"/>
    <x v="5"/>
  </r>
  <r>
    <x v="494"/>
    <x v="1641"/>
    <x v="199"/>
    <x v="3"/>
    <x v="1"/>
    <x v="1"/>
    <x v="5"/>
    <x v="3"/>
    <x v="30"/>
    <x v="183"/>
    <x v="31"/>
    <x v="5"/>
  </r>
  <r>
    <x v="495"/>
    <x v="1642"/>
    <x v="199"/>
    <x v="3"/>
    <x v="1"/>
    <x v="1"/>
    <x v="5"/>
    <x v="3"/>
    <x v="30"/>
    <x v="183"/>
    <x v="31"/>
    <x v="5"/>
  </r>
  <r>
    <x v="496"/>
    <x v="1446"/>
    <x v="61"/>
    <x v="1"/>
    <x v="0"/>
    <x v="0"/>
    <x v="5"/>
    <x v="3"/>
    <x v="55"/>
    <x v="195"/>
    <x v="34"/>
    <x v="5"/>
  </r>
  <r>
    <x v="497"/>
    <x v="1822"/>
    <x v="61"/>
    <x v="3"/>
    <x v="1"/>
    <x v="1"/>
    <x v="5"/>
    <x v="3"/>
    <x v="55"/>
    <x v="195"/>
    <x v="34"/>
    <x v="5"/>
  </r>
  <r>
    <x v="498"/>
    <x v="1870"/>
    <x v="61"/>
    <x v="3"/>
    <x v="1"/>
    <x v="1"/>
    <x v="5"/>
    <x v="3"/>
    <x v="55"/>
    <x v="195"/>
    <x v="34"/>
    <x v="5"/>
  </r>
  <r>
    <x v="499"/>
    <x v="1871"/>
    <x v="61"/>
    <x v="3"/>
    <x v="1"/>
    <x v="1"/>
    <x v="5"/>
    <x v="3"/>
    <x v="55"/>
    <x v="195"/>
    <x v="34"/>
    <x v="5"/>
  </r>
  <r>
    <x v="500"/>
    <x v="1872"/>
    <x v="61"/>
    <x v="3"/>
    <x v="1"/>
    <x v="1"/>
    <x v="5"/>
    <x v="3"/>
    <x v="55"/>
    <x v="195"/>
    <x v="34"/>
    <x v="5"/>
  </r>
  <r>
    <x v="502"/>
    <x v="1873"/>
    <x v="61"/>
    <x v="3"/>
    <x v="1"/>
    <x v="1"/>
    <x v="5"/>
    <x v="3"/>
    <x v="55"/>
    <x v="195"/>
    <x v="34"/>
    <x v="5"/>
  </r>
  <r>
    <x v="503"/>
    <x v="1874"/>
    <x v="61"/>
    <x v="3"/>
    <x v="1"/>
    <x v="1"/>
    <x v="5"/>
    <x v="3"/>
    <x v="55"/>
    <x v="195"/>
    <x v="34"/>
    <x v="5"/>
  </r>
  <r>
    <x v="504"/>
    <x v="1875"/>
    <x v="61"/>
    <x v="3"/>
    <x v="1"/>
    <x v="1"/>
    <x v="5"/>
    <x v="3"/>
    <x v="55"/>
    <x v="195"/>
    <x v="34"/>
    <x v="5"/>
  </r>
  <r>
    <x v="505"/>
    <x v="1876"/>
    <x v="61"/>
    <x v="3"/>
    <x v="1"/>
    <x v="1"/>
    <x v="5"/>
    <x v="3"/>
    <x v="55"/>
    <x v="195"/>
    <x v="34"/>
    <x v="5"/>
  </r>
  <r>
    <x v="506"/>
    <x v="1869"/>
    <x v="61"/>
    <x v="4"/>
    <x v="2"/>
    <x v="2"/>
    <x v="5"/>
    <x v="3"/>
    <x v="55"/>
    <x v="195"/>
    <x v="34"/>
    <x v="5"/>
  </r>
  <r>
    <x v="507"/>
    <x v="1683"/>
    <x v="61"/>
    <x v="4"/>
    <x v="2"/>
    <x v="2"/>
    <x v="5"/>
    <x v="3"/>
    <x v="55"/>
    <x v="195"/>
    <x v="34"/>
    <x v="5"/>
  </r>
  <r>
    <x v="508"/>
    <x v="1447"/>
    <x v="194"/>
    <x v="1"/>
    <x v="0"/>
    <x v="0"/>
    <x v="5"/>
    <x v="0"/>
    <x v="62"/>
    <x v="188"/>
    <x v="22"/>
    <x v="5"/>
  </r>
  <r>
    <x v="509"/>
    <x v="1825"/>
    <x v="194"/>
    <x v="4"/>
    <x v="2"/>
    <x v="2"/>
    <x v="5"/>
    <x v="0"/>
    <x v="62"/>
    <x v="188"/>
    <x v="22"/>
    <x v="5"/>
  </r>
  <r>
    <x v="510"/>
    <x v="1866"/>
    <x v="194"/>
    <x v="3"/>
    <x v="1"/>
    <x v="1"/>
    <x v="5"/>
    <x v="0"/>
    <x v="62"/>
    <x v="188"/>
    <x v="22"/>
    <x v="5"/>
  </r>
  <r>
    <x v="511"/>
    <x v="1867"/>
    <x v="194"/>
    <x v="3"/>
    <x v="1"/>
    <x v="1"/>
    <x v="5"/>
    <x v="0"/>
    <x v="62"/>
    <x v="188"/>
    <x v="22"/>
    <x v="5"/>
  </r>
  <r>
    <x v="513"/>
    <x v="1463"/>
    <x v="151"/>
    <x v="1"/>
    <x v="0"/>
    <x v="0"/>
    <x v="5"/>
    <x v="1"/>
    <x v="43"/>
    <x v="214"/>
    <x v="22"/>
    <x v="5"/>
  </r>
  <r>
    <x v="514"/>
    <x v="1492"/>
    <x v="151"/>
    <x v="4"/>
    <x v="2"/>
    <x v="2"/>
    <x v="5"/>
    <x v="1"/>
    <x v="43"/>
    <x v="214"/>
    <x v="22"/>
    <x v="5"/>
  </r>
  <r>
    <x v="515"/>
    <x v="1396"/>
    <x v="233"/>
    <x v="1"/>
    <x v="0"/>
    <x v="0"/>
    <x v="3"/>
    <x v="34"/>
    <x v="364"/>
    <x v="303"/>
    <x v="19"/>
    <x v="5"/>
  </r>
  <r>
    <x v="516"/>
    <x v="1425"/>
    <x v="233"/>
    <x v="3"/>
    <x v="1"/>
    <x v="1"/>
    <x v="3"/>
    <x v="34"/>
    <x v="364"/>
    <x v="303"/>
    <x v="19"/>
    <x v="5"/>
  </r>
  <r>
    <x v="517"/>
    <x v="1558"/>
    <x v="233"/>
    <x v="4"/>
    <x v="2"/>
    <x v="2"/>
    <x v="3"/>
    <x v="34"/>
    <x v="364"/>
    <x v="303"/>
    <x v="19"/>
    <x v="5"/>
  </r>
  <r>
    <x v="518"/>
    <x v="1225"/>
    <x v="277"/>
    <x v="1"/>
    <x v="0"/>
    <x v="0"/>
    <x v="2"/>
    <x v="22"/>
    <x v="256"/>
    <x v="97"/>
    <x v="15"/>
    <x v="5"/>
  </r>
  <r>
    <x v="519"/>
    <x v="1509"/>
    <x v="277"/>
    <x v="3"/>
    <x v="1"/>
    <x v="1"/>
    <x v="2"/>
    <x v="22"/>
    <x v="256"/>
    <x v="97"/>
    <x v="15"/>
    <x v="5"/>
  </r>
  <r>
    <x v="520"/>
    <x v="1765"/>
    <x v="277"/>
    <x v="3"/>
    <x v="1"/>
    <x v="1"/>
    <x v="2"/>
    <x v="22"/>
    <x v="256"/>
    <x v="97"/>
    <x v="15"/>
    <x v="5"/>
  </r>
  <r>
    <x v="521"/>
    <x v="1550"/>
    <x v="277"/>
    <x v="3"/>
    <x v="1"/>
    <x v="1"/>
    <x v="2"/>
    <x v="22"/>
    <x v="256"/>
    <x v="97"/>
    <x v="15"/>
    <x v="5"/>
  </r>
  <r>
    <x v="522"/>
    <x v="1551"/>
    <x v="277"/>
    <x v="3"/>
    <x v="1"/>
    <x v="1"/>
    <x v="2"/>
    <x v="22"/>
    <x v="256"/>
    <x v="97"/>
    <x v="15"/>
    <x v="5"/>
  </r>
  <r>
    <x v="524"/>
    <x v="1600"/>
    <x v="277"/>
    <x v="3"/>
    <x v="1"/>
    <x v="1"/>
    <x v="2"/>
    <x v="22"/>
    <x v="256"/>
    <x v="97"/>
    <x v="15"/>
    <x v="5"/>
  </r>
  <r>
    <x v="525"/>
    <x v="1230"/>
    <x v="60"/>
    <x v="1"/>
    <x v="0"/>
    <x v="0"/>
    <x v="2"/>
    <x v="22"/>
    <x v="230"/>
    <x v="96"/>
    <x v="50"/>
    <x v="5"/>
  </r>
  <r>
    <x v="526"/>
    <x v="1597"/>
    <x v="60"/>
    <x v="4"/>
    <x v="2"/>
    <x v="2"/>
    <x v="2"/>
    <x v="22"/>
    <x v="230"/>
    <x v="96"/>
    <x v="50"/>
    <x v="5"/>
  </r>
  <r>
    <x v="527"/>
    <x v="1238"/>
    <x v="375"/>
    <x v="1"/>
    <x v="0"/>
    <x v="0"/>
    <x v="2"/>
    <x v="22"/>
    <x v="232"/>
    <x v="79"/>
    <x v="48"/>
    <x v="5"/>
  </r>
  <r>
    <x v="528"/>
    <x v="1592"/>
    <x v="375"/>
    <x v="3"/>
    <x v="1"/>
    <x v="1"/>
    <x v="2"/>
    <x v="22"/>
    <x v="232"/>
    <x v="79"/>
    <x v="48"/>
    <x v="5"/>
  </r>
  <r>
    <x v="529"/>
    <x v="1601"/>
    <x v="375"/>
    <x v="4"/>
    <x v="2"/>
    <x v="2"/>
    <x v="2"/>
    <x v="22"/>
    <x v="232"/>
    <x v="79"/>
    <x v="48"/>
    <x v="5"/>
  </r>
  <r>
    <x v="530"/>
    <x v="1622"/>
    <x v="375"/>
    <x v="4"/>
    <x v="2"/>
    <x v="2"/>
    <x v="2"/>
    <x v="22"/>
    <x v="232"/>
    <x v="79"/>
    <x v="48"/>
    <x v="5"/>
  </r>
  <r>
    <x v="531"/>
    <x v="1646"/>
    <x v="375"/>
    <x v="3"/>
    <x v="1"/>
    <x v="1"/>
    <x v="2"/>
    <x v="22"/>
    <x v="232"/>
    <x v="79"/>
    <x v="48"/>
    <x v="5"/>
  </r>
  <r>
    <x v="532"/>
    <x v="1226"/>
    <x v="267"/>
    <x v="1"/>
    <x v="0"/>
    <x v="0"/>
    <x v="2"/>
    <x v="21"/>
    <x v="254"/>
    <x v="50"/>
    <x v="70"/>
    <x v="5"/>
  </r>
  <r>
    <x v="533"/>
    <x v="1596"/>
    <x v="267"/>
    <x v="3"/>
    <x v="1"/>
    <x v="1"/>
    <x v="2"/>
    <x v="21"/>
    <x v="254"/>
    <x v="50"/>
    <x v="70"/>
    <x v="5"/>
  </r>
  <r>
    <x v="535"/>
    <x v="1619"/>
    <x v="267"/>
    <x v="4"/>
    <x v="2"/>
    <x v="2"/>
    <x v="2"/>
    <x v="21"/>
    <x v="254"/>
    <x v="50"/>
    <x v="70"/>
    <x v="5"/>
  </r>
  <r>
    <x v="536"/>
    <x v="1231"/>
    <x v="119"/>
    <x v="1"/>
    <x v="0"/>
    <x v="0"/>
    <x v="2"/>
    <x v="21"/>
    <x v="236"/>
    <x v="4"/>
    <x v="20"/>
    <x v="5"/>
  </r>
  <r>
    <x v="537"/>
    <x v="1552"/>
    <x v="119"/>
    <x v="3"/>
    <x v="1"/>
    <x v="1"/>
    <x v="2"/>
    <x v="21"/>
    <x v="236"/>
    <x v="4"/>
    <x v="20"/>
    <x v="5"/>
  </r>
  <r>
    <x v="538"/>
    <x v="1553"/>
    <x v="119"/>
    <x v="3"/>
    <x v="1"/>
    <x v="1"/>
    <x v="2"/>
    <x v="21"/>
    <x v="236"/>
    <x v="4"/>
    <x v="20"/>
    <x v="5"/>
  </r>
  <r>
    <x v="539"/>
    <x v="1599"/>
    <x v="119"/>
    <x v="4"/>
    <x v="2"/>
    <x v="2"/>
    <x v="2"/>
    <x v="21"/>
    <x v="236"/>
    <x v="4"/>
    <x v="20"/>
    <x v="5"/>
  </r>
  <r>
    <x v="540"/>
    <x v="1236"/>
    <x v="3"/>
    <x v="1"/>
    <x v="0"/>
    <x v="0"/>
    <x v="2"/>
    <x v="21"/>
    <x v="224"/>
    <x v="47"/>
    <x v="22"/>
    <x v="5"/>
  </r>
  <r>
    <x v="541"/>
    <x v="1649"/>
    <x v="3"/>
    <x v="4"/>
    <x v="2"/>
    <x v="2"/>
    <x v="2"/>
    <x v="21"/>
    <x v="224"/>
    <x v="47"/>
    <x v="22"/>
    <x v="5"/>
  </r>
  <r>
    <x v="542"/>
    <x v="1237"/>
    <x v="358"/>
    <x v="1"/>
    <x v="0"/>
    <x v="0"/>
    <x v="2"/>
    <x v="24"/>
    <x v="270"/>
    <x v="84"/>
    <x v="29"/>
    <x v="2"/>
  </r>
  <r>
    <x v="543"/>
    <x v="1621"/>
    <x v="358"/>
    <x v="4"/>
    <x v="2"/>
    <x v="2"/>
    <x v="2"/>
    <x v="24"/>
    <x v="270"/>
    <x v="84"/>
    <x v="29"/>
    <x v="2"/>
  </r>
  <r>
    <x v="544"/>
    <x v="1227"/>
    <x v="189"/>
    <x v="1"/>
    <x v="0"/>
    <x v="0"/>
    <x v="2"/>
    <x v="25"/>
    <x v="242"/>
    <x v="0"/>
    <x v="28"/>
    <x v="5"/>
  </r>
  <r>
    <x v="546"/>
    <x v="1743"/>
    <x v="189"/>
    <x v="4"/>
    <x v="2"/>
    <x v="2"/>
    <x v="2"/>
    <x v="25"/>
    <x v="242"/>
    <x v="0"/>
    <x v="28"/>
    <x v="5"/>
  </r>
  <r>
    <x v="547"/>
    <x v="1222"/>
    <x v="243"/>
    <x v="1"/>
    <x v="0"/>
    <x v="0"/>
    <x v="2"/>
    <x v="25"/>
    <x v="251"/>
    <x v="36"/>
    <x v="22"/>
    <x v="5"/>
  </r>
  <r>
    <x v="548"/>
    <x v="1709"/>
    <x v="243"/>
    <x v="4"/>
    <x v="2"/>
    <x v="2"/>
    <x v="2"/>
    <x v="25"/>
    <x v="251"/>
    <x v="36"/>
    <x v="22"/>
    <x v="5"/>
  </r>
  <r>
    <x v="549"/>
    <x v="1228"/>
    <x v="237"/>
    <x v="1"/>
    <x v="0"/>
    <x v="0"/>
    <x v="2"/>
    <x v="23"/>
    <x v="249"/>
    <x v="101"/>
    <x v="16"/>
    <x v="4"/>
  </r>
  <r>
    <x v="550"/>
    <x v="1598"/>
    <x v="237"/>
    <x v="4"/>
    <x v="2"/>
    <x v="2"/>
    <x v="2"/>
    <x v="23"/>
    <x v="249"/>
    <x v="101"/>
    <x v="16"/>
    <x v="4"/>
  </r>
  <r>
    <x v="551"/>
    <x v="1234"/>
    <x v="181"/>
    <x v="1"/>
    <x v="0"/>
    <x v="0"/>
    <x v="2"/>
    <x v="23"/>
    <x v="247"/>
    <x v="3"/>
    <x v="20"/>
    <x v="5"/>
  </r>
  <r>
    <x v="552"/>
    <x v="1624"/>
    <x v="181"/>
    <x v="4"/>
    <x v="2"/>
    <x v="2"/>
    <x v="2"/>
    <x v="23"/>
    <x v="247"/>
    <x v="3"/>
    <x v="20"/>
    <x v="5"/>
  </r>
  <r>
    <x v="553"/>
    <x v="1232"/>
    <x v="22"/>
    <x v="1"/>
    <x v="0"/>
    <x v="0"/>
    <x v="2"/>
    <x v="24"/>
    <x v="233"/>
    <x v="85"/>
    <x v="22"/>
    <x v="5"/>
  </r>
  <r>
    <x v="554"/>
    <x v="1593"/>
    <x v="22"/>
    <x v="3"/>
    <x v="1"/>
    <x v="1"/>
    <x v="2"/>
    <x v="24"/>
    <x v="233"/>
    <x v="85"/>
    <x v="22"/>
    <x v="5"/>
  </r>
  <r>
    <x v="555"/>
    <x v="1602"/>
    <x v="22"/>
    <x v="4"/>
    <x v="2"/>
    <x v="2"/>
    <x v="2"/>
    <x v="24"/>
    <x v="233"/>
    <x v="85"/>
    <x v="22"/>
    <x v="5"/>
  </r>
  <r>
    <x v="558"/>
    <x v="1411"/>
    <x v="274"/>
    <x v="4"/>
    <x v="2"/>
    <x v="2"/>
    <x v="3"/>
    <x v="15"/>
    <x v="167"/>
    <x v="276"/>
    <x v="22"/>
    <x v="5"/>
  </r>
  <r>
    <x v="559"/>
    <x v="1394"/>
    <x v="274"/>
    <x v="1"/>
    <x v="0"/>
    <x v="0"/>
    <x v="3"/>
    <x v="15"/>
    <x v="167"/>
    <x v="276"/>
    <x v="22"/>
    <x v="5"/>
  </r>
  <r>
    <x v="560"/>
    <x v="1362"/>
    <x v="416"/>
    <x v="4"/>
    <x v="2"/>
    <x v="2"/>
    <x v="3"/>
    <x v="4"/>
    <x v="145"/>
    <x v="327"/>
    <x v="28"/>
    <x v="5"/>
  </r>
  <r>
    <x v="561"/>
    <x v="1355"/>
    <x v="416"/>
    <x v="1"/>
    <x v="0"/>
    <x v="0"/>
    <x v="3"/>
    <x v="4"/>
    <x v="145"/>
    <x v="327"/>
    <x v="28"/>
    <x v="5"/>
  </r>
  <r>
    <x v="562"/>
    <x v="1802"/>
    <x v="416"/>
    <x v="3"/>
    <x v="1"/>
    <x v="1"/>
    <x v="3"/>
    <x v="4"/>
    <x v="145"/>
    <x v="327"/>
    <x v="28"/>
    <x v="5"/>
  </r>
  <r>
    <x v="563"/>
    <x v="1803"/>
    <x v="416"/>
    <x v="3"/>
    <x v="1"/>
    <x v="1"/>
    <x v="3"/>
    <x v="4"/>
    <x v="145"/>
    <x v="327"/>
    <x v="28"/>
    <x v="5"/>
  </r>
  <r>
    <x v="564"/>
    <x v="1272"/>
    <x v="58"/>
    <x v="1"/>
    <x v="0"/>
    <x v="0"/>
    <x v="5"/>
    <x v="1"/>
    <x v="339"/>
    <x v="217"/>
    <x v="23"/>
    <x v="5"/>
  </r>
  <r>
    <x v="565"/>
    <x v="1256"/>
    <x v="58"/>
    <x v="3"/>
    <x v="1"/>
    <x v="1"/>
    <x v="5"/>
    <x v="1"/>
    <x v="339"/>
    <x v="217"/>
    <x v="23"/>
    <x v="5"/>
  </r>
  <r>
    <x v="566"/>
    <x v="1431"/>
    <x v="58"/>
    <x v="4"/>
    <x v="2"/>
    <x v="2"/>
    <x v="5"/>
    <x v="1"/>
    <x v="339"/>
    <x v="217"/>
    <x v="23"/>
    <x v="5"/>
  </r>
  <r>
    <x v="567"/>
    <x v="1910"/>
    <x v="58"/>
    <x v="3"/>
    <x v="1"/>
    <x v="1"/>
    <x v="5"/>
    <x v="1"/>
    <x v="339"/>
    <x v="217"/>
    <x v="23"/>
    <x v="5"/>
  </r>
  <r>
    <x v="569"/>
    <x v="1399"/>
    <x v="140"/>
    <x v="1"/>
    <x v="0"/>
    <x v="0"/>
    <x v="3"/>
    <x v="15"/>
    <x v="158"/>
    <x v="275"/>
    <x v="22"/>
    <x v="5"/>
  </r>
  <r>
    <x v="570"/>
    <x v="1398"/>
    <x v="140"/>
    <x v="4"/>
    <x v="2"/>
    <x v="2"/>
    <x v="3"/>
    <x v="15"/>
    <x v="158"/>
    <x v="275"/>
    <x v="22"/>
    <x v="5"/>
  </r>
  <r>
    <x v="571"/>
    <x v="1401"/>
    <x v="155"/>
    <x v="1"/>
    <x v="0"/>
    <x v="0"/>
    <x v="3"/>
    <x v="15"/>
    <x v="159"/>
    <x v="282"/>
    <x v="22"/>
    <x v="5"/>
  </r>
  <r>
    <x v="572"/>
    <x v="1400"/>
    <x v="155"/>
    <x v="4"/>
    <x v="2"/>
    <x v="2"/>
    <x v="3"/>
    <x v="15"/>
    <x v="159"/>
    <x v="282"/>
    <x v="22"/>
    <x v="5"/>
  </r>
  <r>
    <x v="573"/>
    <x v="1403"/>
    <x v="413"/>
    <x v="1"/>
    <x v="0"/>
    <x v="0"/>
    <x v="3"/>
    <x v="15"/>
    <x v="171"/>
    <x v="281"/>
    <x v="26"/>
    <x v="5"/>
  </r>
  <r>
    <x v="574"/>
    <x v="1402"/>
    <x v="413"/>
    <x v="4"/>
    <x v="2"/>
    <x v="2"/>
    <x v="3"/>
    <x v="15"/>
    <x v="171"/>
    <x v="281"/>
    <x v="26"/>
    <x v="5"/>
  </r>
  <r>
    <x v="575"/>
    <x v="1405"/>
    <x v="112"/>
    <x v="1"/>
    <x v="0"/>
    <x v="0"/>
    <x v="3"/>
    <x v="15"/>
    <x v="154"/>
    <x v="269"/>
    <x v="7"/>
    <x v="5"/>
  </r>
  <r>
    <x v="576"/>
    <x v="1404"/>
    <x v="112"/>
    <x v="4"/>
    <x v="2"/>
    <x v="2"/>
    <x v="3"/>
    <x v="15"/>
    <x v="154"/>
    <x v="269"/>
    <x v="7"/>
    <x v="5"/>
  </r>
  <r>
    <x v="577"/>
    <x v="1455"/>
    <x v="236"/>
    <x v="4"/>
    <x v="2"/>
    <x v="2"/>
    <x v="0"/>
    <x v="13"/>
    <x v="109"/>
    <x v="90"/>
    <x v="77"/>
    <x v="5"/>
  </r>
  <r>
    <x v="578"/>
    <x v="1500"/>
    <x v="236"/>
    <x v="1"/>
    <x v="0"/>
    <x v="0"/>
    <x v="0"/>
    <x v="13"/>
    <x v="109"/>
    <x v="90"/>
    <x v="77"/>
    <x v="5"/>
  </r>
  <r>
    <x v="580"/>
    <x v="1452"/>
    <x v="308"/>
    <x v="3"/>
    <x v="1"/>
    <x v="1"/>
    <x v="5"/>
    <x v="2"/>
    <x v="53"/>
    <x v="191"/>
    <x v="22"/>
    <x v="5"/>
  </r>
  <r>
    <x v="581"/>
    <x v="1474"/>
    <x v="308"/>
    <x v="3"/>
    <x v="1"/>
    <x v="1"/>
    <x v="5"/>
    <x v="2"/>
    <x v="53"/>
    <x v="191"/>
    <x v="22"/>
    <x v="5"/>
  </r>
  <r>
    <x v="582"/>
    <x v="1640"/>
    <x v="308"/>
    <x v="1"/>
    <x v="0"/>
    <x v="0"/>
    <x v="5"/>
    <x v="2"/>
    <x v="53"/>
    <x v="191"/>
    <x v="22"/>
    <x v="5"/>
  </r>
  <r>
    <x v="583"/>
    <x v="1861"/>
    <x v="308"/>
    <x v="4"/>
    <x v="2"/>
    <x v="2"/>
    <x v="5"/>
    <x v="2"/>
    <x v="53"/>
    <x v="191"/>
    <x v="22"/>
    <x v="5"/>
  </r>
  <r>
    <x v="584"/>
    <x v="861"/>
    <x v="280"/>
    <x v="1"/>
    <x v="0"/>
    <x v="0"/>
    <x v="3"/>
    <x v="6"/>
    <x v="139"/>
    <x v="321"/>
    <x v="22"/>
    <x v="5"/>
  </r>
  <r>
    <x v="585"/>
    <x v="860"/>
    <x v="280"/>
    <x v="3"/>
    <x v="1"/>
    <x v="1"/>
    <x v="3"/>
    <x v="6"/>
    <x v="139"/>
    <x v="321"/>
    <x v="22"/>
    <x v="5"/>
  </r>
  <r>
    <x v="586"/>
    <x v="1356"/>
    <x v="280"/>
    <x v="3"/>
    <x v="1"/>
    <x v="1"/>
    <x v="3"/>
    <x v="6"/>
    <x v="139"/>
    <x v="321"/>
    <x v="22"/>
    <x v="5"/>
  </r>
  <r>
    <x v="587"/>
    <x v="1357"/>
    <x v="280"/>
    <x v="3"/>
    <x v="1"/>
    <x v="1"/>
    <x v="3"/>
    <x v="6"/>
    <x v="139"/>
    <x v="321"/>
    <x v="22"/>
    <x v="5"/>
  </r>
  <r>
    <x v="588"/>
    <x v="1894"/>
    <x v="280"/>
    <x v="3"/>
    <x v="1"/>
    <x v="1"/>
    <x v="3"/>
    <x v="6"/>
    <x v="139"/>
    <x v="321"/>
    <x v="22"/>
    <x v="5"/>
  </r>
  <r>
    <x v="589"/>
    <x v="1511"/>
    <x v="280"/>
    <x v="3"/>
    <x v="1"/>
    <x v="1"/>
    <x v="3"/>
    <x v="6"/>
    <x v="139"/>
    <x v="321"/>
    <x v="22"/>
    <x v="5"/>
  </r>
  <r>
    <x v="591"/>
    <x v="862"/>
    <x v="69"/>
    <x v="1"/>
    <x v="0"/>
    <x v="0"/>
    <x v="3"/>
    <x v="4"/>
    <x v="131"/>
    <x v="325"/>
    <x v="22"/>
    <x v="5"/>
  </r>
  <r>
    <x v="592"/>
    <x v="872"/>
    <x v="69"/>
    <x v="4"/>
    <x v="2"/>
    <x v="2"/>
    <x v="3"/>
    <x v="4"/>
    <x v="131"/>
    <x v="325"/>
    <x v="22"/>
    <x v="5"/>
  </r>
  <r>
    <x v="593"/>
    <x v="1343"/>
    <x v="164"/>
    <x v="3"/>
    <x v="1"/>
    <x v="1"/>
    <x v="2"/>
    <x v="16"/>
    <x v="175"/>
    <x v="24"/>
    <x v="48"/>
    <x v="5"/>
  </r>
  <r>
    <x v="594"/>
    <x v="1344"/>
    <x v="164"/>
    <x v="3"/>
    <x v="1"/>
    <x v="1"/>
    <x v="2"/>
    <x v="16"/>
    <x v="175"/>
    <x v="24"/>
    <x v="48"/>
    <x v="5"/>
  </r>
  <r>
    <x v="595"/>
    <x v="1345"/>
    <x v="164"/>
    <x v="3"/>
    <x v="1"/>
    <x v="1"/>
    <x v="2"/>
    <x v="16"/>
    <x v="175"/>
    <x v="24"/>
    <x v="48"/>
    <x v="5"/>
  </r>
  <r>
    <x v="596"/>
    <x v="1346"/>
    <x v="164"/>
    <x v="3"/>
    <x v="1"/>
    <x v="1"/>
    <x v="2"/>
    <x v="16"/>
    <x v="175"/>
    <x v="24"/>
    <x v="48"/>
    <x v="5"/>
  </r>
  <r>
    <x v="597"/>
    <x v="1347"/>
    <x v="164"/>
    <x v="3"/>
    <x v="1"/>
    <x v="1"/>
    <x v="2"/>
    <x v="16"/>
    <x v="175"/>
    <x v="24"/>
    <x v="48"/>
    <x v="5"/>
  </r>
  <r>
    <x v="598"/>
    <x v="1339"/>
    <x v="164"/>
    <x v="1"/>
    <x v="0"/>
    <x v="0"/>
    <x v="2"/>
    <x v="16"/>
    <x v="175"/>
    <x v="24"/>
    <x v="48"/>
    <x v="5"/>
  </r>
  <r>
    <x v="599"/>
    <x v="1350"/>
    <x v="314"/>
    <x v="1"/>
    <x v="0"/>
    <x v="0"/>
    <x v="2"/>
    <x v="16"/>
    <x v="268"/>
    <x v="28"/>
    <x v="29"/>
    <x v="5"/>
  </r>
  <r>
    <x v="600"/>
    <x v="1485"/>
    <x v="314"/>
    <x v="3"/>
    <x v="1"/>
    <x v="1"/>
    <x v="2"/>
    <x v="16"/>
    <x v="268"/>
    <x v="28"/>
    <x v="29"/>
    <x v="5"/>
  </r>
  <r>
    <x v="602"/>
    <x v="1711"/>
    <x v="314"/>
    <x v="3"/>
    <x v="1"/>
    <x v="1"/>
    <x v="2"/>
    <x v="16"/>
    <x v="268"/>
    <x v="28"/>
    <x v="29"/>
    <x v="5"/>
  </r>
  <r>
    <x v="603"/>
    <x v="1349"/>
    <x v="379"/>
    <x v="1"/>
    <x v="0"/>
    <x v="0"/>
    <x v="2"/>
    <x v="16"/>
    <x v="273"/>
    <x v="29"/>
    <x v="26"/>
    <x v="5"/>
  </r>
  <r>
    <x v="604"/>
    <x v="1523"/>
    <x v="379"/>
    <x v="4"/>
    <x v="2"/>
    <x v="2"/>
    <x v="2"/>
    <x v="16"/>
    <x v="273"/>
    <x v="29"/>
    <x v="26"/>
    <x v="5"/>
  </r>
  <r>
    <x v="605"/>
    <x v="1348"/>
    <x v="327"/>
    <x v="1"/>
    <x v="0"/>
    <x v="0"/>
    <x v="2"/>
    <x v="16"/>
    <x v="269"/>
    <x v="26"/>
    <x v="11"/>
    <x v="5"/>
  </r>
  <r>
    <x v="606"/>
    <x v="1478"/>
    <x v="327"/>
    <x v="4"/>
    <x v="2"/>
    <x v="2"/>
    <x v="2"/>
    <x v="16"/>
    <x v="269"/>
    <x v="26"/>
    <x v="11"/>
    <x v="5"/>
  </r>
  <r>
    <x v="607"/>
    <x v="1342"/>
    <x v="389"/>
    <x v="1"/>
    <x v="0"/>
    <x v="0"/>
    <x v="2"/>
    <x v="16"/>
    <x v="274"/>
    <x v="27"/>
    <x v="26"/>
    <x v="5"/>
  </r>
  <r>
    <x v="608"/>
    <x v="106"/>
    <x v="105"/>
    <x v="1"/>
    <x v="0"/>
    <x v="0"/>
    <x v="2"/>
    <x v="31"/>
    <x v="329"/>
    <x v="151"/>
    <x v="22"/>
    <x v="5"/>
  </r>
  <r>
    <x v="609"/>
    <x v="1437"/>
    <x v="105"/>
    <x v="3"/>
    <x v="1"/>
    <x v="1"/>
    <x v="2"/>
    <x v="31"/>
    <x v="329"/>
    <x v="151"/>
    <x v="22"/>
    <x v="5"/>
  </r>
  <r>
    <x v="610"/>
    <x v="1768"/>
    <x v="105"/>
    <x v="4"/>
    <x v="2"/>
    <x v="2"/>
    <x v="2"/>
    <x v="31"/>
    <x v="329"/>
    <x v="151"/>
    <x v="22"/>
    <x v="5"/>
  </r>
  <r>
    <x v="611"/>
    <x v="1919"/>
    <x v="310"/>
    <x v="1"/>
    <x v="0"/>
    <x v="0"/>
    <x v="2"/>
    <x v="31"/>
    <x v="333"/>
    <x v="157"/>
    <x v="22"/>
    <x v="5"/>
  </r>
  <r>
    <x v="613"/>
    <x v="1920"/>
    <x v="310"/>
    <x v="3"/>
    <x v="1"/>
    <x v="1"/>
    <x v="2"/>
    <x v="31"/>
    <x v="333"/>
    <x v="157"/>
    <x v="22"/>
    <x v="5"/>
  </r>
  <r>
    <x v="614"/>
    <x v="1942"/>
    <x v="310"/>
    <x v="3"/>
    <x v="1"/>
    <x v="1"/>
    <x v="2"/>
    <x v="31"/>
    <x v="333"/>
    <x v="157"/>
    <x v="22"/>
    <x v="5"/>
  </r>
  <r>
    <x v="615"/>
    <x v="1946"/>
    <x v="310"/>
    <x v="4"/>
    <x v="2"/>
    <x v="2"/>
    <x v="2"/>
    <x v="31"/>
    <x v="333"/>
    <x v="157"/>
    <x v="22"/>
    <x v="5"/>
  </r>
  <r>
    <x v="616"/>
    <x v="1"/>
    <x v="205"/>
    <x v="1"/>
    <x v="0"/>
    <x v="0"/>
    <x v="2"/>
    <x v="31"/>
    <x v="332"/>
    <x v="149"/>
    <x v="22"/>
    <x v="5"/>
  </r>
  <r>
    <x v="617"/>
    <x v="1797"/>
    <x v="205"/>
    <x v="4"/>
    <x v="2"/>
    <x v="2"/>
    <x v="2"/>
    <x v="31"/>
    <x v="332"/>
    <x v="149"/>
    <x v="22"/>
    <x v="5"/>
  </r>
  <r>
    <x v="618"/>
    <x v="1798"/>
    <x v="205"/>
    <x v="4"/>
    <x v="2"/>
    <x v="2"/>
    <x v="2"/>
    <x v="31"/>
    <x v="332"/>
    <x v="149"/>
    <x v="22"/>
    <x v="5"/>
  </r>
  <r>
    <x v="619"/>
    <x v="1337"/>
    <x v="128"/>
    <x v="1"/>
    <x v="0"/>
    <x v="0"/>
    <x v="2"/>
    <x v="31"/>
    <x v="330"/>
    <x v="152"/>
    <x v="26"/>
    <x v="5"/>
  </r>
  <r>
    <x v="620"/>
    <x v="1769"/>
    <x v="128"/>
    <x v="4"/>
    <x v="2"/>
    <x v="2"/>
    <x v="2"/>
    <x v="31"/>
    <x v="330"/>
    <x v="152"/>
    <x v="26"/>
    <x v="5"/>
  </r>
  <r>
    <x v="621"/>
    <x v="1336"/>
    <x v="33"/>
    <x v="1"/>
    <x v="0"/>
    <x v="0"/>
    <x v="2"/>
    <x v="31"/>
    <x v="328"/>
    <x v="153"/>
    <x v="26"/>
    <x v="5"/>
  </r>
  <r>
    <x v="622"/>
    <x v="1438"/>
    <x v="33"/>
    <x v="3"/>
    <x v="1"/>
    <x v="1"/>
    <x v="2"/>
    <x v="31"/>
    <x v="328"/>
    <x v="153"/>
    <x v="26"/>
    <x v="5"/>
  </r>
  <r>
    <x v="624"/>
    <x v="1918"/>
    <x v="33"/>
    <x v="3"/>
    <x v="1"/>
    <x v="1"/>
    <x v="2"/>
    <x v="31"/>
    <x v="328"/>
    <x v="153"/>
    <x v="26"/>
    <x v="5"/>
  </r>
  <r>
    <x v="625"/>
    <x v="1335"/>
    <x v="313"/>
    <x v="1"/>
    <x v="0"/>
    <x v="0"/>
    <x v="2"/>
    <x v="31"/>
    <x v="334"/>
    <x v="156"/>
    <x v="26"/>
    <x v="5"/>
  </r>
  <r>
    <x v="626"/>
    <x v="0"/>
    <x v="313"/>
    <x v="4"/>
    <x v="2"/>
    <x v="2"/>
    <x v="2"/>
    <x v="31"/>
    <x v="334"/>
    <x v="156"/>
    <x v="26"/>
    <x v="5"/>
  </r>
  <r>
    <x v="627"/>
    <x v="1465"/>
    <x v="388"/>
    <x v="1"/>
    <x v="0"/>
    <x v="0"/>
    <x v="3"/>
    <x v="7"/>
    <x v="15"/>
    <x v="261"/>
    <x v="26"/>
    <x v="5"/>
  </r>
  <r>
    <x v="628"/>
    <x v="1464"/>
    <x v="388"/>
    <x v="3"/>
    <x v="1"/>
    <x v="1"/>
    <x v="3"/>
    <x v="7"/>
    <x v="15"/>
    <x v="261"/>
    <x v="26"/>
    <x v="5"/>
  </r>
  <r>
    <x v="629"/>
    <x v="1746"/>
    <x v="388"/>
    <x v="3"/>
    <x v="1"/>
    <x v="1"/>
    <x v="3"/>
    <x v="7"/>
    <x v="15"/>
    <x v="261"/>
    <x v="26"/>
    <x v="5"/>
  </r>
  <r>
    <x v="630"/>
    <x v="863"/>
    <x v="271"/>
    <x v="3"/>
    <x v="1"/>
    <x v="1"/>
    <x v="3"/>
    <x v="6"/>
    <x v="137"/>
    <x v="313"/>
    <x v="22"/>
    <x v="5"/>
  </r>
  <r>
    <x v="631"/>
    <x v="864"/>
    <x v="271"/>
    <x v="3"/>
    <x v="1"/>
    <x v="1"/>
    <x v="3"/>
    <x v="6"/>
    <x v="137"/>
    <x v="313"/>
    <x v="22"/>
    <x v="5"/>
  </r>
  <r>
    <x v="632"/>
    <x v="870"/>
    <x v="271"/>
    <x v="3"/>
    <x v="1"/>
    <x v="1"/>
    <x v="3"/>
    <x v="6"/>
    <x v="137"/>
    <x v="313"/>
    <x v="22"/>
    <x v="5"/>
  </r>
  <r>
    <x v="633"/>
    <x v="1604"/>
    <x v="271"/>
    <x v="1"/>
    <x v="0"/>
    <x v="0"/>
    <x v="3"/>
    <x v="6"/>
    <x v="137"/>
    <x v="313"/>
    <x v="22"/>
    <x v="5"/>
  </r>
  <r>
    <x v="635"/>
    <x v="1887"/>
    <x v="271"/>
    <x v="4"/>
    <x v="2"/>
    <x v="2"/>
    <x v="3"/>
    <x v="6"/>
    <x v="137"/>
    <x v="313"/>
    <x v="22"/>
    <x v="5"/>
  </r>
  <r>
    <x v="636"/>
    <x v="1351"/>
    <x v="230"/>
    <x v="3"/>
    <x v="1"/>
    <x v="1"/>
    <x v="0"/>
    <x v="8"/>
    <x v="106"/>
    <x v="74"/>
    <x v="68"/>
    <x v="5"/>
  </r>
  <r>
    <x v="637"/>
    <x v="1384"/>
    <x v="230"/>
    <x v="1"/>
    <x v="0"/>
    <x v="0"/>
    <x v="0"/>
    <x v="8"/>
    <x v="106"/>
    <x v="74"/>
    <x v="68"/>
    <x v="5"/>
  </r>
  <r>
    <x v="638"/>
    <x v="1389"/>
    <x v="230"/>
    <x v="4"/>
    <x v="2"/>
    <x v="2"/>
    <x v="0"/>
    <x v="8"/>
    <x v="106"/>
    <x v="74"/>
    <x v="68"/>
    <x v="5"/>
  </r>
  <r>
    <x v="639"/>
    <x v="867"/>
    <x v="168"/>
    <x v="3"/>
    <x v="1"/>
    <x v="1"/>
    <x v="3"/>
    <x v="5"/>
    <x v="128"/>
    <x v="340"/>
    <x v="26"/>
    <x v="5"/>
  </r>
  <r>
    <x v="640"/>
    <x v="1815"/>
    <x v="168"/>
    <x v="1"/>
    <x v="0"/>
    <x v="0"/>
    <x v="3"/>
    <x v="5"/>
    <x v="128"/>
    <x v="340"/>
    <x v="26"/>
    <x v="5"/>
  </r>
  <r>
    <x v="641"/>
    <x v="1607"/>
    <x v="168"/>
    <x v="3"/>
    <x v="1"/>
    <x v="1"/>
    <x v="3"/>
    <x v="5"/>
    <x v="128"/>
    <x v="340"/>
    <x v="26"/>
    <x v="5"/>
  </r>
  <r>
    <x v="642"/>
    <x v="865"/>
    <x v="309"/>
    <x v="4"/>
    <x v="2"/>
    <x v="2"/>
    <x v="3"/>
    <x v="6"/>
    <x v="141"/>
    <x v="328"/>
    <x v="22"/>
    <x v="5"/>
  </r>
  <r>
    <x v="643"/>
    <x v="1809"/>
    <x v="309"/>
    <x v="3"/>
    <x v="1"/>
    <x v="1"/>
    <x v="3"/>
    <x v="6"/>
    <x v="141"/>
    <x v="328"/>
    <x v="22"/>
    <x v="5"/>
  </r>
  <r>
    <x v="644"/>
    <x v="1808"/>
    <x v="309"/>
    <x v="3"/>
    <x v="1"/>
    <x v="1"/>
    <x v="3"/>
    <x v="6"/>
    <x v="141"/>
    <x v="328"/>
    <x v="22"/>
    <x v="5"/>
  </r>
  <r>
    <x v="646"/>
    <x v="1605"/>
    <x v="309"/>
    <x v="1"/>
    <x v="0"/>
    <x v="0"/>
    <x v="3"/>
    <x v="6"/>
    <x v="141"/>
    <x v="328"/>
    <x v="22"/>
    <x v="5"/>
  </r>
  <r>
    <x v="647"/>
    <x v="866"/>
    <x v="159"/>
    <x v="1"/>
    <x v="0"/>
    <x v="0"/>
    <x v="3"/>
    <x v="5"/>
    <x v="124"/>
    <x v="339"/>
    <x v="22"/>
    <x v="5"/>
  </r>
  <r>
    <x v="648"/>
    <x v="1469"/>
    <x v="123"/>
    <x v="1"/>
    <x v="0"/>
    <x v="0"/>
    <x v="5"/>
    <x v="19"/>
    <x v="205"/>
    <x v="246"/>
    <x v="22"/>
    <x v="5"/>
  </r>
  <r>
    <x v="649"/>
    <x v="1754"/>
    <x v="123"/>
    <x v="3"/>
    <x v="1"/>
    <x v="1"/>
    <x v="5"/>
    <x v="19"/>
    <x v="205"/>
    <x v="246"/>
    <x v="22"/>
    <x v="5"/>
  </r>
  <r>
    <x v="650"/>
    <x v="1755"/>
    <x v="123"/>
    <x v="4"/>
    <x v="2"/>
    <x v="2"/>
    <x v="5"/>
    <x v="19"/>
    <x v="205"/>
    <x v="246"/>
    <x v="22"/>
    <x v="5"/>
  </r>
  <r>
    <x v="651"/>
    <x v="1756"/>
    <x v="123"/>
    <x v="3"/>
    <x v="1"/>
    <x v="1"/>
    <x v="5"/>
    <x v="19"/>
    <x v="205"/>
    <x v="246"/>
    <x v="22"/>
    <x v="5"/>
  </r>
  <r>
    <x v="652"/>
    <x v="1794"/>
    <x v="123"/>
    <x v="3"/>
    <x v="1"/>
    <x v="1"/>
    <x v="5"/>
    <x v="19"/>
    <x v="205"/>
    <x v="246"/>
    <x v="22"/>
    <x v="5"/>
  </r>
  <r>
    <x v="653"/>
    <x v="1466"/>
    <x v="302"/>
    <x v="1"/>
    <x v="0"/>
    <x v="0"/>
    <x v="5"/>
    <x v="20"/>
    <x v="213"/>
    <x v="243"/>
    <x v="22"/>
    <x v="5"/>
  </r>
  <r>
    <x v="654"/>
    <x v="1467"/>
    <x v="302"/>
    <x v="3"/>
    <x v="1"/>
    <x v="1"/>
    <x v="5"/>
    <x v="20"/>
    <x v="213"/>
    <x v="243"/>
    <x v="22"/>
    <x v="5"/>
  </r>
  <r>
    <x v="655"/>
    <x v="1468"/>
    <x v="302"/>
    <x v="3"/>
    <x v="1"/>
    <x v="1"/>
    <x v="5"/>
    <x v="20"/>
    <x v="213"/>
    <x v="243"/>
    <x v="22"/>
    <x v="5"/>
  </r>
  <r>
    <x v="657"/>
    <x v="1516"/>
    <x v="302"/>
    <x v="3"/>
    <x v="1"/>
    <x v="1"/>
    <x v="5"/>
    <x v="20"/>
    <x v="213"/>
    <x v="243"/>
    <x v="22"/>
    <x v="5"/>
  </r>
  <r>
    <x v="658"/>
    <x v="1517"/>
    <x v="302"/>
    <x v="3"/>
    <x v="1"/>
    <x v="1"/>
    <x v="5"/>
    <x v="20"/>
    <x v="213"/>
    <x v="243"/>
    <x v="22"/>
    <x v="5"/>
  </r>
  <r>
    <x v="659"/>
    <x v="1749"/>
    <x v="302"/>
    <x v="4"/>
    <x v="2"/>
    <x v="2"/>
    <x v="5"/>
    <x v="20"/>
    <x v="213"/>
    <x v="243"/>
    <x v="22"/>
    <x v="5"/>
  </r>
  <r>
    <x v="660"/>
    <x v="1472"/>
    <x v="345"/>
    <x v="1"/>
    <x v="0"/>
    <x v="0"/>
    <x v="3"/>
    <x v="7"/>
    <x v="217"/>
    <x v="256"/>
    <x v="26"/>
    <x v="5"/>
  </r>
  <r>
    <x v="661"/>
    <x v="1473"/>
    <x v="345"/>
    <x v="3"/>
    <x v="1"/>
    <x v="1"/>
    <x v="3"/>
    <x v="7"/>
    <x v="217"/>
    <x v="256"/>
    <x v="26"/>
    <x v="5"/>
  </r>
  <r>
    <x v="662"/>
    <x v="1834"/>
    <x v="345"/>
    <x v="3"/>
    <x v="1"/>
    <x v="1"/>
    <x v="3"/>
    <x v="7"/>
    <x v="217"/>
    <x v="256"/>
    <x v="26"/>
    <x v="5"/>
  </r>
  <r>
    <x v="663"/>
    <x v="1304"/>
    <x v="193"/>
    <x v="1"/>
    <x v="0"/>
    <x v="0"/>
    <x v="4"/>
    <x v="18"/>
    <x v="188"/>
    <x v="404"/>
    <x v="22"/>
    <x v="5"/>
  </r>
  <r>
    <x v="664"/>
    <x v="1535"/>
    <x v="193"/>
    <x v="3"/>
    <x v="1"/>
    <x v="1"/>
    <x v="4"/>
    <x v="18"/>
    <x v="188"/>
    <x v="404"/>
    <x v="22"/>
    <x v="5"/>
  </r>
  <r>
    <x v="665"/>
    <x v="1536"/>
    <x v="193"/>
    <x v="3"/>
    <x v="1"/>
    <x v="1"/>
    <x v="4"/>
    <x v="18"/>
    <x v="188"/>
    <x v="404"/>
    <x v="22"/>
    <x v="5"/>
  </r>
  <r>
    <x v="666"/>
    <x v="1537"/>
    <x v="193"/>
    <x v="3"/>
    <x v="1"/>
    <x v="1"/>
    <x v="4"/>
    <x v="18"/>
    <x v="188"/>
    <x v="404"/>
    <x v="22"/>
    <x v="5"/>
  </r>
  <r>
    <x v="669"/>
    <x v="1538"/>
    <x v="193"/>
    <x v="4"/>
    <x v="2"/>
    <x v="2"/>
    <x v="4"/>
    <x v="18"/>
    <x v="188"/>
    <x v="404"/>
    <x v="22"/>
    <x v="5"/>
  </r>
  <r>
    <x v="670"/>
    <x v="1305"/>
    <x v="34"/>
    <x v="1"/>
    <x v="0"/>
    <x v="0"/>
    <x v="4"/>
    <x v="18"/>
    <x v="185"/>
    <x v="397"/>
    <x v="22"/>
    <x v="5"/>
  </r>
  <r>
    <x v="671"/>
    <x v="1306"/>
    <x v="377"/>
    <x v="1"/>
    <x v="0"/>
    <x v="0"/>
    <x v="4"/>
    <x v="18"/>
    <x v="196"/>
    <x v="396"/>
    <x v="22"/>
    <x v="5"/>
  </r>
  <r>
    <x v="672"/>
    <x v="1383"/>
    <x v="377"/>
    <x v="3"/>
    <x v="1"/>
    <x v="1"/>
    <x v="4"/>
    <x v="18"/>
    <x v="196"/>
    <x v="396"/>
    <x v="22"/>
    <x v="5"/>
  </r>
  <r>
    <x v="673"/>
    <x v="1445"/>
    <x v="117"/>
    <x v="1"/>
    <x v="0"/>
    <x v="0"/>
    <x v="3"/>
    <x v="7"/>
    <x v="9"/>
    <x v="258"/>
    <x v="22"/>
    <x v="5"/>
  </r>
  <r>
    <x v="674"/>
    <x v="1479"/>
    <x v="117"/>
    <x v="3"/>
    <x v="1"/>
    <x v="1"/>
    <x v="3"/>
    <x v="7"/>
    <x v="9"/>
    <x v="258"/>
    <x v="22"/>
    <x v="5"/>
  </r>
  <r>
    <x v="675"/>
    <x v="1795"/>
    <x v="117"/>
    <x v="3"/>
    <x v="1"/>
    <x v="1"/>
    <x v="3"/>
    <x v="7"/>
    <x v="9"/>
    <x v="258"/>
    <x v="22"/>
    <x v="5"/>
  </r>
  <r>
    <x v="676"/>
    <x v="1830"/>
    <x v="117"/>
    <x v="3"/>
    <x v="1"/>
    <x v="1"/>
    <x v="3"/>
    <x v="7"/>
    <x v="9"/>
    <x v="258"/>
    <x v="22"/>
    <x v="5"/>
  </r>
  <r>
    <x v="677"/>
    <x v="868"/>
    <x v="96"/>
    <x v="1"/>
    <x v="0"/>
    <x v="0"/>
    <x v="3"/>
    <x v="5"/>
    <x v="117"/>
    <x v="314"/>
    <x v="70"/>
    <x v="5"/>
  </r>
  <r>
    <x v="678"/>
    <x v="871"/>
    <x v="96"/>
    <x v="4"/>
    <x v="2"/>
    <x v="2"/>
    <x v="3"/>
    <x v="5"/>
    <x v="117"/>
    <x v="314"/>
    <x v="70"/>
    <x v="5"/>
  </r>
  <r>
    <x v="680"/>
    <x v="1486"/>
    <x v="126"/>
    <x v="3"/>
    <x v="1"/>
    <x v="1"/>
    <x v="0"/>
    <x v="11"/>
    <x v="90"/>
    <x v="66"/>
    <x v="22"/>
    <x v="5"/>
  </r>
  <r>
    <x v="681"/>
    <x v="1487"/>
    <x v="126"/>
    <x v="3"/>
    <x v="1"/>
    <x v="1"/>
    <x v="0"/>
    <x v="11"/>
    <x v="90"/>
    <x v="66"/>
    <x v="22"/>
    <x v="5"/>
  </r>
  <r>
    <x v="682"/>
    <x v="1497"/>
    <x v="126"/>
    <x v="1"/>
    <x v="0"/>
    <x v="0"/>
    <x v="0"/>
    <x v="11"/>
    <x v="90"/>
    <x v="66"/>
    <x v="22"/>
    <x v="5"/>
  </r>
  <r>
    <x v="683"/>
    <x v="1613"/>
    <x v="126"/>
    <x v="4"/>
    <x v="2"/>
    <x v="2"/>
    <x v="0"/>
    <x v="11"/>
    <x v="90"/>
    <x v="66"/>
    <x v="22"/>
    <x v="5"/>
  </r>
  <r>
    <x v="684"/>
    <x v="1712"/>
    <x v="126"/>
    <x v="3"/>
    <x v="1"/>
    <x v="1"/>
    <x v="0"/>
    <x v="11"/>
    <x v="90"/>
    <x v="66"/>
    <x v="22"/>
    <x v="5"/>
  </r>
  <r>
    <x v="685"/>
    <x v="1353"/>
    <x v="228"/>
    <x v="3"/>
    <x v="1"/>
    <x v="1"/>
    <x v="0"/>
    <x v="8"/>
    <x v="107"/>
    <x v="73"/>
    <x v="22"/>
    <x v="5"/>
  </r>
  <r>
    <x v="686"/>
    <x v="1385"/>
    <x v="228"/>
    <x v="1"/>
    <x v="0"/>
    <x v="0"/>
    <x v="0"/>
    <x v="8"/>
    <x v="107"/>
    <x v="73"/>
    <x v="22"/>
    <x v="5"/>
  </r>
  <r>
    <x v="687"/>
    <x v="1390"/>
    <x v="228"/>
    <x v="4"/>
    <x v="2"/>
    <x v="2"/>
    <x v="0"/>
    <x v="8"/>
    <x v="107"/>
    <x v="73"/>
    <x v="22"/>
    <x v="5"/>
  </r>
  <r>
    <x v="688"/>
    <x v="1643"/>
    <x v="228"/>
    <x v="3"/>
    <x v="1"/>
    <x v="1"/>
    <x v="0"/>
    <x v="8"/>
    <x v="107"/>
    <x v="73"/>
    <x v="22"/>
    <x v="5"/>
  </r>
  <r>
    <x v="689"/>
    <x v="1644"/>
    <x v="228"/>
    <x v="3"/>
    <x v="1"/>
    <x v="1"/>
    <x v="0"/>
    <x v="8"/>
    <x v="107"/>
    <x v="73"/>
    <x v="22"/>
    <x v="5"/>
  </r>
  <r>
    <x v="691"/>
    <x v="1670"/>
    <x v="228"/>
    <x v="3"/>
    <x v="1"/>
    <x v="1"/>
    <x v="0"/>
    <x v="8"/>
    <x v="107"/>
    <x v="73"/>
    <x v="22"/>
    <x v="5"/>
  </r>
  <r>
    <x v="692"/>
    <x v="1354"/>
    <x v="296"/>
    <x v="3"/>
    <x v="1"/>
    <x v="1"/>
    <x v="0"/>
    <x v="8"/>
    <x v="267"/>
    <x v="46"/>
    <x v="20"/>
    <x v="5"/>
  </r>
  <r>
    <x v="693"/>
    <x v="1387"/>
    <x v="296"/>
    <x v="1"/>
    <x v="0"/>
    <x v="0"/>
    <x v="0"/>
    <x v="8"/>
    <x v="267"/>
    <x v="46"/>
    <x v="20"/>
    <x v="5"/>
  </r>
  <r>
    <x v="694"/>
    <x v="1392"/>
    <x v="296"/>
    <x v="4"/>
    <x v="2"/>
    <x v="2"/>
    <x v="0"/>
    <x v="8"/>
    <x v="267"/>
    <x v="46"/>
    <x v="20"/>
    <x v="5"/>
  </r>
  <r>
    <x v="695"/>
    <x v="1616"/>
    <x v="296"/>
    <x v="3"/>
    <x v="1"/>
    <x v="1"/>
    <x v="0"/>
    <x v="8"/>
    <x v="267"/>
    <x v="46"/>
    <x v="20"/>
    <x v="5"/>
  </r>
  <r>
    <x v="696"/>
    <x v="1615"/>
    <x v="296"/>
    <x v="3"/>
    <x v="1"/>
    <x v="1"/>
    <x v="0"/>
    <x v="8"/>
    <x v="267"/>
    <x v="46"/>
    <x v="20"/>
    <x v="5"/>
  </r>
  <r>
    <x v="697"/>
    <x v="869"/>
    <x v="25"/>
    <x v="3"/>
    <x v="1"/>
    <x v="1"/>
    <x v="3"/>
    <x v="6"/>
    <x v="118"/>
    <x v="315"/>
    <x v="8"/>
    <x v="5"/>
  </r>
  <r>
    <x v="698"/>
    <x v="1359"/>
    <x v="25"/>
    <x v="1"/>
    <x v="0"/>
    <x v="0"/>
    <x v="3"/>
    <x v="6"/>
    <x v="118"/>
    <x v="315"/>
    <x v="8"/>
    <x v="5"/>
  </r>
  <r>
    <x v="699"/>
    <x v="1810"/>
    <x v="25"/>
    <x v="3"/>
    <x v="1"/>
    <x v="1"/>
    <x v="3"/>
    <x v="6"/>
    <x v="118"/>
    <x v="315"/>
    <x v="8"/>
    <x v="5"/>
  </r>
  <r>
    <x v="700"/>
    <x v="1456"/>
    <x v="114"/>
    <x v="1"/>
    <x v="0"/>
    <x v="0"/>
    <x v="3"/>
    <x v="15"/>
    <x v="2"/>
    <x v="414"/>
    <x v="99"/>
    <x v="5"/>
  </r>
  <r>
    <x v="702"/>
    <x v="1481"/>
    <x v="15"/>
    <x v="3"/>
    <x v="1"/>
    <x v="1"/>
    <x v="3"/>
    <x v="7"/>
    <x v="5"/>
    <x v="254"/>
    <x v="22"/>
    <x v="5"/>
  </r>
  <r>
    <x v="703"/>
    <x v="1759"/>
    <x v="15"/>
    <x v="1"/>
    <x v="0"/>
    <x v="0"/>
    <x v="3"/>
    <x v="7"/>
    <x v="5"/>
    <x v="254"/>
    <x v="22"/>
    <x v="5"/>
  </r>
  <r>
    <x v="704"/>
    <x v="1760"/>
    <x v="15"/>
    <x v="3"/>
    <x v="1"/>
    <x v="1"/>
    <x v="3"/>
    <x v="7"/>
    <x v="5"/>
    <x v="254"/>
    <x v="22"/>
    <x v="5"/>
  </r>
  <r>
    <x v="705"/>
    <x v="1762"/>
    <x v="15"/>
    <x v="4"/>
    <x v="2"/>
    <x v="2"/>
    <x v="3"/>
    <x v="7"/>
    <x v="5"/>
    <x v="254"/>
    <x v="22"/>
    <x v="5"/>
  </r>
  <r>
    <x v="706"/>
    <x v="1826"/>
    <x v="15"/>
    <x v="3"/>
    <x v="1"/>
    <x v="1"/>
    <x v="3"/>
    <x v="7"/>
    <x v="5"/>
    <x v="254"/>
    <x v="22"/>
    <x v="5"/>
  </r>
  <r>
    <x v="707"/>
    <x v="1827"/>
    <x v="15"/>
    <x v="3"/>
    <x v="1"/>
    <x v="1"/>
    <x v="3"/>
    <x v="7"/>
    <x v="5"/>
    <x v="254"/>
    <x v="22"/>
    <x v="5"/>
  </r>
  <r>
    <x v="708"/>
    <x v="1241"/>
    <x v="396"/>
    <x v="3"/>
    <x v="1"/>
    <x v="1"/>
    <x v="3"/>
    <x v="6"/>
    <x v="325"/>
    <x v="342"/>
    <x v="43"/>
    <x v="5"/>
  </r>
  <r>
    <x v="709"/>
    <x v="1242"/>
    <x v="396"/>
    <x v="3"/>
    <x v="1"/>
    <x v="1"/>
    <x v="3"/>
    <x v="6"/>
    <x v="325"/>
    <x v="342"/>
    <x v="43"/>
    <x v="5"/>
  </r>
  <r>
    <x v="710"/>
    <x v="1243"/>
    <x v="396"/>
    <x v="3"/>
    <x v="1"/>
    <x v="1"/>
    <x v="3"/>
    <x v="6"/>
    <x v="325"/>
    <x v="342"/>
    <x v="43"/>
    <x v="5"/>
  </r>
  <r>
    <x v="711"/>
    <x v="1244"/>
    <x v="396"/>
    <x v="3"/>
    <x v="1"/>
    <x v="1"/>
    <x v="3"/>
    <x v="6"/>
    <x v="325"/>
    <x v="342"/>
    <x v="43"/>
    <x v="5"/>
  </r>
  <r>
    <x v="713"/>
    <x v="1245"/>
    <x v="396"/>
    <x v="1"/>
    <x v="0"/>
    <x v="0"/>
    <x v="3"/>
    <x v="6"/>
    <x v="325"/>
    <x v="342"/>
    <x v="43"/>
    <x v="5"/>
  </r>
  <r>
    <x v="714"/>
    <x v="1787"/>
    <x v="396"/>
    <x v="3"/>
    <x v="1"/>
    <x v="1"/>
    <x v="3"/>
    <x v="6"/>
    <x v="325"/>
    <x v="342"/>
    <x v="43"/>
    <x v="5"/>
  </r>
  <r>
    <x v="715"/>
    <x v="1788"/>
    <x v="396"/>
    <x v="3"/>
    <x v="1"/>
    <x v="1"/>
    <x v="3"/>
    <x v="6"/>
    <x v="325"/>
    <x v="342"/>
    <x v="43"/>
    <x v="5"/>
  </r>
  <r>
    <x v="716"/>
    <x v="1789"/>
    <x v="396"/>
    <x v="3"/>
    <x v="1"/>
    <x v="1"/>
    <x v="3"/>
    <x v="6"/>
    <x v="325"/>
    <x v="342"/>
    <x v="43"/>
    <x v="5"/>
  </r>
  <r>
    <x v="717"/>
    <x v="1248"/>
    <x v="299"/>
    <x v="3"/>
    <x v="1"/>
    <x v="1"/>
    <x v="3"/>
    <x v="6"/>
    <x v="321"/>
    <x v="343"/>
    <x v="1"/>
    <x v="5"/>
  </r>
  <r>
    <x v="718"/>
    <x v="1240"/>
    <x v="307"/>
    <x v="3"/>
    <x v="1"/>
    <x v="1"/>
    <x v="3"/>
    <x v="6"/>
    <x v="324"/>
    <x v="345"/>
    <x v="94"/>
    <x v="5"/>
  </r>
  <r>
    <x v="719"/>
    <x v="1247"/>
    <x v="366"/>
    <x v="3"/>
    <x v="1"/>
    <x v="1"/>
    <x v="3"/>
    <x v="6"/>
    <x v="323"/>
    <x v="346"/>
    <x v="1"/>
    <x v="5"/>
  </r>
  <r>
    <x v="720"/>
    <x v="1246"/>
    <x v="318"/>
    <x v="3"/>
    <x v="1"/>
    <x v="1"/>
    <x v="3"/>
    <x v="6"/>
    <x v="322"/>
    <x v="344"/>
    <x v="94"/>
    <x v="5"/>
  </r>
  <r>
    <x v="721"/>
    <x v="1501"/>
    <x v="68"/>
    <x v="1"/>
    <x v="0"/>
    <x v="0"/>
    <x v="0"/>
    <x v="9"/>
    <x v="89"/>
    <x v="60"/>
    <x v="29"/>
    <x v="5"/>
  </r>
  <r>
    <x v="722"/>
    <x v="1432"/>
    <x v="68"/>
    <x v="4"/>
    <x v="2"/>
    <x v="2"/>
    <x v="0"/>
    <x v="9"/>
    <x v="89"/>
    <x v="60"/>
    <x v="29"/>
    <x v="5"/>
  </r>
  <r>
    <x v="724"/>
    <x v="1386"/>
    <x v="163"/>
    <x v="1"/>
    <x v="0"/>
    <x v="0"/>
    <x v="0"/>
    <x v="10"/>
    <x v="238"/>
    <x v="1"/>
    <x v="47"/>
    <x v="5"/>
  </r>
  <r>
    <x v="725"/>
    <x v="1391"/>
    <x v="163"/>
    <x v="4"/>
    <x v="2"/>
    <x v="2"/>
    <x v="0"/>
    <x v="10"/>
    <x v="238"/>
    <x v="1"/>
    <x v="47"/>
    <x v="5"/>
  </r>
  <r>
    <x v="726"/>
    <x v="1388"/>
    <x v="182"/>
    <x v="1"/>
    <x v="0"/>
    <x v="0"/>
    <x v="0"/>
    <x v="9"/>
    <x v="82"/>
    <x v="42"/>
    <x v="22"/>
    <x v="5"/>
  </r>
  <r>
    <x v="727"/>
    <x v="1435"/>
    <x v="182"/>
    <x v="4"/>
    <x v="2"/>
    <x v="2"/>
    <x v="0"/>
    <x v="9"/>
    <x v="82"/>
    <x v="42"/>
    <x v="22"/>
    <x v="5"/>
  </r>
  <r>
    <x v="728"/>
    <x v="1502"/>
    <x v="196"/>
    <x v="1"/>
    <x v="0"/>
    <x v="0"/>
    <x v="0"/>
    <x v="10"/>
    <x v="102"/>
    <x v="52"/>
    <x v="59"/>
    <x v="5"/>
  </r>
  <r>
    <x v="729"/>
    <x v="1393"/>
    <x v="196"/>
    <x v="4"/>
    <x v="2"/>
    <x v="2"/>
    <x v="0"/>
    <x v="10"/>
    <x v="102"/>
    <x v="52"/>
    <x v="59"/>
    <x v="5"/>
  </r>
  <r>
    <x v="730"/>
    <x v="1838"/>
    <x v="196"/>
    <x v="3"/>
    <x v="1"/>
    <x v="1"/>
    <x v="0"/>
    <x v="10"/>
    <x v="102"/>
    <x v="52"/>
    <x v="59"/>
    <x v="5"/>
  </r>
  <r>
    <x v="731"/>
    <x v="1839"/>
    <x v="196"/>
    <x v="3"/>
    <x v="1"/>
    <x v="1"/>
    <x v="0"/>
    <x v="10"/>
    <x v="102"/>
    <x v="52"/>
    <x v="59"/>
    <x v="5"/>
  </r>
  <r>
    <x v="732"/>
    <x v="1840"/>
    <x v="196"/>
    <x v="3"/>
    <x v="1"/>
    <x v="1"/>
    <x v="0"/>
    <x v="10"/>
    <x v="102"/>
    <x v="52"/>
    <x v="59"/>
    <x v="5"/>
  </r>
  <r>
    <x v="733"/>
    <x v="1841"/>
    <x v="196"/>
    <x v="3"/>
    <x v="1"/>
    <x v="1"/>
    <x v="0"/>
    <x v="10"/>
    <x v="102"/>
    <x v="52"/>
    <x v="59"/>
    <x v="5"/>
  </r>
  <r>
    <x v="735"/>
    <x v="1488"/>
    <x v="67"/>
    <x v="1"/>
    <x v="0"/>
    <x v="0"/>
    <x v="0"/>
    <x v="10"/>
    <x v="113"/>
    <x v="9"/>
    <x v="22"/>
    <x v="5"/>
  </r>
  <r>
    <x v="736"/>
    <x v="1505"/>
    <x v="67"/>
    <x v="4"/>
    <x v="2"/>
    <x v="2"/>
    <x v="0"/>
    <x v="10"/>
    <x v="113"/>
    <x v="9"/>
    <x v="22"/>
    <x v="5"/>
  </r>
  <r>
    <x v="737"/>
    <x v="1521"/>
    <x v="67"/>
    <x v="3"/>
    <x v="1"/>
    <x v="1"/>
    <x v="0"/>
    <x v="10"/>
    <x v="113"/>
    <x v="9"/>
    <x v="22"/>
    <x v="5"/>
  </r>
  <r>
    <x v="738"/>
    <x v="1489"/>
    <x v="329"/>
    <x v="1"/>
    <x v="0"/>
    <x v="0"/>
    <x v="0"/>
    <x v="10"/>
    <x v="76"/>
    <x v="19"/>
    <x v="22"/>
    <x v="5"/>
  </r>
  <r>
    <x v="739"/>
    <x v="1490"/>
    <x v="85"/>
    <x v="1"/>
    <x v="0"/>
    <x v="0"/>
    <x v="0"/>
    <x v="10"/>
    <x v="74"/>
    <x v="10"/>
    <x v="48"/>
    <x v="5"/>
  </r>
  <r>
    <x v="740"/>
    <x v="1504"/>
    <x v="85"/>
    <x v="4"/>
    <x v="2"/>
    <x v="2"/>
    <x v="0"/>
    <x v="10"/>
    <x v="74"/>
    <x v="10"/>
    <x v="48"/>
    <x v="5"/>
  </r>
  <r>
    <x v="741"/>
    <x v="1496"/>
    <x v="386"/>
    <x v="1"/>
    <x v="0"/>
    <x v="0"/>
    <x v="0"/>
    <x v="11"/>
    <x v="88"/>
    <x v="64"/>
    <x v="26"/>
    <x v="5"/>
  </r>
  <r>
    <x v="742"/>
    <x v="1617"/>
    <x v="386"/>
    <x v="4"/>
    <x v="2"/>
    <x v="2"/>
    <x v="0"/>
    <x v="11"/>
    <x v="88"/>
    <x v="64"/>
    <x v="26"/>
    <x v="5"/>
  </r>
  <r>
    <x v="743"/>
    <x v="1499"/>
    <x v="52"/>
    <x v="1"/>
    <x v="0"/>
    <x v="0"/>
    <x v="0"/>
    <x v="11"/>
    <x v="86"/>
    <x v="67"/>
    <x v="56"/>
    <x v="5"/>
  </r>
  <r>
    <x v="744"/>
    <x v="1614"/>
    <x v="52"/>
    <x v="4"/>
    <x v="2"/>
    <x v="2"/>
    <x v="0"/>
    <x v="11"/>
    <x v="86"/>
    <x v="67"/>
    <x v="56"/>
    <x v="5"/>
  </r>
  <r>
    <x v="746"/>
    <x v="1506"/>
    <x v="7"/>
    <x v="1"/>
    <x v="0"/>
    <x v="0"/>
    <x v="0"/>
    <x v="12"/>
    <x v="225"/>
    <x v="43"/>
    <x v="22"/>
    <x v="5"/>
  </r>
  <r>
    <x v="747"/>
    <x v="1594"/>
    <x v="7"/>
    <x v="4"/>
    <x v="2"/>
    <x v="2"/>
    <x v="0"/>
    <x v="12"/>
    <x v="225"/>
    <x v="43"/>
    <x v="22"/>
    <x v="5"/>
  </r>
  <r>
    <x v="748"/>
    <x v="1498"/>
    <x v="344"/>
    <x v="1"/>
    <x v="0"/>
    <x v="0"/>
    <x v="0"/>
    <x v="11"/>
    <x v="94"/>
    <x v="63"/>
    <x v="56"/>
    <x v="5"/>
  </r>
  <r>
    <x v="749"/>
    <x v="1612"/>
    <x v="344"/>
    <x v="4"/>
    <x v="2"/>
    <x v="2"/>
    <x v="0"/>
    <x v="11"/>
    <x v="94"/>
    <x v="63"/>
    <x v="56"/>
    <x v="5"/>
  </r>
  <r>
    <x v="750"/>
    <x v="1508"/>
    <x v="293"/>
    <x v="1"/>
    <x v="0"/>
    <x v="0"/>
    <x v="0"/>
    <x v="12"/>
    <x v="265"/>
    <x v="40"/>
    <x v="30"/>
    <x v="5"/>
  </r>
  <r>
    <x v="751"/>
    <x v="1588"/>
    <x v="293"/>
    <x v="3"/>
    <x v="1"/>
    <x v="1"/>
    <x v="0"/>
    <x v="12"/>
    <x v="265"/>
    <x v="40"/>
    <x v="30"/>
    <x v="5"/>
  </r>
  <r>
    <x v="752"/>
    <x v="1589"/>
    <x v="293"/>
    <x v="3"/>
    <x v="1"/>
    <x v="1"/>
    <x v="0"/>
    <x v="12"/>
    <x v="265"/>
    <x v="40"/>
    <x v="30"/>
    <x v="5"/>
  </r>
  <r>
    <x v="753"/>
    <x v="1590"/>
    <x v="293"/>
    <x v="3"/>
    <x v="1"/>
    <x v="1"/>
    <x v="0"/>
    <x v="12"/>
    <x v="265"/>
    <x v="40"/>
    <x v="30"/>
    <x v="5"/>
  </r>
  <r>
    <x v="754"/>
    <x v="1625"/>
    <x v="293"/>
    <x v="3"/>
    <x v="1"/>
    <x v="1"/>
    <x v="0"/>
    <x v="12"/>
    <x v="265"/>
    <x v="40"/>
    <x v="30"/>
    <x v="5"/>
  </r>
  <r>
    <x v="755"/>
    <x v="1507"/>
    <x v="41"/>
    <x v="1"/>
    <x v="0"/>
    <x v="0"/>
    <x v="0"/>
    <x v="12"/>
    <x v="234"/>
    <x v="37"/>
    <x v="22"/>
    <x v="5"/>
  </r>
  <r>
    <x v="757"/>
    <x v="1595"/>
    <x v="41"/>
    <x v="4"/>
    <x v="2"/>
    <x v="2"/>
    <x v="0"/>
    <x v="12"/>
    <x v="234"/>
    <x v="37"/>
    <x v="22"/>
    <x v="5"/>
  </r>
  <r>
    <x v="758"/>
    <x v="1503"/>
    <x v="153"/>
    <x v="1"/>
    <x v="0"/>
    <x v="0"/>
    <x v="0"/>
    <x v="13"/>
    <x v="95"/>
    <x v="34"/>
    <x v="22"/>
    <x v="5"/>
  </r>
  <r>
    <x v="759"/>
    <x v="1524"/>
    <x v="153"/>
    <x v="4"/>
    <x v="2"/>
    <x v="2"/>
    <x v="0"/>
    <x v="13"/>
    <x v="95"/>
    <x v="34"/>
    <x v="22"/>
    <x v="5"/>
  </r>
  <r>
    <x v="760"/>
    <x v="1361"/>
    <x v="211"/>
    <x v="1"/>
    <x v="0"/>
    <x v="0"/>
    <x v="3"/>
    <x v="4"/>
    <x v="133"/>
    <x v="333"/>
    <x v="22"/>
    <x v="5"/>
  </r>
  <r>
    <x v="761"/>
    <x v="1360"/>
    <x v="211"/>
    <x v="3"/>
    <x v="1"/>
    <x v="1"/>
    <x v="3"/>
    <x v="4"/>
    <x v="133"/>
    <x v="333"/>
    <x v="22"/>
    <x v="5"/>
  </r>
  <r>
    <x v="762"/>
    <x v="1814"/>
    <x v="211"/>
    <x v="4"/>
    <x v="2"/>
    <x v="2"/>
    <x v="3"/>
    <x v="4"/>
    <x v="133"/>
    <x v="333"/>
    <x v="22"/>
    <x v="5"/>
  </r>
  <r>
    <x v="763"/>
    <x v="1909"/>
    <x v="77"/>
    <x v="2"/>
    <x v="2"/>
    <x v="2"/>
    <x v="5"/>
    <x v="1"/>
    <x v="326"/>
    <x v="219"/>
    <x v="81"/>
    <x v="5"/>
  </r>
  <r>
    <x v="764"/>
    <x v="1493"/>
    <x v="149"/>
    <x v="1"/>
    <x v="0"/>
    <x v="0"/>
    <x v="5"/>
    <x v="2"/>
    <x v="38"/>
    <x v="227"/>
    <x v="22"/>
    <x v="5"/>
  </r>
  <r>
    <x v="765"/>
    <x v="1494"/>
    <x v="149"/>
    <x v="4"/>
    <x v="2"/>
    <x v="2"/>
    <x v="5"/>
    <x v="2"/>
    <x v="38"/>
    <x v="227"/>
    <x v="22"/>
    <x v="5"/>
  </r>
  <r>
    <x v="766"/>
    <x v="1824"/>
    <x v="149"/>
    <x v="3"/>
    <x v="1"/>
    <x v="1"/>
    <x v="5"/>
    <x v="2"/>
    <x v="38"/>
    <x v="227"/>
    <x v="22"/>
    <x v="5"/>
  </r>
  <r>
    <x v="768"/>
    <x v="1515"/>
    <x v="262"/>
    <x v="1"/>
    <x v="0"/>
    <x v="0"/>
    <x v="5"/>
    <x v="2"/>
    <x v="48"/>
    <x v="223"/>
    <x v="22"/>
    <x v="5"/>
  </r>
  <r>
    <x v="769"/>
    <x v="1495"/>
    <x v="262"/>
    <x v="4"/>
    <x v="2"/>
    <x v="2"/>
    <x v="5"/>
    <x v="2"/>
    <x v="48"/>
    <x v="223"/>
    <x v="22"/>
    <x v="5"/>
  </r>
  <r>
    <x v="770"/>
    <x v="1796"/>
    <x v="262"/>
    <x v="3"/>
    <x v="1"/>
    <x v="1"/>
    <x v="5"/>
    <x v="2"/>
    <x v="48"/>
    <x v="223"/>
    <x v="22"/>
    <x v="5"/>
  </r>
  <r>
    <x v="771"/>
    <x v="1681"/>
    <x v="262"/>
    <x v="3"/>
    <x v="1"/>
    <x v="1"/>
    <x v="5"/>
    <x v="2"/>
    <x v="48"/>
    <x v="223"/>
    <x v="22"/>
    <x v="5"/>
  </r>
  <r>
    <x v="772"/>
    <x v="1682"/>
    <x v="262"/>
    <x v="3"/>
    <x v="1"/>
    <x v="1"/>
    <x v="5"/>
    <x v="2"/>
    <x v="48"/>
    <x v="223"/>
    <x v="22"/>
    <x v="5"/>
  </r>
  <r>
    <x v="773"/>
    <x v="1519"/>
    <x v="150"/>
    <x v="1"/>
    <x v="0"/>
    <x v="0"/>
    <x v="5"/>
    <x v="3"/>
    <x v="40"/>
    <x v="208"/>
    <x v="22"/>
    <x v="5"/>
  </r>
  <r>
    <x v="774"/>
    <x v="1781"/>
    <x v="150"/>
    <x v="3"/>
    <x v="1"/>
    <x v="1"/>
    <x v="5"/>
    <x v="3"/>
    <x v="40"/>
    <x v="208"/>
    <x v="22"/>
    <x v="5"/>
  </r>
  <r>
    <x v="775"/>
    <x v="1865"/>
    <x v="150"/>
    <x v="4"/>
    <x v="2"/>
    <x v="2"/>
    <x v="5"/>
    <x v="3"/>
    <x v="40"/>
    <x v="208"/>
    <x v="22"/>
    <x v="5"/>
  </r>
  <r>
    <x v="776"/>
    <x v="1863"/>
    <x v="150"/>
    <x v="3"/>
    <x v="1"/>
    <x v="1"/>
    <x v="5"/>
    <x v="3"/>
    <x v="40"/>
    <x v="208"/>
    <x v="22"/>
    <x v="5"/>
  </r>
  <r>
    <x v="777"/>
    <x v="1864"/>
    <x v="150"/>
    <x v="3"/>
    <x v="1"/>
    <x v="1"/>
    <x v="5"/>
    <x v="3"/>
    <x v="40"/>
    <x v="208"/>
    <x v="22"/>
    <x v="5"/>
  </r>
  <r>
    <x v="780"/>
    <x v="1441"/>
    <x v="378"/>
    <x v="1"/>
    <x v="0"/>
    <x v="0"/>
    <x v="4"/>
    <x v="36"/>
    <x v="350"/>
    <x v="407"/>
    <x v="38"/>
    <x v="5"/>
  </r>
  <r>
    <x v="781"/>
    <x v="1439"/>
    <x v="166"/>
    <x v="1"/>
    <x v="0"/>
    <x v="0"/>
    <x v="2"/>
    <x v="17"/>
    <x v="178"/>
    <x v="158"/>
    <x v="14"/>
    <x v="5"/>
  </r>
  <r>
    <x v="782"/>
    <x v="1440"/>
    <x v="166"/>
    <x v="4"/>
    <x v="2"/>
    <x v="2"/>
    <x v="2"/>
    <x v="17"/>
    <x v="178"/>
    <x v="158"/>
    <x v="14"/>
    <x v="5"/>
  </r>
  <r>
    <x v="783"/>
    <x v="1784"/>
    <x v="166"/>
    <x v="3"/>
    <x v="1"/>
    <x v="1"/>
    <x v="2"/>
    <x v="17"/>
    <x v="178"/>
    <x v="158"/>
    <x v="14"/>
    <x v="5"/>
  </r>
  <r>
    <x v="784"/>
    <x v="1785"/>
    <x v="166"/>
    <x v="3"/>
    <x v="1"/>
    <x v="1"/>
    <x v="2"/>
    <x v="17"/>
    <x v="178"/>
    <x v="158"/>
    <x v="14"/>
    <x v="5"/>
  </r>
  <r>
    <x v="785"/>
    <x v="1786"/>
    <x v="166"/>
    <x v="3"/>
    <x v="1"/>
    <x v="1"/>
    <x v="2"/>
    <x v="17"/>
    <x v="178"/>
    <x v="158"/>
    <x v="14"/>
    <x v="5"/>
  </r>
  <r>
    <x v="786"/>
    <x v="1818"/>
    <x v="166"/>
    <x v="4"/>
    <x v="2"/>
    <x v="2"/>
    <x v="2"/>
    <x v="17"/>
    <x v="178"/>
    <x v="158"/>
    <x v="14"/>
    <x v="5"/>
  </r>
  <r>
    <x v="787"/>
    <x v="1821"/>
    <x v="166"/>
    <x v="3"/>
    <x v="1"/>
    <x v="1"/>
    <x v="2"/>
    <x v="17"/>
    <x v="178"/>
    <x v="158"/>
    <x v="14"/>
    <x v="5"/>
  </r>
  <r>
    <x v="788"/>
    <x v="1459"/>
    <x v="300"/>
    <x v="1"/>
    <x v="0"/>
    <x v="0"/>
    <x v="3"/>
    <x v="15"/>
    <x v="168"/>
    <x v="277"/>
    <x v="26"/>
    <x v="5"/>
  </r>
  <r>
    <x v="789"/>
    <x v="1460"/>
    <x v="300"/>
    <x v="4"/>
    <x v="2"/>
    <x v="2"/>
    <x v="3"/>
    <x v="15"/>
    <x v="168"/>
    <x v="277"/>
    <x v="26"/>
    <x v="5"/>
  </r>
  <r>
    <x v="791"/>
    <x v="1367"/>
    <x v="340"/>
    <x v="4"/>
    <x v="2"/>
    <x v="2"/>
    <x v="4"/>
    <x v="38"/>
    <x v="401"/>
    <x v="386"/>
    <x v="22"/>
    <x v="5"/>
  </r>
  <r>
    <x v="792"/>
    <x v="1530"/>
    <x v="340"/>
    <x v="1"/>
    <x v="0"/>
    <x v="0"/>
    <x v="4"/>
    <x v="38"/>
    <x v="401"/>
    <x v="386"/>
    <x v="22"/>
    <x v="5"/>
  </r>
  <r>
    <x v="793"/>
    <x v="1368"/>
    <x v="269"/>
    <x v="4"/>
    <x v="2"/>
    <x v="2"/>
    <x v="4"/>
    <x v="35"/>
    <x v="400"/>
    <x v="387"/>
    <x v="22"/>
    <x v="5"/>
  </r>
  <r>
    <x v="794"/>
    <x v="1657"/>
    <x v="269"/>
    <x v="3"/>
    <x v="1"/>
    <x v="1"/>
    <x v="4"/>
    <x v="35"/>
    <x v="400"/>
    <x v="387"/>
    <x v="22"/>
    <x v="5"/>
  </r>
  <r>
    <x v="795"/>
    <x v="1658"/>
    <x v="269"/>
    <x v="3"/>
    <x v="1"/>
    <x v="1"/>
    <x v="4"/>
    <x v="35"/>
    <x v="400"/>
    <x v="387"/>
    <x v="22"/>
    <x v="5"/>
  </r>
  <r>
    <x v="796"/>
    <x v="1659"/>
    <x v="269"/>
    <x v="3"/>
    <x v="1"/>
    <x v="1"/>
    <x v="4"/>
    <x v="35"/>
    <x v="400"/>
    <x v="387"/>
    <x v="22"/>
    <x v="5"/>
  </r>
  <r>
    <x v="797"/>
    <x v="1372"/>
    <x v="229"/>
    <x v="4"/>
    <x v="2"/>
    <x v="2"/>
    <x v="4"/>
    <x v="38"/>
    <x v="411"/>
    <x v="373"/>
    <x v="70"/>
    <x v="5"/>
  </r>
  <r>
    <x v="798"/>
    <x v="1547"/>
    <x v="229"/>
    <x v="1"/>
    <x v="0"/>
    <x v="0"/>
    <x v="4"/>
    <x v="38"/>
    <x v="411"/>
    <x v="373"/>
    <x v="70"/>
    <x v="5"/>
  </r>
  <r>
    <x v="799"/>
    <x v="1371"/>
    <x v="270"/>
    <x v="4"/>
    <x v="2"/>
    <x v="2"/>
    <x v="4"/>
    <x v="39"/>
    <x v="405"/>
    <x v="363"/>
    <x v="22"/>
    <x v="5"/>
  </r>
  <r>
    <x v="800"/>
    <x v="1382"/>
    <x v="270"/>
    <x v="3"/>
    <x v="1"/>
    <x v="1"/>
    <x v="4"/>
    <x v="39"/>
    <x v="405"/>
    <x v="363"/>
    <x v="22"/>
    <x v="5"/>
  </r>
  <r>
    <x v="802"/>
    <x v="1539"/>
    <x v="270"/>
    <x v="3"/>
    <x v="1"/>
    <x v="1"/>
    <x v="4"/>
    <x v="39"/>
    <x v="405"/>
    <x v="363"/>
    <x v="22"/>
    <x v="5"/>
  </r>
  <r>
    <x v="803"/>
    <x v="1651"/>
    <x v="270"/>
    <x v="1"/>
    <x v="0"/>
    <x v="0"/>
    <x v="4"/>
    <x v="39"/>
    <x v="405"/>
    <x v="363"/>
    <x v="22"/>
    <x v="5"/>
  </r>
  <r>
    <x v="804"/>
    <x v="1369"/>
    <x v="245"/>
    <x v="4"/>
    <x v="2"/>
    <x v="2"/>
    <x v="4"/>
    <x v="39"/>
    <x v="395"/>
    <x v="379"/>
    <x v="22"/>
    <x v="5"/>
  </r>
  <r>
    <x v="805"/>
    <x v="1543"/>
    <x v="245"/>
    <x v="1"/>
    <x v="0"/>
    <x v="0"/>
    <x v="4"/>
    <x v="39"/>
    <x v="395"/>
    <x v="379"/>
    <x v="22"/>
    <x v="5"/>
  </r>
  <r>
    <x v="806"/>
    <x v="1665"/>
    <x v="245"/>
    <x v="3"/>
    <x v="1"/>
    <x v="1"/>
    <x v="4"/>
    <x v="39"/>
    <x v="395"/>
    <x v="379"/>
    <x v="22"/>
    <x v="5"/>
  </r>
  <r>
    <x v="807"/>
    <x v="1668"/>
    <x v="245"/>
    <x v="3"/>
    <x v="1"/>
    <x v="1"/>
    <x v="4"/>
    <x v="39"/>
    <x v="395"/>
    <x v="379"/>
    <x v="22"/>
    <x v="5"/>
  </r>
  <r>
    <x v="808"/>
    <x v="1374"/>
    <x v="351"/>
    <x v="4"/>
    <x v="2"/>
    <x v="2"/>
    <x v="4"/>
    <x v="35"/>
    <x v="406"/>
    <x v="389"/>
    <x v="22"/>
    <x v="5"/>
  </r>
  <r>
    <x v="809"/>
    <x v="1370"/>
    <x v="137"/>
    <x v="4"/>
    <x v="2"/>
    <x v="2"/>
    <x v="4"/>
    <x v="39"/>
    <x v="381"/>
    <x v="377"/>
    <x v="22"/>
    <x v="5"/>
  </r>
  <r>
    <x v="810"/>
    <x v="1850"/>
    <x v="137"/>
    <x v="1"/>
    <x v="0"/>
    <x v="0"/>
    <x v="4"/>
    <x v="39"/>
    <x v="381"/>
    <x v="377"/>
    <x v="22"/>
    <x v="5"/>
  </r>
  <r>
    <x v="811"/>
    <x v="1851"/>
    <x v="137"/>
    <x v="3"/>
    <x v="1"/>
    <x v="1"/>
    <x v="4"/>
    <x v="39"/>
    <x v="381"/>
    <x v="377"/>
    <x v="22"/>
    <x v="5"/>
  </r>
  <r>
    <x v="813"/>
    <x v="1366"/>
    <x v="27"/>
    <x v="4"/>
    <x v="2"/>
    <x v="2"/>
    <x v="4"/>
    <x v="38"/>
    <x v="377"/>
    <x v="378"/>
    <x v="22"/>
    <x v="5"/>
  </r>
  <r>
    <x v="814"/>
    <x v="1664"/>
    <x v="27"/>
    <x v="3"/>
    <x v="1"/>
    <x v="1"/>
    <x v="4"/>
    <x v="38"/>
    <x v="377"/>
    <x v="378"/>
    <x v="22"/>
    <x v="5"/>
  </r>
  <r>
    <x v="815"/>
    <x v="1373"/>
    <x v="20"/>
    <x v="4"/>
    <x v="2"/>
    <x v="2"/>
    <x v="4"/>
    <x v="39"/>
    <x v="410"/>
    <x v="364"/>
    <x v="28"/>
    <x v="5"/>
  </r>
  <r>
    <x v="816"/>
    <x v="1546"/>
    <x v="20"/>
    <x v="1"/>
    <x v="0"/>
    <x v="0"/>
    <x v="4"/>
    <x v="39"/>
    <x v="410"/>
    <x v="364"/>
    <x v="28"/>
    <x v="5"/>
  </r>
  <r>
    <x v="817"/>
    <x v="1744"/>
    <x v="248"/>
    <x v="4"/>
    <x v="2"/>
    <x v="2"/>
    <x v="4"/>
    <x v="39"/>
    <x v="414"/>
    <x v="375"/>
    <x v="22"/>
    <x v="5"/>
  </r>
  <r>
    <x v="818"/>
    <x v="1650"/>
    <x v="248"/>
    <x v="1"/>
    <x v="0"/>
    <x v="0"/>
    <x v="4"/>
    <x v="39"/>
    <x v="414"/>
    <x v="375"/>
    <x v="22"/>
    <x v="5"/>
  </r>
  <r>
    <x v="819"/>
    <x v="1375"/>
    <x v="342"/>
    <x v="4"/>
    <x v="2"/>
    <x v="2"/>
    <x v="4"/>
    <x v="36"/>
    <x v="390"/>
    <x v="356"/>
    <x v="49"/>
    <x v="5"/>
  </r>
  <r>
    <x v="820"/>
    <x v="1747"/>
    <x v="317"/>
    <x v="1"/>
    <x v="0"/>
    <x v="0"/>
    <x v="5"/>
    <x v="20"/>
    <x v="214"/>
    <x v="241"/>
    <x v="22"/>
    <x v="5"/>
  </r>
  <r>
    <x v="821"/>
    <x v="1751"/>
    <x v="317"/>
    <x v="4"/>
    <x v="2"/>
    <x v="2"/>
    <x v="5"/>
    <x v="20"/>
    <x v="214"/>
    <x v="241"/>
    <x v="22"/>
    <x v="5"/>
  </r>
  <r>
    <x v="822"/>
    <x v="1632"/>
    <x v="317"/>
    <x v="3"/>
    <x v="1"/>
    <x v="1"/>
    <x v="5"/>
    <x v="20"/>
    <x v="214"/>
    <x v="241"/>
    <x v="22"/>
    <x v="5"/>
  </r>
  <r>
    <x v="824"/>
    <x v="1691"/>
    <x v="317"/>
    <x v="3"/>
    <x v="1"/>
    <x v="1"/>
    <x v="5"/>
    <x v="20"/>
    <x v="214"/>
    <x v="241"/>
    <x v="22"/>
    <x v="5"/>
  </r>
  <r>
    <x v="825"/>
    <x v="1364"/>
    <x v="319"/>
    <x v="1"/>
    <x v="0"/>
    <x v="0"/>
    <x v="3"/>
    <x v="4"/>
    <x v="142"/>
    <x v="335"/>
    <x v="22"/>
    <x v="5"/>
  </r>
  <r>
    <x v="826"/>
    <x v="1812"/>
    <x v="319"/>
    <x v="3"/>
    <x v="1"/>
    <x v="1"/>
    <x v="3"/>
    <x v="4"/>
    <x v="142"/>
    <x v="335"/>
    <x v="22"/>
    <x v="5"/>
  </r>
  <r>
    <x v="827"/>
    <x v="1365"/>
    <x v="367"/>
    <x v="1"/>
    <x v="0"/>
    <x v="0"/>
    <x v="3"/>
    <x v="6"/>
    <x v="143"/>
    <x v="341"/>
    <x v="22"/>
    <x v="5"/>
  </r>
  <r>
    <x v="828"/>
    <x v="1757"/>
    <x v="17"/>
    <x v="1"/>
    <x v="0"/>
    <x v="0"/>
    <x v="5"/>
    <x v="19"/>
    <x v="198"/>
    <x v="249"/>
    <x v="22"/>
    <x v="5"/>
  </r>
  <r>
    <x v="829"/>
    <x v="1758"/>
    <x v="17"/>
    <x v="4"/>
    <x v="2"/>
    <x v="2"/>
    <x v="5"/>
    <x v="19"/>
    <x v="198"/>
    <x v="249"/>
    <x v="22"/>
    <x v="5"/>
  </r>
  <r>
    <x v="830"/>
    <x v="1843"/>
    <x v="17"/>
    <x v="3"/>
    <x v="1"/>
    <x v="1"/>
    <x v="5"/>
    <x v="19"/>
    <x v="198"/>
    <x v="249"/>
    <x v="22"/>
    <x v="5"/>
  </r>
  <r>
    <x v="831"/>
    <x v="1844"/>
    <x v="17"/>
    <x v="3"/>
    <x v="1"/>
    <x v="1"/>
    <x v="5"/>
    <x v="19"/>
    <x v="198"/>
    <x v="249"/>
    <x v="22"/>
    <x v="5"/>
  </r>
  <r>
    <x v="832"/>
    <x v="1707"/>
    <x v="17"/>
    <x v="3"/>
    <x v="1"/>
    <x v="1"/>
    <x v="5"/>
    <x v="19"/>
    <x v="198"/>
    <x v="249"/>
    <x v="22"/>
    <x v="5"/>
  </r>
  <r>
    <x v="833"/>
    <x v="1708"/>
    <x v="17"/>
    <x v="3"/>
    <x v="1"/>
    <x v="1"/>
    <x v="5"/>
    <x v="19"/>
    <x v="198"/>
    <x v="249"/>
    <x v="22"/>
    <x v="5"/>
  </r>
  <r>
    <x v="835"/>
    <x v="1358"/>
    <x v="43"/>
    <x v="1"/>
    <x v="0"/>
    <x v="0"/>
    <x v="3"/>
    <x v="4"/>
    <x v="120"/>
    <x v="337"/>
    <x v="22"/>
    <x v="5"/>
  </r>
  <r>
    <x v="836"/>
    <x v="1893"/>
    <x v="43"/>
    <x v="3"/>
    <x v="1"/>
    <x v="1"/>
    <x v="3"/>
    <x v="4"/>
    <x v="120"/>
    <x v="337"/>
    <x v="22"/>
    <x v="5"/>
  </r>
  <r>
    <x v="837"/>
    <x v="1891"/>
    <x v="43"/>
    <x v="4"/>
    <x v="2"/>
    <x v="2"/>
    <x v="3"/>
    <x v="4"/>
    <x v="120"/>
    <x v="337"/>
    <x v="22"/>
    <x v="5"/>
  </r>
  <r>
    <x v="838"/>
    <x v="1748"/>
    <x v="346"/>
    <x v="4"/>
    <x v="2"/>
    <x v="2"/>
    <x v="5"/>
    <x v="20"/>
    <x v="218"/>
    <x v="235"/>
    <x v="22"/>
    <x v="5"/>
  </r>
  <r>
    <x v="839"/>
    <x v="1735"/>
    <x v="346"/>
    <x v="3"/>
    <x v="1"/>
    <x v="1"/>
    <x v="5"/>
    <x v="20"/>
    <x v="218"/>
    <x v="235"/>
    <x v="22"/>
    <x v="5"/>
  </r>
  <r>
    <x v="840"/>
    <x v="1634"/>
    <x v="346"/>
    <x v="1"/>
    <x v="0"/>
    <x v="0"/>
    <x v="5"/>
    <x v="20"/>
    <x v="218"/>
    <x v="235"/>
    <x v="22"/>
    <x v="5"/>
  </r>
  <r>
    <x v="841"/>
    <x v="1725"/>
    <x v="346"/>
    <x v="3"/>
    <x v="1"/>
    <x v="1"/>
    <x v="5"/>
    <x v="20"/>
    <x v="218"/>
    <x v="235"/>
    <x v="22"/>
    <x v="5"/>
  </r>
  <r>
    <x v="842"/>
    <x v="1906"/>
    <x v="346"/>
    <x v="3"/>
    <x v="1"/>
    <x v="1"/>
    <x v="5"/>
    <x v="20"/>
    <x v="218"/>
    <x v="235"/>
    <x v="22"/>
    <x v="5"/>
  </r>
  <r>
    <x v="843"/>
    <x v="1921"/>
    <x v="320"/>
    <x v="4"/>
    <x v="2"/>
    <x v="2"/>
    <x v="4"/>
    <x v="14"/>
    <x v="147"/>
    <x v="409"/>
    <x v="26"/>
    <x v="5"/>
  </r>
  <r>
    <x v="844"/>
    <x v="1924"/>
    <x v="320"/>
    <x v="3"/>
    <x v="1"/>
    <x v="1"/>
    <x v="4"/>
    <x v="14"/>
    <x v="147"/>
    <x v="409"/>
    <x v="26"/>
    <x v="5"/>
  </r>
  <r>
    <x v="846"/>
    <x v="1925"/>
    <x v="320"/>
    <x v="3"/>
    <x v="1"/>
    <x v="1"/>
    <x v="4"/>
    <x v="14"/>
    <x v="147"/>
    <x v="409"/>
    <x v="26"/>
    <x v="5"/>
  </r>
  <r>
    <x v="847"/>
    <x v="1922"/>
    <x v="157"/>
    <x v="4"/>
    <x v="2"/>
    <x v="2"/>
    <x v="4"/>
    <x v="14"/>
    <x v="149"/>
    <x v="410"/>
    <x v="10"/>
    <x v="5"/>
  </r>
  <r>
    <x v="848"/>
    <x v="1928"/>
    <x v="157"/>
    <x v="3"/>
    <x v="1"/>
    <x v="1"/>
    <x v="4"/>
    <x v="14"/>
    <x v="149"/>
    <x v="410"/>
    <x v="10"/>
    <x v="5"/>
  </r>
  <r>
    <x v="849"/>
    <x v="1929"/>
    <x v="157"/>
    <x v="3"/>
    <x v="1"/>
    <x v="1"/>
    <x v="4"/>
    <x v="14"/>
    <x v="149"/>
    <x v="410"/>
    <x v="10"/>
    <x v="5"/>
  </r>
  <r>
    <x v="850"/>
    <x v="1923"/>
    <x v="142"/>
    <x v="4"/>
    <x v="2"/>
    <x v="2"/>
    <x v="4"/>
    <x v="14"/>
    <x v="148"/>
    <x v="411"/>
    <x v="18"/>
    <x v="5"/>
  </r>
  <r>
    <x v="851"/>
    <x v="1926"/>
    <x v="142"/>
    <x v="3"/>
    <x v="1"/>
    <x v="1"/>
    <x v="4"/>
    <x v="14"/>
    <x v="148"/>
    <x v="411"/>
    <x v="18"/>
    <x v="5"/>
  </r>
  <r>
    <x v="852"/>
    <x v="1927"/>
    <x v="142"/>
    <x v="3"/>
    <x v="1"/>
    <x v="1"/>
    <x v="4"/>
    <x v="14"/>
    <x v="148"/>
    <x v="411"/>
    <x v="18"/>
    <x v="5"/>
  </r>
  <r>
    <x v="853"/>
    <x v="1376"/>
    <x v="385"/>
    <x v="4"/>
    <x v="2"/>
    <x v="2"/>
    <x v="4"/>
    <x v="35"/>
    <x v="407"/>
    <x v="388"/>
    <x v="22"/>
    <x v="5"/>
  </r>
  <r>
    <x v="854"/>
    <x v="1544"/>
    <x v="385"/>
    <x v="3"/>
    <x v="1"/>
    <x v="1"/>
    <x v="4"/>
    <x v="35"/>
    <x v="407"/>
    <x v="388"/>
    <x v="22"/>
    <x v="5"/>
  </r>
  <r>
    <x v="855"/>
    <x v="1907"/>
    <x v="385"/>
    <x v="3"/>
    <x v="1"/>
    <x v="1"/>
    <x v="4"/>
    <x v="35"/>
    <x v="407"/>
    <x v="388"/>
    <x v="22"/>
    <x v="5"/>
  </r>
  <r>
    <x v="857"/>
    <x v="1407"/>
    <x v="364"/>
    <x v="3"/>
    <x v="1"/>
    <x v="1"/>
    <x v="3"/>
    <x v="34"/>
    <x v="370"/>
    <x v="301"/>
    <x v="22"/>
    <x v="5"/>
  </r>
  <r>
    <x v="858"/>
    <x v="1563"/>
    <x v="364"/>
    <x v="1"/>
    <x v="0"/>
    <x v="0"/>
    <x v="3"/>
    <x v="34"/>
    <x v="370"/>
    <x v="301"/>
    <x v="22"/>
    <x v="5"/>
  </r>
  <r>
    <x v="859"/>
    <x v="1562"/>
    <x v="364"/>
    <x v="4"/>
    <x v="2"/>
    <x v="2"/>
    <x v="3"/>
    <x v="34"/>
    <x v="370"/>
    <x v="301"/>
    <x v="22"/>
    <x v="5"/>
  </r>
  <r>
    <x v="860"/>
    <x v="1574"/>
    <x v="364"/>
    <x v="3"/>
    <x v="1"/>
    <x v="1"/>
    <x v="3"/>
    <x v="34"/>
    <x v="370"/>
    <x v="301"/>
    <x v="22"/>
    <x v="5"/>
  </r>
  <r>
    <x v="861"/>
    <x v="1377"/>
    <x v="403"/>
    <x v="3"/>
    <x v="1"/>
    <x v="1"/>
    <x v="4"/>
    <x v="37"/>
    <x v="391"/>
    <x v="358"/>
    <x v="84"/>
    <x v="5"/>
  </r>
  <r>
    <x v="862"/>
    <x v="1378"/>
    <x v="403"/>
    <x v="3"/>
    <x v="1"/>
    <x v="1"/>
    <x v="4"/>
    <x v="37"/>
    <x v="391"/>
    <x v="358"/>
    <x v="84"/>
    <x v="5"/>
  </r>
  <r>
    <x v="863"/>
    <x v="1379"/>
    <x v="403"/>
    <x v="3"/>
    <x v="1"/>
    <x v="1"/>
    <x v="4"/>
    <x v="37"/>
    <x v="391"/>
    <x v="358"/>
    <x v="84"/>
    <x v="5"/>
  </r>
  <r>
    <x v="864"/>
    <x v="1381"/>
    <x v="403"/>
    <x v="4"/>
    <x v="2"/>
    <x v="2"/>
    <x v="4"/>
    <x v="37"/>
    <x v="391"/>
    <x v="358"/>
    <x v="84"/>
    <x v="5"/>
  </r>
  <r>
    <x v="865"/>
    <x v="1380"/>
    <x v="403"/>
    <x v="1"/>
    <x v="0"/>
    <x v="0"/>
    <x v="4"/>
    <x v="37"/>
    <x v="391"/>
    <x v="358"/>
    <x v="84"/>
    <x v="5"/>
  </r>
  <r>
    <x v="866"/>
    <x v="1773"/>
    <x v="403"/>
    <x v="3"/>
    <x v="1"/>
    <x v="1"/>
    <x v="4"/>
    <x v="37"/>
    <x v="391"/>
    <x v="358"/>
    <x v="84"/>
    <x v="5"/>
  </r>
  <r>
    <x v="868"/>
    <x v="1932"/>
    <x v="101"/>
    <x v="3"/>
    <x v="1"/>
    <x v="1"/>
    <x v="4"/>
    <x v="14"/>
    <x v="146"/>
    <x v="408"/>
    <x v="13"/>
    <x v="0"/>
  </r>
  <r>
    <x v="869"/>
    <x v="1933"/>
    <x v="101"/>
    <x v="3"/>
    <x v="1"/>
    <x v="1"/>
    <x v="4"/>
    <x v="14"/>
    <x v="146"/>
    <x v="408"/>
    <x v="13"/>
    <x v="0"/>
  </r>
  <r>
    <x v="870"/>
    <x v="1934"/>
    <x v="101"/>
    <x v="3"/>
    <x v="1"/>
    <x v="1"/>
    <x v="4"/>
    <x v="14"/>
    <x v="146"/>
    <x v="408"/>
    <x v="13"/>
    <x v="0"/>
  </r>
  <r>
    <x v="871"/>
    <x v="1935"/>
    <x v="101"/>
    <x v="3"/>
    <x v="1"/>
    <x v="1"/>
    <x v="4"/>
    <x v="14"/>
    <x v="146"/>
    <x v="408"/>
    <x v="13"/>
    <x v="0"/>
  </r>
  <r>
    <x v="872"/>
    <x v="1936"/>
    <x v="101"/>
    <x v="3"/>
    <x v="1"/>
    <x v="1"/>
    <x v="4"/>
    <x v="14"/>
    <x v="146"/>
    <x v="408"/>
    <x v="13"/>
    <x v="5"/>
  </r>
  <r>
    <x v="873"/>
    <x v="1938"/>
    <x v="101"/>
    <x v="3"/>
    <x v="1"/>
    <x v="1"/>
    <x v="4"/>
    <x v="14"/>
    <x v="146"/>
    <x v="408"/>
    <x v="13"/>
    <x v="5"/>
  </r>
  <r>
    <x v="874"/>
    <x v="1939"/>
    <x v="101"/>
    <x v="3"/>
    <x v="1"/>
    <x v="1"/>
    <x v="4"/>
    <x v="14"/>
    <x v="146"/>
    <x v="408"/>
    <x v="13"/>
    <x v="5"/>
  </r>
  <r>
    <x v="875"/>
    <x v="1937"/>
    <x v="101"/>
    <x v="3"/>
    <x v="1"/>
    <x v="1"/>
    <x v="4"/>
    <x v="14"/>
    <x v="146"/>
    <x v="408"/>
    <x v="13"/>
    <x v="5"/>
  </r>
  <r>
    <x v="876"/>
    <x v="1940"/>
    <x v="101"/>
    <x v="3"/>
    <x v="1"/>
    <x v="1"/>
    <x v="4"/>
    <x v="14"/>
    <x v="146"/>
    <x v="408"/>
    <x v="13"/>
    <x v="5"/>
  </r>
  <r>
    <x v="877"/>
    <x v="1930"/>
    <x v="101"/>
    <x v="3"/>
    <x v="1"/>
    <x v="1"/>
    <x v="4"/>
    <x v="14"/>
    <x v="146"/>
    <x v="408"/>
    <x v="13"/>
    <x v="5"/>
  </r>
  <r>
    <x v="879"/>
    <x v="1931"/>
    <x v="101"/>
    <x v="3"/>
    <x v="1"/>
    <x v="1"/>
    <x v="4"/>
    <x v="14"/>
    <x v="146"/>
    <x v="408"/>
    <x v="13"/>
    <x v="5"/>
  </r>
  <r>
    <x v="880"/>
    <x v="1941"/>
    <x v="101"/>
    <x v="3"/>
    <x v="1"/>
    <x v="1"/>
    <x v="4"/>
    <x v="14"/>
    <x v="146"/>
    <x v="408"/>
    <x v="13"/>
    <x v="5"/>
  </r>
  <r>
    <x v="881"/>
    <x v="1943"/>
    <x v="101"/>
    <x v="3"/>
    <x v="1"/>
    <x v="1"/>
    <x v="4"/>
    <x v="14"/>
    <x v="146"/>
    <x v="408"/>
    <x v="13"/>
    <x v="5"/>
  </r>
  <r>
    <x v="882"/>
    <x v="1944"/>
    <x v="101"/>
    <x v="3"/>
    <x v="1"/>
    <x v="1"/>
    <x v="4"/>
    <x v="14"/>
    <x v="146"/>
    <x v="408"/>
    <x v="13"/>
    <x v="5"/>
  </r>
  <r>
    <x v="883"/>
    <x v="1945"/>
    <x v="101"/>
    <x v="3"/>
    <x v="1"/>
    <x v="1"/>
    <x v="4"/>
    <x v="14"/>
    <x v="146"/>
    <x v="408"/>
    <x v="13"/>
    <x v="5"/>
  </r>
  <r>
    <x v="884"/>
    <x v="1949"/>
    <x v="101"/>
    <x v="3"/>
    <x v="1"/>
    <x v="1"/>
    <x v="4"/>
    <x v="14"/>
    <x v="146"/>
    <x v="408"/>
    <x v="13"/>
    <x v="5"/>
  </r>
  <r>
    <x v="885"/>
    <x v="1414"/>
    <x v="357"/>
    <x v="4"/>
    <x v="2"/>
    <x v="2"/>
    <x v="3"/>
    <x v="15"/>
    <x v="157"/>
    <x v="279"/>
    <x v="26"/>
    <x v="5"/>
  </r>
  <r>
    <x v="886"/>
    <x v="1415"/>
    <x v="357"/>
    <x v="1"/>
    <x v="0"/>
    <x v="0"/>
    <x v="3"/>
    <x v="15"/>
    <x v="157"/>
    <x v="279"/>
    <x v="26"/>
    <x v="5"/>
  </r>
  <r>
    <x v="887"/>
    <x v="1412"/>
    <x v="210"/>
    <x v="4"/>
    <x v="2"/>
    <x v="2"/>
    <x v="3"/>
    <x v="15"/>
    <x v="162"/>
    <x v="283"/>
    <x v="22"/>
    <x v="5"/>
  </r>
  <r>
    <x v="888"/>
    <x v="1413"/>
    <x v="210"/>
    <x v="1"/>
    <x v="0"/>
    <x v="0"/>
    <x v="3"/>
    <x v="15"/>
    <x v="162"/>
    <x v="283"/>
    <x v="22"/>
    <x v="5"/>
  </r>
  <r>
    <x v="891"/>
    <x v="1409"/>
    <x v="275"/>
    <x v="3"/>
    <x v="1"/>
    <x v="1"/>
    <x v="3"/>
    <x v="34"/>
    <x v="366"/>
    <x v="305"/>
    <x v="22"/>
    <x v="5"/>
  </r>
  <r>
    <x v="892"/>
    <x v="1410"/>
    <x v="275"/>
    <x v="3"/>
    <x v="1"/>
    <x v="1"/>
    <x v="3"/>
    <x v="34"/>
    <x v="366"/>
    <x v="305"/>
    <x v="22"/>
    <x v="5"/>
  </r>
  <r>
    <x v="893"/>
    <x v="1568"/>
    <x v="275"/>
    <x v="1"/>
    <x v="0"/>
    <x v="0"/>
    <x v="3"/>
    <x v="34"/>
    <x v="366"/>
    <x v="305"/>
    <x v="22"/>
    <x v="5"/>
  </r>
  <r>
    <x v="894"/>
    <x v="1569"/>
    <x v="275"/>
    <x v="4"/>
    <x v="2"/>
    <x v="2"/>
    <x v="3"/>
    <x v="34"/>
    <x v="366"/>
    <x v="305"/>
    <x v="22"/>
    <x v="5"/>
  </r>
  <r>
    <x v="895"/>
    <x v="1423"/>
    <x v="201"/>
    <x v="3"/>
    <x v="1"/>
    <x v="1"/>
    <x v="3"/>
    <x v="34"/>
    <x v="361"/>
    <x v="287"/>
    <x v="37"/>
    <x v="5"/>
  </r>
  <r>
    <x v="896"/>
    <x v="1418"/>
    <x v="201"/>
    <x v="3"/>
    <x v="1"/>
    <x v="1"/>
    <x v="3"/>
    <x v="34"/>
    <x v="361"/>
    <x v="287"/>
    <x v="37"/>
    <x v="5"/>
  </r>
  <r>
    <x v="897"/>
    <x v="1417"/>
    <x v="201"/>
    <x v="3"/>
    <x v="1"/>
    <x v="1"/>
    <x v="3"/>
    <x v="34"/>
    <x v="361"/>
    <x v="287"/>
    <x v="37"/>
    <x v="5"/>
  </r>
  <r>
    <x v="898"/>
    <x v="1416"/>
    <x v="201"/>
    <x v="3"/>
    <x v="1"/>
    <x v="1"/>
    <x v="3"/>
    <x v="34"/>
    <x v="361"/>
    <x v="287"/>
    <x v="37"/>
    <x v="5"/>
  </r>
  <r>
    <x v="899"/>
    <x v="1419"/>
    <x v="201"/>
    <x v="3"/>
    <x v="1"/>
    <x v="1"/>
    <x v="3"/>
    <x v="34"/>
    <x v="361"/>
    <x v="287"/>
    <x v="37"/>
    <x v="5"/>
  </r>
  <r>
    <x v="900"/>
    <x v="1420"/>
    <x v="201"/>
    <x v="3"/>
    <x v="1"/>
    <x v="1"/>
    <x v="3"/>
    <x v="34"/>
    <x v="361"/>
    <x v="287"/>
    <x v="37"/>
    <x v="5"/>
  </r>
  <r>
    <x v="902"/>
    <x v="1421"/>
    <x v="201"/>
    <x v="3"/>
    <x v="1"/>
    <x v="1"/>
    <x v="3"/>
    <x v="34"/>
    <x v="361"/>
    <x v="287"/>
    <x v="37"/>
    <x v="5"/>
  </r>
  <r>
    <x v="903"/>
    <x v="1424"/>
    <x v="201"/>
    <x v="1"/>
    <x v="0"/>
    <x v="0"/>
    <x v="3"/>
    <x v="34"/>
    <x v="361"/>
    <x v="287"/>
    <x v="37"/>
    <x v="5"/>
  </r>
  <r>
    <x v="904"/>
    <x v="1560"/>
    <x v="201"/>
    <x v="4"/>
    <x v="2"/>
    <x v="2"/>
    <x v="3"/>
    <x v="34"/>
    <x v="361"/>
    <x v="287"/>
    <x v="37"/>
    <x v="5"/>
  </r>
  <r>
    <x v="905"/>
    <x v="1779"/>
    <x v="362"/>
    <x v="1"/>
    <x v="0"/>
    <x v="0"/>
    <x v="3"/>
    <x v="34"/>
    <x v="369"/>
    <x v="297"/>
    <x v="28"/>
    <x v="5"/>
  </r>
  <r>
    <x v="906"/>
    <x v="1774"/>
    <x v="362"/>
    <x v="3"/>
    <x v="1"/>
    <x v="1"/>
    <x v="3"/>
    <x v="34"/>
    <x v="369"/>
    <x v="297"/>
    <x v="28"/>
    <x v="5"/>
  </r>
  <r>
    <x v="907"/>
    <x v="1775"/>
    <x v="362"/>
    <x v="3"/>
    <x v="1"/>
    <x v="1"/>
    <x v="3"/>
    <x v="34"/>
    <x v="369"/>
    <x v="297"/>
    <x v="28"/>
    <x v="5"/>
  </r>
  <r>
    <x v="908"/>
    <x v="1776"/>
    <x v="362"/>
    <x v="3"/>
    <x v="1"/>
    <x v="1"/>
    <x v="3"/>
    <x v="34"/>
    <x v="369"/>
    <x v="297"/>
    <x v="28"/>
    <x v="5"/>
  </r>
  <r>
    <x v="909"/>
    <x v="1777"/>
    <x v="362"/>
    <x v="3"/>
    <x v="1"/>
    <x v="1"/>
    <x v="3"/>
    <x v="34"/>
    <x v="369"/>
    <x v="297"/>
    <x v="28"/>
    <x v="5"/>
  </r>
  <r>
    <x v="910"/>
    <x v="1778"/>
    <x v="362"/>
    <x v="3"/>
    <x v="1"/>
    <x v="1"/>
    <x v="3"/>
    <x v="34"/>
    <x v="369"/>
    <x v="297"/>
    <x v="28"/>
    <x v="5"/>
  </r>
  <r>
    <x v="911"/>
    <x v="1557"/>
    <x v="362"/>
    <x v="4"/>
    <x v="2"/>
    <x v="2"/>
    <x v="3"/>
    <x v="34"/>
    <x v="369"/>
    <x v="297"/>
    <x v="28"/>
    <x v="5"/>
  </r>
  <r>
    <x v="913"/>
    <x v="1799"/>
    <x v="312"/>
    <x v="1"/>
    <x v="0"/>
    <x v="0"/>
    <x v="4"/>
    <x v="18"/>
    <x v="194"/>
    <x v="405"/>
    <x v="26"/>
    <x v="5"/>
  </r>
  <r>
    <x v="914"/>
    <x v="1800"/>
    <x v="312"/>
    <x v="3"/>
    <x v="1"/>
    <x v="1"/>
    <x v="4"/>
    <x v="18"/>
    <x v="194"/>
    <x v="405"/>
    <x v="26"/>
    <x v="5"/>
  </r>
  <r>
    <x v="915"/>
    <x v="1422"/>
    <x v="368"/>
    <x v="1"/>
    <x v="0"/>
    <x v="0"/>
    <x v="3"/>
    <x v="34"/>
    <x v="371"/>
    <x v="291"/>
    <x v="22"/>
    <x v="5"/>
  </r>
  <r>
    <x v="916"/>
    <x v="1561"/>
    <x v="368"/>
    <x v="4"/>
    <x v="2"/>
    <x v="2"/>
    <x v="3"/>
    <x v="34"/>
    <x v="371"/>
    <x v="291"/>
    <x v="22"/>
    <x v="5"/>
  </r>
  <r>
    <x v="917"/>
    <x v="1571"/>
    <x v="368"/>
    <x v="3"/>
    <x v="1"/>
    <x v="1"/>
    <x v="3"/>
    <x v="34"/>
    <x v="371"/>
    <x v="291"/>
    <x v="22"/>
    <x v="5"/>
  </r>
  <r>
    <x v="918"/>
    <x v="1572"/>
    <x v="368"/>
    <x v="3"/>
    <x v="1"/>
    <x v="1"/>
    <x v="3"/>
    <x v="34"/>
    <x v="371"/>
    <x v="291"/>
    <x v="22"/>
    <x v="5"/>
  </r>
  <r>
    <x v="919"/>
    <x v="1577"/>
    <x v="368"/>
    <x v="3"/>
    <x v="1"/>
    <x v="1"/>
    <x v="3"/>
    <x v="34"/>
    <x v="371"/>
    <x v="291"/>
    <x v="22"/>
    <x v="5"/>
  </r>
  <r>
    <x v="920"/>
    <x v="1816"/>
    <x v="222"/>
    <x v="3"/>
    <x v="1"/>
    <x v="1"/>
    <x v="5"/>
    <x v="2"/>
    <x v="36"/>
    <x v="225"/>
    <x v="22"/>
    <x v="5"/>
  </r>
  <r>
    <x v="921"/>
    <x v="1817"/>
    <x v="222"/>
    <x v="3"/>
    <x v="1"/>
    <x v="1"/>
    <x v="5"/>
    <x v="2"/>
    <x v="36"/>
    <x v="225"/>
    <x v="22"/>
    <x v="5"/>
  </r>
  <r>
    <x v="922"/>
    <x v="1633"/>
    <x v="222"/>
    <x v="3"/>
    <x v="1"/>
    <x v="1"/>
    <x v="5"/>
    <x v="2"/>
    <x v="36"/>
    <x v="225"/>
    <x v="22"/>
    <x v="5"/>
  </r>
  <r>
    <x v="924"/>
    <x v="1685"/>
    <x v="222"/>
    <x v="4"/>
    <x v="2"/>
    <x v="2"/>
    <x v="5"/>
    <x v="2"/>
    <x v="36"/>
    <x v="225"/>
    <x v="22"/>
    <x v="5"/>
  </r>
  <r>
    <x v="925"/>
    <x v="1823"/>
    <x v="414"/>
    <x v="1"/>
    <x v="0"/>
    <x v="0"/>
    <x v="3"/>
    <x v="7"/>
    <x v="18"/>
    <x v="260"/>
    <x v="22"/>
    <x v="5"/>
  </r>
  <r>
    <x v="926"/>
    <x v="1835"/>
    <x v="414"/>
    <x v="3"/>
    <x v="1"/>
    <x v="1"/>
    <x v="3"/>
    <x v="7"/>
    <x v="18"/>
    <x v="260"/>
    <x v="22"/>
    <x v="5"/>
  </r>
  <r>
    <x v="927"/>
    <x v="1862"/>
    <x v="414"/>
    <x v="3"/>
    <x v="1"/>
    <x v="1"/>
    <x v="3"/>
    <x v="7"/>
    <x v="18"/>
    <x v="260"/>
    <x v="22"/>
    <x v="5"/>
  </r>
  <r>
    <x v="928"/>
    <x v="1426"/>
    <x v="55"/>
    <x v="1"/>
    <x v="0"/>
    <x v="0"/>
    <x v="3"/>
    <x v="34"/>
    <x v="353"/>
    <x v="304"/>
    <x v="28"/>
    <x v="5"/>
  </r>
  <r>
    <x v="929"/>
    <x v="1555"/>
    <x v="55"/>
    <x v="4"/>
    <x v="2"/>
    <x v="2"/>
    <x v="3"/>
    <x v="34"/>
    <x v="353"/>
    <x v="304"/>
    <x v="28"/>
    <x v="5"/>
  </r>
  <r>
    <x v="930"/>
    <x v="1578"/>
    <x v="55"/>
    <x v="3"/>
    <x v="1"/>
    <x v="1"/>
    <x v="3"/>
    <x v="34"/>
    <x v="353"/>
    <x v="304"/>
    <x v="28"/>
    <x v="5"/>
  </r>
  <r>
    <x v="931"/>
    <x v="1579"/>
    <x v="55"/>
    <x v="3"/>
    <x v="1"/>
    <x v="1"/>
    <x v="3"/>
    <x v="34"/>
    <x v="353"/>
    <x v="304"/>
    <x v="28"/>
    <x v="5"/>
  </r>
  <r>
    <x v="932"/>
    <x v="1580"/>
    <x v="55"/>
    <x v="3"/>
    <x v="1"/>
    <x v="1"/>
    <x v="3"/>
    <x v="34"/>
    <x v="353"/>
    <x v="304"/>
    <x v="28"/>
    <x v="5"/>
  </r>
  <r>
    <x v="933"/>
    <x v="1581"/>
    <x v="55"/>
    <x v="3"/>
    <x v="1"/>
    <x v="1"/>
    <x v="3"/>
    <x v="34"/>
    <x v="353"/>
    <x v="304"/>
    <x v="28"/>
    <x v="5"/>
  </r>
  <r>
    <x v="935"/>
    <x v="1554"/>
    <x v="13"/>
    <x v="4"/>
    <x v="2"/>
    <x v="2"/>
    <x v="3"/>
    <x v="15"/>
    <x v="156"/>
    <x v="271"/>
    <x v="22"/>
    <x v="5"/>
  </r>
  <r>
    <x v="936"/>
    <x v="1556"/>
    <x v="13"/>
    <x v="1"/>
    <x v="0"/>
    <x v="0"/>
    <x v="3"/>
    <x v="15"/>
    <x v="156"/>
    <x v="271"/>
    <x v="22"/>
    <x v="5"/>
  </r>
  <r>
    <x v="937"/>
    <x v="1804"/>
    <x v="382"/>
    <x v="3"/>
    <x v="1"/>
    <x v="1"/>
    <x v="3"/>
    <x v="6"/>
    <x v="327"/>
    <x v="329"/>
    <x v="22"/>
    <x v="5"/>
  </r>
  <r>
    <x v="938"/>
    <x v="1805"/>
    <x v="382"/>
    <x v="3"/>
    <x v="1"/>
    <x v="1"/>
    <x v="3"/>
    <x v="6"/>
    <x v="327"/>
    <x v="329"/>
    <x v="22"/>
    <x v="5"/>
  </r>
  <r>
    <x v="939"/>
    <x v="1806"/>
    <x v="382"/>
    <x v="4"/>
    <x v="2"/>
    <x v="2"/>
    <x v="3"/>
    <x v="6"/>
    <x v="327"/>
    <x v="329"/>
    <x v="22"/>
    <x v="5"/>
  </r>
  <r>
    <x v="940"/>
    <x v="1807"/>
    <x v="382"/>
    <x v="1"/>
    <x v="0"/>
    <x v="0"/>
    <x v="3"/>
    <x v="6"/>
    <x v="327"/>
    <x v="329"/>
    <x v="22"/>
    <x v="5"/>
  </r>
  <r>
    <x v="941"/>
    <x v="1833"/>
    <x v="284"/>
    <x v="1"/>
    <x v="0"/>
    <x v="0"/>
    <x v="5"/>
    <x v="20"/>
    <x v="211"/>
    <x v="237"/>
    <x v="22"/>
    <x v="5"/>
  </r>
  <r>
    <x v="942"/>
    <x v="1739"/>
    <x v="284"/>
    <x v="3"/>
    <x v="1"/>
    <x v="1"/>
    <x v="5"/>
    <x v="20"/>
    <x v="211"/>
    <x v="237"/>
    <x v="22"/>
    <x v="5"/>
  </r>
  <r>
    <x v="943"/>
    <x v="1741"/>
    <x v="284"/>
    <x v="3"/>
    <x v="1"/>
    <x v="1"/>
    <x v="5"/>
    <x v="20"/>
    <x v="211"/>
    <x v="237"/>
    <x v="22"/>
    <x v="5"/>
  </r>
  <r>
    <x v="944"/>
    <x v="1742"/>
    <x v="284"/>
    <x v="3"/>
    <x v="1"/>
    <x v="1"/>
    <x v="5"/>
    <x v="20"/>
    <x v="211"/>
    <x v="237"/>
    <x v="22"/>
    <x v="5"/>
  </r>
  <r>
    <x v="946"/>
    <x v="1529"/>
    <x v="241"/>
    <x v="1"/>
    <x v="0"/>
    <x v="0"/>
    <x v="4"/>
    <x v="18"/>
    <x v="191"/>
    <x v="403"/>
    <x v="22"/>
    <x v="5"/>
  </r>
  <r>
    <x v="947"/>
    <x v="1528"/>
    <x v="234"/>
    <x v="1"/>
    <x v="0"/>
    <x v="0"/>
    <x v="4"/>
    <x v="18"/>
    <x v="190"/>
    <x v="400"/>
    <x v="70"/>
    <x v="5"/>
  </r>
  <r>
    <x v="948"/>
    <x v="1831"/>
    <x v="64"/>
    <x v="1"/>
    <x v="0"/>
    <x v="0"/>
    <x v="3"/>
    <x v="7"/>
    <x v="6"/>
    <x v="253"/>
    <x v="26"/>
    <x v="5"/>
  </r>
  <r>
    <x v="949"/>
    <x v="1677"/>
    <x v="64"/>
    <x v="3"/>
    <x v="1"/>
    <x v="1"/>
    <x v="3"/>
    <x v="7"/>
    <x v="6"/>
    <x v="253"/>
    <x v="26"/>
    <x v="5"/>
  </r>
  <r>
    <x v="950"/>
    <x v="1678"/>
    <x v="64"/>
    <x v="3"/>
    <x v="1"/>
    <x v="1"/>
    <x v="3"/>
    <x v="7"/>
    <x v="6"/>
    <x v="253"/>
    <x v="26"/>
    <x v="5"/>
  </r>
  <r>
    <x v="951"/>
    <x v="1905"/>
    <x v="64"/>
    <x v="3"/>
    <x v="1"/>
    <x v="1"/>
    <x v="3"/>
    <x v="7"/>
    <x v="6"/>
    <x v="253"/>
    <x v="26"/>
    <x v="5"/>
  </r>
  <r>
    <x v="952"/>
    <x v="1531"/>
    <x v="29"/>
    <x v="1"/>
    <x v="0"/>
    <x v="0"/>
    <x v="4"/>
    <x v="18"/>
    <x v="184"/>
    <x v="401"/>
    <x v="97"/>
    <x v="5"/>
  </r>
  <r>
    <x v="953"/>
    <x v="1532"/>
    <x v="247"/>
    <x v="1"/>
    <x v="0"/>
    <x v="0"/>
    <x v="4"/>
    <x v="18"/>
    <x v="192"/>
    <x v="402"/>
    <x v="2"/>
    <x v="5"/>
  </r>
  <r>
    <x v="954"/>
    <x v="1837"/>
    <x v="66"/>
    <x v="4"/>
    <x v="2"/>
    <x v="2"/>
    <x v="3"/>
    <x v="7"/>
    <x v="7"/>
    <x v="252"/>
    <x v="3"/>
    <x v="5"/>
  </r>
  <r>
    <x v="955"/>
    <x v="1836"/>
    <x v="66"/>
    <x v="1"/>
    <x v="0"/>
    <x v="0"/>
    <x v="3"/>
    <x v="7"/>
    <x v="7"/>
    <x v="252"/>
    <x v="3"/>
    <x v="5"/>
  </r>
  <r>
    <x v="957"/>
    <x v="1626"/>
    <x v="66"/>
    <x v="3"/>
    <x v="1"/>
    <x v="1"/>
    <x v="3"/>
    <x v="7"/>
    <x v="7"/>
    <x v="252"/>
    <x v="3"/>
    <x v="5"/>
  </r>
  <r>
    <x v="958"/>
    <x v="1628"/>
    <x v="66"/>
    <x v="3"/>
    <x v="1"/>
    <x v="1"/>
    <x v="3"/>
    <x v="7"/>
    <x v="7"/>
    <x v="252"/>
    <x v="3"/>
    <x v="5"/>
  </r>
  <r>
    <x v="959"/>
    <x v="1627"/>
    <x v="66"/>
    <x v="3"/>
    <x v="1"/>
    <x v="1"/>
    <x v="3"/>
    <x v="7"/>
    <x v="7"/>
    <x v="252"/>
    <x v="3"/>
    <x v="5"/>
  </r>
  <r>
    <x v="960"/>
    <x v="1637"/>
    <x v="66"/>
    <x v="3"/>
    <x v="1"/>
    <x v="1"/>
    <x v="3"/>
    <x v="7"/>
    <x v="7"/>
    <x v="252"/>
    <x v="3"/>
    <x v="5"/>
  </r>
  <r>
    <x v="961"/>
    <x v="1638"/>
    <x v="66"/>
    <x v="3"/>
    <x v="1"/>
    <x v="1"/>
    <x v="3"/>
    <x v="7"/>
    <x v="7"/>
    <x v="252"/>
    <x v="3"/>
    <x v="5"/>
  </r>
  <r>
    <x v="962"/>
    <x v="1895"/>
    <x v="66"/>
    <x v="3"/>
    <x v="1"/>
    <x v="1"/>
    <x v="3"/>
    <x v="7"/>
    <x v="7"/>
    <x v="252"/>
    <x v="3"/>
    <x v="5"/>
  </r>
  <r>
    <x v="963"/>
    <x v="1533"/>
    <x v="410"/>
    <x v="4"/>
    <x v="2"/>
    <x v="2"/>
    <x v="4"/>
    <x v="18"/>
    <x v="197"/>
    <x v="398"/>
    <x v="26"/>
    <x v="5"/>
  </r>
  <r>
    <x v="964"/>
    <x v="1567"/>
    <x v="16"/>
    <x v="1"/>
    <x v="0"/>
    <x v="0"/>
    <x v="3"/>
    <x v="34"/>
    <x v="351"/>
    <x v="295"/>
    <x v="22"/>
    <x v="5"/>
  </r>
  <r>
    <x v="965"/>
    <x v="1566"/>
    <x v="16"/>
    <x v="4"/>
    <x v="2"/>
    <x v="2"/>
    <x v="3"/>
    <x v="34"/>
    <x v="351"/>
    <x v="295"/>
    <x v="22"/>
    <x v="5"/>
  </r>
  <r>
    <x v="966"/>
    <x v="1575"/>
    <x v="16"/>
    <x v="3"/>
    <x v="1"/>
    <x v="1"/>
    <x v="3"/>
    <x v="34"/>
    <x v="351"/>
    <x v="295"/>
    <x v="22"/>
    <x v="5"/>
  </r>
  <r>
    <x v="968"/>
    <x v="1576"/>
    <x v="16"/>
    <x v="3"/>
    <x v="1"/>
    <x v="1"/>
    <x v="3"/>
    <x v="34"/>
    <x v="351"/>
    <x v="295"/>
    <x v="22"/>
    <x v="5"/>
  </r>
  <r>
    <x v="969"/>
    <x v="1564"/>
    <x v="71"/>
    <x v="4"/>
    <x v="2"/>
    <x v="2"/>
    <x v="3"/>
    <x v="34"/>
    <x v="355"/>
    <x v="289"/>
    <x v="22"/>
    <x v="5"/>
  </r>
  <r>
    <x v="970"/>
    <x v="1565"/>
    <x v="71"/>
    <x v="1"/>
    <x v="0"/>
    <x v="0"/>
    <x v="3"/>
    <x v="34"/>
    <x v="355"/>
    <x v="289"/>
    <x v="22"/>
    <x v="5"/>
  </r>
  <r>
    <x v="971"/>
    <x v="1582"/>
    <x v="71"/>
    <x v="3"/>
    <x v="1"/>
    <x v="1"/>
    <x v="3"/>
    <x v="34"/>
    <x v="355"/>
    <x v="289"/>
    <x v="22"/>
    <x v="5"/>
  </r>
  <r>
    <x v="972"/>
    <x v="1583"/>
    <x v="71"/>
    <x v="3"/>
    <x v="1"/>
    <x v="1"/>
    <x v="3"/>
    <x v="34"/>
    <x v="355"/>
    <x v="289"/>
    <x v="22"/>
    <x v="5"/>
  </r>
  <r>
    <x v="973"/>
    <x v="1584"/>
    <x v="71"/>
    <x v="3"/>
    <x v="1"/>
    <x v="1"/>
    <x v="3"/>
    <x v="34"/>
    <x v="355"/>
    <x v="289"/>
    <x v="22"/>
    <x v="5"/>
  </r>
  <r>
    <x v="974"/>
    <x v="1534"/>
    <x v="326"/>
    <x v="1"/>
    <x v="0"/>
    <x v="0"/>
    <x v="4"/>
    <x v="18"/>
    <x v="195"/>
    <x v="399"/>
    <x v="22"/>
    <x v="5"/>
  </r>
  <r>
    <x v="975"/>
    <x v="1540"/>
    <x v="169"/>
    <x v="1"/>
    <x v="0"/>
    <x v="0"/>
    <x v="4"/>
    <x v="39"/>
    <x v="383"/>
    <x v="370"/>
    <x v="22"/>
    <x v="5"/>
  </r>
  <r>
    <x v="976"/>
    <x v="1630"/>
    <x v="405"/>
    <x v="3"/>
    <x v="1"/>
    <x v="1"/>
    <x v="3"/>
    <x v="7"/>
    <x v="17"/>
    <x v="264"/>
    <x v="26"/>
    <x v="5"/>
  </r>
  <r>
    <x v="977"/>
    <x v="1896"/>
    <x v="405"/>
    <x v="3"/>
    <x v="1"/>
    <x v="1"/>
    <x v="3"/>
    <x v="7"/>
    <x v="17"/>
    <x v="264"/>
    <x v="26"/>
    <x v="5"/>
  </r>
  <r>
    <x v="979"/>
    <x v="1631"/>
    <x v="223"/>
    <x v="3"/>
    <x v="1"/>
    <x v="1"/>
    <x v="3"/>
    <x v="7"/>
    <x v="16"/>
    <x v="263"/>
    <x v="46"/>
    <x v="5"/>
  </r>
  <r>
    <x v="980"/>
    <x v="1542"/>
    <x v="204"/>
    <x v="4"/>
    <x v="2"/>
    <x v="2"/>
    <x v="4"/>
    <x v="18"/>
    <x v="189"/>
    <x v="406"/>
    <x v="26"/>
    <x v="5"/>
  </r>
  <r>
    <x v="981"/>
    <x v="1545"/>
    <x v="265"/>
    <x v="3"/>
    <x v="1"/>
    <x v="1"/>
    <x v="4"/>
    <x v="35"/>
    <x v="397"/>
    <x v="380"/>
    <x v="4"/>
    <x v="5"/>
  </r>
  <r>
    <x v="982"/>
    <x v="1653"/>
    <x v="265"/>
    <x v="1"/>
    <x v="0"/>
    <x v="0"/>
    <x v="4"/>
    <x v="35"/>
    <x v="397"/>
    <x v="380"/>
    <x v="4"/>
    <x v="5"/>
  </r>
  <r>
    <x v="983"/>
    <x v="1652"/>
    <x v="265"/>
    <x v="3"/>
    <x v="1"/>
    <x v="1"/>
    <x v="4"/>
    <x v="35"/>
    <x v="397"/>
    <x v="380"/>
    <x v="4"/>
    <x v="5"/>
  </r>
  <r>
    <x v="984"/>
    <x v="1661"/>
    <x v="265"/>
    <x v="3"/>
    <x v="1"/>
    <x v="1"/>
    <x v="4"/>
    <x v="35"/>
    <x v="397"/>
    <x v="380"/>
    <x v="4"/>
    <x v="5"/>
  </r>
  <r>
    <x v="985"/>
    <x v="1639"/>
    <x v="371"/>
    <x v="1"/>
    <x v="0"/>
    <x v="0"/>
    <x v="5"/>
    <x v="1"/>
    <x v="65"/>
    <x v="211"/>
    <x v="12"/>
    <x v="5"/>
  </r>
  <r>
    <x v="986"/>
    <x v="1686"/>
    <x v="371"/>
    <x v="4"/>
    <x v="2"/>
    <x v="2"/>
    <x v="5"/>
    <x v="1"/>
    <x v="65"/>
    <x v="211"/>
    <x v="12"/>
    <x v="5"/>
  </r>
  <r>
    <x v="987"/>
    <x v="1734"/>
    <x v="371"/>
    <x v="4"/>
    <x v="2"/>
    <x v="2"/>
    <x v="5"/>
    <x v="1"/>
    <x v="65"/>
    <x v="211"/>
    <x v="12"/>
    <x v="5"/>
  </r>
  <r>
    <x v="988"/>
    <x v="1587"/>
    <x v="115"/>
    <x v="3"/>
    <x v="1"/>
    <x v="1"/>
    <x v="3"/>
    <x v="34"/>
    <x v="357"/>
    <x v="306"/>
    <x v="22"/>
    <x v="5"/>
  </r>
  <r>
    <x v="990"/>
    <x v="1548"/>
    <x v="170"/>
    <x v="4"/>
    <x v="2"/>
    <x v="2"/>
    <x v="4"/>
    <x v="39"/>
    <x v="382"/>
    <x v="392"/>
    <x v="78"/>
    <x v="5"/>
  </r>
  <r>
    <x v="991"/>
    <x v="1660"/>
    <x v="170"/>
    <x v="4"/>
    <x v="2"/>
    <x v="2"/>
    <x v="4"/>
    <x v="39"/>
    <x v="382"/>
    <x v="392"/>
    <x v="78"/>
    <x v="5"/>
  </r>
  <r>
    <x v="992"/>
    <x v="1672"/>
    <x v="145"/>
    <x v="1"/>
    <x v="0"/>
    <x v="0"/>
    <x v="5"/>
    <x v="2"/>
    <x v="37"/>
    <x v="226"/>
    <x v="24"/>
    <x v="5"/>
  </r>
  <r>
    <x v="993"/>
    <x v="1673"/>
    <x v="145"/>
    <x v="3"/>
    <x v="1"/>
    <x v="1"/>
    <x v="5"/>
    <x v="2"/>
    <x v="37"/>
    <x v="226"/>
    <x v="24"/>
    <x v="5"/>
  </r>
  <r>
    <x v="994"/>
    <x v="1674"/>
    <x v="145"/>
    <x v="3"/>
    <x v="1"/>
    <x v="1"/>
    <x v="5"/>
    <x v="2"/>
    <x v="37"/>
    <x v="226"/>
    <x v="24"/>
    <x v="5"/>
  </r>
  <r>
    <x v="995"/>
    <x v="1675"/>
    <x v="145"/>
    <x v="3"/>
    <x v="1"/>
    <x v="1"/>
    <x v="5"/>
    <x v="2"/>
    <x v="37"/>
    <x v="226"/>
    <x v="24"/>
    <x v="5"/>
  </r>
  <r>
    <x v="996"/>
    <x v="1676"/>
    <x v="145"/>
    <x v="3"/>
    <x v="1"/>
    <x v="1"/>
    <x v="5"/>
    <x v="2"/>
    <x v="37"/>
    <x v="226"/>
    <x v="24"/>
    <x v="5"/>
  </r>
  <r>
    <x v="997"/>
    <x v="1684"/>
    <x v="145"/>
    <x v="4"/>
    <x v="2"/>
    <x v="2"/>
    <x v="5"/>
    <x v="2"/>
    <x v="37"/>
    <x v="226"/>
    <x v="24"/>
    <x v="5"/>
  </r>
  <r>
    <x v="998"/>
    <x v="1948"/>
    <x v="167"/>
    <x v="4"/>
    <x v="2"/>
    <x v="2"/>
    <x v="2"/>
    <x v="31"/>
    <x v="331"/>
    <x v="155"/>
    <x v="21"/>
    <x v="5"/>
  </r>
  <r>
    <x v="999"/>
    <x v="1947"/>
    <x v="167"/>
    <x v="3"/>
    <x v="1"/>
    <x v="1"/>
    <x v="2"/>
    <x v="31"/>
    <x v="331"/>
    <x v="155"/>
    <x v="21"/>
    <x v="5"/>
  </r>
  <r>
    <x v="1002"/>
    <x v="1689"/>
    <x v="107"/>
    <x v="1"/>
    <x v="0"/>
    <x v="0"/>
    <x v="5"/>
    <x v="1"/>
    <x v="34"/>
    <x v="213"/>
    <x v="22"/>
    <x v="5"/>
  </r>
  <r>
    <x v="1003"/>
    <x v="1690"/>
    <x v="107"/>
    <x v="4"/>
    <x v="2"/>
    <x v="2"/>
    <x v="5"/>
    <x v="1"/>
    <x v="34"/>
    <x v="213"/>
    <x v="22"/>
    <x v="5"/>
  </r>
  <r>
    <x v="1004"/>
    <x v="1687"/>
    <x v="232"/>
    <x v="4"/>
    <x v="2"/>
    <x v="2"/>
    <x v="5"/>
    <x v="1"/>
    <x v="46"/>
    <x v="216"/>
    <x v="22"/>
    <x v="5"/>
  </r>
  <r>
    <x v="1005"/>
    <x v="1688"/>
    <x v="263"/>
    <x v="4"/>
    <x v="2"/>
    <x v="2"/>
    <x v="5"/>
    <x v="2"/>
    <x v="35"/>
    <x v="218"/>
    <x v="9"/>
    <x v="5"/>
  </r>
  <r>
    <x v="1006"/>
    <x v="1880"/>
    <x v="42"/>
    <x v="1"/>
    <x v="0"/>
    <x v="0"/>
    <x v="1"/>
    <x v="26"/>
    <x v="287"/>
    <x v="137"/>
    <x v="84"/>
    <x v="5"/>
  </r>
  <r>
    <x v="1007"/>
    <x v="1881"/>
    <x v="42"/>
    <x v="4"/>
    <x v="2"/>
    <x v="2"/>
    <x v="1"/>
    <x v="26"/>
    <x v="287"/>
    <x v="137"/>
    <x v="84"/>
    <x v="5"/>
  </r>
  <r>
    <x v="1008"/>
    <x v="1878"/>
    <x v="42"/>
    <x v="3"/>
    <x v="1"/>
    <x v="1"/>
    <x v="1"/>
    <x v="26"/>
    <x v="287"/>
    <x v="137"/>
    <x v="84"/>
    <x v="5"/>
  </r>
  <r>
    <x v="1009"/>
    <x v="1879"/>
    <x v="42"/>
    <x v="3"/>
    <x v="1"/>
    <x v="1"/>
    <x v="1"/>
    <x v="26"/>
    <x v="287"/>
    <x v="137"/>
    <x v="84"/>
    <x v="5"/>
  </r>
  <r>
    <x v="1010"/>
    <x v="1882"/>
    <x v="42"/>
    <x v="3"/>
    <x v="1"/>
    <x v="1"/>
    <x v="1"/>
    <x v="26"/>
    <x v="287"/>
    <x v="137"/>
    <x v="84"/>
    <x v="5"/>
  </r>
  <r>
    <x v="1011"/>
    <x v="1883"/>
    <x v="42"/>
    <x v="3"/>
    <x v="1"/>
    <x v="1"/>
    <x v="1"/>
    <x v="26"/>
    <x v="287"/>
    <x v="137"/>
    <x v="84"/>
    <x v="5"/>
  </r>
  <r>
    <x v="1013"/>
    <x v="1884"/>
    <x v="42"/>
    <x v="3"/>
    <x v="1"/>
    <x v="1"/>
    <x v="1"/>
    <x v="26"/>
    <x v="287"/>
    <x v="137"/>
    <x v="84"/>
    <x v="5"/>
  </r>
  <r>
    <x v="1014"/>
    <x v="1655"/>
    <x v="172"/>
    <x v="1"/>
    <x v="0"/>
    <x v="0"/>
    <x v="4"/>
    <x v="35"/>
    <x v="385"/>
    <x v="384"/>
    <x v="28"/>
    <x v="5"/>
  </r>
  <r>
    <x v="1015"/>
    <x v="1654"/>
    <x v="172"/>
    <x v="4"/>
    <x v="2"/>
    <x v="2"/>
    <x v="4"/>
    <x v="35"/>
    <x v="385"/>
    <x v="384"/>
    <x v="28"/>
    <x v="5"/>
  </r>
  <r>
    <x v="1016"/>
    <x v="1692"/>
    <x v="187"/>
    <x v="1"/>
    <x v="0"/>
    <x v="0"/>
    <x v="5"/>
    <x v="19"/>
    <x v="208"/>
    <x v="230"/>
    <x v="34"/>
    <x v="5"/>
  </r>
  <r>
    <x v="1017"/>
    <x v="1703"/>
    <x v="187"/>
    <x v="4"/>
    <x v="2"/>
    <x v="2"/>
    <x v="5"/>
    <x v="19"/>
    <x v="208"/>
    <x v="230"/>
    <x v="34"/>
    <x v="5"/>
  </r>
  <r>
    <x v="1018"/>
    <x v="1693"/>
    <x v="187"/>
    <x v="3"/>
    <x v="1"/>
    <x v="1"/>
    <x v="5"/>
    <x v="19"/>
    <x v="208"/>
    <x v="230"/>
    <x v="34"/>
    <x v="5"/>
  </r>
  <r>
    <x v="1019"/>
    <x v="1694"/>
    <x v="187"/>
    <x v="3"/>
    <x v="1"/>
    <x v="1"/>
    <x v="5"/>
    <x v="19"/>
    <x v="208"/>
    <x v="230"/>
    <x v="34"/>
    <x v="5"/>
  </r>
  <r>
    <x v="1020"/>
    <x v="1695"/>
    <x v="187"/>
    <x v="3"/>
    <x v="1"/>
    <x v="1"/>
    <x v="5"/>
    <x v="19"/>
    <x v="208"/>
    <x v="230"/>
    <x v="34"/>
    <x v="5"/>
  </r>
  <r>
    <x v="1021"/>
    <x v="1696"/>
    <x v="187"/>
    <x v="3"/>
    <x v="1"/>
    <x v="1"/>
    <x v="5"/>
    <x v="19"/>
    <x v="208"/>
    <x v="230"/>
    <x v="34"/>
    <x v="5"/>
  </r>
  <r>
    <x v="1022"/>
    <x v="1697"/>
    <x v="187"/>
    <x v="3"/>
    <x v="1"/>
    <x v="1"/>
    <x v="5"/>
    <x v="19"/>
    <x v="208"/>
    <x v="230"/>
    <x v="34"/>
    <x v="5"/>
  </r>
  <r>
    <x v="1024"/>
    <x v="1698"/>
    <x v="187"/>
    <x v="3"/>
    <x v="1"/>
    <x v="1"/>
    <x v="5"/>
    <x v="19"/>
    <x v="208"/>
    <x v="230"/>
    <x v="34"/>
    <x v="5"/>
  </r>
  <r>
    <x v="1025"/>
    <x v="1699"/>
    <x v="187"/>
    <x v="3"/>
    <x v="1"/>
    <x v="1"/>
    <x v="5"/>
    <x v="19"/>
    <x v="208"/>
    <x v="230"/>
    <x v="34"/>
    <x v="5"/>
  </r>
  <r>
    <x v="1026"/>
    <x v="1700"/>
    <x v="187"/>
    <x v="3"/>
    <x v="1"/>
    <x v="1"/>
    <x v="5"/>
    <x v="19"/>
    <x v="208"/>
    <x v="230"/>
    <x v="34"/>
    <x v="5"/>
  </r>
  <r>
    <x v="1027"/>
    <x v="1701"/>
    <x v="187"/>
    <x v="3"/>
    <x v="1"/>
    <x v="1"/>
    <x v="5"/>
    <x v="19"/>
    <x v="208"/>
    <x v="230"/>
    <x v="34"/>
    <x v="5"/>
  </r>
  <r>
    <x v="1028"/>
    <x v="1702"/>
    <x v="187"/>
    <x v="3"/>
    <x v="1"/>
    <x v="1"/>
    <x v="5"/>
    <x v="19"/>
    <x v="208"/>
    <x v="230"/>
    <x v="34"/>
    <x v="5"/>
  </r>
  <r>
    <x v="1029"/>
    <x v="1704"/>
    <x v="121"/>
    <x v="3"/>
    <x v="1"/>
    <x v="1"/>
    <x v="3"/>
    <x v="7"/>
    <x v="11"/>
    <x v="265"/>
    <x v="22"/>
    <x v="5"/>
  </r>
  <r>
    <x v="1030"/>
    <x v="1705"/>
    <x v="121"/>
    <x v="1"/>
    <x v="0"/>
    <x v="0"/>
    <x v="3"/>
    <x v="7"/>
    <x v="11"/>
    <x v="265"/>
    <x v="22"/>
    <x v="5"/>
  </r>
  <r>
    <x v="1031"/>
    <x v="1738"/>
    <x v="121"/>
    <x v="3"/>
    <x v="1"/>
    <x v="1"/>
    <x v="3"/>
    <x v="7"/>
    <x v="11"/>
    <x v="265"/>
    <x v="22"/>
    <x v="5"/>
  </r>
  <r>
    <x v="1032"/>
    <x v="1656"/>
    <x v="56"/>
    <x v="4"/>
    <x v="2"/>
    <x v="2"/>
    <x v="4"/>
    <x v="36"/>
    <x v="373"/>
    <x v="349"/>
    <x v="22"/>
    <x v="5"/>
  </r>
  <r>
    <x v="1033"/>
    <x v="1706"/>
    <x v="297"/>
    <x v="4"/>
    <x v="2"/>
    <x v="2"/>
    <x v="5"/>
    <x v="2"/>
    <x v="51"/>
    <x v="220"/>
    <x v="24"/>
    <x v="5"/>
  </r>
  <r>
    <x v="1035"/>
    <x v="1885"/>
    <x v="31"/>
    <x v="3"/>
    <x v="1"/>
    <x v="1"/>
    <x v="3"/>
    <x v="34"/>
    <x v="352"/>
    <x v="307"/>
    <x v="22"/>
    <x v="5"/>
  </r>
  <r>
    <x v="1036"/>
    <x v="1886"/>
    <x v="31"/>
    <x v="3"/>
    <x v="1"/>
    <x v="1"/>
    <x v="3"/>
    <x v="34"/>
    <x v="352"/>
    <x v="307"/>
    <x v="22"/>
    <x v="5"/>
  </r>
  <r>
    <x v="1037"/>
    <x v="1950"/>
    <x v="288"/>
    <x v="4"/>
    <x v="2"/>
    <x v="2"/>
    <x v="4"/>
    <x v="14"/>
    <x v="151"/>
    <x v="413"/>
    <x v="26"/>
    <x v="5"/>
  </r>
  <r>
    <x v="1038"/>
    <x v="1901"/>
    <x v="120"/>
    <x v="3"/>
    <x v="1"/>
    <x v="1"/>
    <x v="3"/>
    <x v="34"/>
    <x v="358"/>
    <x v="298"/>
    <x v="22"/>
    <x v="5"/>
  </r>
  <r>
    <x v="1039"/>
    <x v="1902"/>
    <x v="120"/>
    <x v="3"/>
    <x v="1"/>
    <x v="1"/>
    <x v="3"/>
    <x v="34"/>
    <x v="358"/>
    <x v="298"/>
    <x v="22"/>
    <x v="5"/>
  </r>
  <r>
    <x v="1040"/>
    <x v="1903"/>
    <x v="120"/>
    <x v="3"/>
    <x v="1"/>
    <x v="1"/>
    <x v="3"/>
    <x v="34"/>
    <x v="358"/>
    <x v="298"/>
    <x v="22"/>
    <x v="5"/>
  </r>
  <r>
    <x v="1041"/>
    <x v="1951"/>
    <x v="102"/>
    <x v="4"/>
    <x v="2"/>
    <x v="2"/>
    <x v="4"/>
    <x v="14"/>
    <x v="150"/>
    <x v="412"/>
    <x v="26"/>
    <x v="5"/>
  </r>
  <r>
    <x v="1042"/>
    <x v="1899"/>
    <x v="178"/>
    <x v="4"/>
    <x v="2"/>
    <x v="2"/>
    <x v="4"/>
    <x v="35"/>
    <x v="387"/>
    <x v="382"/>
    <x v="22"/>
    <x v="5"/>
  </r>
  <r>
    <x v="1043"/>
    <x v="1715"/>
    <x v="110"/>
    <x v="3"/>
    <x v="1"/>
    <x v="1"/>
    <x v="5"/>
    <x v="20"/>
    <x v="204"/>
    <x v="238"/>
    <x v="34"/>
    <x v="5"/>
  </r>
  <r>
    <x v="1044"/>
    <x v="1716"/>
    <x v="110"/>
    <x v="3"/>
    <x v="1"/>
    <x v="1"/>
    <x v="5"/>
    <x v="20"/>
    <x v="204"/>
    <x v="238"/>
    <x v="34"/>
    <x v="5"/>
  </r>
  <r>
    <x v="1046"/>
    <x v="1717"/>
    <x v="110"/>
    <x v="3"/>
    <x v="1"/>
    <x v="1"/>
    <x v="5"/>
    <x v="20"/>
    <x v="204"/>
    <x v="238"/>
    <x v="34"/>
    <x v="5"/>
  </r>
  <r>
    <x v="1047"/>
    <x v="1718"/>
    <x v="110"/>
    <x v="3"/>
    <x v="1"/>
    <x v="1"/>
    <x v="5"/>
    <x v="20"/>
    <x v="204"/>
    <x v="238"/>
    <x v="34"/>
    <x v="5"/>
  </r>
  <r>
    <x v="1048"/>
    <x v="1719"/>
    <x v="110"/>
    <x v="3"/>
    <x v="1"/>
    <x v="1"/>
    <x v="5"/>
    <x v="20"/>
    <x v="204"/>
    <x v="238"/>
    <x v="34"/>
    <x v="5"/>
  </r>
  <r>
    <x v="1049"/>
    <x v="1720"/>
    <x v="110"/>
    <x v="3"/>
    <x v="1"/>
    <x v="1"/>
    <x v="5"/>
    <x v="20"/>
    <x v="204"/>
    <x v="238"/>
    <x v="34"/>
    <x v="5"/>
  </r>
  <r>
    <x v="1050"/>
    <x v="1721"/>
    <x v="110"/>
    <x v="3"/>
    <x v="1"/>
    <x v="1"/>
    <x v="5"/>
    <x v="20"/>
    <x v="204"/>
    <x v="238"/>
    <x v="34"/>
    <x v="5"/>
  </r>
  <r>
    <x v="1051"/>
    <x v="1722"/>
    <x v="110"/>
    <x v="3"/>
    <x v="1"/>
    <x v="1"/>
    <x v="5"/>
    <x v="20"/>
    <x v="204"/>
    <x v="238"/>
    <x v="34"/>
    <x v="5"/>
  </r>
  <r>
    <x v="1052"/>
    <x v="1730"/>
    <x v="110"/>
    <x v="3"/>
    <x v="1"/>
    <x v="1"/>
    <x v="5"/>
    <x v="20"/>
    <x v="204"/>
    <x v="238"/>
    <x v="34"/>
    <x v="5"/>
  </r>
  <r>
    <x v="1053"/>
    <x v="1897"/>
    <x v="110"/>
    <x v="3"/>
    <x v="1"/>
    <x v="1"/>
    <x v="5"/>
    <x v="20"/>
    <x v="204"/>
    <x v="238"/>
    <x v="34"/>
    <x v="5"/>
  </r>
  <r>
    <x v="1054"/>
    <x v="1731"/>
    <x v="110"/>
    <x v="4"/>
    <x v="2"/>
    <x v="2"/>
    <x v="5"/>
    <x v="20"/>
    <x v="204"/>
    <x v="238"/>
    <x v="34"/>
    <x v="5"/>
  </r>
  <r>
    <x v="1055"/>
    <x v="1729"/>
    <x v="110"/>
    <x v="1"/>
    <x v="0"/>
    <x v="0"/>
    <x v="5"/>
    <x v="20"/>
    <x v="204"/>
    <x v="238"/>
    <x v="34"/>
    <x v="5"/>
  </r>
  <r>
    <x v="1057"/>
    <x v="1733"/>
    <x v="289"/>
    <x v="4"/>
    <x v="2"/>
    <x v="2"/>
    <x v="5"/>
    <x v="2"/>
    <x v="50"/>
    <x v="222"/>
    <x v="22"/>
    <x v="5"/>
  </r>
  <r>
    <x v="1058"/>
    <x v="1913"/>
    <x v="203"/>
    <x v="3"/>
    <x v="1"/>
    <x v="1"/>
    <x v="3"/>
    <x v="4"/>
    <x v="129"/>
    <x v="330"/>
    <x v="22"/>
    <x v="5"/>
  </r>
  <r>
    <x v="1059"/>
    <x v="1914"/>
    <x v="203"/>
    <x v="3"/>
    <x v="1"/>
    <x v="1"/>
    <x v="3"/>
    <x v="4"/>
    <x v="129"/>
    <x v="330"/>
    <x v="22"/>
    <x v="5"/>
  </r>
  <r>
    <x v="1060"/>
    <x v="1952"/>
    <x v="335"/>
    <x v="1"/>
    <x v="0"/>
    <x v="0"/>
    <x v="3"/>
    <x v="7"/>
    <x v="13"/>
    <x v="257"/>
    <x v="28"/>
    <x v="5"/>
  </r>
  <r>
    <x v="1061"/>
    <x v="1952"/>
    <x v="335"/>
    <x v="4"/>
    <x v="2"/>
    <x v="2"/>
    <x v="3"/>
    <x v="7"/>
    <x v="13"/>
    <x v="257"/>
    <x v="28"/>
    <x v="5"/>
  </r>
  <r>
    <x v="1062"/>
    <x v="1952"/>
    <x v="352"/>
    <x v="1"/>
    <x v="0"/>
    <x v="0"/>
    <x v="3"/>
    <x v="7"/>
    <x v="14"/>
    <x v="255"/>
    <x v="74"/>
    <x v="5"/>
  </r>
  <r>
    <x v="1063"/>
    <x v="1952"/>
    <x v="352"/>
    <x v="4"/>
    <x v="2"/>
    <x v="2"/>
    <x v="3"/>
    <x v="7"/>
    <x v="14"/>
    <x v="255"/>
    <x v="74"/>
    <x v="5"/>
  </r>
  <r>
    <x v="1064"/>
    <x v="1952"/>
    <x v="121"/>
    <x v="3"/>
    <x v="1"/>
    <x v="1"/>
    <x v="3"/>
    <x v="7"/>
    <x v="11"/>
    <x v="265"/>
    <x v="22"/>
    <x v="5"/>
  </r>
  <r>
    <x v="1065"/>
    <x v="1952"/>
    <x v="44"/>
    <x v="4"/>
    <x v="2"/>
    <x v="2"/>
    <x v="4"/>
    <x v="38"/>
    <x v="378"/>
    <x v="390"/>
    <x v="26"/>
    <x v="5"/>
  </r>
  <r>
    <x v="1066"/>
    <x v="1952"/>
    <x v="31"/>
    <x v="4"/>
    <x v="2"/>
    <x v="2"/>
    <x v="3"/>
    <x v="34"/>
    <x v="352"/>
    <x v="307"/>
    <x v="22"/>
    <x v="5"/>
  </r>
  <r>
    <x v="1068"/>
    <x v="1952"/>
    <x v="115"/>
    <x v="4"/>
    <x v="2"/>
    <x v="2"/>
    <x v="3"/>
    <x v="34"/>
    <x v="357"/>
    <x v="306"/>
    <x v="22"/>
    <x v="5"/>
  </r>
  <r>
    <x v="1069"/>
    <x v="1952"/>
    <x v="120"/>
    <x v="4"/>
    <x v="2"/>
    <x v="2"/>
    <x v="3"/>
    <x v="34"/>
    <x v="358"/>
    <x v="298"/>
    <x v="22"/>
    <x v="5"/>
  </r>
  <r>
    <x v="1070"/>
    <x v="1952"/>
    <x v="103"/>
    <x v="4"/>
    <x v="2"/>
    <x v="2"/>
    <x v="3"/>
    <x v="34"/>
    <x v="356"/>
    <x v="302"/>
    <x v="22"/>
    <x v="5"/>
  </r>
  <r>
    <x v="1071"/>
    <x v="1952"/>
    <x v="415"/>
    <x v="4"/>
    <x v="2"/>
    <x v="2"/>
    <x v="3"/>
    <x v="34"/>
    <x v="372"/>
    <x v="299"/>
    <x v="22"/>
    <x v="5"/>
  </r>
  <r>
    <x v="1072"/>
    <x v="1952"/>
    <x v="70"/>
    <x v="4"/>
    <x v="2"/>
    <x v="2"/>
    <x v="3"/>
    <x v="34"/>
    <x v="354"/>
    <x v="308"/>
    <x v="22"/>
    <x v="5"/>
  </r>
  <r>
    <x v="1073"/>
    <x v="1952"/>
    <x v="416"/>
    <x v="3"/>
    <x v="1"/>
    <x v="1"/>
    <x v="3"/>
    <x v="4"/>
    <x v="145"/>
    <x v="327"/>
    <x v="28"/>
    <x v="5"/>
  </r>
  <r>
    <x v="1074"/>
    <x v="1952"/>
    <x v="416"/>
    <x v="3"/>
    <x v="1"/>
    <x v="1"/>
    <x v="3"/>
    <x v="4"/>
    <x v="145"/>
    <x v="327"/>
    <x v="28"/>
    <x v="5"/>
  </r>
  <r>
    <x v="1075"/>
    <x v="1952"/>
    <x v="289"/>
    <x v="1"/>
    <x v="0"/>
    <x v="0"/>
    <x v="5"/>
    <x v="2"/>
    <x v="50"/>
    <x v="222"/>
    <x v="22"/>
    <x v="5"/>
  </r>
  <r>
    <x v="1076"/>
    <x v="1952"/>
    <x v="297"/>
    <x v="1"/>
    <x v="0"/>
    <x v="0"/>
    <x v="5"/>
    <x v="2"/>
    <x v="51"/>
    <x v="220"/>
    <x v="24"/>
    <x v="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樞紐分析表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28" firstHeaderRow="1" firstDataRow="1" firstDataCol="1"/>
  <pivotFields count="12">
    <pivotField compact="0" showAll="0"/>
    <pivotField compact="0" showAll="0"/>
    <pivotField axis="axisRow" compact="0" showAll="0">
      <items count="425">
        <item x="0"/>
        <item x="1"/>
        <item x="18"/>
        <item x="17"/>
        <item x="16"/>
        <item x="41"/>
        <item x="39"/>
        <item x="40"/>
        <item x="46"/>
        <item x="47"/>
        <item x="57"/>
        <item x="56"/>
        <item x="2"/>
        <item x="7"/>
        <item x="5"/>
        <item x="8"/>
        <item x="9"/>
        <item x="3"/>
        <item x="4"/>
        <item x="6"/>
        <item x="10"/>
        <item x="70"/>
        <item x="119"/>
        <item x="120"/>
        <item x="126"/>
        <item x="127"/>
        <item x="145"/>
        <item x="129"/>
        <item x="136"/>
        <item x="139"/>
        <item x="148"/>
        <item x="149"/>
        <item x="150"/>
        <item x="131"/>
        <item x="138"/>
        <item x="140"/>
        <item x="142"/>
        <item x="146"/>
        <item x="132"/>
        <item x="133"/>
        <item x="134"/>
        <item x="143"/>
        <item x="151"/>
        <item x="152"/>
        <item x="130"/>
        <item x="141"/>
        <item x="144"/>
        <item x="135"/>
        <item x="137"/>
        <item x="147"/>
        <item x="153"/>
        <item x="169"/>
        <item x="170"/>
        <item x="171"/>
        <item x="177"/>
        <item x="12"/>
        <item x="11"/>
        <item x="13"/>
        <item x="15"/>
        <item x="14"/>
        <item x="19"/>
        <item x="20"/>
        <item x="22"/>
        <item x="21"/>
        <item x="23"/>
        <item x="26"/>
        <item x="27"/>
        <item x="24"/>
        <item x="25"/>
        <item x="31"/>
        <item x="34"/>
        <item x="37"/>
        <item x="38"/>
        <item x="35"/>
        <item x="36"/>
        <item x="43"/>
        <item x="42"/>
        <item x="44"/>
        <item x="154"/>
        <item x="156"/>
        <item x="155"/>
        <item x="157"/>
        <item x="198"/>
        <item x="199"/>
        <item x="197"/>
        <item x="200"/>
        <item x="201"/>
        <item x="202"/>
        <item x="223"/>
        <item x="222"/>
        <item x="230"/>
        <item x="274"/>
        <item x="276"/>
        <item x="275"/>
        <item x="311"/>
        <item x="45"/>
        <item x="51"/>
        <item x="54"/>
        <item x="48"/>
        <item x="49"/>
        <item x="52"/>
        <item x="53"/>
        <item x="50"/>
        <item x="55"/>
        <item x="71"/>
        <item x="72"/>
        <item x="73"/>
        <item x="78"/>
        <item x="75"/>
        <item x="76"/>
        <item x="74"/>
        <item x="77"/>
        <item x="79"/>
        <item x="81"/>
        <item x="82"/>
        <item x="89"/>
        <item x="83"/>
        <item x="94"/>
        <item x="80"/>
        <item x="87"/>
        <item x="92"/>
        <item x="90"/>
        <item x="91"/>
        <item x="93"/>
        <item x="84"/>
        <item x="86"/>
        <item x="95"/>
        <item x="85"/>
        <item x="88"/>
        <item x="103"/>
        <item x="101"/>
        <item x="102"/>
        <item x="96"/>
        <item x="97"/>
        <item x="98"/>
        <item x="99"/>
        <item x="100"/>
        <item x="104"/>
        <item x="115"/>
        <item x="178"/>
        <item x="179"/>
        <item x="180"/>
        <item x="273"/>
        <item x="272"/>
        <item x="279"/>
        <item x="277"/>
        <item x="278"/>
        <item x="280"/>
        <item x="281"/>
        <item x="284"/>
        <item x="282"/>
        <item x="283"/>
        <item x="309"/>
        <item x="310"/>
        <item x="317"/>
        <item x="318"/>
        <item x="319"/>
        <item x="321"/>
        <item x="329"/>
        <item x="32"/>
        <item x="33"/>
        <item x="105"/>
        <item x="106"/>
        <item x="107"/>
        <item x="160"/>
        <item x="161"/>
        <item x="162"/>
        <item x="163"/>
        <item x="164"/>
        <item x="195"/>
        <item x="231"/>
        <item x="285"/>
        <item x="286"/>
        <item x="287"/>
        <item x="288"/>
        <item x="335"/>
        <item x="331"/>
        <item x="337"/>
        <item x="332"/>
        <item x="336"/>
        <item x="333"/>
        <item x="334"/>
        <item x="342"/>
        <item x="365"/>
        <item x="369"/>
        <item x="367"/>
        <item x="366"/>
        <item x="368"/>
        <item x="28"/>
        <item x="289"/>
        <item x="290"/>
        <item x="377"/>
        <item x="29"/>
        <item x="30"/>
        <item x="58"/>
        <item x="108"/>
        <item x="109"/>
        <item x="165"/>
        <item x="166"/>
        <item x="172"/>
        <item x="173"/>
        <item x="181"/>
        <item x="224"/>
        <item x="225"/>
        <item x="235"/>
        <item x="234"/>
        <item x="232"/>
        <item x="233"/>
        <item x="236"/>
        <item x="237"/>
        <item x="238"/>
        <item x="239"/>
        <item x="240"/>
        <item x="241"/>
        <item x="243"/>
        <item x="244"/>
        <item x="242"/>
        <item x="246"/>
        <item x="245"/>
        <item x="247"/>
        <item x="270"/>
        <item x="320"/>
        <item x="323"/>
        <item x="324"/>
        <item x="344"/>
        <item x="345"/>
        <item x="347"/>
        <item x="346"/>
        <item x="362"/>
        <item x="363"/>
        <item x="379"/>
        <item x="378"/>
        <item x="381"/>
        <item x="385"/>
        <item x="62"/>
        <item x="61"/>
        <item x="65"/>
        <item x="66"/>
        <item x="59"/>
        <item x="69"/>
        <item x="63"/>
        <item x="64"/>
        <item x="68"/>
        <item x="60"/>
        <item x="67"/>
        <item x="185"/>
        <item x="184"/>
        <item x="186"/>
        <item x="189"/>
        <item x="190"/>
        <item x="193"/>
        <item x="328"/>
        <item x="339"/>
        <item x="340"/>
        <item x="348"/>
        <item x="349"/>
        <item x="350"/>
        <item x="351"/>
        <item x="110"/>
        <item x="121"/>
        <item x="122"/>
        <item x="248"/>
        <item x="249"/>
        <item x="250"/>
        <item x="257"/>
        <item x="251"/>
        <item x="252"/>
        <item x="253"/>
        <item x="254"/>
        <item x="255"/>
        <item x="256"/>
        <item x="258"/>
        <item x="259"/>
        <item x="260"/>
        <item x="291"/>
        <item x="292"/>
        <item x="308"/>
        <item x="312"/>
        <item x="330"/>
        <item x="352"/>
        <item x="396"/>
        <item x="397"/>
        <item x="399"/>
        <item x="400"/>
        <item x="402"/>
        <item x="401"/>
        <item x="398"/>
        <item x="403"/>
        <item x="404"/>
        <item x="116"/>
        <item x="117"/>
        <item x="118"/>
        <item x="123"/>
        <item x="124"/>
        <item x="168"/>
        <item x="174"/>
        <item x="175"/>
        <item x="176"/>
        <item x="182"/>
        <item x="229"/>
        <item x="261"/>
        <item x="262"/>
        <item x="263"/>
        <item x="293"/>
        <item x="294"/>
        <item x="295"/>
        <item x="296"/>
        <item x="297"/>
        <item x="373"/>
        <item x="374"/>
        <item x="375"/>
        <item x="393"/>
        <item x="405"/>
        <item x="414"/>
        <item x="413"/>
        <item x="412"/>
        <item x="415"/>
        <item x="416"/>
        <item x="111"/>
        <item x="167"/>
        <item x="194"/>
        <item x="196"/>
        <item x="227"/>
        <item x="226"/>
        <item x="228"/>
        <item x="298"/>
        <item x="299"/>
        <item x="353"/>
        <item x="354"/>
        <item x="356"/>
        <item x="355"/>
        <item x="386"/>
        <item x="388"/>
        <item x="387"/>
        <item x="390"/>
        <item x="125"/>
        <item x="203"/>
        <item x="208"/>
        <item x="213"/>
        <item x="215"/>
        <item x="214"/>
        <item x="209"/>
        <item x="205"/>
        <item x="207"/>
        <item x="206"/>
        <item x="216"/>
        <item x="217"/>
        <item x="219"/>
        <item x="218"/>
        <item x="210"/>
        <item x="204"/>
        <item x="211"/>
        <item x="212"/>
        <item x="220"/>
        <item x="264"/>
        <item x="265"/>
        <item x="300"/>
        <item x="301"/>
        <item x="302"/>
        <item x="314"/>
        <item x="315"/>
        <item x="313"/>
        <item x="341"/>
        <item x="326"/>
        <item x="327"/>
        <item x="376"/>
        <item x="112"/>
        <item x="113"/>
        <item x="114"/>
        <item x="128"/>
        <item x="187"/>
        <item x="188"/>
        <item x="221"/>
        <item x="303"/>
        <item x="325"/>
        <item x="357"/>
        <item x="380"/>
        <item x="406"/>
        <item x="407"/>
        <item x="408"/>
        <item x="183"/>
        <item x="191"/>
        <item x="192"/>
        <item x="266"/>
        <item x="304"/>
        <item x="305"/>
        <item x="306"/>
        <item x="307"/>
        <item x="364"/>
        <item x="417"/>
        <item x="158"/>
        <item x="159"/>
        <item x="267"/>
        <item x="268"/>
        <item x="269"/>
        <item x="343"/>
        <item x="392"/>
        <item x="394"/>
        <item x="395"/>
        <item x="418"/>
        <item x="419"/>
        <item x="420"/>
        <item x="421"/>
        <item x="422"/>
        <item x="423"/>
        <item x="316"/>
        <item x="322"/>
        <item x="271"/>
        <item x="371"/>
        <item x="372"/>
        <item x="389"/>
        <item x="338"/>
        <item x="384"/>
        <item x="383"/>
        <item x="382"/>
        <item x="391"/>
        <item x="360"/>
        <item x="358"/>
        <item x="359"/>
        <item x="361"/>
        <item x="409"/>
        <item x="411"/>
        <item x="410"/>
        <item x="37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計數 - 機型" fld="3" subtotal="count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3:I4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3" activeCellId="0" sqref="E193"/>
    </sheetView>
  </sheetViews>
  <sheetFormatPr defaultColWidth="8.61328125" defaultRowHeight="16.5" zeroHeight="false" outlineLevelRow="0" outlineLevelCol="0"/>
  <cols>
    <col collapsed="false" customWidth="true" hidden="false" outlineLevel="0" max="1" min="1" style="0" width="66.25"/>
    <col collapsed="false" customWidth="true" hidden="false" outlineLevel="0" max="2" min="2" style="0" width="12.5"/>
    <col collapsed="false" customWidth="true" hidden="false" outlineLevel="0" max="6" min="6" style="0" width="24.39"/>
    <col collapsed="false" customWidth="true" hidden="false" outlineLevel="0" max="7" min="7" style="0" width="11.25"/>
  </cols>
  <sheetData>
    <row r="3" customFormat="false" ht="16.5" hidden="false" customHeight="false" outlineLevel="0" collapsed="false">
      <c r="A3" s="1" t="s">
        <v>0</v>
      </c>
      <c r="B3" s="2" t="s">
        <v>1</v>
      </c>
      <c r="F3" s="3" t="s">
        <v>2</v>
      </c>
      <c r="G3" s="3" t="s">
        <v>1</v>
      </c>
      <c r="H3" s="3"/>
      <c r="I3" s="3"/>
    </row>
    <row r="4" customFormat="false" ht="16.5" hidden="true" customHeight="false" outlineLevel="0" collapsed="false">
      <c r="A4" s="4" t="s">
        <v>3</v>
      </c>
      <c r="B4" s="5" t="n">
        <v>4</v>
      </c>
      <c r="C4" s="0" t="e">
        <f aca="false">VLOOKUP(A:A,#REF!,2,0)</f>
        <v>#VALUE!</v>
      </c>
      <c r="D4" s="0" t="e">
        <f aca="false">GETPIVOTDATA("機型",$A$3,"門市","一中")=C4</f>
        <v>#VALUE!</v>
      </c>
      <c r="F4" s="0" t="s">
        <v>3</v>
      </c>
      <c r="G4" s="0" t="n">
        <v>4</v>
      </c>
      <c r="H4" s="0" t="e">
        <f aca="false">VLOOKUP(F:F,#REF!,2,0)</f>
        <v>#VALUE!</v>
      </c>
      <c r="I4" s="0" t="e">
        <f aca="false">G4=H4</f>
        <v>#VALUE!</v>
      </c>
    </row>
    <row r="5" customFormat="false" ht="16.5" hidden="true" customHeight="false" outlineLevel="0" collapsed="false">
      <c r="A5" s="6" t="s">
        <v>4</v>
      </c>
      <c r="B5" s="7" t="n">
        <v>5</v>
      </c>
      <c r="C5" s="0" t="n">
        <v>5</v>
      </c>
      <c r="D5" s="0" t="n">
        <f aca="false">GETPIVOTDATA("機型",$A$3,"門市","七堵")=C5</f>
        <v>1</v>
      </c>
      <c r="F5" s="0" t="s">
        <v>4</v>
      </c>
      <c r="G5" s="0" t="n">
        <v>5</v>
      </c>
      <c r="H5" s="0" t="n">
        <v>5</v>
      </c>
      <c r="I5" s="0" t="n">
        <f aca="false">G5=H5</f>
        <v>1</v>
      </c>
    </row>
    <row r="6" customFormat="false" ht="16.5" hidden="true" customHeight="false" outlineLevel="0" collapsed="false">
      <c r="A6" s="6" t="s">
        <v>5</v>
      </c>
      <c r="B6" s="7" t="n">
        <v>4</v>
      </c>
      <c r="C6" s="0" t="e">
        <f aca="false">VLOOKUP(A:A,#REF!,2,0)</f>
        <v>#VALUE!</v>
      </c>
      <c r="D6" s="0" t="e">
        <f aca="false">GETPIVOTDATA("機型",$A$3,"門市","七堵")=C6</f>
        <v>#VALUE!</v>
      </c>
      <c r="F6" s="0" t="s">
        <v>5</v>
      </c>
      <c r="G6" s="0" t="n">
        <v>4</v>
      </c>
      <c r="H6" s="0" t="e">
        <f aca="false">VLOOKUP(F:F,#REF!,2,0)</f>
        <v>#VALUE!</v>
      </c>
      <c r="I6" s="0" t="e">
        <f aca="false">G6=H6</f>
        <v>#VALUE!</v>
      </c>
    </row>
    <row r="7" customFormat="false" ht="16.5" hidden="true" customHeight="false" outlineLevel="0" collapsed="false">
      <c r="A7" s="6" t="s">
        <v>6</v>
      </c>
      <c r="B7" s="7" t="n">
        <v>6</v>
      </c>
      <c r="C7" s="0" t="e">
        <f aca="false">VLOOKUP(A:A,#REF!,2,0)</f>
        <v>#VALUE!</v>
      </c>
      <c r="D7" s="0" t="e">
        <f aca="false">GETPIVOTDATA("機型",$A$3,"門市","七堵")=C7</f>
        <v>#VALUE!</v>
      </c>
      <c r="F7" s="0" t="s">
        <v>6</v>
      </c>
      <c r="G7" s="0" t="n">
        <v>6</v>
      </c>
      <c r="H7" s="0" t="e">
        <f aca="false">VLOOKUP(F:F,#REF!,2,0)</f>
        <v>#VALUE!</v>
      </c>
      <c r="I7" s="0" t="e">
        <f aca="false">G7=H7</f>
        <v>#VALUE!</v>
      </c>
    </row>
    <row r="8" customFormat="false" ht="16.5" hidden="true" customHeight="false" outlineLevel="0" collapsed="false">
      <c r="A8" s="6" t="s">
        <v>7</v>
      </c>
      <c r="B8" s="7" t="n">
        <v>4</v>
      </c>
      <c r="C8" s="0" t="e">
        <f aca="false">VLOOKUP(A:A,#REF!,2,0)</f>
        <v>#VALUE!</v>
      </c>
      <c r="D8" s="0" t="e">
        <f aca="false">GETPIVOTDATA("機型",$A$3,"門市","七堵")=C8</f>
        <v>#VALUE!</v>
      </c>
      <c r="F8" s="0" t="s">
        <v>7</v>
      </c>
      <c r="G8" s="0" t="n">
        <v>4</v>
      </c>
      <c r="H8" s="0" t="e">
        <f aca="false">VLOOKUP(F:F,#REF!,2,0)</f>
        <v>#VALUE!</v>
      </c>
      <c r="I8" s="0" t="e">
        <f aca="false">G8=H8</f>
        <v>#VALUE!</v>
      </c>
    </row>
    <row r="9" customFormat="false" ht="16.5" hidden="true" customHeight="false" outlineLevel="0" collapsed="false">
      <c r="A9" s="6" t="s">
        <v>8</v>
      </c>
      <c r="B9" s="7" t="n">
        <v>2</v>
      </c>
      <c r="C9" s="0" t="e">
        <f aca="false">VLOOKUP(A:A,#REF!,2,0)</f>
        <v>#VALUE!</v>
      </c>
      <c r="D9" s="0" t="e">
        <f aca="false">GETPIVOTDATA("機型",$A$3,"門市","七堵")=C9</f>
        <v>#VALUE!</v>
      </c>
      <c r="F9" s="0" t="s">
        <v>8</v>
      </c>
      <c r="G9" s="0" t="n">
        <v>2</v>
      </c>
      <c r="H9" s="0" t="e">
        <f aca="false">VLOOKUP(F:F,#REF!,2,0)</f>
        <v>#VALUE!</v>
      </c>
      <c r="I9" s="0" t="e">
        <f aca="false">G9=H9</f>
        <v>#VALUE!</v>
      </c>
    </row>
    <row r="10" customFormat="false" ht="16.5" hidden="true" customHeight="false" outlineLevel="0" collapsed="false">
      <c r="A10" s="6" t="s">
        <v>9</v>
      </c>
      <c r="B10" s="7" t="n">
        <v>1</v>
      </c>
      <c r="C10" s="0" t="e">
        <f aca="false">VLOOKUP(A:A,#REF!,2,0)</f>
        <v>#VALUE!</v>
      </c>
      <c r="D10" s="0" t="e">
        <f aca="false">GETPIVOTDATA("機型",$A$3,"門市","七堵")=C10</f>
        <v>#VALUE!</v>
      </c>
      <c r="F10" s="0" t="s">
        <v>9</v>
      </c>
      <c r="G10" s="0" t="n">
        <v>1</v>
      </c>
      <c r="H10" s="0" t="e">
        <f aca="false">VLOOKUP(F:F,#REF!,2,0)</f>
        <v>#VALUE!</v>
      </c>
      <c r="I10" s="0" t="e">
        <f aca="false">G10=H10</f>
        <v>#VALUE!</v>
      </c>
    </row>
    <row r="11" customFormat="false" ht="16.5" hidden="true" customHeight="false" outlineLevel="0" collapsed="false">
      <c r="A11" s="6" t="s">
        <v>10</v>
      </c>
      <c r="B11" s="7" t="n">
        <v>5</v>
      </c>
      <c r="C11" s="0" t="e">
        <f aca="false">VLOOKUP(A:A,#REF!,2,0)</f>
        <v>#VALUE!</v>
      </c>
      <c r="D11" s="0" t="e">
        <f aca="false">GETPIVOTDATA("機型",$A$3,"門市","七堵")=C11</f>
        <v>#VALUE!</v>
      </c>
      <c r="F11" s="0" t="s">
        <v>10</v>
      </c>
      <c r="G11" s="0" t="n">
        <v>5</v>
      </c>
      <c r="H11" s="0" t="e">
        <f aca="false">VLOOKUP(F:F,#REF!,2,0)</f>
        <v>#VALUE!</v>
      </c>
      <c r="I11" s="0" t="e">
        <f aca="false">G11=H11</f>
        <v>#VALUE!</v>
      </c>
    </row>
    <row r="12" customFormat="false" ht="16.5" hidden="false" customHeight="false" outlineLevel="0" collapsed="false">
      <c r="A12" s="6" t="s">
        <v>11</v>
      </c>
      <c r="B12" s="7" t="n">
        <v>2</v>
      </c>
      <c r="C12" s="0" t="e">
        <f aca="false">VLOOKUP(A:A,#REF!,2,0)</f>
        <v>#VALUE!</v>
      </c>
      <c r="D12" s="0" t="e">
        <f aca="false">GETPIVOTDATA("機型",$A$3,"門市","七堵")=C12</f>
        <v>#VALUE!</v>
      </c>
      <c r="F12" s="8" t="s">
        <v>11</v>
      </c>
      <c r="G12" s="8" t="n">
        <v>2</v>
      </c>
      <c r="H12" s="8" t="e">
        <f aca="false">VLOOKUP(F:F,#REF!,2,0)</f>
        <v>#VALUE!</v>
      </c>
      <c r="I12" s="0" t="e">
        <f aca="false">G12=H12</f>
        <v>#VALUE!</v>
      </c>
    </row>
    <row r="13" customFormat="false" ht="16.5" hidden="true" customHeight="false" outlineLevel="0" collapsed="false">
      <c r="A13" s="6" t="s">
        <v>12</v>
      </c>
      <c r="B13" s="7" t="n">
        <v>1</v>
      </c>
      <c r="C13" s="0" t="n">
        <v>1</v>
      </c>
      <c r="D13" s="0" t="n">
        <f aca="false">GETPIVOTDATA("機型",$A$3,"門市","七堵")=C13</f>
        <v>0</v>
      </c>
      <c r="F13" s="0" t="s">
        <v>12</v>
      </c>
      <c r="G13" s="0" t="n">
        <v>1</v>
      </c>
      <c r="H13" s="0" t="n">
        <v>1</v>
      </c>
      <c r="I13" s="0" t="n">
        <f aca="false">G13=H13</f>
        <v>1</v>
      </c>
    </row>
    <row r="14" customFormat="false" ht="16.5" hidden="true" customHeight="false" outlineLevel="0" collapsed="false">
      <c r="A14" s="6" t="s">
        <v>13</v>
      </c>
      <c r="B14" s="7" t="n">
        <v>4</v>
      </c>
      <c r="C14" s="0" t="e">
        <f aca="false">VLOOKUP(A:A,#REF!,2,0)</f>
        <v>#VALUE!</v>
      </c>
      <c r="D14" s="0" t="e">
        <f aca="false">GETPIVOTDATA("機型",$A$3,"門市","七堵")=C14</f>
        <v>#VALUE!</v>
      </c>
      <c r="F14" s="0" t="s">
        <v>13</v>
      </c>
      <c r="G14" s="0" t="n">
        <v>4</v>
      </c>
      <c r="H14" s="0" t="e">
        <f aca="false">VLOOKUP(F:F,#REF!,2,0)</f>
        <v>#VALUE!</v>
      </c>
      <c r="I14" s="0" t="e">
        <f aca="false">G14=H14</f>
        <v>#VALUE!</v>
      </c>
    </row>
    <row r="15" customFormat="false" ht="16.5" hidden="true" customHeight="false" outlineLevel="0" collapsed="false">
      <c r="A15" s="6" t="s">
        <v>14</v>
      </c>
      <c r="B15" s="7" t="n">
        <v>1</v>
      </c>
      <c r="C15" s="0" t="e">
        <f aca="false">VLOOKUP(A:A,#REF!,2,0)</f>
        <v>#VALUE!</v>
      </c>
      <c r="D15" s="0" t="e">
        <f aca="false">GETPIVOTDATA("機型",$A$3,"門市","七堵")=C15</f>
        <v>#VALUE!</v>
      </c>
      <c r="F15" s="0" t="s">
        <v>14</v>
      </c>
      <c r="G15" s="0" t="n">
        <v>1</v>
      </c>
      <c r="H15" s="0" t="e">
        <f aca="false">VLOOKUP(F:F,#REF!,2,0)</f>
        <v>#VALUE!</v>
      </c>
      <c r="I15" s="0" t="e">
        <f aca="false">G15=H15</f>
        <v>#VALUE!</v>
      </c>
    </row>
    <row r="16" customFormat="false" ht="16.5" hidden="true" customHeight="false" outlineLevel="0" collapsed="false">
      <c r="A16" s="6" t="s">
        <v>15</v>
      </c>
      <c r="B16" s="7" t="n">
        <v>7</v>
      </c>
      <c r="C16" s="0" t="e">
        <f aca="false">VLOOKUP(A:A,#REF!,2,0)</f>
        <v>#VALUE!</v>
      </c>
      <c r="D16" s="0" t="e">
        <f aca="false">GETPIVOTDATA("機型",$A$3,"門市","七堵")=C16</f>
        <v>#VALUE!</v>
      </c>
      <c r="F16" s="0" t="s">
        <v>15</v>
      </c>
      <c r="G16" s="0" t="n">
        <v>7</v>
      </c>
      <c r="H16" s="0" t="e">
        <f aca="false">VLOOKUP(F:F,#REF!,2,0)</f>
        <v>#VALUE!</v>
      </c>
      <c r="I16" s="0" t="e">
        <f aca="false">G16=H16</f>
        <v>#VALUE!</v>
      </c>
    </row>
    <row r="17" customFormat="false" ht="16.5" hidden="true" customHeight="false" outlineLevel="0" collapsed="false">
      <c r="A17" s="6" t="s">
        <v>16</v>
      </c>
      <c r="B17" s="7" t="n">
        <v>2</v>
      </c>
      <c r="C17" s="0" t="e">
        <f aca="false">VLOOKUP(A:A,#REF!,2,0)</f>
        <v>#VALUE!</v>
      </c>
      <c r="D17" s="0" t="e">
        <f aca="false">GETPIVOTDATA("機型",$A$3,"門市","七堵")=C17</f>
        <v>#VALUE!</v>
      </c>
      <c r="F17" s="0" t="s">
        <v>16</v>
      </c>
      <c r="G17" s="0" t="n">
        <v>2</v>
      </c>
      <c r="H17" s="0" t="e">
        <f aca="false">VLOOKUP(F:F,#REF!,2,0)</f>
        <v>#VALUE!</v>
      </c>
      <c r="I17" s="0" t="e">
        <f aca="false">G17=H17</f>
        <v>#VALUE!</v>
      </c>
    </row>
    <row r="18" customFormat="false" ht="16.5" hidden="true" customHeight="false" outlineLevel="0" collapsed="false">
      <c r="A18" s="6" t="s">
        <v>17</v>
      </c>
      <c r="B18" s="7" t="n">
        <v>3</v>
      </c>
      <c r="C18" s="0" t="e">
        <f aca="false">VLOOKUP(A:A,#REF!,2,0)</f>
        <v>#VALUE!</v>
      </c>
      <c r="D18" s="0" t="e">
        <f aca="false">GETPIVOTDATA("機型",$A$3,"門市","七堵")=C18</f>
        <v>#VALUE!</v>
      </c>
      <c r="F18" s="0" t="s">
        <v>17</v>
      </c>
      <c r="G18" s="0" t="n">
        <v>3</v>
      </c>
      <c r="H18" s="0" t="e">
        <f aca="false">VLOOKUP(F:F,#REF!,2,0)</f>
        <v>#VALUE!</v>
      </c>
      <c r="I18" s="0" t="e">
        <f aca="false">G18=H18</f>
        <v>#VALUE!</v>
      </c>
    </row>
    <row r="19" customFormat="false" ht="16.5" hidden="true" customHeight="false" outlineLevel="0" collapsed="false">
      <c r="A19" s="6" t="s">
        <v>18</v>
      </c>
      <c r="B19" s="7" t="n">
        <v>21</v>
      </c>
      <c r="C19" s="0" t="e">
        <f aca="false">VLOOKUP(A:A,#REF!,2,0)</f>
        <v>#VALUE!</v>
      </c>
      <c r="D19" s="0" t="e">
        <f aca="false">GETPIVOTDATA("機型",$A$3,"門市","七堵")=C19</f>
        <v>#VALUE!</v>
      </c>
      <c r="F19" s="0" t="s">
        <v>18</v>
      </c>
      <c r="G19" s="0" t="n">
        <v>21</v>
      </c>
      <c r="H19" s="0" t="e">
        <f aca="false">VLOOKUP(F:F,#REF!,2,0)</f>
        <v>#VALUE!</v>
      </c>
      <c r="I19" s="0" t="e">
        <f aca="false">G19=H19</f>
        <v>#VALUE!</v>
      </c>
    </row>
    <row r="20" customFormat="false" ht="16.5" hidden="true" customHeight="false" outlineLevel="0" collapsed="false">
      <c r="A20" s="6" t="s">
        <v>19</v>
      </c>
      <c r="B20" s="7" t="n">
        <v>5</v>
      </c>
      <c r="C20" s="0" t="e">
        <f aca="false">VLOOKUP(A:A,#REF!,2,0)</f>
        <v>#VALUE!</v>
      </c>
      <c r="D20" s="0" t="e">
        <f aca="false">GETPIVOTDATA("機型",$A$3,"門市","七堵")=C20</f>
        <v>#VALUE!</v>
      </c>
      <c r="F20" s="0" t="s">
        <v>19</v>
      </c>
      <c r="G20" s="0" t="n">
        <v>5</v>
      </c>
      <c r="H20" s="0" t="e">
        <f aca="false">VLOOKUP(F:F,#REF!,2,0)</f>
        <v>#VALUE!</v>
      </c>
      <c r="I20" s="0" t="e">
        <f aca="false">G20=H20</f>
        <v>#VALUE!</v>
      </c>
    </row>
    <row r="21" customFormat="false" ht="16.5" hidden="true" customHeight="false" outlineLevel="0" collapsed="false">
      <c r="A21" s="6" t="s">
        <v>20</v>
      </c>
      <c r="B21" s="7" t="n">
        <v>2</v>
      </c>
      <c r="C21" s="0" t="e">
        <f aca="false">VLOOKUP(A:A,#REF!,2,0)</f>
        <v>#VALUE!</v>
      </c>
      <c r="D21" s="0" t="e">
        <f aca="false">GETPIVOTDATA("機型",$A$3,"門市","七堵")=C21</f>
        <v>#VALUE!</v>
      </c>
      <c r="F21" s="0" t="s">
        <v>20</v>
      </c>
      <c r="G21" s="0" t="n">
        <v>2</v>
      </c>
      <c r="H21" s="0" t="e">
        <f aca="false">VLOOKUP(F:F,#REF!,2,0)</f>
        <v>#VALUE!</v>
      </c>
      <c r="I21" s="0" t="e">
        <f aca="false">G21=H21</f>
        <v>#VALUE!</v>
      </c>
    </row>
    <row r="22" customFormat="false" ht="16.5" hidden="true" customHeight="false" outlineLevel="0" collapsed="false">
      <c r="A22" s="6" t="s">
        <v>21</v>
      </c>
      <c r="B22" s="7" t="n">
        <v>3</v>
      </c>
      <c r="C22" s="0" t="e">
        <f aca="false">VLOOKUP(A:A,#REF!,2,0)</f>
        <v>#VALUE!</v>
      </c>
      <c r="D22" s="0" t="e">
        <f aca="false">GETPIVOTDATA("機型",$A$3,"門市","七堵")=C22</f>
        <v>#VALUE!</v>
      </c>
      <c r="F22" s="0" t="s">
        <v>21</v>
      </c>
      <c r="G22" s="0" t="n">
        <v>3</v>
      </c>
      <c r="H22" s="0" t="e">
        <f aca="false">VLOOKUP(F:F,#REF!,2,0)</f>
        <v>#VALUE!</v>
      </c>
      <c r="I22" s="0" t="e">
        <f aca="false">G22=H22</f>
        <v>#VALUE!</v>
      </c>
    </row>
    <row r="23" customFormat="false" ht="16.5" hidden="true" customHeight="false" outlineLevel="0" collapsed="false">
      <c r="A23" s="6" t="s">
        <v>22</v>
      </c>
      <c r="B23" s="7" t="n">
        <v>2</v>
      </c>
      <c r="C23" s="0" t="e">
        <f aca="false">VLOOKUP(A:A,#REF!,2,0)</f>
        <v>#VALUE!</v>
      </c>
      <c r="D23" s="0" t="e">
        <f aca="false">GETPIVOTDATA("機型",$A$3,"門市","七堵")=C23</f>
        <v>#VALUE!</v>
      </c>
      <c r="F23" s="0" t="s">
        <v>22</v>
      </c>
      <c r="G23" s="0" t="n">
        <v>2</v>
      </c>
      <c r="H23" s="0" t="e">
        <f aca="false">VLOOKUP(F:F,#REF!,2,0)</f>
        <v>#VALUE!</v>
      </c>
      <c r="I23" s="0" t="e">
        <f aca="false">G23=H23</f>
        <v>#VALUE!</v>
      </c>
    </row>
    <row r="24" customFormat="false" ht="16.5" hidden="true" customHeight="false" outlineLevel="0" collapsed="false">
      <c r="A24" s="6" t="s">
        <v>23</v>
      </c>
      <c r="B24" s="7" t="n">
        <v>4</v>
      </c>
      <c r="C24" s="0" t="n">
        <v>4</v>
      </c>
      <c r="D24" s="0" t="n">
        <f aca="false">GETPIVOTDATA("機型",$A$3,"門市","七堵")=C24</f>
        <v>0</v>
      </c>
      <c r="F24" s="0" t="s">
        <v>23</v>
      </c>
      <c r="G24" s="0" t="n">
        <v>4</v>
      </c>
      <c r="H24" s="0" t="n">
        <v>4</v>
      </c>
      <c r="I24" s="0" t="n">
        <f aca="false">G24=H24</f>
        <v>1</v>
      </c>
    </row>
    <row r="25" customFormat="false" ht="16.5" hidden="true" customHeight="false" outlineLevel="0" collapsed="false">
      <c r="A25" s="6" t="s">
        <v>24</v>
      </c>
      <c r="B25" s="7" t="n">
        <v>1</v>
      </c>
      <c r="C25" s="0" t="n">
        <v>1</v>
      </c>
      <c r="D25" s="0" t="n">
        <f aca="false">GETPIVOTDATA("機型",$A$3,"門市","七堵")=C25</f>
        <v>0</v>
      </c>
      <c r="F25" s="0" t="s">
        <v>24</v>
      </c>
      <c r="G25" s="0" t="n">
        <v>1</v>
      </c>
      <c r="H25" s="0" t="n">
        <v>1</v>
      </c>
      <c r="I25" s="0" t="n">
        <f aca="false">G25=H25</f>
        <v>1</v>
      </c>
    </row>
    <row r="26" customFormat="false" ht="16.5" hidden="true" customHeight="false" outlineLevel="0" collapsed="false">
      <c r="A26" s="6" t="s">
        <v>25</v>
      </c>
      <c r="B26" s="7" t="n">
        <v>4</v>
      </c>
      <c r="C26" s="0" t="e">
        <f aca="false">VLOOKUP(A:A,#REF!,2,0)</f>
        <v>#VALUE!</v>
      </c>
      <c r="D26" s="0" t="e">
        <f aca="false">GETPIVOTDATA("機型",$A$3,"門市","七堵")=C26</f>
        <v>#VALUE!</v>
      </c>
      <c r="F26" s="0" t="s">
        <v>25</v>
      </c>
      <c r="G26" s="0" t="n">
        <v>4</v>
      </c>
      <c r="H26" s="0" t="e">
        <f aca="false">VLOOKUP(F:F,#REF!,2,0)</f>
        <v>#VALUE!</v>
      </c>
      <c r="I26" s="0" t="e">
        <f aca="false">G26=H26</f>
        <v>#VALUE!</v>
      </c>
    </row>
    <row r="27" customFormat="false" ht="16.5" hidden="false" customHeight="false" outlineLevel="0" collapsed="false">
      <c r="A27" s="6" t="s">
        <v>26</v>
      </c>
      <c r="B27" s="7" t="n">
        <v>4</v>
      </c>
      <c r="C27" s="0" t="e">
        <f aca="false">VLOOKUP(A:A,#REF!,2,0)</f>
        <v>#VALUE!</v>
      </c>
      <c r="D27" s="0" t="e">
        <f aca="false">GETPIVOTDATA("機型",$A$3,"門市","七堵")=C27</f>
        <v>#VALUE!</v>
      </c>
      <c r="F27" s="8" t="s">
        <v>26</v>
      </c>
      <c r="G27" s="8" t="n">
        <v>4</v>
      </c>
      <c r="H27" s="0" t="e">
        <f aca="false">VLOOKUP(F:F,#REF!,2,0)</f>
        <v>#VALUE!</v>
      </c>
      <c r="I27" s="0" t="e">
        <f aca="false">G27=H27</f>
        <v>#VALUE!</v>
      </c>
    </row>
    <row r="28" customFormat="false" ht="16.5" hidden="true" customHeight="false" outlineLevel="0" collapsed="false">
      <c r="A28" s="6" t="s">
        <v>27</v>
      </c>
      <c r="B28" s="7" t="n">
        <v>5</v>
      </c>
      <c r="C28" s="0" t="e">
        <f aca="false">VLOOKUP(A:A,#REF!,2,0)</f>
        <v>#VALUE!</v>
      </c>
      <c r="D28" s="0" t="e">
        <f aca="false">GETPIVOTDATA("機型",$A$3,"門市","七堵")=C28</f>
        <v>#VALUE!</v>
      </c>
      <c r="F28" s="0" t="s">
        <v>27</v>
      </c>
      <c r="G28" s="0" t="n">
        <v>5</v>
      </c>
      <c r="H28" s="0" t="e">
        <f aca="false">VLOOKUP(F:F,#REF!,2,0)</f>
        <v>#VALUE!</v>
      </c>
      <c r="I28" s="0" t="e">
        <f aca="false">G28=H28</f>
        <v>#VALUE!</v>
      </c>
    </row>
    <row r="29" customFormat="false" ht="16.5" hidden="true" customHeight="false" outlineLevel="0" collapsed="false">
      <c r="A29" s="6" t="s">
        <v>28</v>
      </c>
      <c r="B29" s="7" t="n">
        <v>9</v>
      </c>
      <c r="C29" s="0" t="e">
        <f aca="false">VLOOKUP(A:A,#REF!,2,0)</f>
        <v>#VALUE!</v>
      </c>
      <c r="D29" s="0" t="e">
        <f aca="false">GETPIVOTDATA("機型",$A$3,"門市","七堵")=C29</f>
        <v>#VALUE!</v>
      </c>
      <c r="F29" s="0" t="s">
        <v>28</v>
      </c>
      <c r="G29" s="0" t="n">
        <v>9</v>
      </c>
      <c r="H29" s="0" t="e">
        <f aca="false">VLOOKUP(F:F,#REF!,2,0)</f>
        <v>#VALUE!</v>
      </c>
      <c r="I29" s="0" t="e">
        <f aca="false">G29=H29</f>
        <v>#VALUE!</v>
      </c>
    </row>
    <row r="30" customFormat="false" ht="16.5" hidden="true" customHeight="false" outlineLevel="0" collapsed="false">
      <c r="A30" s="6" t="s">
        <v>29</v>
      </c>
      <c r="B30" s="7" t="n">
        <v>6</v>
      </c>
      <c r="C30" s="0" t="e">
        <f aca="false">VLOOKUP(A:A,#REF!,2,0)</f>
        <v>#VALUE!</v>
      </c>
      <c r="D30" s="0" t="e">
        <f aca="false">GETPIVOTDATA("機型",$A$3,"門市","七堵")=C30</f>
        <v>#VALUE!</v>
      </c>
      <c r="F30" s="0" t="s">
        <v>29</v>
      </c>
      <c r="G30" s="0" t="n">
        <v>6</v>
      </c>
      <c r="H30" s="0" t="e">
        <f aca="false">VLOOKUP(F:F,#REF!,2,0)</f>
        <v>#VALUE!</v>
      </c>
      <c r="I30" s="0" t="e">
        <f aca="false">G30=H30</f>
        <v>#VALUE!</v>
      </c>
    </row>
    <row r="31" customFormat="false" ht="16.5" hidden="true" customHeight="false" outlineLevel="0" collapsed="false">
      <c r="A31" s="6" t="s">
        <v>30</v>
      </c>
      <c r="B31" s="7" t="n">
        <v>7</v>
      </c>
      <c r="C31" s="0" t="e">
        <f aca="false">VLOOKUP(A:A,#REF!,2,0)</f>
        <v>#VALUE!</v>
      </c>
      <c r="D31" s="0" t="e">
        <f aca="false">GETPIVOTDATA("機型",$A$3,"門市","七堵")=C31</f>
        <v>#VALUE!</v>
      </c>
      <c r="F31" s="0" t="s">
        <v>30</v>
      </c>
      <c r="G31" s="0" t="n">
        <v>7</v>
      </c>
      <c r="H31" s="0" t="e">
        <f aca="false">VLOOKUP(F:F,#REF!,2,0)</f>
        <v>#VALUE!</v>
      </c>
      <c r="I31" s="0" t="e">
        <f aca="false">G31=H31</f>
        <v>#VALUE!</v>
      </c>
    </row>
    <row r="32" customFormat="false" ht="16.5" hidden="true" customHeight="false" outlineLevel="0" collapsed="false">
      <c r="A32" s="6" t="s">
        <v>31</v>
      </c>
      <c r="B32" s="7" t="n">
        <v>11</v>
      </c>
      <c r="C32" s="0" t="e">
        <f aca="false">VLOOKUP(A:A,#REF!,2,0)</f>
        <v>#VALUE!</v>
      </c>
      <c r="D32" s="0" t="e">
        <f aca="false">GETPIVOTDATA("機型",$A$3,"門市","七堵")=C32</f>
        <v>#VALUE!</v>
      </c>
      <c r="F32" s="0" t="s">
        <v>31</v>
      </c>
      <c r="G32" s="0" t="n">
        <v>11</v>
      </c>
      <c r="H32" s="0" t="e">
        <f aca="false">VLOOKUP(F:F,#REF!,2,0)</f>
        <v>#VALUE!</v>
      </c>
      <c r="I32" s="0" t="e">
        <f aca="false">G32=H32</f>
        <v>#VALUE!</v>
      </c>
    </row>
    <row r="33" customFormat="false" ht="16.5" hidden="true" customHeight="false" outlineLevel="0" collapsed="false">
      <c r="A33" s="6" t="s">
        <v>32</v>
      </c>
      <c r="B33" s="7" t="n">
        <v>4</v>
      </c>
      <c r="C33" s="0" t="e">
        <f aca="false">VLOOKUP(A:A,#REF!,2,0)</f>
        <v>#VALUE!</v>
      </c>
      <c r="D33" s="0" t="e">
        <f aca="false">GETPIVOTDATA("機型",$A$3,"門市","七堵")=C33</f>
        <v>#VALUE!</v>
      </c>
      <c r="F33" s="0" t="s">
        <v>32</v>
      </c>
      <c r="G33" s="0" t="n">
        <v>4</v>
      </c>
      <c r="H33" s="0" t="e">
        <f aca="false">VLOOKUP(F:F,#REF!,2,0)</f>
        <v>#VALUE!</v>
      </c>
      <c r="I33" s="0" t="e">
        <f aca="false">G33=H33</f>
        <v>#VALUE!</v>
      </c>
    </row>
    <row r="34" customFormat="false" ht="16.5" hidden="true" customHeight="false" outlineLevel="0" collapsed="false">
      <c r="A34" s="6" t="s">
        <v>33</v>
      </c>
      <c r="B34" s="7" t="n">
        <v>4</v>
      </c>
      <c r="C34" s="0" t="e">
        <f aca="false">VLOOKUP(A:A,#REF!,2,0)</f>
        <v>#VALUE!</v>
      </c>
      <c r="D34" s="0" t="e">
        <f aca="false">GETPIVOTDATA("機型",$A$3,"門市","七堵")=C34</f>
        <v>#VALUE!</v>
      </c>
      <c r="F34" s="0" t="s">
        <v>33</v>
      </c>
      <c r="G34" s="0" t="n">
        <v>4</v>
      </c>
      <c r="H34" s="0" t="e">
        <f aca="false">VLOOKUP(F:F,#REF!,2,0)</f>
        <v>#VALUE!</v>
      </c>
      <c r="I34" s="0" t="e">
        <f aca="false">G34=H34</f>
        <v>#VALUE!</v>
      </c>
    </row>
    <row r="35" customFormat="false" ht="16.5" hidden="true" customHeight="false" outlineLevel="0" collapsed="false">
      <c r="A35" s="6" t="s">
        <v>34</v>
      </c>
      <c r="B35" s="7" t="n">
        <v>3</v>
      </c>
      <c r="C35" s="0" t="e">
        <f aca="false">VLOOKUP(A:A,#REF!,2,0)</f>
        <v>#VALUE!</v>
      </c>
      <c r="D35" s="0" t="e">
        <f aca="false">GETPIVOTDATA("機型",$A$3,"門市","七堵")=C35</f>
        <v>#VALUE!</v>
      </c>
      <c r="F35" s="0" t="s">
        <v>34</v>
      </c>
      <c r="G35" s="0" t="n">
        <v>3</v>
      </c>
      <c r="H35" s="0" t="e">
        <f aca="false">VLOOKUP(F:F,#REF!,2,0)</f>
        <v>#VALUE!</v>
      </c>
      <c r="I35" s="0" t="e">
        <f aca="false">G35=H35</f>
        <v>#VALUE!</v>
      </c>
    </row>
    <row r="36" customFormat="false" ht="16.5" hidden="true" customHeight="false" outlineLevel="0" collapsed="false">
      <c r="A36" s="6" t="s">
        <v>35</v>
      </c>
      <c r="B36" s="7" t="n">
        <v>5</v>
      </c>
      <c r="C36" s="0" t="e">
        <f aca="false">VLOOKUP(A:A,#REF!,2,0)</f>
        <v>#VALUE!</v>
      </c>
      <c r="D36" s="0" t="e">
        <f aca="false">GETPIVOTDATA("機型",$A$3,"門市","七堵")=C36</f>
        <v>#VALUE!</v>
      </c>
      <c r="F36" s="0" t="s">
        <v>35</v>
      </c>
      <c r="G36" s="0" t="n">
        <v>5</v>
      </c>
      <c r="H36" s="0" t="e">
        <f aca="false">VLOOKUP(F:F,#REF!,2,0)</f>
        <v>#VALUE!</v>
      </c>
      <c r="I36" s="0" t="e">
        <f aca="false">G36=H36</f>
        <v>#VALUE!</v>
      </c>
    </row>
    <row r="37" customFormat="false" ht="16.5" hidden="true" customHeight="false" outlineLevel="0" collapsed="false">
      <c r="A37" s="6" t="s">
        <v>36</v>
      </c>
      <c r="B37" s="7" t="n">
        <v>6</v>
      </c>
      <c r="C37" s="0" t="e">
        <f aca="false">VLOOKUP(A:A,#REF!,2,0)</f>
        <v>#VALUE!</v>
      </c>
      <c r="D37" s="0" t="e">
        <f aca="false">GETPIVOTDATA("機型",$A$3,"門市","七堵")=C37</f>
        <v>#VALUE!</v>
      </c>
      <c r="F37" s="0" t="s">
        <v>36</v>
      </c>
      <c r="G37" s="0" t="n">
        <v>6</v>
      </c>
      <c r="H37" s="0" t="e">
        <f aca="false">VLOOKUP(F:F,#REF!,2,0)</f>
        <v>#VALUE!</v>
      </c>
      <c r="I37" s="0" t="e">
        <f aca="false">G37=H37</f>
        <v>#VALUE!</v>
      </c>
    </row>
    <row r="38" customFormat="false" ht="16.5" hidden="true" customHeight="false" outlineLevel="0" collapsed="false">
      <c r="A38" s="6" t="s">
        <v>37</v>
      </c>
      <c r="B38" s="7" t="n">
        <v>5</v>
      </c>
      <c r="C38" s="0" t="e">
        <f aca="false">VLOOKUP(A:A,#REF!,2,0)</f>
        <v>#VALUE!</v>
      </c>
      <c r="D38" s="0" t="e">
        <f aca="false">GETPIVOTDATA("機型",$A$3,"門市","七堵")=C38</f>
        <v>#VALUE!</v>
      </c>
      <c r="F38" s="0" t="s">
        <v>37</v>
      </c>
      <c r="G38" s="0" t="n">
        <v>5</v>
      </c>
      <c r="H38" s="0" t="e">
        <f aca="false">VLOOKUP(F:F,#REF!,2,0)</f>
        <v>#VALUE!</v>
      </c>
      <c r="I38" s="0" t="e">
        <f aca="false">G38=H38</f>
        <v>#VALUE!</v>
      </c>
    </row>
    <row r="39" customFormat="false" ht="16.5" hidden="true" customHeight="false" outlineLevel="0" collapsed="false">
      <c r="A39" s="6" t="s">
        <v>38</v>
      </c>
      <c r="B39" s="7" t="n">
        <v>2</v>
      </c>
      <c r="C39" s="0" t="e">
        <f aca="false">VLOOKUP(A:A,#REF!,2,0)</f>
        <v>#VALUE!</v>
      </c>
      <c r="D39" s="0" t="e">
        <f aca="false">GETPIVOTDATA("機型",$A$3,"門市","七堵")=C39</f>
        <v>#VALUE!</v>
      </c>
      <c r="F39" s="0" t="s">
        <v>38</v>
      </c>
      <c r="G39" s="0" t="n">
        <v>2</v>
      </c>
      <c r="H39" s="0" t="e">
        <f aca="false">VLOOKUP(F:F,#REF!,2,0)</f>
        <v>#VALUE!</v>
      </c>
      <c r="I39" s="0" t="e">
        <f aca="false">G39=H39</f>
        <v>#VALUE!</v>
      </c>
    </row>
    <row r="40" customFormat="false" ht="16.5" hidden="true" customHeight="false" outlineLevel="0" collapsed="false">
      <c r="A40" s="6" t="s">
        <v>39</v>
      </c>
      <c r="B40" s="7" t="n">
        <v>3</v>
      </c>
      <c r="C40" s="0" t="e">
        <f aca="false">VLOOKUP(A:A,#REF!,2,0)</f>
        <v>#VALUE!</v>
      </c>
      <c r="D40" s="0" t="e">
        <f aca="false">GETPIVOTDATA("機型",$A$3,"門市","七堵")=C40</f>
        <v>#VALUE!</v>
      </c>
      <c r="F40" s="0" t="s">
        <v>39</v>
      </c>
      <c r="G40" s="0" t="n">
        <v>3</v>
      </c>
      <c r="H40" s="0" t="e">
        <f aca="false">VLOOKUP(F:F,#REF!,2,0)</f>
        <v>#VALUE!</v>
      </c>
      <c r="I40" s="0" t="e">
        <f aca="false">G40=H40</f>
        <v>#VALUE!</v>
      </c>
    </row>
    <row r="41" customFormat="false" ht="16.5" hidden="true" customHeight="false" outlineLevel="0" collapsed="false">
      <c r="A41" s="6" t="s">
        <v>40</v>
      </c>
      <c r="B41" s="7" t="n">
        <v>5</v>
      </c>
      <c r="C41" s="0" t="e">
        <f aca="false">VLOOKUP(A:A,#REF!,2,0)</f>
        <v>#VALUE!</v>
      </c>
      <c r="D41" s="0" t="e">
        <f aca="false">GETPIVOTDATA("機型",$A$3,"門市","七堵")=C41</f>
        <v>#VALUE!</v>
      </c>
      <c r="F41" s="0" t="s">
        <v>40</v>
      </c>
      <c r="G41" s="0" t="n">
        <v>5</v>
      </c>
      <c r="H41" s="0" t="e">
        <f aca="false">VLOOKUP(F:F,#REF!,2,0)</f>
        <v>#VALUE!</v>
      </c>
      <c r="I41" s="0" t="e">
        <f aca="false">G41=H41</f>
        <v>#VALUE!</v>
      </c>
    </row>
    <row r="42" customFormat="false" ht="16.5" hidden="true" customHeight="false" outlineLevel="0" collapsed="false">
      <c r="A42" s="6" t="s">
        <v>41</v>
      </c>
      <c r="B42" s="7" t="n">
        <v>4</v>
      </c>
      <c r="C42" s="0" t="e">
        <f aca="false">VLOOKUP(A:A,#REF!,2,0)</f>
        <v>#VALUE!</v>
      </c>
      <c r="D42" s="0" t="e">
        <f aca="false">GETPIVOTDATA("機型",$A$3,"門市","七堵")=C42</f>
        <v>#VALUE!</v>
      </c>
      <c r="F42" s="0" t="s">
        <v>41</v>
      </c>
      <c r="G42" s="0" t="n">
        <v>4</v>
      </c>
      <c r="H42" s="0" t="e">
        <f aca="false">VLOOKUP(F:F,#REF!,2,0)</f>
        <v>#VALUE!</v>
      </c>
      <c r="I42" s="0" t="e">
        <f aca="false">G42=H42</f>
        <v>#VALUE!</v>
      </c>
    </row>
    <row r="43" customFormat="false" ht="16.5" hidden="true" customHeight="false" outlineLevel="0" collapsed="false">
      <c r="A43" s="6" t="s">
        <v>42</v>
      </c>
      <c r="B43" s="7" t="n">
        <v>3</v>
      </c>
      <c r="C43" s="0" t="e">
        <f aca="false">VLOOKUP(A:A,#REF!,2,0)</f>
        <v>#VALUE!</v>
      </c>
      <c r="D43" s="0" t="e">
        <f aca="false">GETPIVOTDATA("機型",$A$3,"門市","七堵")=C43</f>
        <v>#VALUE!</v>
      </c>
      <c r="F43" s="0" t="s">
        <v>42</v>
      </c>
      <c r="G43" s="0" t="n">
        <v>3</v>
      </c>
      <c r="H43" s="0" t="e">
        <f aca="false">VLOOKUP(F:F,#REF!,2,0)</f>
        <v>#VALUE!</v>
      </c>
      <c r="I43" s="0" t="e">
        <f aca="false">G43=H43</f>
        <v>#VALUE!</v>
      </c>
    </row>
    <row r="44" customFormat="false" ht="16.5" hidden="true" customHeight="false" outlineLevel="0" collapsed="false">
      <c r="A44" s="6" t="s">
        <v>43</v>
      </c>
      <c r="B44" s="7" t="n">
        <v>4</v>
      </c>
      <c r="C44" s="0" t="e">
        <f aca="false">VLOOKUP(A:A,#REF!,2,0)</f>
        <v>#VALUE!</v>
      </c>
      <c r="D44" s="0" t="e">
        <f aca="false">GETPIVOTDATA("機型",$A$3,"門市","七堵")=C44</f>
        <v>#VALUE!</v>
      </c>
      <c r="F44" s="0" t="s">
        <v>43</v>
      </c>
      <c r="G44" s="0" t="n">
        <v>4</v>
      </c>
      <c r="H44" s="0" t="e">
        <f aca="false">VLOOKUP(F:F,#REF!,2,0)</f>
        <v>#VALUE!</v>
      </c>
      <c r="I44" s="0" t="e">
        <f aca="false">G44=H44</f>
        <v>#VALUE!</v>
      </c>
    </row>
    <row r="45" customFormat="false" ht="16.5" hidden="true" customHeight="false" outlineLevel="0" collapsed="false">
      <c r="A45" s="6" t="s">
        <v>44</v>
      </c>
      <c r="B45" s="7" t="n">
        <v>2</v>
      </c>
      <c r="C45" s="0" t="e">
        <f aca="false">VLOOKUP(A:A,#REF!,2,0)</f>
        <v>#VALUE!</v>
      </c>
      <c r="D45" s="0" t="e">
        <f aca="false">GETPIVOTDATA("機型",$A$3,"門市","七堵")=C45</f>
        <v>#VALUE!</v>
      </c>
      <c r="F45" s="0" t="s">
        <v>44</v>
      </c>
      <c r="G45" s="0" t="n">
        <v>2</v>
      </c>
      <c r="H45" s="0" t="e">
        <f aca="false">VLOOKUP(F:F,#REF!,2,0)</f>
        <v>#VALUE!</v>
      </c>
      <c r="I45" s="0" t="e">
        <f aca="false">G45=H45</f>
        <v>#VALUE!</v>
      </c>
    </row>
    <row r="46" customFormat="false" ht="16.5" hidden="true" customHeight="false" outlineLevel="0" collapsed="false">
      <c r="A46" s="6" t="s">
        <v>45</v>
      </c>
      <c r="B46" s="7" t="n">
        <v>2</v>
      </c>
      <c r="C46" s="0" t="e">
        <f aca="false">VLOOKUP(A:A,#REF!,2,0)</f>
        <v>#VALUE!</v>
      </c>
      <c r="D46" s="0" t="e">
        <f aca="false">GETPIVOTDATA("機型",$A$3,"門市","七堵")=C46</f>
        <v>#VALUE!</v>
      </c>
      <c r="F46" s="0" t="s">
        <v>45</v>
      </c>
      <c r="G46" s="0" t="n">
        <v>2</v>
      </c>
      <c r="H46" s="0" t="e">
        <f aca="false">VLOOKUP(F:F,#REF!,2,0)</f>
        <v>#VALUE!</v>
      </c>
      <c r="I46" s="0" t="e">
        <f aca="false">G46=H46</f>
        <v>#VALUE!</v>
      </c>
    </row>
    <row r="47" customFormat="false" ht="16.5" hidden="true" customHeight="false" outlineLevel="0" collapsed="false">
      <c r="A47" s="6" t="s">
        <v>46</v>
      </c>
      <c r="B47" s="7" t="n">
        <v>6</v>
      </c>
      <c r="C47" s="0" t="e">
        <f aca="false">VLOOKUP(A:A,#REF!,2,0)</f>
        <v>#VALUE!</v>
      </c>
      <c r="D47" s="0" t="e">
        <f aca="false">GETPIVOTDATA("機型",$A$3,"門市","七堵")=C47</f>
        <v>#VALUE!</v>
      </c>
      <c r="F47" s="0" t="s">
        <v>46</v>
      </c>
      <c r="G47" s="0" t="n">
        <v>6</v>
      </c>
      <c r="H47" s="0" t="e">
        <f aca="false">VLOOKUP(F:F,#REF!,2,0)</f>
        <v>#VALUE!</v>
      </c>
      <c r="I47" s="0" t="e">
        <f aca="false">G47=H47</f>
        <v>#VALUE!</v>
      </c>
    </row>
    <row r="48" customFormat="false" ht="16.5" hidden="true" customHeight="false" outlineLevel="0" collapsed="false">
      <c r="A48" s="6" t="s">
        <v>47</v>
      </c>
      <c r="B48" s="7" t="n">
        <v>2</v>
      </c>
      <c r="C48" s="0" t="e">
        <f aca="false">VLOOKUP(A:A,#REF!,2,0)</f>
        <v>#VALUE!</v>
      </c>
      <c r="D48" s="0" t="e">
        <f aca="false">GETPIVOTDATA("機型",$A$3,"門市","七堵")=C48</f>
        <v>#VALUE!</v>
      </c>
      <c r="F48" s="0" t="s">
        <v>47</v>
      </c>
      <c r="G48" s="0" t="n">
        <v>2</v>
      </c>
      <c r="H48" s="0" t="e">
        <f aca="false">VLOOKUP(F:F,#REF!,2,0)</f>
        <v>#VALUE!</v>
      </c>
      <c r="I48" s="0" t="e">
        <f aca="false">G48=H48</f>
        <v>#VALUE!</v>
      </c>
    </row>
    <row r="49" customFormat="false" ht="16.5" hidden="true" customHeight="false" outlineLevel="0" collapsed="false">
      <c r="A49" s="6" t="s">
        <v>48</v>
      </c>
      <c r="B49" s="7" t="n">
        <v>6</v>
      </c>
      <c r="C49" s="0" t="e">
        <f aca="false">VLOOKUP(A:A,#REF!,2,0)</f>
        <v>#VALUE!</v>
      </c>
      <c r="D49" s="0" t="e">
        <f aca="false">GETPIVOTDATA("機型",$A$3,"門市","七堵")=C49</f>
        <v>#VALUE!</v>
      </c>
      <c r="F49" s="0" t="s">
        <v>48</v>
      </c>
      <c r="G49" s="0" t="n">
        <v>6</v>
      </c>
      <c r="H49" s="0" t="e">
        <f aca="false">VLOOKUP(F:F,#REF!,2,0)</f>
        <v>#VALUE!</v>
      </c>
      <c r="I49" s="0" t="e">
        <f aca="false">G49=H49</f>
        <v>#VALUE!</v>
      </c>
    </row>
    <row r="50" customFormat="false" ht="16.5" hidden="true" customHeight="false" outlineLevel="0" collapsed="false">
      <c r="A50" s="6" t="s">
        <v>49</v>
      </c>
      <c r="B50" s="7" t="n">
        <v>10</v>
      </c>
      <c r="C50" s="0" t="e">
        <f aca="false">VLOOKUP(A:A,#REF!,2,0)</f>
        <v>#VALUE!</v>
      </c>
      <c r="D50" s="0" t="e">
        <f aca="false">GETPIVOTDATA("機型",$A$3,"門市","七堵")=C50</f>
        <v>#VALUE!</v>
      </c>
      <c r="F50" s="0" t="s">
        <v>49</v>
      </c>
      <c r="G50" s="0" t="n">
        <v>10</v>
      </c>
      <c r="H50" s="0" t="e">
        <f aca="false">VLOOKUP(F:F,#REF!,2,0)</f>
        <v>#VALUE!</v>
      </c>
      <c r="I50" s="0" t="e">
        <f aca="false">G50=H50</f>
        <v>#VALUE!</v>
      </c>
    </row>
    <row r="51" customFormat="false" ht="16.5" hidden="true" customHeight="false" outlineLevel="0" collapsed="false">
      <c r="A51" s="6" t="s">
        <v>50</v>
      </c>
      <c r="B51" s="7" t="n">
        <v>4</v>
      </c>
      <c r="C51" s="0" t="e">
        <f aca="false">VLOOKUP(A:A,#REF!,2,0)</f>
        <v>#VALUE!</v>
      </c>
      <c r="D51" s="0" t="e">
        <f aca="false">GETPIVOTDATA("機型",$A$3,"門市","七堵")=C51</f>
        <v>#VALUE!</v>
      </c>
      <c r="F51" s="0" t="s">
        <v>50</v>
      </c>
      <c r="G51" s="0" t="n">
        <v>4</v>
      </c>
      <c r="H51" s="0" t="e">
        <f aca="false">VLOOKUP(F:F,#REF!,2,0)</f>
        <v>#VALUE!</v>
      </c>
      <c r="I51" s="0" t="e">
        <f aca="false">G51=H51</f>
        <v>#VALUE!</v>
      </c>
    </row>
    <row r="52" customFormat="false" ht="16.5" hidden="true" customHeight="false" outlineLevel="0" collapsed="false">
      <c r="A52" s="6" t="s">
        <v>51</v>
      </c>
      <c r="B52" s="7" t="n">
        <v>3</v>
      </c>
      <c r="C52" s="0" t="e">
        <f aca="false">VLOOKUP(A:A,#REF!,2,0)</f>
        <v>#VALUE!</v>
      </c>
      <c r="D52" s="0" t="e">
        <f aca="false">GETPIVOTDATA("機型",$A$3,"門市","七堵")=C52</f>
        <v>#VALUE!</v>
      </c>
      <c r="F52" s="0" t="s">
        <v>51</v>
      </c>
      <c r="G52" s="0" t="n">
        <v>3</v>
      </c>
      <c r="H52" s="0" t="e">
        <f aca="false">VLOOKUP(F:F,#REF!,2,0)</f>
        <v>#VALUE!</v>
      </c>
      <c r="I52" s="0" t="e">
        <f aca="false">G52=H52</f>
        <v>#VALUE!</v>
      </c>
    </row>
    <row r="53" customFormat="false" ht="16.5" hidden="true" customHeight="false" outlineLevel="0" collapsed="false">
      <c r="A53" s="6" t="s">
        <v>52</v>
      </c>
      <c r="B53" s="7" t="n">
        <v>4</v>
      </c>
      <c r="C53" s="0" t="e">
        <f aca="false">VLOOKUP(A:A,#REF!,2,0)</f>
        <v>#VALUE!</v>
      </c>
      <c r="D53" s="0" t="e">
        <f aca="false">GETPIVOTDATA("機型",$A$3,"門市","七堵")=C53</f>
        <v>#VALUE!</v>
      </c>
      <c r="F53" s="0" t="s">
        <v>52</v>
      </c>
      <c r="G53" s="0" t="n">
        <v>4</v>
      </c>
      <c r="H53" s="0" t="e">
        <f aca="false">VLOOKUP(F:F,#REF!,2,0)</f>
        <v>#VALUE!</v>
      </c>
      <c r="I53" s="0" t="e">
        <f aca="false">G53=H53</f>
        <v>#VALUE!</v>
      </c>
    </row>
    <row r="54" customFormat="false" ht="16.5" hidden="true" customHeight="false" outlineLevel="0" collapsed="false">
      <c r="A54" s="6" t="s">
        <v>53</v>
      </c>
      <c r="B54" s="7" t="n">
        <v>2</v>
      </c>
      <c r="C54" s="0" t="e">
        <f aca="false">VLOOKUP(A:A,#REF!,2,0)</f>
        <v>#VALUE!</v>
      </c>
      <c r="D54" s="0" t="e">
        <f aca="false">GETPIVOTDATA("機型",$A$3,"門市","七堵")=C54</f>
        <v>#VALUE!</v>
      </c>
      <c r="F54" s="0" t="s">
        <v>53</v>
      </c>
      <c r="G54" s="0" t="n">
        <v>2</v>
      </c>
      <c r="H54" s="0" t="e">
        <f aca="false">VLOOKUP(F:F,#REF!,2,0)</f>
        <v>#VALUE!</v>
      </c>
      <c r="I54" s="0" t="e">
        <f aca="false">G54=H54</f>
        <v>#VALUE!</v>
      </c>
    </row>
    <row r="55" customFormat="false" ht="16.5" hidden="true" customHeight="false" outlineLevel="0" collapsed="false">
      <c r="A55" s="6" t="s">
        <v>54</v>
      </c>
      <c r="B55" s="7" t="n">
        <v>1</v>
      </c>
      <c r="C55" s="0" t="e">
        <f aca="false">VLOOKUP(A:A,#REF!,2,0)</f>
        <v>#VALUE!</v>
      </c>
      <c r="D55" s="0" t="e">
        <f aca="false">GETPIVOTDATA("機型",$A$3,"門市","七堵")=C55</f>
        <v>#VALUE!</v>
      </c>
      <c r="F55" s="0" t="s">
        <v>54</v>
      </c>
      <c r="G55" s="0" t="n">
        <v>1</v>
      </c>
      <c r="H55" s="0" t="e">
        <f aca="false">VLOOKUP(F:F,#REF!,2,0)</f>
        <v>#VALUE!</v>
      </c>
      <c r="I55" s="0" t="e">
        <f aca="false">G55=H55</f>
        <v>#VALUE!</v>
      </c>
    </row>
    <row r="56" customFormat="false" ht="16.5" hidden="true" customHeight="false" outlineLevel="0" collapsed="false">
      <c r="A56" s="6" t="s">
        <v>55</v>
      </c>
      <c r="B56" s="7" t="n">
        <v>2</v>
      </c>
      <c r="C56" s="0" t="e">
        <f aca="false">VLOOKUP(A:A,#REF!,2,0)</f>
        <v>#VALUE!</v>
      </c>
      <c r="D56" s="0" t="e">
        <f aca="false">GETPIVOTDATA("機型",$A$3,"門市","七堵")=C56</f>
        <v>#VALUE!</v>
      </c>
      <c r="F56" s="0" t="s">
        <v>55</v>
      </c>
      <c r="G56" s="0" t="n">
        <v>2</v>
      </c>
      <c r="H56" s="0" t="e">
        <f aca="false">VLOOKUP(F:F,#REF!,2,0)</f>
        <v>#VALUE!</v>
      </c>
      <c r="I56" s="0" t="e">
        <f aca="false">G56=H56</f>
        <v>#VALUE!</v>
      </c>
    </row>
    <row r="57" customFormat="false" ht="16.5" hidden="true" customHeight="false" outlineLevel="0" collapsed="false">
      <c r="A57" s="6" t="s">
        <v>56</v>
      </c>
      <c r="B57" s="7" t="n">
        <v>5</v>
      </c>
      <c r="C57" s="0" t="e">
        <f aca="false">VLOOKUP(A:A,#REF!,2,0)</f>
        <v>#VALUE!</v>
      </c>
      <c r="D57" s="0" t="e">
        <f aca="false">GETPIVOTDATA("機型",$A$3,"門市","七堵")=C57</f>
        <v>#VALUE!</v>
      </c>
      <c r="F57" s="0" t="s">
        <v>56</v>
      </c>
      <c r="G57" s="0" t="n">
        <v>5</v>
      </c>
      <c r="H57" s="0" t="e">
        <f aca="false">VLOOKUP(F:F,#REF!,2,0)</f>
        <v>#VALUE!</v>
      </c>
      <c r="I57" s="0" t="e">
        <f aca="false">G57=H57</f>
        <v>#VALUE!</v>
      </c>
    </row>
    <row r="58" customFormat="false" ht="16.5" hidden="false" customHeight="false" outlineLevel="0" collapsed="false">
      <c r="A58" s="6" t="s">
        <v>57</v>
      </c>
      <c r="B58" s="7" t="n">
        <v>6</v>
      </c>
      <c r="C58" s="0" t="e">
        <f aca="false">VLOOKUP(A:A,#REF!,2,0)</f>
        <v>#VALUE!</v>
      </c>
      <c r="D58" s="0" t="e">
        <f aca="false">GETPIVOTDATA("機型",$A$3,"門市","七堵")=C58</f>
        <v>#VALUE!</v>
      </c>
      <c r="F58" s="8" t="s">
        <v>57</v>
      </c>
      <c r="G58" s="8" t="n">
        <v>6</v>
      </c>
      <c r="H58" s="8" t="e">
        <f aca="false">VLOOKUP(F:F,#REF!,2,0)</f>
        <v>#VALUE!</v>
      </c>
      <c r="I58" s="0" t="e">
        <f aca="false">G58=H58</f>
        <v>#VALUE!</v>
      </c>
    </row>
    <row r="59" customFormat="false" ht="16.5" hidden="true" customHeight="false" outlineLevel="0" collapsed="false">
      <c r="A59" s="6" t="s">
        <v>58</v>
      </c>
      <c r="B59" s="7" t="n">
        <v>5</v>
      </c>
      <c r="C59" s="0" t="e">
        <f aca="false">VLOOKUP(A:A,#REF!,2,0)</f>
        <v>#VALUE!</v>
      </c>
      <c r="D59" s="0" t="e">
        <f aca="false">GETPIVOTDATA("機型",$A$3,"門市","七堵")=C59</f>
        <v>#VALUE!</v>
      </c>
      <c r="F59" s="0" t="s">
        <v>58</v>
      </c>
      <c r="G59" s="0" t="n">
        <v>5</v>
      </c>
      <c r="H59" s="0" t="e">
        <f aca="false">VLOOKUP(F:F,#REF!,2,0)</f>
        <v>#VALUE!</v>
      </c>
      <c r="I59" s="0" t="e">
        <f aca="false">G59=H59</f>
        <v>#VALUE!</v>
      </c>
    </row>
    <row r="60" customFormat="false" ht="16.5" hidden="true" customHeight="false" outlineLevel="0" collapsed="false">
      <c r="A60" s="6" t="s">
        <v>59</v>
      </c>
      <c r="B60" s="7" t="n">
        <v>4</v>
      </c>
      <c r="C60" s="0" t="e">
        <f aca="false">VLOOKUP(A:A,#REF!,2,0)</f>
        <v>#VALUE!</v>
      </c>
      <c r="D60" s="0" t="e">
        <f aca="false">GETPIVOTDATA("機型",$A$3,"門市","七堵")=C60</f>
        <v>#VALUE!</v>
      </c>
      <c r="F60" s="0" t="s">
        <v>59</v>
      </c>
      <c r="G60" s="0" t="n">
        <v>4</v>
      </c>
      <c r="H60" s="0" t="e">
        <f aca="false">VLOOKUP(F:F,#REF!,2,0)</f>
        <v>#VALUE!</v>
      </c>
      <c r="I60" s="0" t="e">
        <f aca="false">G60=H60</f>
        <v>#VALUE!</v>
      </c>
    </row>
    <row r="61" customFormat="false" ht="16.5" hidden="true" customHeight="false" outlineLevel="0" collapsed="false">
      <c r="A61" s="6" t="s">
        <v>60</v>
      </c>
      <c r="B61" s="7" t="n">
        <v>2</v>
      </c>
      <c r="C61" s="0" t="e">
        <f aca="false">VLOOKUP(A:A,#REF!,2,0)</f>
        <v>#VALUE!</v>
      </c>
      <c r="D61" s="0" t="e">
        <f aca="false">GETPIVOTDATA("機型",$A$3,"門市","七堵")=C61</f>
        <v>#VALUE!</v>
      </c>
      <c r="F61" s="0" t="s">
        <v>60</v>
      </c>
      <c r="G61" s="0" t="n">
        <v>2</v>
      </c>
      <c r="H61" s="0" t="e">
        <f aca="false">VLOOKUP(F:F,#REF!,2,0)</f>
        <v>#VALUE!</v>
      </c>
      <c r="I61" s="0" t="e">
        <f aca="false">G61=H61</f>
        <v>#VALUE!</v>
      </c>
    </row>
    <row r="62" customFormat="false" ht="16.5" hidden="true" customHeight="false" outlineLevel="0" collapsed="false">
      <c r="A62" s="6" t="s">
        <v>61</v>
      </c>
      <c r="B62" s="7" t="n">
        <v>6</v>
      </c>
      <c r="C62" s="0" t="n">
        <v>6</v>
      </c>
      <c r="D62" s="0" t="n">
        <f aca="false">GETPIVOTDATA("機型",$A$3,"門市","七堵")=C62</f>
        <v>0</v>
      </c>
      <c r="F62" s="0" t="s">
        <v>61</v>
      </c>
      <c r="G62" s="0" t="n">
        <v>6</v>
      </c>
      <c r="H62" s="0" t="n">
        <v>6</v>
      </c>
      <c r="I62" s="0" t="n">
        <f aca="false">G62=H62</f>
        <v>1</v>
      </c>
    </row>
    <row r="63" customFormat="false" ht="16.5" hidden="true" customHeight="false" outlineLevel="0" collapsed="false">
      <c r="A63" s="6" t="s">
        <v>62</v>
      </c>
      <c r="B63" s="7" t="n">
        <v>19</v>
      </c>
      <c r="C63" s="0" t="e">
        <f aca="false">VLOOKUP(A:A,#REF!,2,0)</f>
        <v>#VALUE!</v>
      </c>
      <c r="D63" s="0" t="e">
        <f aca="false">GETPIVOTDATA("機型",$A$3,"門市","七堵")=C63</f>
        <v>#VALUE!</v>
      </c>
      <c r="F63" s="0" t="s">
        <v>62</v>
      </c>
      <c r="G63" s="0" t="n">
        <v>19</v>
      </c>
      <c r="H63" s="0" t="e">
        <f aca="false">VLOOKUP(F:F,#REF!,2,0)</f>
        <v>#VALUE!</v>
      </c>
      <c r="I63" s="0" t="e">
        <f aca="false">G63=H63</f>
        <v>#VALUE!</v>
      </c>
    </row>
    <row r="64" customFormat="false" ht="16.5" hidden="true" customHeight="false" outlineLevel="0" collapsed="false">
      <c r="A64" s="6" t="s">
        <v>63</v>
      </c>
      <c r="B64" s="7" t="n">
        <v>4</v>
      </c>
      <c r="C64" s="0" t="e">
        <f aca="false">VLOOKUP(A:A,#REF!,2,0)</f>
        <v>#VALUE!</v>
      </c>
      <c r="D64" s="0" t="e">
        <f aca="false">GETPIVOTDATA("機型",$A$3,"門市","七堵")=C64</f>
        <v>#VALUE!</v>
      </c>
      <c r="F64" s="0" t="s">
        <v>63</v>
      </c>
      <c r="G64" s="0" t="n">
        <v>4</v>
      </c>
      <c r="H64" s="0" t="e">
        <f aca="false">VLOOKUP(F:F,#REF!,2,0)</f>
        <v>#VALUE!</v>
      </c>
      <c r="I64" s="0" t="e">
        <f aca="false">G64=H64</f>
        <v>#VALUE!</v>
      </c>
    </row>
    <row r="65" customFormat="false" ht="16.5" hidden="true" customHeight="false" outlineLevel="0" collapsed="false">
      <c r="A65" s="6" t="s">
        <v>64</v>
      </c>
      <c r="B65" s="7" t="n">
        <v>2</v>
      </c>
      <c r="C65" s="0" t="e">
        <f aca="false">VLOOKUP(A:A,#REF!,2,0)</f>
        <v>#VALUE!</v>
      </c>
      <c r="D65" s="0" t="e">
        <f aca="false">GETPIVOTDATA("機型",$A$3,"門市","七堵")=C65</f>
        <v>#VALUE!</v>
      </c>
      <c r="F65" s="0" t="s">
        <v>64</v>
      </c>
      <c r="G65" s="0" t="n">
        <v>2</v>
      </c>
      <c r="H65" s="0" t="e">
        <f aca="false">VLOOKUP(F:F,#REF!,2,0)</f>
        <v>#VALUE!</v>
      </c>
      <c r="I65" s="0" t="e">
        <f aca="false">G65=H65</f>
        <v>#VALUE!</v>
      </c>
    </row>
    <row r="66" customFormat="false" ht="16.5" hidden="true" customHeight="false" outlineLevel="0" collapsed="false">
      <c r="A66" s="6" t="s">
        <v>65</v>
      </c>
      <c r="B66" s="7" t="n">
        <v>3</v>
      </c>
      <c r="C66" s="0" t="e">
        <f aca="false">VLOOKUP(A:A,#REF!,2,0)</f>
        <v>#VALUE!</v>
      </c>
      <c r="D66" s="0" t="e">
        <f aca="false">GETPIVOTDATA("機型",$A$3,"門市","七堵")=C66</f>
        <v>#VALUE!</v>
      </c>
      <c r="F66" s="0" t="s">
        <v>65</v>
      </c>
      <c r="G66" s="0" t="n">
        <v>3</v>
      </c>
      <c r="H66" s="0" t="e">
        <f aca="false">VLOOKUP(F:F,#REF!,2,0)</f>
        <v>#VALUE!</v>
      </c>
      <c r="I66" s="0" t="e">
        <f aca="false">G66=H66</f>
        <v>#VALUE!</v>
      </c>
    </row>
    <row r="67" customFormat="false" ht="16.5" hidden="true" customHeight="false" outlineLevel="0" collapsed="false">
      <c r="A67" s="6" t="s">
        <v>66</v>
      </c>
      <c r="B67" s="7" t="n">
        <v>8</v>
      </c>
      <c r="C67" s="0" t="e">
        <f aca="false">VLOOKUP(A:A,#REF!,2,0)</f>
        <v>#VALUE!</v>
      </c>
      <c r="D67" s="0" t="e">
        <f aca="false">GETPIVOTDATA("機型",$A$3,"門市","七堵")=C67</f>
        <v>#VALUE!</v>
      </c>
      <c r="F67" s="0" t="s">
        <v>66</v>
      </c>
      <c r="G67" s="0" t="n">
        <v>8</v>
      </c>
      <c r="H67" s="0" t="e">
        <f aca="false">VLOOKUP(F:F,#REF!,2,0)</f>
        <v>#VALUE!</v>
      </c>
      <c r="I67" s="0" t="e">
        <f aca="false">G67=H67</f>
        <v>#VALUE!</v>
      </c>
    </row>
    <row r="68" customFormat="false" ht="16.5" hidden="true" customHeight="false" outlineLevel="0" collapsed="false">
      <c r="A68" s="6" t="s">
        <v>67</v>
      </c>
      <c r="B68" s="7" t="n">
        <v>5</v>
      </c>
      <c r="C68" s="0" t="e">
        <f aca="false">VLOOKUP(A:A,#REF!,2,0)</f>
        <v>#VALUE!</v>
      </c>
      <c r="D68" s="0" t="e">
        <f aca="false">GETPIVOTDATA("機型",$A$3,"門市","七堵")=C68</f>
        <v>#VALUE!</v>
      </c>
      <c r="F68" s="0" t="s">
        <v>67</v>
      </c>
      <c r="G68" s="0" t="n">
        <v>5</v>
      </c>
      <c r="H68" s="0" t="e">
        <f aca="false">VLOOKUP(F:F,#REF!,2,0)</f>
        <v>#VALUE!</v>
      </c>
      <c r="I68" s="0" t="e">
        <f aca="false">G68=H68</f>
        <v>#VALUE!</v>
      </c>
    </row>
    <row r="69" customFormat="false" ht="16.5" hidden="true" customHeight="false" outlineLevel="0" collapsed="false">
      <c r="A69" s="6" t="s">
        <v>68</v>
      </c>
      <c r="B69" s="7" t="n">
        <v>8</v>
      </c>
      <c r="C69" s="0" t="e">
        <f aca="false">VLOOKUP(A:A,#REF!,2,0)</f>
        <v>#VALUE!</v>
      </c>
      <c r="D69" s="0" t="e">
        <f aca="false">GETPIVOTDATA("機型",$A$3,"門市","七堵")=C69</f>
        <v>#VALUE!</v>
      </c>
      <c r="F69" s="0" t="s">
        <v>68</v>
      </c>
      <c r="G69" s="0" t="n">
        <v>8</v>
      </c>
      <c r="H69" s="0" t="e">
        <f aca="false">VLOOKUP(F:F,#REF!,2,0)</f>
        <v>#VALUE!</v>
      </c>
      <c r="I69" s="0" t="e">
        <f aca="false">G69=H69</f>
        <v>#VALUE!</v>
      </c>
    </row>
    <row r="70" customFormat="false" ht="16.5" hidden="true" customHeight="false" outlineLevel="0" collapsed="false">
      <c r="A70" s="6" t="s">
        <v>69</v>
      </c>
      <c r="B70" s="7" t="n">
        <v>2</v>
      </c>
      <c r="C70" s="0" t="e">
        <f aca="false">VLOOKUP(A:A,#REF!,2,0)</f>
        <v>#VALUE!</v>
      </c>
      <c r="D70" s="0" t="e">
        <f aca="false">GETPIVOTDATA("機型",$A$3,"門市","七堵")=C70</f>
        <v>#VALUE!</v>
      </c>
      <c r="F70" s="0" t="s">
        <v>69</v>
      </c>
      <c r="G70" s="0" t="n">
        <v>2</v>
      </c>
      <c r="H70" s="0" t="e">
        <f aca="false">VLOOKUP(F:F,#REF!,2,0)</f>
        <v>#VALUE!</v>
      </c>
      <c r="I70" s="0" t="e">
        <f aca="false">G70=H70</f>
        <v>#VALUE!</v>
      </c>
    </row>
    <row r="71" customFormat="false" ht="16.5" hidden="true" customHeight="false" outlineLevel="0" collapsed="false">
      <c r="A71" s="6" t="s">
        <v>70</v>
      </c>
      <c r="B71" s="7" t="n">
        <v>6</v>
      </c>
      <c r="C71" s="0" t="e">
        <f aca="false">VLOOKUP(A:A,#REF!,2,0)</f>
        <v>#VALUE!</v>
      </c>
      <c r="D71" s="0" t="e">
        <f aca="false">GETPIVOTDATA("機型",$A$3,"門市","七堵")=C71</f>
        <v>#VALUE!</v>
      </c>
      <c r="F71" s="0" t="s">
        <v>70</v>
      </c>
      <c r="G71" s="0" t="n">
        <v>6</v>
      </c>
      <c r="H71" s="0" t="e">
        <f aca="false">VLOOKUP(F:F,#REF!,2,0)</f>
        <v>#VALUE!</v>
      </c>
      <c r="I71" s="0" t="e">
        <f aca="false">G71=H71</f>
        <v>#VALUE!</v>
      </c>
    </row>
    <row r="72" customFormat="false" ht="16.5" hidden="true" customHeight="false" outlineLevel="0" collapsed="false">
      <c r="A72" s="6" t="s">
        <v>71</v>
      </c>
      <c r="B72" s="7" t="n">
        <v>3</v>
      </c>
      <c r="C72" s="0" t="n">
        <v>3</v>
      </c>
      <c r="D72" s="0" t="n">
        <f aca="false">GETPIVOTDATA("機型",$A$3,"門市","七堵")=C72</f>
        <v>0</v>
      </c>
      <c r="F72" s="0" t="s">
        <v>71</v>
      </c>
      <c r="G72" s="0" t="n">
        <v>3</v>
      </c>
      <c r="H72" s="0" t="n">
        <v>3</v>
      </c>
      <c r="I72" s="0" t="n">
        <f aca="false">G72=H72</f>
        <v>1</v>
      </c>
    </row>
    <row r="73" customFormat="false" ht="16.5" hidden="false" customHeight="false" outlineLevel="0" collapsed="false">
      <c r="A73" s="6" t="s">
        <v>72</v>
      </c>
      <c r="B73" s="7" t="n">
        <v>3</v>
      </c>
      <c r="C73" s="0" t="e">
        <f aca="false">VLOOKUP(A:A,#REF!,2,0)</f>
        <v>#VALUE!</v>
      </c>
      <c r="D73" s="0" t="e">
        <f aca="false">GETPIVOTDATA("機型",$A$3,"門市","七堵")=C73</f>
        <v>#VALUE!</v>
      </c>
      <c r="F73" s="8" t="s">
        <v>72</v>
      </c>
      <c r="G73" s="8" t="n">
        <v>3</v>
      </c>
      <c r="H73" s="0" t="e">
        <f aca="false">VLOOKUP(F:F,#REF!,2,0)</f>
        <v>#VALUE!</v>
      </c>
      <c r="I73" s="0" t="e">
        <f aca="false">G73=H73</f>
        <v>#VALUE!</v>
      </c>
    </row>
    <row r="74" customFormat="false" ht="16.5" hidden="true" customHeight="false" outlineLevel="0" collapsed="false">
      <c r="A74" s="6" t="s">
        <v>73</v>
      </c>
      <c r="B74" s="7" t="n">
        <v>1</v>
      </c>
      <c r="C74" s="0" t="e">
        <f aca="false">VLOOKUP(A:A,#REF!,2,0)</f>
        <v>#VALUE!</v>
      </c>
      <c r="D74" s="0" t="e">
        <f aca="false">GETPIVOTDATA("機型",$A$3,"門市","七堵")=C74</f>
        <v>#VALUE!</v>
      </c>
      <c r="F74" s="0" t="s">
        <v>73</v>
      </c>
      <c r="G74" s="0" t="n">
        <v>1</v>
      </c>
      <c r="H74" s="0" t="e">
        <f aca="false">VLOOKUP(F:F,#REF!,2,0)</f>
        <v>#VALUE!</v>
      </c>
      <c r="I74" s="0" t="e">
        <f aca="false">G74=H74</f>
        <v>#VALUE!</v>
      </c>
    </row>
    <row r="75" customFormat="false" ht="16.5" hidden="true" customHeight="false" outlineLevel="0" collapsed="false">
      <c r="A75" s="6" t="s">
        <v>74</v>
      </c>
      <c r="B75" s="7" t="n">
        <v>14</v>
      </c>
      <c r="C75" s="0" t="e">
        <f aca="false">VLOOKUP(A:A,#REF!,2,0)</f>
        <v>#VALUE!</v>
      </c>
      <c r="D75" s="0" t="e">
        <f aca="false">GETPIVOTDATA("機型",$A$3,"門市","七堵")=C75</f>
        <v>#VALUE!</v>
      </c>
      <c r="F75" s="0" t="s">
        <v>74</v>
      </c>
      <c r="G75" s="0" t="n">
        <v>14</v>
      </c>
      <c r="H75" s="0" t="e">
        <f aca="false">VLOOKUP(F:F,#REF!,2,0)</f>
        <v>#VALUE!</v>
      </c>
      <c r="I75" s="0" t="e">
        <f aca="false">G75=H75</f>
        <v>#VALUE!</v>
      </c>
    </row>
    <row r="76" customFormat="false" ht="16.5" hidden="true" customHeight="false" outlineLevel="0" collapsed="false">
      <c r="A76" s="6" t="s">
        <v>75</v>
      </c>
      <c r="B76" s="7" t="n">
        <v>4</v>
      </c>
      <c r="C76" s="0" t="e">
        <f aca="false">VLOOKUP(A:A,#REF!,2,0)</f>
        <v>#VALUE!</v>
      </c>
      <c r="D76" s="0" t="e">
        <f aca="false">GETPIVOTDATA("機型",$A$3,"門市","七堵")=C76</f>
        <v>#VALUE!</v>
      </c>
      <c r="F76" s="0" t="s">
        <v>75</v>
      </c>
      <c r="G76" s="0" t="n">
        <v>4</v>
      </c>
      <c r="H76" s="0" t="e">
        <f aca="false">VLOOKUP(F:F,#REF!,2,0)</f>
        <v>#VALUE!</v>
      </c>
      <c r="I76" s="0" t="e">
        <f aca="false">G76=H76</f>
        <v>#VALUE!</v>
      </c>
    </row>
    <row r="77" customFormat="false" ht="16.5" hidden="true" customHeight="false" outlineLevel="0" collapsed="false">
      <c r="A77" s="6" t="s">
        <v>76</v>
      </c>
      <c r="B77" s="7" t="n">
        <v>2</v>
      </c>
      <c r="C77" s="0" t="e">
        <f aca="false">VLOOKUP(A:A,#REF!,2,0)</f>
        <v>#VALUE!</v>
      </c>
      <c r="D77" s="0" t="e">
        <f aca="false">GETPIVOTDATA("機型",$A$3,"門市","七堵")=C77</f>
        <v>#VALUE!</v>
      </c>
      <c r="F77" s="0" t="s">
        <v>76</v>
      </c>
      <c r="G77" s="0" t="n">
        <v>2</v>
      </c>
      <c r="H77" s="0" t="e">
        <f aca="false">VLOOKUP(F:F,#REF!,2,0)</f>
        <v>#VALUE!</v>
      </c>
      <c r="I77" s="0" t="e">
        <f aca="false">G77=H77</f>
        <v>#VALUE!</v>
      </c>
    </row>
    <row r="78" customFormat="false" ht="16.5" hidden="true" customHeight="false" outlineLevel="0" collapsed="false">
      <c r="A78" s="6" t="s">
        <v>77</v>
      </c>
      <c r="B78" s="7" t="n">
        <v>5</v>
      </c>
      <c r="C78" s="0" t="e">
        <f aca="false">VLOOKUP(A:A,#REF!,2,0)</f>
        <v>#VALUE!</v>
      </c>
      <c r="D78" s="0" t="e">
        <f aca="false">GETPIVOTDATA("機型",$A$3,"門市","七堵")=C78</f>
        <v>#VALUE!</v>
      </c>
      <c r="F78" s="0" t="s">
        <v>77</v>
      </c>
      <c r="G78" s="0" t="n">
        <v>5</v>
      </c>
      <c r="H78" s="0" t="e">
        <f aca="false">VLOOKUP(F:F,#REF!,2,0)</f>
        <v>#VALUE!</v>
      </c>
      <c r="I78" s="0" t="e">
        <f aca="false">G78=H78</f>
        <v>#VALUE!</v>
      </c>
    </row>
    <row r="79" customFormat="false" ht="16.5" hidden="true" customHeight="false" outlineLevel="0" collapsed="false">
      <c r="A79" s="6" t="s">
        <v>78</v>
      </c>
      <c r="B79" s="7" t="n">
        <v>3</v>
      </c>
      <c r="C79" s="0" t="e">
        <f aca="false">VLOOKUP(A:A,#REF!,2,0)</f>
        <v>#VALUE!</v>
      </c>
      <c r="D79" s="0" t="e">
        <f aca="false">GETPIVOTDATA("機型",$A$3,"門市","七堵")=C79</f>
        <v>#VALUE!</v>
      </c>
      <c r="F79" s="0" t="s">
        <v>78</v>
      </c>
      <c r="G79" s="0" t="n">
        <v>3</v>
      </c>
      <c r="H79" s="0" t="e">
        <f aca="false">VLOOKUP(F:F,#REF!,2,0)</f>
        <v>#VALUE!</v>
      </c>
      <c r="I79" s="0" t="e">
        <f aca="false">G79=H79</f>
        <v>#VALUE!</v>
      </c>
    </row>
    <row r="80" customFormat="false" ht="16.5" hidden="true" customHeight="false" outlineLevel="0" collapsed="false">
      <c r="A80" s="6" t="s">
        <v>79</v>
      </c>
      <c r="B80" s="7" t="n">
        <v>7</v>
      </c>
      <c r="C80" s="0" t="e">
        <f aca="false">VLOOKUP(A:A,#REF!,2,0)</f>
        <v>#VALUE!</v>
      </c>
      <c r="D80" s="0" t="e">
        <f aca="false">GETPIVOTDATA("機型",$A$3,"門市","七堵")=C80</f>
        <v>#VALUE!</v>
      </c>
      <c r="F80" s="0" t="s">
        <v>79</v>
      </c>
      <c r="G80" s="0" t="n">
        <v>7</v>
      </c>
      <c r="H80" s="0" t="e">
        <f aca="false">VLOOKUP(F:F,#REF!,2,0)</f>
        <v>#VALUE!</v>
      </c>
      <c r="I80" s="0" t="e">
        <f aca="false">G80=H80</f>
        <v>#VALUE!</v>
      </c>
    </row>
    <row r="81" customFormat="false" ht="16.5" hidden="true" customHeight="false" outlineLevel="0" collapsed="false">
      <c r="A81" s="6" t="s">
        <v>80</v>
      </c>
      <c r="B81" s="7" t="n">
        <v>1</v>
      </c>
      <c r="C81" s="0" t="n">
        <v>1</v>
      </c>
      <c r="D81" s="0" t="n">
        <f aca="false">GETPIVOTDATA("機型",$A$3,"門市","七堵")=C81</f>
        <v>0</v>
      </c>
      <c r="F81" s="0" t="s">
        <v>80</v>
      </c>
      <c r="G81" s="0" t="n">
        <v>1</v>
      </c>
      <c r="H81" s="0" t="n">
        <v>1</v>
      </c>
      <c r="I81" s="0" t="n">
        <f aca="false">G81=H81</f>
        <v>1</v>
      </c>
    </row>
    <row r="82" customFormat="false" ht="16.5" hidden="true" customHeight="false" outlineLevel="0" collapsed="false">
      <c r="A82" s="6" t="s">
        <v>81</v>
      </c>
      <c r="B82" s="7" t="n">
        <v>5</v>
      </c>
      <c r="C82" s="0" t="e">
        <f aca="false">VLOOKUP(A:A,#REF!,2,0)</f>
        <v>#VALUE!</v>
      </c>
      <c r="D82" s="0" t="e">
        <f aca="false">GETPIVOTDATA("機型",$A$3,"門市","七堵")=C82</f>
        <v>#VALUE!</v>
      </c>
      <c r="F82" s="0" t="s">
        <v>81</v>
      </c>
      <c r="G82" s="0" t="n">
        <v>5</v>
      </c>
      <c r="H82" s="0" t="e">
        <f aca="false">VLOOKUP(F:F,#REF!,2,0)</f>
        <v>#VALUE!</v>
      </c>
      <c r="I82" s="0" t="e">
        <f aca="false">G82=H82</f>
        <v>#VALUE!</v>
      </c>
    </row>
    <row r="83" customFormat="false" ht="16.5" hidden="true" customHeight="false" outlineLevel="0" collapsed="false">
      <c r="A83" s="6" t="s">
        <v>82</v>
      </c>
      <c r="B83" s="7" t="n">
        <v>8</v>
      </c>
      <c r="C83" s="0" t="e">
        <f aca="false">VLOOKUP(A:A,#REF!,2,0)</f>
        <v>#VALUE!</v>
      </c>
      <c r="D83" s="0" t="e">
        <f aca="false">GETPIVOTDATA("機型",$A$3,"門市","七堵")=C83</f>
        <v>#VALUE!</v>
      </c>
      <c r="F83" s="0" t="s">
        <v>82</v>
      </c>
      <c r="G83" s="0" t="n">
        <v>8</v>
      </c>
      <c r="H83" s="0" t="e">
        <f aca="false">VLOOKUP(F:F,#REF!,2,0)</f>
        <v>#VALUE!</v>
      </c>
      <c r="I83" s="0" t="e">
        <f aca="false">G83=H83</f>
        <v>#VALUE!</v>
      </c>
    </row>
    <row r="84" customFormat="false" ht="16.5" hidden="true" customHeight="false" outlineLevel="0" collapsed="false">
      <c r="A84" s="6" t="s">
        <v>83</v>
      </c>
      <c r="B84" s="7" t="n">
        <v>2</v>
      </c>
      <c r="C84" s="0" t="e">
        <f aca="false">VLOOKUP(A:A,#REF!,2,0)</f>
        <v>#VALUE!</v>
      </c>
      <c r="D84" s="0" t="e">
        <f aca="false">GETPIVOTDATA("機型",$A$3,"門市","七堵")=C84</f>
        <v>#VALUE!</v>
      </c>
      <c r="F84" s="0" t="s">
        <v>83</v>
      </c>
      <c r="G84" s="0" t="n">
        <v>2</v>
      </c>
      <c r="H84" s="0" t="e">
        <f aca="false">VLOOKUP(F:F,#REF!,2,0)</f>
        <v>#VALUE!</v>
      </c>
      <c r="I84" s="0" t="e">
        <f aca="false">G84=H84</f>
        <v>#VALUE!</v>
      </c>
    </row>
    <row r="85" customFormat="false" ht="16.5" hidden="true" customHeight="false" outlineLevel="0" collapsed="false">
      <c r="A85" s="6" t="s">
        <v>84</v>
      </c>
      <c r="B85" s="7" t="n">
        <v>3</v>
      </c>
      <c r="C85" s="0" t="e">
        <f aca="false">VLOOKUP(A:A,#REF!,2,0)</f>
        <v>#VALUE!</v>
      </c>
      <c r="D85" s="0" t="e">
        <f aca="false">GETPIVOTDATA("機型",$A$3,"門市","七堵")=C85</f>
        <v>#VALUE!</v>
      </c>
      <c r="F85" s="0" t="s">
        <v>84</v>
      </c>
      <c r="G85" s="0" t="n">
        <v>3</v>
      </c>
      <c r="H85" s="0" t="e">
        <f aca="false">VLOOKUP(F:F,#REF!,2,0)</f>
        <v>#VALUE!</v>
      </c>
      <c r="I85" s="0" t="e">
        <f aca="false">G85=H85</f>
        <v>#VALUE!</v>
      </c>
    </row>
    <row r="86" customFormat="false" ht="16.5" hidden="true" customHeight="false" outlineLevel="0" collapsed="false">
      <c r="A86" s="6" t="s">
        <v>85</v>
      </c>
      <c r="B86" s="7" t="n">
        <v>10</v>
      </c>
      <c r="C86" s="0" t="e">
        <f aca="false">VLOOKUP(A:A,#REF!,2,0)</f>
        <v>#VALUE!</v>
      </c>
      <c r="D86" s="0" t="e">
        <f aca="false">GETPIVOTDATA("機型",$A$3,"門市","七堵")=C86</f>
        <v>#VALUE!</v>
      </c>
      <c r="F86" s="0" t="s">
        <v>85</v>
      </c>
      <c r="G86" s="0" t="n">
        <v>10</v>
      </c>
      <c r="H86" s="0" t="e">
        <f aca="false">VLOOKUP(F:F,#REF!,2,0)</f>
        <v>#VALUE!</v>
      </c>
      <c r="I86" s="0" t="e">
        <f aca="false">G86=H86</f>
        <v>#VALUE!</v>
      </c>
    </row>
    <row r="87" customFormat="false" ht="16.5" hidden="true" customHeight="false" outlineLevel="0" collapsed="false">
      <c r="A87" s="6" t="s">
        <v>86</v>
      </c>
      <c r="B87" s="7" t="n">
        <v>6</v>
      </c>
      <c r="C87" s="0" t="e">
        <f aca="false">VLOOKUP(A:A,#REF!,2,0)</f>
        <v>#VALUE!</v>
      </c>
      <c r="D87" s="0" t="e">
        <f aca="false">GETPIVOTDATA("機型",$A$3,"門市","七堵")=C87</f>
        <v>#VALUE!</v>
      </c>
      <c r="F87" s="0" t="s">
        <v>86</v>
      </c>
      <c r="G87" s="0" t="n">
        <v>6</v>
      </c>
      <c r="H87" s="0" t="e">
        <f aca="false">VLOOKUP(F:F,#REF!,2,0)</f>
        <v>#VALUE!</v>
      </c>
      <c r="I87" s="0" t="e">
        <f aca="false">G87=H87</f>
        <v>#VALUE!</v>
      </c>
    </row>
    <row r="88" customFormat="false" ht="16.5" hidden="true" customHeight="false" outlineLevel="0" collapsed="false">
      <c r="A88" s="6" t="s">
        <v>87</v>
      </c>
      <c r="B88" s="7" t="n">
        <v>11</v>
      </c>
      <c r="C88" s="0" t="e">
        <f aca="false">VLOOKUP(A:A,#REF!,2,0)</f>
        <v>#VALUE!</v>
      </c>
      <c r="D88" s="0" t="e">
        <f aca="false">GETPIVOTDATA("機型",$A$3,"門市","七堵")=C88</f>
        <v>#VALUE!</v>
      </c>
      <c r="F88" s="0" t="s">
        <v>87</v>
      </c>
      <c r="G88" s="0" t="n">
        <v>11</v>
      </c>
      <c r="H88" s="0" t="e">
        <f aca="false">VLOOKUP(F:F,#REF!,2,0)</f>
        <v>#VALUE!</v>
      </c>
      <c r="I88" s="0" t="e">
        <f aca="false">G88=H88</f>
        <v>#VALUE!</v>
      </c>
    </row>
    <row r="89" customFormat="false" ht="16.5" hidden="true" customHeight="false" outlineLevel="0" collapsed="false">
      <c r="A89" s="6" t="s">
        <v>88</v>
      </c>
      <c r="B89" s="7" t="n">
        <v>7</v>
      </c>
      <c r="C89" s="0" t="e">
        <f aca="false">VLOOKUP(A:A,#REF!,2,0)</f>
        <v>#VALUE!</v>
      </c>
      <c r="D89" s="0" t="e">
        <f aca="false">GETPIVOTDATA("機型",$A$3,"門市","七堵")=C89</f>
        <v>#VALUE!</v>
      </c>
      <c r="F89" s="0" t="s">
        <v>88</v>
      </c>
      <c r="G89" s="0" t="n">
        <v>7</v>
      </c>
      <c r="H89" s="0" t="e">
        <f aca="false">VLOOKUP(F:F,#REF!,2,0)</f>
        <v>#VALUE!</v>
      </c>
      <c r="I89" s="0" t="e">
        <f aca="false">G89=H89</f>
        <v>#VALUE!</v>
      </c>
    </row>
    <row r="90" customFormat="false" ht="16.5" hidden="true" customHeight="false" outlineLevel="0" collapsed="false">
      <c r="A90" s="6" t="s">
        <v>89</v>
      </c>
      <c r="B90" s="7" t="n">
        <v>9</v>
      </c>
      <c r="C90" s="0" t="e">
        <f aca="false">VLOOKUP(A:A,#REF!,2,0)</f>
        <v>#VALUE!</v>
      </c>
      <c r="D90" s="0" t="e">
        <f aca="false">GETPIVOTDATA("機型",$A$3,"門市","七堵")=C90</f>
        <v>#VALUE!</v>
      </c>
      <c r="F90" s="0" t="s">
        <v>89</v>
      </c>
      <c r="G90" s="0" t="n">
        <v>9</v>
      </c>
      <c r="H90" s="0" t="e">
        <f aca="false">VLOOKUP(F:F,#REF!,2,0)</f>
        <v>#VALUE!</v>
      </c>
      <c r="I90" s="0" t="e">
        <f aca="false">G90=H90</f>
        <v>#VALUE!</v>
      </c>
    </row>
    <row r="91" customFormat="false" ht="16.5" hidden="true" customHeight="false" outlineLevel="0" collapsed="false">
      <c r="A91" s="6" t="s">
        <v>90</v>
      </c>
      <c r="B91" s="7" t="n">
        <v>6</v>
      </c>
      <c r="C91" s="0" t="e">
        <f aca="false">VLOOKUP(A:A,#REF!,2,0)</f>
        <v>#VALUE!</v>
      </c>
      <c r="D91" s="0" t="e">
        <f aca="false">GETPIVOTDATA("機型",$A$3,"門市","七堵")=C91</f>
        <v>#VALUE!</v>
      </c>
      <c r="F91" s="0" t="s">
        <v>90</v>
      </c>
      <c r="G91" s="0" t="n">
        <v>6</v>
      </c>
      <c r="H91" s="0" t="e">
        <f aca="false">VLOOKUP(F:F,#REF!,2,0)</f>
        <v>#VALUE!</v>
      </c>
      <c r="I91" s="0" t="e">
        <f aca="false">G91=H91</f>
        <v>#VALUE!</v>
      </c>
    </row>
    <row r="92" customFormat="false" ht="16.5" hidden="true" customHeight="false" outlineLevel="0" collapsed="false">
      <c r="A92" s="6" t="s">
        <v>91</v>
      </c>
      <c r="B92" s="7" t="n">
        <v>1</v>
      </c>
      <c r="C92" s="0" t="e">
        <f aca="false">VLOOKUP(A:A,#REF!,2,0)</f>
        <v>#VALUE!</v>
      </c>
      <c r="D92" s="0" t="e">
        <f aca="false">GETPIVOTDATA("機型",$A$3,"門市","七堵")=C92</f>
        <v>#VALUE!</v>
      </c>
      <c r="F92" s="0" t="s">
        <v>91</v>
      </c>
      <c r="G92" s="0" t="n">
        <v>1</v>
      </c>
      <c r="H92" s="0" t="e">
        <f aca="false">VLOOKUP(F:F,#REF!,2,0)</f>
        <v>#VALUE!</v>
      </c>
      <c r="I92" s="0" t="e">
        <f aca="false">G92=H92</f>
        <v>#VALUE!</v>
      </c>
    </row>
    <row r="93" customFormat="false" ht="16.5" hidden="true" customHeight="false" outlineLevel="0" collapsed="false">
      <c r="A93" s="6" t="s">
        <v>92</v>
      </c>
      <c r="B93" s="7" t="n">
        <v>4</v>
      </c>
      <c r="C93" s="0" t="e">
        <f aca="false">VLOOKUP(A:A,#REF!,2,0)</f>
        <v>#VALUE!</v>
      </c>
      <c r="D93" s="0" t="e">
        <f aca="false">GETPIVOTDATA("機型",$A$3,"門市","七堵")=C93</f>
        <v>#VALUE!</v>
      </c>
      <c r="F93" s="0" t="s">
        <v>92</v>
      </c>
      <c r="G93" s="0" t="n">
        <v>4</v>
      </c>
      <c r="H93" s="0" t="e">
        <f aca="false">VLOOKUP(F:F,#REF!,2,0)</f>
        <v>#VALUE!</v>
      </c>
      <c r="I93" s="0" t="e">
        <f aca="false">G93=H93</f>
        <v>#VALUE!</v>
      </c>
    </row>
    <row r="94" customFormat="false" ht="16.5" hidden="true" customHeight="false" outlineLevel="0" collapsed="false">
      <c r="A94" s="6" t="s">
        <v>93</v>
      </c>
      <c r="B94" s="7" t="n">
        <v>3</v>
      </c>
      <c r="C94" s="0" t="e">
        <f aca="false">VLOOKUP(A:A,#REF!,2,0)</f>
        <v>#VALUE!</v>
      </c>
      <c r="D94" s="0" t="e">
        <f aca="false">GETPIVOTDATA("機型",$A$3,"門市","七堵")=C94</f>
        <v>#VALUE!</v>
      </c>
      <c r="F94" s="0" t="s">
        <v>93</v>
      </c>
      <c r="G94" s="0" t="n">
        <v>3</v>
      </c>
      <c r="H94" s="0" t="e">
        <f aca="false">VLOOKUP(F:F,#REF!,2,0)</f>
        <v>#VALUE!</v>
      </c>
      <c r="I94" s="0" t="e">
        <f aca="false">G94=H94</f>
        <v>#VALUE!</v>
      </c>
    </row>
    <row r="95" customFormat="false" ht="16.5" hidden="true" customHeight="false" outlineLevel="0" collapsed="false">
      <c r="A95" s="6" t="s">
        <v>94</v>
      </c>
      <c r="B95" s="7" t="n">
        <v>2</v>
      </c>
      <c r="C95" s="0" t="e">
        <f aca="false">VLOOKUP(A:A,#REF!,2,0)</f>
        <v>#VALUE!</v>
      </c>
      <c r="D95" s="0" t="e">
        <f aca="false">GETPIVOTDATA("機型",$A$3,"門市","七堵")=C95</f>
        <v>#VALUE!</v>
      </c>
      <c r="F95" s="0" t="s">
        <v>94</v>
      </c>
      <c r="G95" s="0" t="n">
        <v>2</v>
      </c>
      <c r="H95" s="0" t="e">
        <f aca="false">VLOOKUP(F:F,#REF!,2,0)</f>
        <v>#VALUE!</v>
      </c>
      <c r="I95" s="0" t="e">
        <f aca="false">G95=H95</f>
        <v>#VALUE!</v>
      </c>
    </row>
    <row r="96" customFormat="false" ht="16.5" hidden="true" customHeight="false" outlineLevel="0" collapsed="false">
      <c r="A96" s="6" t="s">
        <v>95</v>
      </c>
      <c r="B96" s="7" t="n">
        <v>3</v>
      </c>
      <c r="C96" s="0" t="e">
        <f aca="false">VLOOKUP(A:A,#REF!,2,0)</f>
        <v>#VALUE!</v>
      </c>
      <c r="D96" s="0" t="e">
        <f aca="false">GETPIVOTDATA("機型",$A$3,"門市","七堵")=C96</f>
        <v>#VALUE!</v>
      </c>
      <c r="F96" s="0" t="s">
        <v>95</v>
      </c>
      <c r="G96" s="0" t="n">
        <v>3</v>
      </c>
      <c r="H96" s="0" t="e">
        <f aca="false">VLOOKUP(F:F,#REF!,2,0)</f>
        <v>#VALUE!</v>
      </c>
      <c r="I96" s="0" t="e">
        <f aca="false">G96=H96</f>
        <v>#VALUE!</v>
      </c>
    </row>
    <row r="97" customFormat="false" ht="16.5" hidden="true" customHeight="false" outlineLevel="0" collapsed="false">
      <c r="A97" s="6" t="s">
        <v>96</v>
      </c>
      <c r="B97" s="7" t="n">
        <v>4</v>
      </c>
      <c r="C97" s="0" t="e">
        <f aca="false">VLOOKUP(A:A,#REF!,2,0)</f>
        <v>#VALUE!</v>
      </c>
      <c r="D97" s="0" t="e">
        <f aca="false">GETPIVOTDATA("機型",$A$3,"門市","七堵")=C97</f>
        <v>#VALUE!</v>
      </c>
      <c r="F97" s="0" t="s">
        <v>96</v>
      </c>
      <c r="G97" s="0" t="n">
        <v>4</v>
      </c>
      <c r="H97" s="0" t="e">
        <f aca="false">VLOOKUP(F:F,#REF!,2,0)</f>
        <v>#VALUE!</v>
      </c>
      <c r="I97" s="0" t="e">
        <f aca="false">G97=H97</f>
        <v>#VALUE!</v>
      </c>
    </row>
    <row r="98" customFormat="false" ht="16.5" hidden="true" customHeight="false" outlineLevel="0" collapsed="false">
      <c r="A98" s="6" t="s">
        <v>97</v>
      </c>
      <c r="B98" s="7" t="n">
        <v>4</v>
      </c>
      <c r="C98" s="0" t="e">
        <f aca="false">VLOOKUP(A:A,#REF!,2,0)</f>
        <v>#VALUE!</v>
      </c>
      <c r="D98" s="0" t="e">
        <f aca="false">GETPIVOTDATA("機型",$A$3,"門市","七堵")=C98</f>
        <v>#VALUE!</v>
      </c>
      <c r="F98" s="0" t="s">
        <v>97</v>
      </c>
      <c r="G98" s="0" t="n">
        <v>4</v>
      </c>
      <c r="H98" s="0" t="e">
        <f aca="false">VLOOKUP(F:F,#REF!,2,0)</f>
        <v>#VALUE!</v>
      </c>
      <c r="I98" s="0" t="e">
        <f aca="false">G98=H98</f>
        <v>#VALUE!</v>
      </c>
    </row>
    <row r="99" customFormat="false" ht="16.5" hidden="true" customHeight="false" outlineLevel="0" collapsed="false">
      <c r="A99" s="6" t="s">
        <v>98</v>
      </c>
      <c r="B99" s="7" t="n">
        <v>3</v>
      </c>
      <c r="C99" s="0" t="e">
        <f aca="false">VLOOKUP(A:A,#REF!,2,0)</f>
        <v>#VALUE!</v>
      </c>
      <c r="D99" s="0" t="e">
        <f aca="false">GETPIVOTDATA("機型",$A$3,"門市","七堵")=C99</f>
        <v>#VALUE!</v>
      </c>
      <c r="F99" s="0" t="s">
        <v>98</v>
      </c>
      <c r="G99" s="0" t="n">
        <v>3</v>
      </c>
      <c r="H99" s="0" t="e">
        <f aca="false">VLOOKUP(F:F,#REF!,2,0)</f>
        <v>#VALUE!</v>
      </c>
      <c r="I99" s="0" t="e">
        <f aca="false">G99=H99</f>
        <v>#VALUE!</v>
      </c>
    </row>
    <row r="100" customFormat="false" ht="16.5" hidden="true" customHeight="false" outlineLevel="0" collapsed="false">
      <c r="A100" s="6" t="s">
        <v>99</v>
      </c>
      <c r="B100" s="7" t="n">
        <v>4</v>
      </c>
      <c r="C100" s="0" t="e">
        <f aca="false">VLOOKUP(A:A,#REF!,2,0)</f>
        <v>#VALUE!</v>
      </c>
      <c r="D100" s="0" t="e">
        <f aca="false">GETPIVOTDATA("機型",$A$3,"門市","七堵")=C100</f>
        <v>#VALUE!</v>
      </c>
      <c r="F100" s="0" t="s">
        <v>99</v>
      </c>
      <c r="G100" s="0" t="n">
        <v>4</v>
      </c>
      <c r="H100" s="0" t="e">
        <f aca="false">VLOOKUP(F:F,#REF!,2,0)</f>
        <v>#VALUE!</v>
      </c>
      <c r="I100" s="0" t="e">
        <f aca="false">G100=H100</f>
        <v>#VALUE!</v>
      </c>
    </row>
    <row r="101" customFormat="false" ht="16.5" hidden="true" customHeight="false" outlineLevel="0" collapsed="false">
      <c r="A101" s="6" t="s">
        <v>100</v>
      </c>
      <c r="B101" s="7" t="n">
        <v>7</v>
      </c>
      <c r="C101" s="0" t="e">
        <f aca="false">VLOOKUP(A:A,#REF!,2,0)</f>
        <v>#VALUE!</v>
      </c>
      <c r="D101" s="0" t="e">
        <f aca="false">GETPIVOTDATA("機型",$A$3,"門市","七堵")=C101</f>
        <v>#VALUE!</v>
      </c>
      <c r="F101" s="0" t="s">
        <v>100</v>
      </c>
      <c r="G101" s="0" t="n">
        <v>7</v>
      </c>
      <c r="H101" s="0" t="e">
        <f aca="false">VLOOKUP(F:F,#REF!,2,0)</f>
        <v>#VALUE!</v>
      </c>
      <c r="I101" s="0" t="e">
        <f aca="false">G101=H101</f>
        <v>#VALUE!</v>
      </c>
    </row>
    <row r="102" customFormat="false" ht="16.5" hidden="true" customHeight="false" outlineLevel="0" collapsed="false">
      <c r="A102" s="6" t="s">
        <v>101</v>
      </c>
      <c r="B102" s="7" t="n">
        <v>9</v>
      </c>
      <c r="C102" s="0" t="e">
        <f aca="false">VLOOKUP(A:A,#REF!,2,0)</f>
        <v>#VALUE!</v>
      </c>
      <c r="D102" s="0" t="e">
        <f aca="false">GETPIVOTDATA("機型",$A$3,"門市","七堵")=C102</f>
        <v>#VALUE!</v>
      </c>
      <c r="F102" s="0" t="s">
        <v>101</v>
      </c>
      <c r="G102" s="0" t="n">
        <v>9</v>
      </c>
      <c r="H102" s="0" t="e">
        <f aca="false">VLOOKUP(F:F,#REF!,2,0)</f>
        <v>#VALUE!</v>
      </c>
      <c r="I102" s="0" t="e">
        <f aca="false">G102=H102</f>
        <v>#VALUE!</v>
      </c>
    </row>
    <row r="103" customFormat="false" ht="16.5" hidden="true" customHeight="false" outlineLevel="0" collapsed="false">
      <c r="A103" s="6" t="s">
        <v>102</v>
      </c>
      <c r="B103" s="7" t="n">
        <v>1</v>
      </c>
      <c r="C103" s="0" t="e">
        <f aca="false">VLOOKUP(A:A,#REF!,2,0)</f>
        <v>#VALUE!</v>
      </c>
      <c r="D103" s="0" t="e">
        <f aca="false">GETPIVOTDATA("機型",$A$3,"門市","七堵")=C103</f>
        <v>#VALUE!</v>
      </c>
      <c r="F103" s="0" t="s">
        <v>102</v>
      </c>
      <c r="G103" s="0" t="n">
        <v>1</v>
      </c>
      <c r="H103" s="0" t="e">
        <f aca="false">VLOOKUP(F:F,#REF!,2,0)</f>
        <v>#VALUE!</v>
      </c>
      <c r="I103" s="0" t="e">
        <f aca="false">G103=H103</f>
        <v>#VALUE!</v>
      </c>
    </row>
    <row r="104" customFormat="false" ht="16.5" hidden="true" customHeight="false" outlineLevel="0" collapsed="false">
      <c r="A104" s="6" t="s">
        <v>103</v>
      </c>
      <c r="B104" s="7" t="n">
        <v>2</v>
      </c>
      <c r="C104" s="0" t="e">
        <f aca="false">VLOOKUP(A:A,#REF!,2,0)</f>
        <v>#VALUE!</v>
      </c>
      <c r="D104" s="0" t="e">
        <f aca="false">GETPIVOTDATA("機型",$A$3,"門市","七堵")=C104</f>
        <v>#VALUE!</v>
      </c>
      <c r="F104" s="0" t="s">
        <v>103</v>
      </c>
      <c r="G104" s="0" t="n">
        <v>2</v>
      </c>
      <c r="H104" s="0" t="e">
        <f aca="false">VLOOKUP(F:F,#REF!,2,0)</f>
        <v>#VALUE!</v>
      </c>
      <c r="I104" s="0" t="e">
        <f aca="false">G104=H104</f>
        <v>#VALUE!</v>
      </c>
    </row>
    <row r="105" customFormat="false" ht="16.5" hidden="true" customHeight="false" outlineLevel="0" collapsed="false">
      <c r="A105" s="6" t="s">
        <v>104</v>
      </c>
      <c r="B105" s="7" t="n">
        <v>6</v>
      </c>
      <c r="C105" s="0" t="e">
        <f aca="false">VLOOKUP(A:A,#REF!,2,0)</f>
        <v>#VALUE!</v>
      </c>
      <c r="D105" s="0" t="e">
        <f aca="false">GETPIVOTDATA("機型",$A$3,"門市","七堵")=C105</f>
        <v>#VALUE!</v>
      </c>
      <c r="F105" s="0" t="s">
        <v>104</v>
      </c>
      <c r="G105" s="0" t="n">
        <v>6</v>
      </c>
      <c r="H105" s="0" t="e">
        <f aca="false">VLOOKUP(F:F,#REF!,2,0)</f>
        <v>#VALUE!</v>
      </c>
      <c r="I105" s="0" t="e">
        <f aca="false">G105=H105</f>
        <v>#VALUE!</v>
      </c>
    </row>
    <row r="106" customFormat="false" ht="16.5" hidden="true" customHeight="false" outlineLevel="0" collapsed="false">
      <c r="A106" s="6" t="s">
        <v>105</v>
      </c>
      <c r="B106" s="7" t="n">
        <v>1</v>
      </c>
      <c r="C106" s="0" t="e">
        <f aca="false">VLOOKUP(A:A,#REF!,2,0)</f>
        <v>#VALUE!</v>
      </c>
      <c r="D106" s="0" t="e">
        <f aca="false">GETPIVOTDATA("機型",$A$3,"門市","七堵")=C106</f>
        <v>#VALUE!</v>
      </c>
      <c r="F106" s="0" t="s">
        <v>105</v>
      </c>
      <c r="G106" s="0" t="n">
        <v>1</v>
      </c>
      <c r="H106" s="0" t="e">
        <f aca="false">VLOOKUP(F:F,#REF!,2,0)</f>
        <v>#VALUE!</v>
      </c>
      <c r="I106" s="0" t="e">
        <f aca="false">G106=H106</f>
        <v>#VALUE!</v>
      </c>
    </row>
    <row r="107" customFormat="false" ht="16.5" hidden="true" customHeight="false" outlineLevel="0" collapsed="false">
      <c r="A107" s="6" t="s">
        <v>106</v>
      </c>
      <c r="B107" s="7" t="n">
        <v>6</v>
      </c>
      <c r="C107" s="0" t="e">
        <f aca="false">VLOOKUP(A:A,#REF!,2,0)</f>
        <v>#VALUE!</v>
      </c>
      <c r="D107" s="0" t="e">
        <f aca="false">GETPIVOTDATA("機型",$A$3,"門市","七堵")=C107</f>
        <v>#VALUE!</v>
      </c>
      <c r="F107" s="0" t="s">
        <v>106</v>
      </c>
      <c r="G107" s="0" t="n">
        <v>6</v>
      </c>
      <c r="H107" s="0" t="e">
        <f aca="false">VLOOKUP(F:F,#REF!,2,0)</f>
        <v>#VALUE!</v>
      </c>
      <c r="I107" s="0" t="e">
        <f aca="false">G107=H107</f>
        <v>#VALUE!</v>
      </c>
    </row>
    <row r="108" customFormat="false" ht="16.5" hidden="true" customHeight="false" outlineLevel="0" collapsed="false">
      <c r="A108" s="6" t="s">
        <v>107</v>
      </c>
      <c r="B108" s="7" t="n">
        <v>5</v>
      </c>
      <c r="C108" s="0" t="e">
        <f aca="false">VLOOKUP(A:A,#REF!,2,0)</f>
        <v>#VALUE!</v>
      </c>
      <c r="D108" s="0" t="e">
        <f aca="false">GETPIVOTDATA("機型",$A$3,"門市","七堵")=C108</f>
        <v>#VALUE!</v>
      </c>
      <c r="F108" s="0" t="s">
        <v>107</v>
      </c>
      <c r="G108" s="0" t="n">
        <v>5</v>
      </c>
      <c r="H108" s="0" t="e">
        <f aca="false">VLOOKUP(F:F,#REF!,2,0)</f>
        <v>#VALUE!</v>
      </c>
      <c r="I108" s="0" t="e">
        <f aca="false">G108=H108</f>
        <v>#VALUE!</v>
      </c>
    </row>
    <row r="109" customFormat="false" ht="16.5" hidden="true" customHeight="false" outlineLevel="0" collapsed="false">
      <c r="A109" s="6" t="s">
        <v>108</v>
      </c>
      <c r="B109" s="7" t="n">
        <v>5</v>
      </c>
      <c r="C109" s="0" t="e">
        <f aca="false">VLOOKUP(A:A,#REF!,2,0)</f>
        <v>#VALUE!</v>
      </c>
      <c r="D109" s="0" t="e">
        <f aca="false">GETPIVOTDATA("機型",$A$3,"門市","七堵")=C109</f>
        <v>#VALUE!</v>
      </c>
      <c r="F109" s="0" t="s">
        <v>108</v>
      </c>
      <c r="G109" s="0" t="n">
        <v>5</v>
      </c>
      <c r="H109" s="0" t="e">
        <f aca="false">VLOOKUP(F:F,#REF!,2,0)</f>
        <v>#VALUE!</v>
      </c>
      <c r="I109" s="0" t="e">
        <f aca="false">G109=H109</f>
        <v>#VALUE!</v>
      </c>
    </row>
    <row r="110" customFormat="false" ht="16.5" hidden="true" customHeight="false" outlineLevel="0" collapsed="false">
      <c r="A110" s="6" t="s">
        <v>109</v>
      </c>
      <c r="B110" s="7" t="n">
        <v>4</v>
      </c>
      <c r="C110" s="0" t="e">
        <f aca="false">VLOOKUP(A:A,#REF!,2,0)</f>
        <v>#VALUE!</v>
      </c>
      <c r="D110" s="0" t="e">
        <f aca="false">GETPIVOTDATA("機型",$A$3,"門市","七堵")=C110</f>
        <v>#VALUE!</v>
      </c>
      <c r="F110" s="0" t="s">
        <v>109</v>
      </c>
      <c r="G110" s="0" t="n">
        <v>4</v>
      </c>
      <c r="H110" s="0" t="e">
        <f aca="false">VLOOKUP(F:F,#REF!,2,0)</f>
        <v>#VALUE!</v>
      </c>
      <c r="I110" s="0" t="e">
        <f aca="false">G110=H110</f>
        <v>#VALUE!</v>
      </c>
    </row>
    <row r="111" customFormat="false" ht="16.5" hidden="true" customHeight="false" outlineLevel="0" collapsed="false">
      <c r="A111" s="6" t="s">
        <v>110</v>
      </c>
      <c r="B111" s="7" t="n">
        <v>5</v>
      </c>
      <c r="C111" s="0" t="e">
        <f aca="false">VLOOKUP(A:A,#REF!,2,0)</f>
        <v>#VALUE!</v>
      </c>
      <c r="D111" s="0" t="e">
        <f aca="false">GETPIVOTDATA("機型",$A$3,"門市","七堵")=C111</f>
        <v>#VALUE!</v>
      </c>
      <c r="F111" s="0" t="s">
        <v>110</v>
      </c>
      <c r="G111" s="0" t="n">
        <v>5</v>
      </c>
      <c r="H111" s="0" t="e">
        <f aca="false">VLOOKUP(F:F,#REF!,2,0)</f>
        <v>#VALUE!</v>
      </c>
      <c r="I111" s="0" t="e">
        <f aca="false">G111=H111</f>
        <v>#VALUE!</v>
      </c>
    </row>
    <row r="112" customFormat="false" ht="16.5" hidden="true" customHeight="false" outlineLevel="0" collapsed="false">
      <c r="A112" s="6" t="s">
        <v>111</v>
      </c>
      <c r="B112" s="7" t="n">
        <v>5</v>
      </c>
      <c r="C112" s="0" t="e">
        <f aca="false">VLOOKUP(A:A,#REF!,2,0)</f>
        <v>#VALUE!</v>
      </c>
      <c r="D112" s="0" t="e">
        <f aca="false">GETPIVOTDATA("機型",$A$3,"門市","七堵")=C112</f>
        <v>#VALUE!</v>
      </c>
      <c r="F112" s="0" t="s">
        <v>111</v>
      </c>
      <c r="G112" s="0" t="n">
        <v>5</v>
      </c>
      <c r="H112" s="0" t="e">
        <f aca="false">VLOOKUP(F:F,#REF!,2,0)</f>
        <v>#VALUE!</v>
      </c>
      <c r="I112" s="0" t="e">
        <f aca="false">G112=H112</f>
        <v>#VALUE!</v>
      </c>
    </row>
    <row r="113" customFormat="false" ht="16.5" hidden="true" customHeight="false" outlineLevel="0" collapsed="false">
      <c r="A113" s="6" t="s">
        <v>112</v>
      </c>
      <c r="B113" s="7" t="n">
        <v>4</v>
      </c>
      <c r="C113" s="0" t="e">
        <f aca="false">VLOOKUP(A:A,#REF!,2,0)</f>
        <v>#VALUE!</v>
      </c>
      <c r="D113" s="0" t="e">
        <f aca="false">GETPIVOTDATA("機型",$A$3,"門市","七堵")=C113</f>
        <v>#VALUE!</v>
      </c>
      <c r="F113" s="0" t="s">
        <v>112</v>
      </c>
      <c r="G113" s="0" t="n">
        <v>4</v>
      </c>
      <c r="H113" s="0" t="e">
        <f aca="false">VLOOKUP(F:F,#REF!,2,0)</f>
        <v>#VALUE!</v>
      </c>
      <c r="I113" s="0" t="e">
        <f aca="false">G113=H113</f>
        <v>#VALUE!</v>
      </c>
    </row>
    <row r="114" customFormat="false" ht="16.5" hidden="true" customHeight="false" outlineLevel="0" collapsed="false">
      <c r="A114" s="6" t="s">
        <v>113</v>
      </c>
      <c r="B114" s="7" t="n">
        <v>4</v>
      </c>
      <c r="C114" s="0" t="e">
        <f aca="false">VLOOKUP(A:A,#REF!,2,0)</f>
        <v>#VALUE!</v>
      </c>
      <c r="D114" s="0" t="e">
        <f aca="false">GETPIVOTDATA("機型",$A$3,"門市","七堵")=C114</f>
        <v>#VALUE!</v>
      </c>
      <c r="F114" s="0" t="s">
        <v>113</v>
      </c>
      <c r="G114" s="0" t="n">
        <v>4</v>
      </c>
      <c r="H114" s="0" t="e">
        <f aca="false">VLOOKUP(F:F,#REF!,2,0)</f>
        <v>#VALUE!</v>
      </c>
      <c r="I114" s="0" t="e">
        <f aca="false">G114=H114</f>
        <v>#VALUE!</v>
      </c>
    </row>
    <row r="115" customFormat="false" ht="16.5" hidden="true" customHeight="false" outlineLevel="0" collapsed="false">
      <c r="A115" s="6" t="s">
        <v>114</v>
      </c>
      <c r="B115" s="7" t="n">
        <v>1</v>
      </c>
      <c r="C115" s="0" t="e">
        <f aca="false">VLOOKUP(A:A,#REF!,2,0)</f>
        <v>#VALUE!</v>
      </c>
      <c r="D115" s="0" t="e">
        <f aca="false">GETPIVOTDATA("機型",$A$3,"門市","七堵")=C115</f>
        <v>#VALUE!</v>
      </c>
      <c r="F115" s="0" t="s">
        <v>114</v>
      </c>
      <c r="G115" s="0" t="n">
        <v>1</v>
      </c>
      <c r="H115" s="0" t="e">
        <f aca="false">VLOOKUP(F:F,#REF!,2,0)</f>
        <v>#VALUE!</v>
      </c>
      <c r="I115" s="0" t="e">
        <f aca="false">G115=H115</f>
        <v>#VALUE!</v>
      </c>
    </row>
    <row r="116" customFormat="false" ht="16.5" hidden="true" customHeight="false" outlineLevel="0" collapsed="false">
      <c r="A116" s="6" t="s">
        <v>115</v>
      </c>
      <c r="B116" s="7" t="n">
        <v>7</v>
      </c>
      <c r="C116" s="0" t="e">
        <f aca="false">VLOOKUP(A:A,#REF!,2,0)</f>
        <v>#VALUE!</v>
      </c>
      <c r="D116" s="0" t="e">
        <f aca="false">GETPIVOTDATA("機型",$A$3,"門市","七堵")=C116</f>
        <v>#VALUE!</v>
      </c>
      <c r="F116" s="0" t="s">
        <v>115</v>
      </c>
      <c r="G116" s="0" t="n">
        <v>7</v>
      </c>
      <c r="H116" s="0" t="e">
        <f aca="false">VLOOKUP(F:F,#REF!,2,0)</f>
        <v>#VALUE!</v>
      </c>
      <c r="I116" s="0" t="e">
        <f aca="false">G116=H116</f>
        <v>#VALUE!</v>
      </c>
    </row>
    <row r="117" customFormat="false" ht="16.5" hidden="true" customHeight="false" outlineLevel="0" collapsed="false">
      <c r="A117" s="6" t="s">
        <v>116</v>
      </c>
      <c r="B117" s="7" t="n">
        <v>6</v>
      </c>
      <c r="C117" s="0" t="e">
        <f aca="false">VLOOKUP(A:A,#REF!,2,0)</f>
        <v>#VALUE!</v>
      </c>
      <c r="D117" s="0" t="e">
        <f aca="false">GETPIVOTDATA("機型",$A$3,"門市","七堵")=C117</f>
        <v>#VALUE!</v>
      </c>
      <c r="F117" s="0" t="s">
        <v>116</v>
      </c>
      <c r="G117" s="0" t="n">
        <v>6</v>
      </c>
      <c r="H117" s="0" t="e">
        <f aca="false">VLOOKUP(F:F,#REF!,2,0)</f>
        <v>#VALUE!</v>
      </c>
      <c r="I117" s="0" t="e">
        <f aca="false">G117=H117</f>
        <v>#VALUE!</v>
      </c>
    </row>
    <row r="118" customFormat="false" ht="16.5" hidden="true" customHeight="false" outlineLevel="0" collapsed="false">
      <c r="A118" s="6" t="s">
        <v>117</v>
      </c>
      <c r="B118" s="7" t="n">
        <v>7</v>
      </c>
      <c r="C118" s="0" t="e">
        <f aca="false">VLOOKUP(A:A,#REF!,2,0)</f>
        <v>#VALUE!</v>
      </c>
      <c r="D118" s="0" t="e">
        <f aca="false">GETPIVOTDATA("機型",$A$3,"門市","七堵")=C118</f>
        <v>#VALUE!</v>
      </c>
      <c r="F118" s="0" t="s">
        <v>117</v>
      </c>
      <c r="G118" s="0" t="n">
        <v>7</v>
      </c>
      <c r="H118" s="0" t="e">
        <f aca="false">VLOOKUP(F:F,#REF!,2,0)</f>
        <v>#VALUE!</v>
      </c>
      <c r="I118" s="0" t="e">
        <f aca="false">G118=H118</f>
        <v>#VALUE!</v>
      </c>
    </row>
    <row r="119" customFormat="false" ht="16.5" hidden="true" customHeight="false" outlineLevel="0" collapsed="false">
      <c r="A119" s="6" t="s">
        <v>118</v>
      </c>
      <c r="B119" s="7" t="n">
        <v>5</v>
      </c>
      <c r="C119" s="0" t="e">
        <f aca="false">VLOOKUP(A:A,#REF!,2,0)</f>
        <v>#VALUE!</v>
      </c>
      <c r="D119" s="0" t="e">
        <f aca="false">GETPIVOTDATA("機型",$A$3,"門市","七堵")=C119</f>
        <v>#VALUE!</v>
      </c>
      <c r="F119" s="0" t="s">
        <v>118</v>
      </c>
      <c r="G119" s="0" t="n">
        <v>5</v>
      </c>
      <c r="H119" s="0" t="e">
        <f aca="false">VLOOKUP(F:F,#REF!,2,0)</f>
        <v>#VALUE!</v>
      </c>
      <c r="I119" s="0" t="e">
        <f aca="false">G119=H119</f>
        <v>#VALUE!</v>
      </c>
    </row>
    <row r="120" customFormat="false" ht="16.5" hidden="true" customHeight="false" outlineLevel="0" collapsed="false">
      <c r="A120" s="6" t="s">
        <v>119</v>
      </c>
      <c r="B120" s="7" t="n">
        <v>2</v>
      </c>
      <c r="C120" s="0" t="e">
        <f aca="false">VLOOKUP(A:A,#REF!,2,0)</f>
        <v>#VALUE!</v>
      </c>
      <c r="D120" s="0" t="e">
        <f aca="false">GETPIVOTDATA("機型",$A$3,"門市","七堵")=C120</f>
        <v>#VALUE!</v>
      </c>
      <c r="F120" s="0" t="s">
        <v>119</v>
      </c>
      <c r="G120" s="0" t="n">
        <v>2</v>
      </c>
      <c r="H120" s="0" t="e">
        <f aca="false">VLOOKUP(F:F,#REF!,2,0)</f>
        <v>#VALUE!</v>
      </c>
      <c r="I120" s="0" t="e">
        <f aca="false">G120=H120</f>
        <v>#VALUE!</v>
      </c>
    </row>
    <row r="121" customFormat="false" ht="16.5" hidden="true" customHeight="false" outlineLevel="0" collapsed="false">
      <c r="A121" s="6" t="s">
        <v>120</v>
      </c>
      <c r="B121" s="7" t="n">
        <v>6</v>
      </c>
      <c r="C121" s="0" t="e">
        <f aca="false">VLOOKUP(A:A,#REF!,2,0)</f>
        <v>#VALUE!</v>
      </c>
      <c r="D121" s="0" t="e">
        <f aca="false">GETPIVOTDATA("機型",$A$3,"門市","七堵")=C121</f>
        <v>#VALUE!</v>
      </c>
      <c r="F121" s="0" t="s">
        <v>120</v>
      </c>
      <c r="G121" s="0" t="n">
        <v>6</v>
      </c>
      <c r="H121" s="0" t="e">
        <f aca="false">VLOOKUP(F:F,#REF!,2,0)</f>
        <v>#VALUE!</v>
      </c>
      <c r="I121" s="0" t="e">
        <f aca="false">G121=H121</f>
        <v>#VALUE!</v>
      </c>
    </row>
    <row r="122" customFormat="false" ht="16.5" hidden="true" customHeight="false" outlineLevel="0" collapsed="false">
      <c r="A122" s="6" t="s">
        <v>121</v>
      </c>
      <c r="B122" s="7" t="n">
        <v>5</v>
      </c>
      <c r="C122" s="0" t="e">
        <f aca="false">VLOOKUP(A:A,#REF!,2,0)</f>
        <v>#VALUE!</v>
      </c>
      <c r="D122" s="0" t="e">
        <f aca="false">GETPIVOTDATA("機型",$A$3,"門市","七堵")=C122</f>
        <v>#VALUE!</v>
      </c>
      <c r="F122" s="0" t="s">
        <v>121</v>
      </c>
      <c r="G122" s="0" t="n">
        <v>5</v>
      </c>
      <c r="H122" s="0" t="e">
        <f aca="false">VLOOKUP(F:F,#REF!,2,0)</f>
        <v>#VALUE!</v>
      </c>
      <c r="I122" s="0" t="e">
        <f aca="false">G122=H122</f>
        <v>#VALUE!</v>
      </c>
    </row>
    <row r="123" customFormat="false" ht="16.5" hidden="true" customHeight="false" outlineLevel="0" collapsed="false">
      <c r="A123" s="6" t="s">
        <v>122</v>
      </c>
      <c r="B123" s="7" t="n">
        <v>5</v>
      </c>
      <c r="C123" s="0" t="e">
        <f aca="false">VLOOKUP(A:A,#REF!,2,0)</f>
        <v>#VALUE!</v>
      </c>
      <c r="D123" s="0" t="e">
        <f aca="false">GETPIVOTDATA("機型",$A$3,"門市","七堵")=C123</f>
        <v>#VALUE!</v>
      </c>
      <c r="F123" s="0" t="s">
        <v>122</v>
      </c>
      <c r="G123" s="0" t="n">
        <v>5</v>
      </c>
      <c r="H123" s="0" t="e">
        <f aca="false">VLOOKUP(F:F,#REF!,2,0)</f>
        <v>#VALUE!</v>
      </c>
      <c r="I123" s="0" t="e">
        <f aca="false">G123=H123</f>
        <v>#VALUE!</v>
      </c>
    </row>
    <row r="124" customFormat="false" ht="16.5" hidden="true" customHeight="false" outlineLevel="0" collapsed="false">
      <c r="A124" s="6" t="s">
        <v>123</v>
      </c>
      <c r="B124" s="7" t="n">
        <v>18</v>
      </c>
      <c r="C124" s="0" t="e">
        <f aca="false">VLOOKUP(A:A,#REF!,2,0)</f>
        <v>#VALUE!</v>
      </c>
      <c r="D124" s="0" t="e">
        <f aca="false">GETPIVOTDATA("機型",$A$3,"門市","七堵")=C124</f>
        <v>#VALUE!</v>
      </c>
      <c r="F124" s="0" t="s">
        <v>123</v>
      </c>
      <c r="G124" s="0" t="n">
        <v>18</v>
      </c>
      <c r="H124" s="0" t="e">
        <f aca="false">VLOOKUP(F:F,#REF!,2,0)</f>
        <v>#VALUE!</v>
      </c>
      <c r="I124" s="0" t="e">
        <f aca="false">G124=H124</f>
        <v>#VALUE!</v>
      </c>
    </row>
    <row r="125" customFormat="false" ht="16.5" hidden="true" customHeight="false" outlineLevel="0" collapsed="false">
      <c r="A125" s="6" t="s">
        <v>124</v>
      </c>
      <c r="B125" s="7" t="n">
        <v>11</v>
      </c>
      <c r="C125" s="0" t="e">
        <f aca="false">VLOOKUP(A:A,#REF!,2,0)</f>
        <v>#VALUE!</v>
      </c>
      <c r="D125" s="0" t="e">
        <f aca="false">GETPIVOTDATA("機型",$A$3,"門市","七堵")=C125</f>
        <v>#VALUE!</v>
      </c>
      <c r="F125" s="0" t="s">
        <v>124</v>
      </c>
      <c r="G125" s="0" t="n">
        <v>11</v>
      </c>
      <c r="H125" s="0" t="e">
        <f aca="false">VLOOKUP(F:F,#REF!,2,0)</f>
        <v>#VALUE!</v>
      </c>
      <c r="I125" s="0" t="e">
        <f aca="false">G125=H125</f>
        <v>#VALUE!</v>
      </c>
    </row>
    <row r="126" customFormat="false" ht="16.5" hidden="true" customHeight="false" outlineLevel="0" collapsed="false">
      <c r="A126" s="6" t="s">
        <v>125</v>
      </c>
      <c r="B126" s="7" t="n">
        <v>5</v>
      </c>
      <c r="C126" s="0" t="e">
        <f aca="false">VLOOKUP(A:A,#REF!,2,0)</f>
        <v>#VALUE!</v>
      </c>
      <c r="D126" s="0" t="e">
        <f aca="false">GETPIVOTDATA("機型",$A$3,"門市","七堵")=C126</f>
        <v>#VALUE!</v>
      </c>
      <c r="F126" s="0" t="s">
        <v>125</v>
      </c>
      <c r="G126" s="0" t="n">
        <v>5</v>
      </c>
      <c r="H126" s="0" t="e">
        <f aca="false">VLOOKUP(F:F,#REF!,2,0)</f>
        <v>#VALUE!</v>
      </c>
      <c r="I126" s="0" t="e">
        <f aca="false">G126=H126</f>
        <v>#VALUE!</v>
      </c>
    </row>
    <row r="127" customFormat="false" ht="16.5" hidden="true" customHeight="false" outlineLevel="0" collapsed="false">
      <c r="A127" s="6" t="s">
        <v>126</v>
      </c>
      <c r="B127" s="7" t="n">
        <v>6</v>
      </c>
      <c r="C127" s="0" t="e">
        <f aca="false">VLOOKUP(A:A,#REF!,2,0)</f>
        <v>#VALUE!</v>
      </c>
      <c r="D127" s="0" t="e">
        <f aca="false">GETPIVOTDATA("機型",$A$3,"門市","七堵")=C127</f>
        <v>#VALUE!</v>
      </c>
      <c r="F127" s="0" t="s">
        <v>126</v>
      </c>
      <c r="G127" s="0" t="n">
        <v>6</v>
      </c>
      <c r="H127" s="0" t="e">
        <f aca="false">VLOOKUP(F:F,#REF!,2,0)</f>
        <v>#VALUE!</v>
      </c>
      <c r="I127" s="0" t="e">
        <f aca="false">G127=H127</f>
        <v>#VALUE!</v>
      </c>
    </row>
    <row r="128" customFormat="false" ht="16.5" hidden="true" customHeight="false" outlineLevel="0" collapsed="false">
      <c r="A128" s="6" t="s">
        <v>127</v>
      </c>
      <c r="B128" s="7" t="n">
        <v>18</v>
      </c>
      <c r="C128" s="0" t="e">
        <f aca="false">VLOOKUP(A:A,#REF!,2,0)</f>
        <v>#VALUE!</v>
      </c>
      <c r="D128" s="0" t="e">
        <f aca="false">GETPIVOTDATA("機型",$A$3,"門市","七堵")=C128</f>
        <v>#VALUE!</v>
      </c>
      <c r="F128" s="0" t="s">
        <v>127</v>
      </c>
      <c r="G128" s="0" t="n">
        <v>18</v>
      </c>
      <c r="H128" s="0" t="e">
        <f aca="false">VLOOKUP(F:F,#REF!,2,0)</f>
        <v>#VALUE!</v>
      </c>
      <c r="I128" s="0" t="e">
        <f aca="false">G128=H128</f>
        <v>#VALUE!</v>
      </c>
    </row>
    <row r="129" customFormat="false" ht="16.5" hidden="true" customHeight="false" outlineLevel="0" collapsed="false">
      <c r="A129" s="6" t="s">
        <v>128</v>
      </c>
      <c r="B129" s="7" t="n">
        <v>5</v>
      </c>
      <c r="C129" s="0" t="e">
        <f aca="false">VLOOKUP(A:A,#REF!,2,0)</f>
        <v>#VALUE!</v>
      </c>
      <c r="D129" s="0" t="e">
        <f aca="false">GETPIVOTDATA("機型",$A$3,"門市","七堵")=C129</f>
        <v>#VALUE!</v>
      </c>
      <c r="F129" s="0" t="s">
        <v>128</v>
      </c>
      <c r="G129" s="0" t="n">
        <v>5</v>
      </c>
      <c r="H129" s="0" t="e">
        <f aca="false">VLOOKUP(F:F,#REF!,2,0)</f>
        <v>#VALUE!</v>
      </c>
      <c r="I129" s="0" t="e">
        <f aca="false">G129=H129</f>
        <v>#VALUE!</v>
      </c>
    </row>
    <row r="130" customFormat="false" ht="16.5" hidden="true" customHeight="false" outlineLevel="0" collapsed="false">
      <c r="A130" s="6" t="s">
        <v>129</v>
      </c>
      <c r="B130" s="7" t="n">
        <v>6</v>
      </c>
      <c r="C130" s="0" t="e">
        <f aca="false">VLOOKUP(A:A,#REF!,2,0)</f>
        <v>#VALUE!</v>
      </c>
      <c r="D130" s="0" t="e">
        <f aca="false">GETPIVOTDATA("機型",$A$3,"門市","七堵")=C130</f>
        <v>#VALUE!</v>
      </c>
      <c r="F130" s="0" t="s">
        <v>129</v>
      </c>
      <c r="G130" s="0" t="n">
        <v>6</v>
      </c>
      <c r="H130" s="0" t="e">
        <f aca="false">VLOOKUP(F:F,#REF!,2,0)</f>
        <v>#VALUE!</v>
      </c>
      <c r="I130" s="0" t="e">
        <f aca="false">G130=H130</f>
        <v>#VALUE!</v>
      </c>
    </row>
    <row r="131" customFormat="false" ht="16.5" hidden="true" customHeight="false" outlineLevel="0" collapsed="false">
      <c r="A131" s="6" t="s">
        <v>130</v>
      </c>
      <c r="B131" s="7" t="n">
        <v>2</v>
      </c>
      <c r="C131" s="0" t="e">
        <f aca="false">VLOOKUP(A:A,#REF!,2,0)</f>
        <v>#VALUE!</v>
      </c>
      <c r="D131" s="0" t="e">
        <f aca="false">GETPIVOTDATA("機型",$A$3,"門市","七堵")=C131</f>
        <v>#VALUE!</v>
      </c>
      <c r="F131" s="0" t="s">
        <v>130</v>
      </c>
      <c r="G131" s="0" t="n">
        <v>2</v>
      </c>
      <c r="H131" s="0" t="e">
        <f aca="false">VLOOKUP(F:F,#REF!,2,0)</f>
        <v>#VALUE!</v>
      </c>
      <c r="I131" s="0" t="e">
        <f aca="false">G131=H131</f>
        <v>#VALUE!</v>
      </c>
    </row>
    <row r="132" customFormat="false" ht="16.5" hidden="true" customHeight="false" outlineLevel="0" collapsed="false">
      <c r="A132" s="6" t="s">
        <v>131</v>
      </c>
      <c r="B132" s="7" t="n">
        <v>6</v>
      </c>
      <c r="C132" s="0" t="n">
        <v>6</v>
      </c>
      <c r="D132" s="0" t="n">
        <f aca="false">GETPIVOTDATA("機型",$A$3,"門市","七堵")=C132</f>
        <v>0</v>
      </c>
      <c r="F132" s="0" t="s">
        <v>131</v>
      </c>
      <c r="G132" s="0" t="n">
        <v>6</v>
      </c>
      <c r="H132" s="0" t="n">
        <v>6</v>
      </c>
      <c r="I132" s="0" t="n">
        <f aca="false">G132=H132</f>
        <v>1</v>
      </c>
    </row>
    <row r="133" customFormat="false" ht="16.5" hidden="true" customHeight="false" outlineLevel="0" collapsed="false">
      <c r="A133" s="6" t="s">
        <v>132</v>
      </c>
      <c r="B133" s="7" t="n">
        <v>1</v>
      </c>
      <c r="C133" s="0" t="n">
        <v>1</v>
      </c>
      <c r="D133" s="0" t="n">
        <f aca="false">GETPIVOTDATA("機型",$A$3,"門市","七堵")=C133</f>
        <v>0</v>
      </c>
      <c r="F133" s="0" t="s">
        <v>132</v>
      </c>
      <c r="G133" s="0" t="n">
        <v>1</v>
      </c>
      <c r="H133" s="0" t="n">
        <v>1</v>
      </c>
      <c r="I133" s="0" t="n">
        <f aca="false">G133=H133</f>
        <v>1</v>
      </c>
    </row>
    <row r="134" customFormat="false" ht="16.5" hidden="true" customHeight="false" outlineLevel="0" collapsed="false">
      <c r="A134" s="6" t="s">
        <v>133</v>
      </c>
      <c r="B134" s="7" t="n">
        <v>16</v>
      </c>
      <c r="C134" s="0" t="e">
        <f aca="false">VLOOKUP(A:A,#REF!,2,0)</f>
        <v>#VALUE!</v>
      </c>
      <c r="D134" s="0" t="e">
        <f aca="false">GETPIVOTDATA("機型",$A$3,"門市","七堵")=C134</f>
        <v>#VALUE!</v>
      </c>
      <c r="F134" s="0" t="s">
        <v>133</v>
      </c>
      <c r="G134" s="0" t="n">
        <v>16</v>
      </c>
      <c r="H134" s="0" t="e">
        <f aca="false">VLOOKUP(F:F,#REF!,2,0)</f>
        <v>#VALUE!</v>
      </c>
      <c r="I134" s="0" t="e">
        <f aca="false">G134=H134</f>
        <v>#VALUE!</v>
      </c>
    </row>
    <row r="135" customFormat="false" ht="16.5" hidden="true" customHeight="false" outlineLevel="0" collapsed="false">
      <c r="A135" s="6" t="s">
        <v>134</v>
      </c>
      <c r="B135" s="7" t="n">
        <v>1</v>
      </c>
      <c r="C135" s="0" t="e">
        <f aca="false">VLOOKUP(A:A,#REF!,2,0)</f>
        <v>#VALUE!</v>
      </c>
      <c r="D135" s="0" t="e">
        <f aca="false">GETPIVOTDATA("機型",$A$3,"門市","七堵")=C135</f>
        <v>#VALUE!</v>
      </c>
      <c r="F135" s="0" t="s">
        <v>134</v>
      </c>
      <c r="G135" s="0" t="n">
        <v>1</v>
      </c>
      <c r="H135" s="0" t="e">
        <f aca="false">VLOOKUP(F:F,#REF!,2,0)</f>
        <v>#VALUE!</v>
      </c>
      <c r="I135" s="0" t="e">
        <f aca="false">G135=H135</f>
        <v>#VALUE!</v>
      </c>
    </row>
    <row r="136" customFormat="false" ht="16.5" hidden="true" customHeight="false" outlineLevel="0" collapsed="false">
      <c r="A136" s="6" t="s">
        <v>135</v>
      </c>
      <c r="B136" s="7" t="n">
        <v>2</v>
      </c>
      <c r="C136" s="0" t="n">
        <v>2</v>
      </c>
      <c r="D136" s="0" t="n">
        <f aca="false">GETPIVOTDATA("機型",$A$3,"門市","七堵")=C136</f>
        <v>0</v>
      </c>
      <c r="F136" s="0" t="s">
        <v>135</v>
      </c>
      <c r="G136" s="0" t="n">
        <v>2</v>
      </c>
      <c r="H136" s="0" t="n">
        <v>2</v>
      </c>
      <c r="I136" s="0" t="n">
        <f aca="false">G136=H136</f>
        <v>1</v>
      </c>
    </row>
    <row r="137" customFormat="false" ht="16.5" hidden="true" customHeight="false" outlineLevel="0" collapsed="false">
      <c r="A137" s="6" t="s">
        <v>136</v>
      </c>
      <c r="B137" s="7" t="n">
        <v>5</v>
      </c>
      <c r="C137" s="0" t="e">
        <f aca="false">VLOOKUP(A:A,#REF!,2,0)</f>
        <v>#VALUE!</v>
      </c>
      <c r="D137" s="0" t="e">
        <f aca="false">GETPIVOTDATA("機型",$A$3,"門市","七堵")=C137</f>
        <v>#VALUE!</v>
      </c>
      <c r="F137" s="0" t="s">
        <v>136</v>
      </c>
      <c r="G137" s="0" t="n">
        <v>5</v>
      </c>
      <c r="H137" s="0" t="e">
        <f aca="false">VLOOKUP(F:F,#REF!,2,0)</f>
        <v>#VALUE!</v>
      </c>
      <c r="I137" s="0" t="e">
        <f aca="false">G137=H137</f>
        <v>#VALUE!</v>
      </c>
    </row>
    <row r="138" customFormat="false" ht="16.5" hidden="true" customHeight="false" outlineLevel="0" collapsed="false">
      <c r="A138" s="6" t="s">
        <v>137</v>
      </c>
      <c r="B138" s="7" t="n">
        <v>5</v>
      </c>
      <c r="C138" s="0" t="e">
        <f aca="false">VLOOKUP(A:A,#REF!,2,0)</f>
        <v>#VALUE!</v>
      </c>
      <c r="D138" s="0" t="e">
        <f aca="false">GETPIVOTDATA("機型",$A$3,"門市","七堵")=C138</f>
        <v>#VALUE!</v>
      </c>
      <c r="F138" s="0" t="s">
        <v>137</v>
      </c>
      <c r="G138" s="0" t="n">
        <v>5</v>
      </c>
      <c r="H138" s="0" t="e">
        <f aca="false">VLOOKUP(F:F,#REF!,2,0)</f>
        <v>#VALUE!</v>
      </c>
      <c r="I138" s="0" t="e">
        <f aca="false">G138=H138</f>
        <v>#VALUE!</v>
      </c>
    </row>
    <row r="139" customFormat="false" ht="16.5" hidden="true" customHeight="false" outlineLevel="0" collapsed="false">
      <c r="A139" s="6" t="s">
        <v>138</v>
      </c>
      <c r="B139" s="7" t="n">
        <v>10</v>
      </c>
      <c r="C139" s="0" t="e">
        <f aca="false">VLOOKUP(A:A,#REF!,2,0)</f>
        <v>#VALUE!</v>
      </c>
      <c r="D139" s="0" t="e">
        <f aca="false">GETPIVOTDATA("機型",$A$3,"門市","七堵")=C139</f>
        <v>#VALUE!</v>
      </c>
      <c r="F139" s="0" t="s">
        <v>138</v>
      </c>
      <c r="G139" s="0" t="n">
        <v>10</v>
      </c>
      <c r="H139" s="0" t="e">
        <f aca="false">VLOOKUP(F:F,#REF!,2,0)</f>
        <v>#VALUE!</v>
      </c>
      <c r="I139" s="0" t="e">
        <f aca="false">G139=H139</f>
        <v>#VALUE!</v>
      </c>
    </row>
    <row r="140" customFormat="false" ht="16.5" hidden="false" customHeight="false" outlineLevel="0" collapsed="false">
      <c r="A140" s="6" t="s">
        <v>139</v>
      </c>
      <c r="B140" s="7" t="n">
        <v>6</v>
      </c>
      <c r="C140" s="0" t="e">
        <f aca="false">VLOOKUP(A:A,#REF!,2,0)</f>
        <v>#VALUE!</v>
      </c>
      <c r="D140" s="0" t="e">
        <f aca="false">GETPIVOTDATA("機型",$A$3,"門市","七堵")=C140</f>
        <v>#VALUE!</v>
      </c>
      <c r="F140" s="8" t="s">
        <v>139</v>
      </c>
      <c r="G140" s="8" t="n">
        <v>7</v>
      </c>
      <c r="H140" s="0" t="e">
        <f aca="false">VLOOKUP(F:F,#REF!,2,0)</f>
        <v>#VALUE!</v>
      </c>
      <c r="I140" s="0" t="e">
        <f aca="false">G140=H140</f>
        <v>#VALUE!</v>
      </c>
    </row>
    <row r="141" customFormat="false" ht="16.5" hidden="true" customHeight="false" outlineLevel="0" collapsed="false">
      <c r="A141" s="6" t="s">
        <v>140</v>
      </c>
      <c r="B141" s="7" t="n">
        <v>6</v>
      </c>
      <c r="C141" s="0" t="e">
        <f aca="false">VLOOKUP(A:A,#REF!,2,0)</f>
        <v>#VALUE!</v>
      </c>
      <c r="D141" s="0" t="e">
        <f aca="false">GETPIVOTDATA("機型",$A$3,"門市","七堵")=C141</f>
        <v>#VALUE!</v>
      </c>
      <c r="F141" s="0" t="s">
        <v>140</v>
      </c>
      <c r="G141" s="0" t="n">
        <v>6</v>
      </c>
      <c r="H141" s="0" t="e">
        <f aca="false">VLOOKUP(F:F,#REF!,2,0)</f>
        <v>#VALUE!</v>
      </c>
      <c r="I141" s="0" t="e">
        <f aca="false">G141=H141</f>
        <v>#VALUE!</v>
      </c>
    </row>
    <row r="142" customFormat="false" ht="16.5" hidden="true" customHeight="false" outlineLevel="0" collapsed="false">
      <c r="A142" s="6" t="s">
        <v>141</v>
      </c>
      <c r="B142" s="7" t="n">
        <v>2</v>
      </c>
      <c r="C142" s="0" t="e">
        <f aca="false">VLOOKUP(A:A,#REF!,2,0)</f>
        <v>#VALUE!</v>
      </c>
      <c r="D142" s="0" t="e">
        <f aca="false">GETPIVOTDATA("機型",$A$3,"門市","七堵")=C142</f>
        <v>#VALUE!</v>
      </c>
      <c r="F142" s="0" t="s">
        <v>141</v>
      </c>
      <c r="G142" s="0" t="n">
        <v>2</v>
      </c>
      <c r="H142" s="0" t="e">
        <f aca="false">VLOOKUP(F:F,#REF!,2,0)</f>
        <v>#VALUE!</v>
      </c>
      <c r="I142" s="0" t="e">
        <f aca="false">G142=H142</f>
        <v>#VALUE!</v>
      </c>
    </row>
    <row r="143" customFormat="false" ht="16.5" hidden="true" customHeight="false" outlineLevel="0" collapsed="false">
      <c r="A143" s="6" t="s">
        <v>142</v>
      </c>
      <c r="B143" s="7" t="n">
        <v>1</v>
      </c>
      <c r="C143" s="0" t="e">
        <f aca="false">VLOOKUP(A:A,#REF!,2,0)</f>
        <v>#VALUE!</v>
      </c>
      <c r="D143" s="0" t="e">
        <f aca="false">GETPIVOTDATA("機型",$A$3,"門市","七堵")=C143</f>
        <v>#VALUE!</v>
      </c>
      <c r="F143" s="0" t="s">
        <v>142</v>
      </c>
      <c r="G143" s="0" t="n">
        <v>1</v>
      </c>
      <c r="H143" s="0" t="e">
        <f aca="false">VLOOKUP(F:F,#REF!,2,0)</f>
        <v>#VALUE!</v>
      </c>
      <c r="I143" s="0" t="e">
        <f aca="false">G143=H143</f>
        <v>#VALUE!</v>
      </c>
    </row>
    <row r="144" customFormat="false" ht="16.5" hidden="true" customHeight="false" outlineLevel="0" collapsed="false">
      <c r="A144" s="6" t="s">
        <v>143</v>
      </c>
      <c r="B144" s="7" t="n">
        <v>2</v>
      </c>
      <c r="C144" s="0" t="e">
        <f aca="false">VLOOKUP(A:A,#REF!,2,0)</f>
        <v>#VALUE!</v>
      </c>
      <c r="D144" s="0" t="e">
        <f aca="false">GETPIVOTDATA("機型",$A$3,"門市","七堵")=C144</f>
        <v>#VALUE!</v>
      </c>
      <c r="F144" s="0" t="s">
        <v>143</v>
      </c>
      <c r="G144" s="0" t="n">
        <v>2</v>
      </c>
      <c r="H144" s="0" t="e">
        <f aca="false">VLOOKUP(F:F,#REF!,2,0)</f>
        <v>#VALUE!</v>
      </c>
      <c r="I144" s="0" t="e">
        <f aca="false">G144=H144</f>
        <v>#VALUE!</v>
      </c>
    </row>
    <row r="145" customFormat="false" ht="16.5" hidden="true" customHeight="false" outlineLevel="0" collapsed="false">
      <c r="A145" s="6" t="s">
        <v>144</v>
      </c>
      <c r="B145" s="7" t="n">
        <v>10</v>
      </c>
      <c r="C145" s="0" t="e">
        <f aca="false">VLOOKUP(A:A,#REF!,2,0)</f>
        <v>#VALUE!</v>
      </c>
      <c r="D145" s="0" t="e">
        <f aca="false">GETPIVOTDATA("機型",$A$3,"門市","七堵")=C145</f>
        <v>#VALUE!</v>
      </c>
      <c r="F145" s="0" t="s">
        <v>144</v>
      </c>
      <c r="G145" s="0" t="n">
        <v>10</v>
      </c>
      <c r="H145" s="0" t="e">
        <f aca="false">VLOOKUP(F:F,#REF!,2,0)</f>
        <v>#VALUE!</v>
      </c>
      <c r="I145" s="0" t="e">
        <f aca="false">G145=H145</f>
        <v>#VALUE!</v>
      </c>
    </row>
    <row r="146" customFormat="false" ht="16.5" hidden="true" customHeight="false" outlineLevel="0" collapsed="false">
      <c r="A146" s="6" t="s">
        <v>145</v>
      </c>
      <c r="B146" s="7" t="n">
        <v>2</v>
      </c>
      <c r="C146" s="0" t="e">
        <f aca="false">VLOOKUP(A:A,#REF!,2,0)</f>
        <v>#VALUE!</v>
      </c>
      <c r="D146" s="0" t="e">
        <f aca="false">GETPIVOTDATA("機型",$A$3,"門市","七堵")=C146</f>
        <v>#VALUE!</v>
      </c>
      <c r="F146" s="0" t="s">
        <v>145</v>
      </c>
      <c r="G146" s="0" t="n">
        <v>2</v>
      </c>
      <c r="H146" s="0" t="e">
        <f aca="false">VLOOKUP(F:F,#REF!,2,0)</f>
        <v>#VALUE!</v>
      </c>
      <c r="I146" s="0" t="e">
        <f aca="false">G146=H146</f>
        <v>#VALUE!</v>
      </c>
    </row>
    <row r="147" customFormat="false" ht="16.5" hidden="true" customHeight="false" outlineLevel="0" collapsed="false">
      <c r="A147" s="6" t="s">
        <v>146</v>
      </c>
      <c r="B147" s="7" t="n">
        <v>4</v>
      </c>
      <c r="C147" s="0" t="e">
        <f aca="false">VLOOKUP(A:A,#REF!,2,0)</f>
        <v>#VALUE!</v>
      </c>
      <c r="D147" s="0" t="e">
        <f aca="false">GETPIVOTDATA("機型",$A$3,"門市","七堵")=C147</f>
        <v>#VALUE!</v>
      </c>
      <c r="F147" s="0" t="s">
        <v>146</v>
      </c>
      <c r="G147" s="0" t="n">
        <v>4</v>
      </c>
      <c r="H147" s="0" t="e">
        <f aca="false">VLOOKUP(F:F,#REF!,2,0)</f>
        <v>#VALUE!</v>
      </c>
      <c r="I147" s="0" t="e">
        <f aca="false">G147=H147</f>
        <v>#VALUE!</v>
      </c>
    </row>
    <row r="148" customFormat="false" ht="16.5" hidden="true" customHeight="false" outlineLevel="0" collapsed="false">
      <c r="A148" s="6" t="s">
        <v>147</v>
      </c>
      <c r="B148" s="7" t="n">
        <v>4</v>
      </c>
      <c r="C148" s="0" t="e">
        <f aca="false">VLOOKUP(A:A,#REF!,2,0)</f>
        <v>#VALUE!</v>
      </c>
      <c r="D148" s="0" t="e">
        <f aca="false">GETPIVOTDATA("機型",$A$3,"門市","七堵")=C148</f>
        <v>#VALUE!</v>
      </c>
      <c r="F148" s="0" t="s">
        <v>147</v>
      </c>
      <c r="G148" s="0" t="n">
        <v>4</v>
      </c>
      <c r="H148" s="0" t="e">
        <f aca="false">VLOOKUP(F:F,#REF!,2,0)</f>
        <v>#VALUE!</v>
      </c>
      <c r="I148" s="0" t="e">
        <f aca="false">G148=H148</f>
        <v>#VALUE!</v>
      </c>
    </row>
    <row r="149" customFormat="false" ht="16.5" hidden="true" customHeight="false" outlineLevel="0" collapsed="false">
      <c r="A149" s="6" t="s">
        <v>148</v>
      </c>
      <c r="B149" s="7" t="n">
        <v>6</v>
      </c>
      <c r="C149" s="0" t="e">
        <f aca="false">VLOOKUP(A:A,#REF!,2,0)</f>
        <v>#VALUE!</v>
      </c>
      <c r="D149" s="0" t="e">
        <f aca="false">GETPIVOTDATA("機型",$A$3,"門市","七堵")=C149</f>
        <v>#VALUE!</v>
      </c>
      <c r="F149" s="0" t="s">
        <v>148</v>
      </c>
      <c r="G149" s="0" t="n">
        <v>6</v>
      </c>
      <c r="H149" s="0" t="e">
        <f aca="false">VLOOKUP(F:F,#REF!,2,0)</f>
        <v>#VALUE!</v>
      </c>
      <c r="I149" s="0" t="e">
        <f aca="false">G149=H149</f>
        <v>#VALUE!</v>
      </c>
    </row>
    <row r="150" customFormat="false" ht="16.5" hidden="true" customHeight="false" outlineLevel="0" collapsed="false">
      <c r="A150" s="6" t="s">
        <v>149</v>
      </c>
      <c r="B150" s="7" t="n">
        <v>5</v>
      </c>
      <c r="C150" s="0" t="e">
        <f aca="false">VLOOKUP(A:A,#REF!,2,0)</f>
        <v>#VALUE!</v>
      </c>
      <c r="D150" s="0" t="e">
        <f aca="false">GETPIVOTDATA("機型",$A$3,"門市","七堵")=C150</f>
        <v>#VALUE!</v>
      </c>
      <c r="F150" s="0" t="s">
        <v>149</v>
      </c>
      <c r="G150" s="0" t="n">
        <v>5</v>
      </c>
      <c r="H150" s="0" t="e">
        <f aca="false">VLOOKUP(F:F,#REF!,2,0)</f>
        <v>#VALUE!</v>
      </c>
      <c r="I150" s="0" t="e">
        <f aca="false">G150=H150</f>
        <v>#VALUE!</v>
      </c>
    </row>
    <row r="151" customFormat="false" ht="16.5" hidden="true" customHeight="false" outlineLevel="0" collapsed="false">
      <c r="A151" s="6" t="s">
        <v>150</v>
      </c>
      <c r="B151" s="7" t="n">
        <v>6</v>
      </c>
      <c r="C151" s="0" t="n">
        <v>6</v>
      </c>
      <c r="D151" s="0" t="n">
        <f aca="false">GETPIVOTDATA("機型",$A$3,"門市","七堵")=C151</f>
        <v>0</v>
      </c>
      <c r="F151" s="0" t="s">
        <v>150</v>
      </c>
      <c r="G151" s="0" t="n">
        <v>6</v>
      </c>
      <c r="H151" s="0" t="n">
        <v>6</v>
      </c>
      <c r="I151" s="0" t="n">
        <f aca="false">G151=H151</f>
        <v>1</v>
      </c>
    </row>
    <row r="152" customFormat="false" ht="16.5" hidden="true" customHeight="false" outlineLevel="0" collapsed="false">
      <c r="A152" s="6" t="s">
        <v>151</v>
      </c>
      <c r="B152" s="7" t="n">
        <v>4</v>
      </c>
      <c r="C152" s="0" t="e">
        <f aca="false">VLOOKUP(A:A,#REF!,2,0)</f>
        <v>#VALUE!</v>
      </c>
      <c r="D152" s="0" t="e">
        <f aca="false">GETPIVOTDATA("機型",$A$3,"門市","七堵")=C152</f>
        <v>#VALUE!</v>
      </c>
      <c r="F152" s="0" t="s">
        <v>151</v>
      </c>
      <c r="G152" s="0" t="n">
        <v>4</v>
      </c>
      <c r="H152" s="0" t="e">
        <f aca="false">VLOOKUP(F:F,#REF!,2,0)</f>
        <v>#VALUE!</v>
      </c>
      <c r="I152" s="0" t="e">
        <f aca="false">G152=H152</f>
        <v>#VALUE!</v>
      </c>
    </row>
    <row r="153" customFormat="false" ht="16.5" hidden="false" customHeight="false" outlineLevel="0" collapsed="false">
      <c r="A153" s="6" t="s">
        <v>152</v>
      </c>
      <c r="B153" s="7" t="n">
        <v>4</v>
      </c>
      <c r="C153" s="0" t="e">
        <f aca="false">VLOOKUP(A:A,#REF!,2,0)</f>
        <v>#VALUE!</v>
      </c>
      <c r="D153" s="0" t="e">
        <f aca="false">GETPIVOTDATA("機型",$A$3,"門市","七堵")=C153</f>
        <v>#VALUE!</v>
      </c>
      <c r="F153" s="8" t="s">
        <v>152</v>
      </c>
      <c r="G153" s="8" t="n">
        <v>4</v>
      </c>
      <c r="H153" s="0" t="e">
        <f aca="false">VLOOKUP(F:F,#REF!,2,0)</f>
        <v>#VALUE!</v>
      </c>
      <c r="I153" s="0" t="e">
        <f aca="false">G153=H153</f>
        <v>#VALUE!</v>
      </c>
    </row>
    <row r="154" customFormat="false" ht="16.5" hidden="true" customHeight="false" outlineLevel="0" collapsed="false">
      <c r="A154" s="6" t="s">
        <v>153</v>
      </c>
      <c r="B154" s="7" t="n">
        <v>5</v>
      </c>
      <c r="C154" s="0" t="n">
        <v>5</v>
      </c>
      <c r="D154" s="0" t="n">
        <f aca="false">GETPIVOTDATA("機型",$A$3,"門市","七堵")=C154</f>
        <v>1</v>
      </c>
      <c r="F154" s="0" t="s">
        <v>153</v>
      </c>
      <c r="G154" s="0" t="n">
        <v>5</v>
      </c>
      <c r="H154" s="0" t="n">
        <v>5</v>
      </c>
      <c r="I154" s="0" t="n">
        <f aca="false">G154=H154</f>
        <v>1</v>
      </c>
    </row>
    <row r="155" customFormat="false" ht="16.5" hidden="true" customHeight="false" outlineLevel="0" collapsed="false">
      <c r="A155" s="6" t="s">
        <v>154</v>
      </c>
      <c r="B155" s="7" t="n">
        <v>3</v>
      </c>
      <c r="C155" s="0" t="e">
        <f aca="false">VLOOKUP(A:A,#REF!,2,0)</f>
        <v>#VALUE!</v>
      </c>
      <c r="D155" s="0" t="e">
        <f aca="false">GETPIVOTDATA("機型",$A$3,"門市","七堵")=C155</f>
        <v>#VALUE!</v>
      </c>
      <c r="F155" s="0" t="s">
        <v>154</v>
      </c>
      <c r="G155" s="0" t="n">
        <v>3</v>
      </c>
      <c r="H155" s="0" t="e">
        <f aca="false">VLOOKUP(F:F,#REF!,2,0)</f>
        <v>#VALUE!</v>
      </c>
      <c r="I155" s="0" t="e">
        <f aca="false">G155=H155</f>
        <v>#VALUE!</v>
      </c>
    </row>
    <row r="156" customFormat="false" ht="16.5" hidden="true" customHeight="false" outlineLevel="0" collapsed="false">
      <c r="A156" s="6" t="s">
        <v>155</v>
      </c>
      <c r="B156" s="7" t="n">
        <v>4</v>
      </c>
      <c r="C156" s="0" t="e">
        <f aca="false">VLOOKUP(A:A,#REF!,2,0)</f>
        <v>#VALUE!</v>
      </c>
      <c r="D156" s="0" t="e">
        <f aca="false">GETPIVOTDATA("機型",$A$3,"門市","七堵")=C156</f>
        <v>#VALUE!</v>
      </c>
      <c r="F156" s="0" t="s">
        <v>155</v>
      </c>
      <c r="G156" s="0" t="n">
        <v>4</v>
      </c>
      <c r="H156" s="0" t="e">
        <f aca="false">VLOOKUP(F:F,#REF!,2,0)</f>
        <v>#VALUE!</v>
      </c>
      <c r="I156" s="0" t="e">
        <f aca="false">G156=H156</f>
        <v>#VALUE!</v>
      </c>
    </row>
    <row r="157" customFormat="false" ht="16.5" hidden="true" customHeight="false" outlineLevel="0" collapsed="false">
      <c r="A157" s="6" t="s">
        <v>156</v>
      </c>
      <c r="B157" s="7" t="n">
        <v>4</v>
      </c>
      <c r="C157" s="0" t="e">
        <f aca="false">VLOOKUP(A:A,#REF!,2,0)</f>
        <v>#VALUE!</v>
      </c>
      <c r="D157" s="0" t="e">
        <f aca="false">GETPIVOTDATA("機型",$A$3,"門市","七堵")=C157</f>
        <v>#VALUE!</v>
      </c>
      <c r="F157" s="0" t="s">
        <v>156</v>
      </c>
      <c r="G157" s="0" t="n">
        <v>4</v>
      </c>
      <c r="H157" s="0" t="e">
        <f aca="false">VLOOKUP(F:F,#REF!,2,0)</f>
        <v>#VALUE!</v>
      </c>
      <c r="I157" s="0" t="e">
        <f aca="false">G157=H157</f>
        <v>#VALUE!</v>
      </c>
    </row>
    <row r="158" customFormat="false" ht="16.5" hidden="true" customHeight="false" outlineLevel="0" collapsed="false">
      <c r="A158" s="6" t="s">
        <v>157</v>
      </c>
      <c r="B158" s="7" t="n">
        <v>4</v>
      </c>
      <c r="C158" s="0" t="e">
        <f aca="false">VLOOKUP(A:A,#REF!,2,0)</f>
        <v>#VALUE!</v>
      </c>
      <c r="D158" s="0" t="e">
        <f aca="false">GETPIVOTDATA("機型",$A$3,"門市","七堵")=C158</f>
        <v>#VALUE!</v>
      </c>
      <c r="F158" s="0" t="s">
        <v>157</v>
      </c>
      <c r="G158" s="0" t="n">
        <v>4</v>
      </c>
      <c r="H158" s="0" t="e">
        <f aca="false">VLOOKUP(F:F,#REF!,2,0)</f>
        <v>#VALUE!</v>
      </c>
      <c r="I158" s="0" t="e">
        <f aca="false">G158=H158</f>
        <v>#VALUE!</v>
      </c>
    </row>
    <row r="159" customFormat="false" ht="16.5" hidden="true" customHeight="false" outlineLevel="0" collapsed="false">
      <c r="A159" s="6" t="s">
        <v>158</v>
      </c>
      <c r="B159" s="7" t="n">
        <v>1</v>
      </c>
      <c r="C159" s="0" t="e">
        <f aca="false">VLOOKUP(A:A,#REF!,2,0)</f>
        <v>#VALUE!</v>
      </c>
      <c r="D159" s="0" t="e">
        <f aca="false">GETPIVOTDATA("機型",$A$3,"門市","七堵")=C159</f>
        <v>#VALUE!</v>
      </c>
      <c r="F159" s="0" t="s">
        <v>158</v>
      </c>
      <c r="G159" s="0" t="n">
        <v>1</v>
      </c>
      <c r="H159" s="0" t="e">
        <f aca="false">VLOOKUP(F:F,#REF!,2,0)</f>
        <v>#VALUE!</v>
      </c>
      <c r="I159" s="0" t="e">
        <f aca="false">G159=H159</f>
        <v>#VALUE!</v>
      </c>
    </row>
    <row r="160" customFormat="false" ht="16.5" hidden="true" customHeight="false" outlineLevel="0" collapsed="false">
      <c r="A160" s="6" t="s">
        <v>159</v>
      </c>
      <c r="B160" s="7" t="n">
        <v>2</v>
      </c>
      <c r="C160" s="0" t="e">
        <f aca="false">VLOOKUP(A:A,#REF!,2,0)</f>
        <v>#VALUE!</v>
      </c>
      <c r="D160" s="0" t="e">
        <f aca="false">GETPIVOTDATA("機型",$A$3,"門市","七堵")=C160</f>
        <v>#VALUE!</v>
      </c>
      <c r="F160" s="0" t="s">
        <v>159</v>
      </c>
      <c r="G160" s="0" t="n">
        <v>2</v>
      </c>
      <c r="H160" s="0" t="e">
        <f aca="false">VLOOKUP(F:F,#REF!,2,0)</f>
        <v>#VALUE!</v>
      </c>
      <c r="I160" s="0" t="e">
        <f aca="false">G160=H160</f>
        <v>#VALUE!</v>
      </c>
    </row>
    <row r="161" customFormat="false" ht="16.5" hidden="true" customHeight="false" outlineLevel="0" collapsed="false">
      <c r="A161" s="6" t="s">
        <v>160</v>
      </c>
      <c r="B161" s="7" t="n">
        <v>5</v>
      </c>
      <c r="C161" s="0" t="e">
        <f aca="false">VLOOKUP(A:A,#REF!,2,0)</f>
        <v>#VALUE!</v>
      </c>
      <c r="D161" s="0" t="e">
        <f aca="false">GETPIVOTDATA("機型",$A$3,"門市","七堵")=C161</f>
        <v>#VALUE!</v>
      </c>
      <c r="F161" s="0" t="s">
        <v>160</v>
      </c>
      <c r="G161" s="0" t="n">
        <v>5</v>
      </c>
      <c r="H161" s="0" t="e">
        <f aca="false">VLOOKUP(F:F,#REF!,2,0)</f>
        <v>#VALUE!</v>
      </c>
      <c r="I161" s="0" t="e">
        <f aca="false">G161=H161</f>
        <v>#VALUE!</v>
      </c>
    </row>
    <row r="162" customFormat="false" ht="16.5" hidden="true" customHeight="false" outlineLevel="0" collapsed="false">
      <c r="A162" s="6" t="s">
        <v>161</v>
      </c>
      <c r="B162" s="7" t="n">
        <v>1</v>
      </c>
      <c r="C162" s="0" t="e">
        <f aca="false">VLOOKUP(A:A,#REF!,2,0)</f>
        <v>#VALUE!</v>
      </c>
      <c r="D162" s="0" t="e">
        <f aca="false">GETPIVOTDATA("機型",$A$3,"門市","七堵")=C162</f>
        <v>#VALUE!</v>
      </c>
      <c r="F162" s="0" t="s">
        <v>161</v>
      </c>
      <c r="G162" s="0" t="n">
        <v>1</v>
      </c>
      <c r="H162" s="0" t="e">
        <f aca="false">VLOOKUP(F:F,#REF!,2,0)</f>
        <v>#VALUE!</v>
      </c>
      <c r="I162" s="0" t="e">
        <f aca="false">G162=H162</f>
        <v>#VALUE!</v>
      </c>
    </row>
    <row r="163" customFormat="false" ht="16.5" hidden="true" customHeight="false" outlineLevel="0" collapsed="false">
      <c r="A163" s="6" t="s">
        <v>162</v>
      </c>
      <c r="B163" s="7" t="n">
        <v>2</v>
      </c>
      <c r="C163" s="0" t="e">
        <f aca="false">VLOOKUP(A:A,#REF!,2,0)</f>
        <v>#VALUE!</v>
      </c>
      <c r="D163" s="0" t="e">
        <f aca="false">GETPIVOTDATA("機型",$A$3,"門市","七堵")=C163</f>
        <v>#VALUE!</v>
      </c>
      <c r="F163" s="0" t="s">
        <v>162</v>
      </c>
      <c r="G163" s="0" t="n">
        <v>2</v>
      </c>
      <c r="H163" s="0" t="e">
        <f aca="false">VLOOKUP(F:F,#REF!,2,0)</f>
        <v>#VALUE!</v>
      </c>
      <c r="I163" s="0" t="e">
        <f aca="false">G163=H163</f>
        <v>#VALUE!</v>
      </c>
    </row>
    <row r="164" customFormat="false" ht="16.5" hidden="true" customHeight="false" outlineLevel="0" collapsed="false">
      <c r="A164" s="6" t="s">
        <v>163</v>
      </c>
      <c r="B164" s="7" t="n">
        <v>3</v>
      </c>
      <c r="C164" s="0" t="e">
        <f aca="false">VLOOKUP(A:A,#REF!,2,0)</f>
        <v>#VALUE!</v>
      </c>
      <c r="D164" s="0" t="e">
        <f aca="false">GETPIVOTDATA("機型",$A$3,"門市","七堵")=C164</f>
        <v>#VALUE!</v>
      </c>
      <c r="F164" s="0" t="s">
        <v>163</v>
      </c>
      <c r="G164" s="0" t="n">
        <v>3</v>
      </c>
      <c r="H164" s="0" t="e">
        <f aca="false">VLOOKUP(F:F,#REF!,2,0)</f>
        <v>#VALUE!</v>
      </c>
      <c r="I164" s="0" t="e">
        <f aca="false">G164=H164</f>
        <v>#VALUE!</v>
      </c>
    </row>
    <row r="165" customFormat="false" ht="16.5" hidden="true" customHeight="false" outlineLevel="0" collapsed="false">
      <c r="A165" s="6" t="s">
        <v>164</v>
      </c>
      <c r="B165" s="7" t="n">
        <v>3</v>
      </c>
      <c r="C165" s="0" t="e">
        <f aca="false">VLOOKUP(A:A,#REF!,2,0)</f>
        <v>#VALUE!</v>
      </c>
      <c r="D165" s="0" t="e">
        <f aca="false">GETPIVOTDATA("機型",$A$3,"門市","七堵")=C165</f>
        <v>#VALUE!</v>
      </c>
      <c r="F165" s="0" t="s">
        <v>164</v>
      </c>
      <c r="G165" s="0" t="n">
        <v>3</v>
      </c>
      <c r="H165" s="0" t="e">
        <f aca="false">VLOOKUP(F:F,#REF!,2,0)</f>
        <v>#VALUE!</v>
      </c>
      <c r="I165" s="0" t="e">
        <f aca="false">G165=H165</f>
        <v>#VALUE!</v>
      </c>
    </row>
    <row r="166" customFormat="false" ht="16.5" hidden="true" customHeight="false" outlineLevel="0" collapsed="false">
      <c r="A166" s="6" t="s">
        <v>165</v>
      </c>
      <c r="B166" s="7" t="n">
        <v>3</v>
      </c>
      <c r="C166" s="0" t="e">
        <f aca="false">VLOOKUP(A:A,#REF!,2,0)</f>
        <v>#VALUE!</v>
      </c>
      <c r="D166" s="0" t="e">
        <f aca="false">GETPIVOTDATA("機型",$A$3,"門市","七堵")=C166</f>
        <v>#VALUE!</v>
      </c>
      <c r="F166" s="0" t="s">
        <v>165</v>
      </c>
      <c r="G166" s="0" t="n">
        <v>3</v>
      </c>
      <c r="H166" s="0" t="e">
        <f aca="false">VLOOKUP(F:F,#REF!,2,0)</f>
        <v>#VALUE!</v>
      </c>
      <c r="I166" s="0" t="e">
        <f aca="false">G166=H166</f>
        <v>#VALUE!</v>
      </c>
    </row>
    <row r="167" customFormat="false" ht="16.5" hidden="true" customHeight="false" outlineLevel="0" collapsed="false">
      <c r="A167" s="6" t="s">
        <v>166</v>
      </c>
      <c r="B167" s="7" t="n">
        <v>2</v>
      </c>
      <c r="C167" s="0" t="e">
        <f aca="false">VLOOKUP(A:A,#REF!,2,0)</f>
        <v>#VALUE!</v>
      </c>
      <c r="D167" s="0" t="e">
        <f aca="false">GETPIVOTDATA("機型",$A$3,"門市","七堵")=C167</f>
        <v>#VALUE!</v>
      </c>
      <c r="F167" s="0" t="s">
        <v>166</v>
      </c>
      <c r="G167" s="0" t="n">
        <v>2</v>
      </c>
      <c r="H167" s="0" t="e">
        <f aca="false">VLOOKUP(F:F,#REF!,2,0)</f>
        <v>#VALUE!</v>
      </c>
      <c r="I167" s="0" t="e">
        <f aca="false">G167=H167</f>
        <v>#VALUE!</v>
      </c>
    </row>
    <row r="168" customFormat="false" ht="16.5" hidden="true" customHeight="false" outlineLevel="0" collapsed="false">
      <c r="A168" s="6" t="s">
        <v>167</v>
      </c>
      <c r="B168" s="7" t="n">
        <v>5</v>
      </c>
      <c r="C168" s="0" t="e">
        <f aca="false">VLOOKUP(A:A,#REF!,2,0)</f>
        <v>#VALUE!</v>
      </c>
      <c r="D168" s="0" t="e">
        <f aca="false">GETPIVOTDATA("機型",$A$3,"門市","七堵")=C168</f>
        <v>#VALUE!</v>
      </c>
      <c r="F168" s="0" t="s">
        <v>167</v>
      </c>
      <c r="G168" s="0" t="n">
        <v>5</v>
      </c>
      <c r="H168" s="0" t="e">
        <f aca="false">VLOOKUP(F:F,#REF!,2,0)</f>
        <v>#VALUE!</v>
      </c>
      <c r="I168" s="0" t="e">
        <f aca="false">G168=H168</f>
        <v>#VALUE!</v>
      </c>
    </row>
    <row r="169" customFormat="false" ht="16.5" hidden="true" customHeight="false" outlineLevel="0" collapsed="false">
      <c r="A169" s="6" t="s">
        <v>168</v>
      </c>
      <c r="B169" s="7" t="n">
        <v>5</v>
      </c>
      <c r="C169" s="0" t="e">
        <f aca="false">VLOOKUP(A:A,#REF!,2,0)</f>
        <v>#VALUE!</v>
      </c>
      <c r="D169" s="0" t="e">
        <f aca="false">GETPIVOTDATA("機型",$A$3,"門市","七堵")=C169</f>
        <v>#VALUE!</v>
      </c>
      <c r="F169" s="0" t="s">
        <v>168</v>
      </c>
      <c r="G169" s="0" t="n">
        <v>5</v>
      </c>
      <c r="H169" s="0" t="e">
        <f aca="false">VLOOKUP(F:F,#REF!,2,0)</f>
        <v>#VALUE!</v>
      </c>
      <c r="I169" s="0" t="e">
        <f aca="false">G169=H169</f>
        <v>#VALUE!</v>
      </c>
    </row>
    <row r="170" customFormat="false" ht="16.5" hidden="true" customHeight="false" outlineLevel="0" collapsed="false">
      <c r="A170" s="6" t="s">
        <v>169</v>
      </c>
      <c r="B170" s="7" t="n">
        <v>10</v>
      </c>
      <c r="C170" s="0" t="e">
        <f aca="false">VLOOKUP(A:A,#REF!,2,0)</f>
        <v>#VALUE!</v>
      </c>
      <c r="D170" s="0" t="e">
        <f aca="false">GETPIVOTDATA("機型",$A$3,"門市","七堵")=C170</f>
        <v>#VALUE!</v>
      </c>
      <c r="F170" s="0" t="s">
        <v>169</v>
      </c>
      <c r="G170" s="0" t="n">
        <v>10</v>
      </c>
      <c r="H170" s="0" t="e">
        <f aca="false">VLOOKUP(F:F,#REF!,2,0)</f>
        <v>#VALUE!</v>
      </c>
      <c r="I170" s="0" t="e">
        <f aca="false">G170=H170</f>
        <v>#VALUE!</v>
      </c>
    </row>
    <row r="171" customFormat="false" ht="16.5" hidden="true" customHeight="false" outlineLevel="0" collapsed="false">
      <c r="A171" s="6" t="s">
        <v>170</v>
      </c>
      <c r="B171" s="7" t="n">
        <v>2</v>
      </c>
      <c r="C171" s="0" t="e">
        <f aca="false">VLOOKUP(A:A,#REF!,2,0)</f>
        <v>#VALUE!</v>
      </c>
      <c r="D171" s="0" t="e">
        <f aca="false">GETPIVOTDATA("機型",$A$3,"門市","七堵")=C171</f>
        <v>#VALUE!</v>
      </c>
      <c r="F171" s="0" t="s">
        <v>170</v>
      </c>
      <c r="G171" s="0" t="n">
        <v>2</v>
      </c>
      <c r="H171" s="0" t="e">
        <f aca="false">VLOOKUP(F:F,#REF!,2,0)</f>
        <v>#VALUE!</v>
      </c>
      <c r="I171" s="0" t="e">
        <f aca="false">G171=H171</f>
        <v>#VALUE!</v>
      </c>
    </row>
    <row r="172" customFormat="false" ht="16.5" hidden="true" customHeight="false" outlineLevel="0" collapsed="false">
      <c r="A172" s="6" t="s">
        <v>171</v>
      </c>
      <c r="B172" s="7" t="n">
        <v>6</v>
      </c>
      <c r="C172" s="0" t="e">
        <f aca="false">VLOOKUP(A:A,#REF!,2,0)</f>
        <v>#VALUE!</v>
      </c>
      <c r="D172" s="0" t="e">
        <f aca="false">GETPIVOTDATA("機型",$A$3,"門市","七堵")=C172</f>
        <v>#VALUE!</v>
      </c>
      <c r="F172" s="0" t="s">
        <v>171</v>
      </c>
      <c r="G172" s="0" t="n">
        <v>6</v>
      </c>
      <c r="H172" s="0" t="e">
        <f aca="false">VLOOKUP(F:F,#REF!,2,0)</f>
        <v>#VALUE!</v>
      </c>
      <c r="I172" s="0" t="e">
        <f aca="false">G172=H172</f>
        <v>#VALUE!</v>
      </c>
    </row>
    <row r="173" customFormat="false" ht="16.5" hidden="true" customHeight="false" outlineLevel="0" collapsed="false">
      <c r="A173" s="6" t="s">
        <v>172</v>
      </c>
      <c r="B173" s="7" t="n">
        <v>5</v>
      </c>
      <c r="C173" s="0" t="e">
        <f aca="false">VLOOKUP(A:A,#REF!,2,0)</f>
        <v>#VALUE!</v>
      </c>
      <c r="D173" s="0" t="e">
        <f aca="false">GETPIVOTDATA("機型",$A$3,"門市","七堵")=C173</f>
        <v>#VALUE!</v>
      </c>
      <c r="F173" s="0" t="s">
        <v>172</v>
      </c>
      <c r="G173" s="0" t="n">
        <v>5</v>
      </c>
      <c r="H173" s="0" t="e">
        <f aca="false">VLOOKUP(F:F,#REF!,2,0)</f>
        <v>#VALUE!</v>
      </c>
      <c r="I173" s="0" t="e">
        <f aca="false">G173=H173</f>
        <v>#VALUE!</v>
      </c>
    </row>
    <row r="174" customFormat="false" ht="16.5" hidden="true" customHeight="false" outlineLevel="0" collapsed="false">
      <c r="A174" s="6" t="s">
        <v>173</v>
      </c>
      <c r="B174" s="7" t="n">
        <v>2</v>
      </c>
      <c r="C174" s="0" t="e">
        <f aca="false">VLOOKUP(A:A,#REF!,2,0)</f>
        <v>#VALUE!</v>
      </c>
      <c r="D174" s="0" t="e">
        <f aca="false">GETPIVOTDATA("機型",$A$3,"門市","七堵")=C174</f>
        <v>#VALUE!</v>
      </c>
      <c r="F174" s="0" t="s">
        <v>173</v>
      </c>
      <c r="G174" s="0" t="n">
        <v>2</v>
      </c>
      <c r="H174" s="0" t="e">
        <f aca="false">VLOOKUP(F:F,#REF!,2,0)</f>
        <v>#VALUE!</v>
      </c>
      <c r="I174" s="0" t="e">
        <f aca="false">G174=H174</f>
        <v>#VALUE!</v>
      </c>
    </row>
    <row r="175" customFormat="false" ht="16.5" hidden="true" customHeight="false" outlineLevel="0" collapsed="false">
      <c r="A175" s="6" t="s">
        <v>174</v>
      </c>
      <c r="B175" s="7" t="n">
        <v>5</v>
      </c>
      <c r="C175" s="0" t="n">
        <v>5</v>
      </c>
      <c r="D175" s="0" t="n">
        <f aca="false">GETPIVOTDATA("機型",$A$3,"門市","七堵")=C175</f>
        <v>1</v>
      </c>
      <c r="F175" s="0" t="s">
        <v>174</v>
      </c>
      <c r="G175" s="0" t="n">
        <v>5</v>
      </c>
      <c r="H175" s="0" t="n">
        <v>5</v>
      </c>
      <c r="I175" s="0" t="n">
        <f aca="false">G175=H175</f>
        <v>1</v>
      </c>
    </row>
    <row r="176" customFormat="false" ht="16.5" hidden="true" customHeight="false" outlineLevel="0" collapsed="false">
      <c r="A176" s="6" t="s">
        <v>175</v>
      </c>
      <c r="B176" s="7" t="n">
        <v>5</v>
      </c>
      <c r="C176" s="0" t="e">
        <f aca="false">VLOOKUP(A:A,#REF!,2,0)</f>
        <v>#VALUE!</v>
      </c>
      <c r="D176" s="0" t="e">
        <f aca="false">GETPIVOTDATA("機型",$A$3,"門市","七堵")=C176</f>
        <v>#VALUE!</v>
      </c>
      <c r="F176" s="0" t="s">
        <v>175</v>
      </c>
      <c r="G176" s="0" t="n">
        <v>5</v>
      </c>
      <c r="H176" s="0" t="e">
        <f aca="false">VLOOKUP(F:F,#REF!,2,0)</f>
        <v>#VALUE!</v>
      </c>
      <c r="I176" s="0" t="e">
        <f aca="false">G176=H176</f>
        <v>#VALUE!</v>
      </c>
    </row>
    <row r="177" customFormat="false" ht="16.5" hidden="true" customHeight="false" outlineLevel="0" collapsed="false">
      <c r="A177" s="6" t="s">
        <v>176</v>
      </c>
      <c r="B177" s="7" t="n">
        <v>5</v>
      </c>
      <c r="C177" s="0" t="e">
        <f aca="false">VLOOKUP(A:A,#REF!,2,0)</f>
        <v>#VALUE!</v>
      </c>
      <c r="D177" s="0" t="e">
        <f aca="false">GETPIVOTDATA("機型",$A$3,"門市","七堵")=C177</f>
        <v>#VALUE!</v>
      </c>
      <c r="F177" s="0" t="s">
        <v>176</v>
      </c>
      <c r="G177" s="0" t="n">
        <v>5</v>
      </c>
      <c r="H177" s="0" t="e">
        <f aca="false">VLOOKUP(F:F,#REF!,2,0)</f>
        <v>#VALUE!</v>
      </c>
      <c r="I177" s="0" t="e">
        <f aca="false">G177=H177</f>
        <v>#VALUE!</v>
      </c>
    </row>
    <row r="178" customFormat="false" ht="16.5" hidden="true" customHeight="false" outlineLevel="0" collapsed="false">
      <c r="A178" s="6" t="s">
        <v>177</v>
      </c>
      <c r="B178" s="7" t="n">
        <v>1</v>
      </c>
      <c r="C178" s="0" t="e">
        <f aca="false">VLOOKUP(A:A,#REF!,2,0)</f>
        <v>#VALUE!</v>
      </c>
      <c r="D178" s="0" t="e">
        <f aca="false">GETPIVOTDATA("機型",$A$3,"門市","七堵")=C178</f>
        <v>#VALUE!</v>
      </c>
      <c r="F178" s="0" t="s">
        <v>177</v>
      </c>
      <c r="G178" s="0" t="n">
        <v>1</v>
      </c>
      <c r="H178" s="0" t="e">
        <f aca="false">VLOOKUP(F:F,#REF!,2,0)</f>
        <v>#VALUE!</v>
      </c>
      <c r="I178" s="0" t="e">
        <f aca="false">G178=H178</f>
        <v>#VALUE!</v>
      </c>
    </row>
    <row r="179" customFormat="false" ht="16.5" hidden="true" customHeight="false" outlineLevel="0" collapsed="false">
      <c r="A179" s="6" t="s">
        <v>178</v>
      </c>
      <c r="B179" s="7" t="n">
        <v>2</v>
      </c>
      <c r="C179" s="0" t="n">
        <v>2</v>
      </c>
      <c r="D179" s="0" t="n">
        <f aca="false">GETPIVOTDATA("機型",$A$3,"門市","七堵")=C179</f>
        <v>0</v>
      </c>
      <c r="F179" s="0" t="s">
        <v>178</v>
      </c>
      <c r="G179" s="0" t="n">
        <v>2</v>
      </c>
      <c r="H179" s="0" t="n">
        <v>2</v>
      </c>
      <c r="I179" s="0" t="n">
        <f aca="false">G179=H179</f>
        <v>1</v>
      </c>
    </row>
    <row r="180" customFormat="false" ht="16.5" hidden="true" customHeight="false" outlineLevel="0" collapsed="false">
      <c r="A180" s="6" t="s">
        <v>179</v>
      </c>
      <c r="B180" s="7" t="n">
        <v>11</v>
      </c>
      <c r="C180" s="0" t="e">
        <f aca="false">VLOOKUP(A:A,#REF!,2,0)</f>
        <v>#VALUE!</v>
      </c>
      <c r="D180" s="0" t="e">
        <f aca="false">GETPIVOTDATA("機型",$A$3,"門市","七堵")=C180</f>
        <v>#VALUE!</v>
      </c>
      <c r="F180" s="0" t="s">
        <v>179</v>
      </c>
      <c r="G180" s="0" t="n">
        <v>11</v>
      </c>
      <c r="H180" s="0" t="e">
        <f aca="false">VLOOKUP(F:F,#REF!,2,0)</f>
        <v>#VALUE!</v>
      </c>
      <c r="I180" s="0" t="e">
        <f aca="false">G180=H180</f>
        <v>#VALUE!</v>
      </c>
    </row>
    <row r="181" customFormat="false" ht="16.5" hidden="true" customHeight="false" outlineLevel="0" collapsed="false">
      <c r="A181" s="6" t="s">
        <v>180</v>
      </c>
      <c r="B181" s="7" t="n">
        <v>2</v>
      </c>
      <c r="C181" s="0" t="e">
        <f aca="false">VLOOKUP(A:A,#REF!,2,0)</f>
        <v>#VALUE!</v>
      </c>
      <c r="D181" s="0" t="e">
        <f aca="false">GETPIVOTDATA("機型",$A$3,"門市","七堵")=C181</f>
        <v>#VALUE!</v>
      </c>
      <c r="F181" s="0" t="s">
        <v>180</v>
      </c>
      <c r="G181" s="0" t="n">
        <v>2</v>
      </c>
      <c r="H181" s="0" t="e">
        <f aca="false">VLOOKUP(F:F,#REF!,2,0)</f>
        <v>#VALUE!</v>
      </c>
      <c r="I181" s="0" t="e">
        <f aca="false">G181=H181</f>
        <v>#VALUE!</v>
      </c>
    </row>
    <row r="182" customFormat="false" ht="16.5" hidden="true" customHeight="false" outlineLevel="0" collapsed="false">
      <c r="A182" s="6" t="s">
        <v>181</v>
      </c>
      <c r="B182" s="7" t="n">
        <v>3</v>
      </c>
      <c r="C182" s="0" t="e">
        <f aca="false">VLOOKUP(A:A,#REF!,2,0)</f>
        <v>#VALUE!</v>
      </c>
      <c r="D182" s="0" t="e">
        <f aca="false">GETPIVOTDATA("機型",$A$3,"門市","七堵")=C182</f>
        <v>#VALUE!</v>
      </c>
      <c r="F182" s="0" t="s">
        <v>181</v>
      </c>
      <c r="G182" s="0" t="n">
        <v>3</v>
      </c>
      <c r="H182" s="0" t="e">
        <f aca="false">VLOOKUP(F:F,#REF!,2,0)</f>
        <v>#VALUE!</v>
      </c>
      <c r="I182" s="0" t="e">
        <f aca="false">G182=H182</f>
        <v>#VALUE!</v>
      </c>
    </row>
    <row r="183" customFormat="false" ht="16.5" hidden="true" customHeight="false" outlineLevel="0" collapsed="false">
      <c r="A183" s="6" t="s">
        <v>182</v>
      </c>
      <c r="B183" s="7" t="n">
        <v>2</v>
      </c>
      <c r="C183" s="0" t="e">
        <f aca="false">VLOOKUP(A:A,#REF!,2,0)</f>
        <v>#VALUE!</v>
      </c>
      <c r="D183" s="0" t="e">
        <f aca="false">GETPIVOTDATA("機型",$A$3,"門市","七堵")=C183</f>
        <v>#VALUE!</v>
      </c>
      <c r="F183" s="0" t="s">
        <v>182</v>
      </c>
      <c r="G183" s="0" t="n">
        <v>2</v>
      </c>
      <c r="H183" s="0" t="e">
        <f aca="false">VLOOKUP(F:F,#REF!,2,0)</f>
        <v>#VALUE!</v>
      </c>
      <c r="I183" s="0" t="e">
        <f aca="false">G183=H183</f>
        <v>#VALUE!</v>
      </c>
    </row>
    <row r="184" customFormat="false" ht="16.5" hidden="true" customHeight="false" outlineLevel="0" collapsed="false">
      <c r="A184" s="6" t="s">
        <v>183</v>
      </c>
      <c r="B184" s="7" t="n">
        <v>5</v>
      </c>
      <c r="C184" s="0" t="e">
        <f aca="false">VLOOKUP(A:A,#REF!,2,0)</f>
        <v>#VALUE!</v>
      </c>
      <c r="D184" s="0" t="e">
        <f aca="false">GETPIVOTDATA("機型",$A$3,"門市","七堵")=C184</f>
        <v>#VALUE!</v>
      </c>
      <c r="F184" s="0" t="s">
        <v>183</v>
      </c>
      <c r="G184" s="0" t="n">
        <v>5</v>
      </c>
      <c r="H184" s="0" t="e">
        <f aca="false">VLOOKUP(F:F,#REF!,2,0)</f>
        <v>#VALUE!</v>
      </c>
      <c r="I184" s="0" t="e">
        <f aca="false">G184=H184</f>
        <v>#VALUE!</v>
      </c>
    </row>
    <row r="185" customFormat="false" ht="16.5" hidden="true" customHeight="false" outlineLevel="0" collapsed="false">
      <c r="A185" s="6" t="s">
        <v>184</v>
      </c>
      <c r="B185" s="7" t="n">
        <v>5</v>
      </c>
      <c r="C185" s="0" t="e">
        <f aca="false">VLOOKUP(A:A,#REF!,2,0)</f>
        <v>#VALUE!</v>
      </c>
      <c r="D185" s="0" t="e">
        <f aca="false">GETPIVOTDATA("機型",$A$3,"門市","七堵")=C185</f>
        <v>#VALUE!</v>
      </c>
      <c r="F185" s="0" t="s">
        <v>184</v>
      </c>
      <c r="G185" s="0" t="n">
        <v>5</v>
      </c>
      <c r="H185" s="0" t="e">
        <f aca="false">VLOOKUP(F:F,#REF!,2,0)</f>
        <v>#VALUE!</v>
      </c>
      <c r="I185" s="0" t="e">
        <f aca="false">G185=H185</f>
        <v>#VALUE!</v>
      </c>
    </row>
    <row r="186" customFormat="false" ht="16.5" hidden="true" customHeight="false" outlineLevel="0" collapsed="false">
      <c r="A186" s="6" t="s">
        <v>185</v>
      </c>
      <c r="B186" s="7" t="n">
        <v>1</v>
      </c>
      <c r="C186" s="0" t="e">
        <f aca="false">VLOOKUP(A:A,#REF!,2,0)</f>
        <v>#VALUE!</v>
      </c>
      <c r="D186" s="0" t="e">
        <f aca="false">GETPIVOTDATA("機型",$A$3,"門市","七堵")=C186</f>
        <v>#VALUE!</v>
      </c>
      <c r="F186" s="0" t="s">
        <v>185</v>
      </c>
      <c r="G186" s="0" t="n">
        <v>1</v>
      </c>
      <c r="H186" s="0" t="e">
        <f aca="false">VLOOKUP(F:F,#REF!,2,0)</f>
        <v>#VALUE!</v>
      </c>
      <c r="I186" s="0" t="e">
        <f aca="false">G186=H186</f>
        <v>#VALUE!</v>
      </c>
    </row>
    <row r="187" customFormat="false" ht="16.5" hidden="true" customHeight="false" outlineLevel="0" collapsed="false">
      <c r="A187" s="6" t="s">
        <v>186</v>
      </c>
      <c r="B187" s="7" t="n">
        <v>5</v>
      </c>
      <c r="C187" s="0" t="e">
        <f aca="false">VLOOKUP(A:A,#REF!,2,0)</f>
        <v>#VALUE!</v>
      </c>
      <c r="D187" s="0" t="e">
        <f aca="false">GETPIVOTDATA("機型",$A$3,"門市","七堵")=C187</f>
        <v>#VALUE!</v>
      </c>
      <c r="F187" s="0" t="s">
        <v>186</v>
      </c>
      <c r="G187" s="0" t="n">
        <v>5</v>
      </c>
      <c r="H187" s="0" t="e">
        <f aca="false">VLOOKUP(F:F,#REF!,2,0)</f>
        <v>#VALUE!</v>
      </c>
      <c r="I187" s="0" t="e">
        <f aca="false">G187=H187</f>
        <v>#VALUE!</v>
      </c>
    </row>
    <row r="188" customFormat="false" ht="16.5" hidden="true" customHeight="false" outlineLevel="0" collapsed="false">
      <c r="A188" s="6" t="s">
        <v>187</v>
      </c>
      <c r="B188" s="7" t="n">
        <v>5</v>
      </c>
      <c r="C188" s="0" t="e">
        <f aca="false">VLOOKUP(A:A,#REF!,2,0)</f>
        <v>#VALUE!</v>
      </c>
      <c r="D188" s="0" t="e">
        <f aca="false">GETPIVOTDATA("機型",$A$3,"門市","七堵")=C188</f>
        <v>#VALUE!</v>
      </c>
      <c r="F188" s="0" t="s">
        <v>187</v>
      </c>
      <c r="G188" s="0" t="n">
        <v>5</v>
      </c>
      <c r="H188" s="0" t="e">
        <f aca="false">VLOOKUP(F:F,#REF!,2,0)</f>
        <v>#VALUE!</v>
      </c>
      <c r="I188" s="0" t="e">
        <f aca="false">G188=H188</f>
        <v>#VALUE!</v>
      </c>
    </row>
    <row r="189" customFormat="false" ht="16.5" hidden="true" customHeight="false" outlineLevel="0" collapsed="false">
      <c r="A189" s="6" t="s">
        <v>188</v>
      </c>
      <c r="B189" s="7" t="n">
        <v>1</v>
      </c>
      <c r="C189" s="0" t="e">
        <f aca="false">VLOOKUP(A:A,#REF!,2,0)</f>
        <v>#VALUE!</v>
      </c>
      <c r="D189" s="0" t="e">
        <f aca="false">GETPIVOTDATA("機型",$A$3,"門市","七堵")=C189</f>
        <v>#VALUE!</v>
      </c>
      <c r="F189" s="0" t="s">
        <v>188</v>
      </c>
      <c r="G189" s="0" t="n">
        <v>1</v>
      </c>
      <c r="H189" s="0" t="e">
        <f aca="false">VLOOKUP(F:F,#REF!,2,0)</f>
        <v>#VALUE!</v>
      </c>
      <c r="I189" s="0" t="e">
        <f aca="false">G189=H189</f>
        <v>#VALUE!</v>
      </c>
    </row>
    <row r="190" customFormat="false" ht="16.5" hidden="true" customHeight="false" outlineLevel="0" collapsed="false">
      <c r="A190" s="6" t="s">
        <v>189</v>
      </c>
      <c r="B190" s="7" t="n">
        <v>1</v>
      </c>
      <c r="C190" s="0" t="e">
        <f aca="false">VLOOKUP(A:A,#REF!,2,0)</f>
        <v>#VALUE!</v>
      </c>
      <c r="D190" s="0" t="e">
        <f aca="false">GETPIVOTDATA("機型",$A$3,"門市","七堵")=C190</f>
        <v>#VALUE!</v>
      </c>
      <c r="F190" s="0" t="s">
        <v>189</v>
      </c>
      <c r="G190" s="0" t="n">
        <v>1</v>
      </c>
      <c r="H190" s="0" t="e">
        <f aca="false">VLOOKUP(F:F,#REF!,2,0)</f>
        <v>#VALUE!</v>
      </c>
      <c r="I190" s="0" t="e">
        <f aca="false">G190=H190</f>
        <v>#VALUE!</v>
      </c>
    </row>
    <row r="191" customFormat="false" ht="16.5" hidden="true" customHeight="false" outlineLevel="0" collapsed="false">
      <c r="A191" s="6" t="s">
        <v>190</v>
      </c>
      <c r="B191" s="7" t="n">
        <v>5</v>
      </c>
      <c r="C191" s="0" t="e">
        <f aca="false">VLOOKUP(A:A,#REF!,2,0)</f>
        <v>#VALUE!</v>
      </c>
      <c r="D191" s="0" t="e">
        <f aca="false">GETPIVOTDATA("機型",$A$3,"門市","七堵")=C191</f>
        <v>#VALUE!</v>
      </c>
      <c r="F191" s="0" t="s">
        <v>190</v>
      </c>
      <c r="G191" s="0" t="n">
        <v>5</v>
      </c>
      <c r="H191" s="0" t="e">
        <f aca="false">VLOOKUP(F:F,#REF!,2,0)</f>
        <v>#VALUE!</v>
      </c>
      <c r="I191" s="0" t="e">
        <f aca="false">G191=H191</f>
        <v>#VALUE!</v>
      </c>
    </row>
    <row r="192" customFormat="false" ht="16.5" hidden="true" customHeight="false" outlineLevel="0" collapsed="false">
      <c r="A192" s="6" t="s">
        <v>191</v>
      </c>
      <c r="B192" s="7" t="n">
        <v>4</v>
      </c>
      <c r="C192" s="0" t="e">
        <f aca="false">VLOOKUP(A:A,#REF!,2,0)</f>
        <v>#VALUE!</v>
      </c>
      <c r="D192" s="0" t="e">
        <f aca="false">GETPIVOTDATA("機型",$A$3,"門市","七堵")=C192</f>
        <v>#VALUE!</v>
      </c>
      <c r="F192" s="0" t="s">
        <v>191</v>
      </c>
      <c r="G192" s="0" t="n">
        <v>4</v>
      </c>
      <c r="H192" s="0" t="e">
        <f aca="false">VLOOKUP(F:F,#REF!,2,0)</f>
        <v>#VALUE!</v>
      </c>
      <c r="I192" s="0" t="e">
        <f aca="false">G192=H192</f>
        <v>#VALUE!</v>
      </c>
    </row>
    <row r="193" customFormat="false" ht="16.5" hidden="false" customHeight="false" outlineLevel="0" collapsed="false">
      <c r="A193" s="6" t="s">
        <v>192</v>
      </c>
      <c r="B193" s="7" t="n">
        <v>2</v>
      </c>
      <c r="C193" s="0" t="e">
        <f aca="false">VLOOKUP(A:A,#REF!,2,0)</f>
        <v>#VALUE!</v>
      </c>
      <c r="D193" s="0" t="e">
        <f aca="false">GETPIVOTDATA("機型",$A$3,"門市","七堵")=C193</f>
        <v>#VALUE!</v>
      </c>
      <c r="F193" s="8" t="s">
        <v>192</v>
      </c>
      <c r="G193" s="8" t="n">
        <v>2</v>
      </c>
      <c r="H193" s="0" t="e">
        <f aca="false">VLOOKUP(F:F,#REF!,2,0)</f>
        <v>#VALUE!</v>
      </c>
      <c r="I193" s="0" t="e">
        <f aca="false">G193=H193</f>
        <v>#VALUE!</v>
      </c>
    </row>
    <row r="194" customFormat="false" ht="16.5" hidden="true" customHeight="false" outlineLevel="0" collapsed="false">
      <c r="A194" s="6" t="s">
        <v>193</v>
      </c>
      <c r="B194" s="7" t="n">
        <v>4</v>
      </c>
      <c r="C194" s="0" t="e">
        <f aca="false">VLOOKUP(A:A,#REF!,2,0)</f>
        <v>#VALUE!</v>
      </c>
      <c r="D194" s="0" t="e">
        <f aca="false">GETPIVOTDATA("機型",$A$3,"門市","七堵")=C194</f>
        <v>#VALUE!</v>
      </c>
      <c r="F194" s="0" t="s">
        <v>193</v>
      </c>
      <c r="G194" s="0" t="n">
        <v>4</v>
      </c>
      <c r="H194" s="0" t="e">
        <f aca="false">VLOOKUP(F:F,#REF!,2,0)</f>
        <v>#VALUE!</v>
      </c>
      <c r="I194" s="0" t="e">
        <f aca="false">G194=H194</f>
        <v>#VALUE!</v>
      </c>
    </row>
    <row r="195" customFormat="false" ht="16.5" hidden="true" customHeight="false" outlineLevel="0" collapsed="false">
      <c r="A195" s="6" t="s">
        <v>194</v>
      </c>
      <c r="B195" s="7" t="n">
        <v>2</v>
      </c>
      <c r="C195" s="0" t="e">
        <f aca="false">VLOOKUP(A:A,#REF!,2,0)</f>
        <v>#VALUE!</v>
      </c>
      <c r="D195" s="0" t="e">
        <f aca="false">GETPIVOTDATA("機型",$A$3,"門市","七堵")=C195</f>
        <v>#VALUE!</v>
      </c>
      <c r="F195" s="0" t="s">
        <v>194</v>
      </c>
      <c r="G195" s="0" t="n">
        <v>2</v>
      </c>
      <c r="H195" s="0" t="e">
        <f aca="false">VLOOKUP(F:F,#REF!,2,0)</f>
        <v>#VALUE!</v>
      </c>
      <c r="I195" s="0" t="e">
        <f aca="false">G195=H195</f>
        <v>#VALUE!</v>
      </c>
    </row>
    <row r="196" customFormat="false" ht="16.5" hidden="true" customHeight="false" outlineLevel="0" collapsed="false">
      <c r="A196" s="6" t="s">
        <v>195</v>
      </c>
      <c r="B196" s="7" t="n">
        <v>1</v>
      </c>
      <c r="C196" s="0" t="e">
        <f aca="false">VLOOKUP(A:A,#REF!,2,0)</f>
        <v>#VALUE!</v>
      </c>
      <c r="D196" s="0" t="e">
        <f aca="false">GETPIVOTDATA("機型",$A$3,"門市","七堵")=C196</f>
        <v>#VALUE!</v>
      </c>
      <c r="F196" s="0" t="s">
        <v>195</v>
      </c>
      <c r="G196" s="0" t="n">
        <v>1</v>
      </c>
      <c r="H196" s="0" t="e">
        <f aca="false">VLOOKUP(F:F,#REF!,2,0)</f>
        <v>#VALUE!</v>
      </c>
      <c r="I196" s="0" t="e">
        <f aca="false">G196=H196</f>
        <v>#VALUE!</v>
      </c>
    </row>
    <row r="197" customFormat="false" ht="16.5" hidden="true" customHeight="false" outlineLevel="0" collapsed="false">
      <c r="A197" s="6" t="s">
        <v>196</v>
      </c>
      <c r="B197" s="7" t="n">
        <v>7</v>
      </c>
      <c r="C197" s="0" t="e">
        <f aca="false">VLOOKUP(A:A,#REF!,2,0)</f>
        <v>#VALUE!</v>
      </c>
      <c r="D197" s="0" t="e">
        <f aca="false">GETPIVOTDATA("機型",$A$3,"門市","七堵")=C197</f>
        <v>#VALUE!</v>
      </c>
      <c r="F197" s="0" t="s">
        <v>196</v>
      </c>
      <c r="G197" s="0" t="n">
        <v>7</v>
      </c>
      <c r="H197" s="0" t="e">
        <f aca="false">VLOOKUP(F:F,#REF!,2,0)</f>
        <v>#VALUE!</v>
      </c>
      <c r="I197" s="0" t="e">
        <f aca="false">G197=H197</f>
        <v>#VALUE!</v>
      </c>
    </row>
    <row r="198" customFormat="false" ht="16.5" hidden="true" customHeight="false" outlineLevel="0" collapsed="false">
      <c r="A198" s="6" t="s">
        <v>197</v>
      </c>
      <c r="B198" s="7" t="n">
        <v>4</v>
      </c>
      <c r="C198" s="0" t="e">
        <f aca="false">VLOOKUP(A:A,#REF!,2,0)</f>
        <v>#VALUE!</v>
      </c>
      <c r="D198" s="0" t="e">
        <f aca="false">GETPIVOTDATA("機型",$A$3,"門市","七堵")=C198</f>
        <v>#VALUE!</v>
      </c>
      <c r="F198" s="0" t="s">
        <v>197</v>
      </c>
      <c r="G198" s="0" t="n">
        <v>4</v>
      </c>
      <c r="H198" s="0" t="e">
        <f aca="false">VLOOKUP(F:F,#REF!,2,0)</f>
        <v>#VALUE!</v>
      </c>
      <c r="I198" s="0" t="e">
        <f aca="false">G198=H198</f>
        <v>#VALUE!</v>
      </c>
    </row>
    <row r="199" customFormat="false" ht="16.5" hidden="true" customHeight="false" outlineLevel="0" collapsed="false">
      <c r="A199" s="6" t="s">
        <v>198</v>
      </c>
      <c r="B199" s="7" t="n">
        <v>5</v>
      </c>
      <c r="C199" s="0" t="e">
        <f aca="false">VLOOKUP(A:A,#REF!,2,0)</f>
        <v>#VALUE!</v>
      </c>
      <c r="D199" s="0" t="e">
        <f aca="false">GETPIVOTDATA("機型",$A$3,"門市","七堵")=C199</f>
        <v>#VALUE!</v>
      </c>
      <c r="F199" s="0" t="s">
        <v>198</v>
      </c>
      <c r="G199" s="0" t="n">
        <v>5</v>
      </c>
      <c r="H199" s="0" t="e">
        <f aca="false">VLOOKUP(F:F,#REF!,2,0)</f>
        <v>#VALUE!</v>
      </c>
      <c r="I199" s="0" t="e">
        <f aca="false">G199=H199</f>
        <v>#VALUE!</v>
      </c>
    </row>
    <row r="200" customFormat="false" ht="16.5" hidden="true" customHeight="false" outlineLevel="0" collapsed="false">
      <c r="A200" s="6" t="s">
        <v>199</v>
      </c>
      <c r="B200" s="7" t="n">
        <v>7</v>
      </c>
      <c r="C200" s="0" t="e">
        <f aca="false">VLOOKUP(A:A,#REF!,2,0)</f>
        <v>#VALUE!</v>
      </c>
      <c r="D200" s="0" t="e">
        <f aca="false">GETPIVOTDATA("機型",$A$3,"門市","七堵")=C200</f>
        <v>#VALUE!</v>
      </c>
      <c r="F200" s="0" t="s">
        <v>199</v>
      </c>
      <c r="G200" s="0" t="n">
        <v>7</v>
      </c>
      <c r="H200" s="0" t="e">
        <f aca="false">VLOOKUP(F:F,#REF!,2,0)</f>
        <v>#VALUE!</v>
      </c>
      <c r="I200" s="0" t="e">
        <f aca="false">G200=H200</f>
        <v>#VALUE!</v>
      </c>
    </row>
    <row r="201" customFormat="false" ht="16.5" hidden="true" customHeight="false" outlineLevel="0" collapsed="false">
      <c r="A201" s="6" t="s">
        <v>200</v>
      </c>
      <c r="B201" s="7" t="n">
        <v>4</v>
      </c>
      <c r="C201" s="0" t="e">
        <f aca="false">VLOOKUP(A:A,#REF!,2,0)</f>
        <v>#VALUE!</v>
      </c>
      <c r="D201" s="0" t="e">
        <f aca="false">GETPIVOTDATA("機型",$A$3,"門市","七堵")=C201</f>
        <v>#VALUE!</v>
      </c>
      <c r="F201" s="0" t="s">
        <v>200</v>
      </c>
      <c r="G201" s="0" t="n">
        <v>4</v>
      </c>
      <c r="H201" s="0" t="e">
        <f aca="false">VLOOKUP(F:F,#REF!,2,0)</f>
        <v>#VALUE!</v>
      </c>
      <c r="I201" s="0" t="e">
        <f aca="false">G201=H201</f>
        <v>#VALUE!</v>
      </c>
    </row>
    <row r="202" customFormat="false" ht="16.5" hidden="true" customHeight="false" outlineLevel="0" collapsed="false">
      <c r="A202" s="6" t="s">
        <v>201</v>
      </c>
      <c r="B202" s="7" t="n">
        <v>7</v>
      </c>
      <c r="C202" s="0" t="e">
        <f aca="false">VLOOKUP(A:A,#REF!,2,0)</f>
        <v>#VALUE!</v>
      </c>
      <c r="D202" s="0" t="e">
        <f aca="false">GETPIVOTDATA("機型",$A$3,"門市","七堵")=C202</f>
        <v>#VALUE!</v>
      </c>
      <c r="F202" s="0" t="s">
        <v>201</v>
      </c>
      <c r="G202" s="0" t="n">
        <v>7</v>
      </c>
      <c r="H202" s="0" t="e">
        <f aca="false">VLOOKUP(F:F,#REF!,2,0)</f>
        <v>#VALUE!</v>
      </c>
      <c r="I202" s="0" t="e">
        <f aca="false">G202=H202</f>
        <v>#VALUE!</v>
      </c>
    </row>
    <row r="203" customFormat="false" ht="16.5" hidden="true" customHeight="false" outlineLevel="0" collapsed="false">
      <c r="A203" s="6" t="s">
        <v>202</v>
      </c>
      <c r="B203" s="7" t="n">
        <v>2</v>
      </c>
      <c r="C203" s="0" t="e">
        <f aca="false">VLOOKUP(A:A,#REF!,2,0)</f>
        <v>#VALUE!</v>
      </c>
      <c r="D203" s="0" t="e">
        <f aca="false">GETPIVOTDATA("機型",$A$3,"門市","七堵")=C203</f>
        <v>#VALUE!</v>
      </c>
      <c r="F203" s="0" t="s">
        <v>202</v>
      </c>
      <c r="G203" s="0" t="n">
        <v>2</v>
      </c>
      <c r="H203" s="0" t="e">
        <f aca="false">VLOOKUP(F:F,#REF!,2,0)</f>
        <v>#VALUE!</v>
      </c>
      <c r="I203" s="0" t="e">
        <f aca="false">G203=H203</f>
        <v>#VALUE!</v>
      </c>
    </row>
    <row r="204" customFormat="false" ht="16.5" hidden="true" customHeight="false" outlineLevel="0" collapsed="false">
      <c r="A204" s="6" t="s">
        <v>203</v>
      </c>
      <c r="B204" s="7" t="n">
        <v>8</v>
      </c>
      <c r="C204" s="0" t="e">
        <f aca="false">VLOOKUP(A:A,#REF!,2,0)</f>
        <v>#VALUE!</v>
      </c>
      <c r="D204" s="0" t="e">
        <f aca="false">GETPIVOTDATA("機型",$A$3,"門市","七堵")=C204</f>
        <v>#VALUE!</v>
      </c>
      <c r="F204" s="0" t="s">
        <v>203</v>
      </c>
      <c r="G204" s="0" t="n">
        <v>8</v>
      </c>
      <c r="H204" s="0" t="e">
        <f aca="false">VLOOKUP(F:F,#REF!,2,0)</f>
        <v>#VALUE!</v>
      </c>
      <c r="I204" s="0" t="e">
        <f aca="false">G204=H204</f>
        <v>#VALUE!</v>
      </c>
    </row>
    <row r="205" customFormat="false" ht="16.5" hidden="true" customHeight="false" outlineLevel="0" collapsed="false">
      <c r="A205" s="6" t="s">
        <v>204</v>
      </c>
      <c r="B205" s="7" t="n">
        <v>2</v>
      </c>
      <c r="C205" s="0" t="e">
        <f aca="false">VLOOKUP(A:A,#REF!,2,0)</f>
        <v>#VALUE!</v>
      </c>
      <c r="D205" s="0" t="e">
        <f aca="false">GETPIVOTDATA("機型",$A$3,"門市","七堵")=C205</f>
        <v>#VALUE!</v>
      </c>
      <c r="F205" s="0" t="s">
        <v>204</v>
      </c>
      <c r="G205" s="0" t="n">
        <v>2</v>
      </c>
      <c r="H205" s="0" t="e">
        <f aca="false">VLOOKUP(F:F,#REF!,2,0)</f>
        <v>#VALUE!</v>
      </c>
      <c r="I205" s="0" t="e">
        <f aca="false">G205=H205</f>
        <v>#VALUE!</v>
      </c>
    </row>
    <row r="206" customFormat="false" ht="16.5" hidden="true" customHeight="false" outlineLevel="0" collapsed="false">
      <c r="A206" s="6" t="s">
        <v>205</v>
      </c>
      <c r="B206" s="7" t="n">
        <v>5</v>
      </c>
      <c r="C206" s="0" t="e">
        <f aca="false">VLOOKUP(A:A,#REF!,2,0)</f>
        <v>#VALUE!</v>
      </c>
      <c r="D206" s="0" t="e">
        <f aca="false">GETPIVOTDATA("機型",$A$3,"門市","七堵")=C206</f>
        <v>#VALUE!</v>
      </c>
      <c r="F206" s="0" t="s">
        <v>205</v>
      </c>
      <c r="G206" s="0" t="n">
        <v>5</v>
      </c>
      <c r="H206" s="0" t="e">
        <f aca="false">VLOOKUP(F:F,#REF!,2,0)</f>
        <v>#VALUE!</v>
      </c>
      <c r="I206" s="0" t="e">
        <f aca="false">G206=H206</f>
        <v>#VALUE!</v>
      </c>
    </row>
    <row r="207" customFormat="false" ht="16.5" hidden="true" customHeight="false" outlineLevel="0" collapsed="false">
      <c r="A207" s="6" t="s">
        <v>206</v>
      </c>
      <c r="B207" s="7" t="n">
        <v>4</v>
      </c>
      <c r="C207" s="0" t="e">
        <f aca="false">VLOOKUP(A:A,#REF!,2,0)</f>
        <v>#VALUE!</v>
      </c>
      <c r="D207" s="0" t="e">
        <f aca="false">GETPIVOTDATA("機型",$A$3,"門市","七堵")=C207</f>
        <v>#VALUE!</v>
      </c>
      <c r="F207" s="0" t="s">
        <v>206</v>
      </c>
      <c r="G207" s="0" t="n">
        <v>4</v>
      </c>
      <c r="H207" s="0" t="e">
        <f aca="false">VLOOKUP(F:F,#REF!,2,0)</f>
        <v>#VALUE!</v>
      </c>
      <c r="I207" s="0" t="e">
        <f aca="false">G207=H207</f>
        <v>#VALUE!</v>
      </c>
    </row>
    <row r="208" customFormat="false" ht="16.5" hidden="true" customHeight="false" outlineLevel="0" collapsed="false">
      <c r="A208" s="6" t="s">
        <v>207</v>
      </c>
      <c r="B208" s="7" t="n">
        <v>1</v>
      </c>
      <c r="C208" s="0" t="e">
        <f aca="false">VLOOKUP(A:A,#REF!,2,0)</f>
        <v>#VALUE!</v>
      </c>
      <c r="D208" s="0" t="e">
        <f aca="false">GETPIVOTDATA("機型",$A$3,"門市","七堵")=C208</f>
        <v>#VALUE!</v>
      </c>
      <c r="F208" s="0" t="s">
        <v>207</v>
      </c>
      <c r="G208" s="0" t="n">
        <v>1</v>
      </c>
      <c r="H208" s="0" t="e">
        <f aca="false">VLOOKUP(F:F,#REF!,2,0)</f>
        <v>#VALUE!</v>
      </c>
      <c r="I208" s="0" t="e">
        <f aca="false">G208=H208</f>
        <v>#VALUE!</v>
      </c>
    </row>
    <row r="209" customFormat="false" ht="16.5" hidden="true" customHeight="false" outlineLevel="0" collapsed="false">
      <c r="A209" s="6" t="s">
        <v>208</v>
      </c>
      <c r="B209" s="7" t="n">
        <v>1</v>
      </c>
      <c r="C209" s="0" t="e">
        <f aca="false">VLOOKUP(A:A,#REF!,2,0)</f>
        <v>#VALUE!</v>
      </c>
      <c r="D209" s="0" t="e">
        <f aca="false">GETPIVOTDATA("機型",$A$3,"門市","七堵")=C209</f>
        <v>#VALUE!</v>
      </c>
      <c r="F209" s="0" t="s">
        <v>208</v>
      </c>
      <c r="G209" s="0" t="n">
        <v>1</v>
      </c>
      <c r="H209" s="0" t="e">
        <f aca="false">VLOOKUP(F:F,#REF!,2,0)</f>
        <v>#VALUE!</v>
      </c>
      <c r="I209" s="0" t="e">
        <f aca="false">G209=H209</f>
        <v>#VALUE!</v>
      </c>
    </row>
    <row r="210" customFormat="false" ht="16.5" hidden="true" customHeight="false" outlineLevel="0" collapsed="false">
      <c r="A210" s="6" t="s">
        <v>209</v>
      </c>
      <c r="B210" s="7" t="n">
        <v>1</v>
      </c>
      <c r="C210" s="0" t="e">
        <f aca="false">VLOOKUP(A:A,#REF!,2,0)</f>
        <v>#VALUE!</v>
      </c>
      <c r="D210" s="0" t="e">
        <f aca="false">GETPIVOTDATA("機型",$A$3,"門市","七堵")=C210</f>
        <v>#VALUE!</v>
      </c>
      <c r="F210" s="0" t="s">
        <v>209</v>
      </c>
      <c r="G210" s="0" t="n">
        <v>1</v>
      </c>
      <c r="H210" s="0" t="e">
        <f aca="false">VLOOKUP(F:F,#REF!,2,0)</f>
        <v>#VALUE!</v>
      </c>
      <c r="I210" s="0" t="e">
        <f aca="false">G210=H210</f>
        <v>#VALUE!</v>
      </c>
    </row>
    <row r="211" customFormat="false" ht="16.5" hidden="true" customHeight="false" outlineLevel="0" collapsed="false">
      <c r="A211" s="6" t="s">
        <v>210</v>
      </c>
      <c r="B211" s="7" t="n">
        <v>3</v>
      </c>
      <c r="C211" s="0" t="e">
        <f aca="false">VLOOKUP(A:A,#REF!,2,0)</f>
        <v>#VALUE!</v>
      </c>
      <c r="D211" s="0" t="e">
        <f aca="false">GETPIVOTDATA("機型",$A$3,"門市","七堵")=C211</f>
        <v>#VALUE!</v>
      </c>
      <c r="F211" s="0" t="s">
        <v>210</v>
      </c>
      <c r="G211" s="0" t="n">
        <v>3</v>
      </c>
      <c r="H211" s="0" t="e">
        <f aca="false">VLOOKUP(F:F,#REF!,2,0)</f>
        <v>#VALUE!</v>
      </c>
      <c r="I211" s="0" t="e">
        <f aca="false">G211=H211</f>
        <v>#VALUE!</v>
      </c>
    </row>
    <row r="212" customFormat="false" ht="16.5" hidden="true" customHeight="false" outlineLevel="0" collapsed="false">
      <c r="A212" s="6" t="s">
        <v>211</v>
      </c>
      <c r="B212" s="7" t="n">
        <v>2</v>
      </c>
      <c r="C212" s="0" t="e">
        <f aca="false">VLOOKUP(A:A,#REF!,2,0)</f>
        <v>#VALUE!</v>
      </c>
      <c r="D212" s="0" t="e">
        <f aca="false">GETPIVOTDATA("機型",$A$3,"門市","七堵")=C212</f>
        <v>#VALUE!</v>
      </c>
      <c r="F212" s="0" t="s">
        <v>211</v>
      </c>
      <c r="G212" s="0" t="n">
        <v>2</v>
      </c>
      <c r="H212" s="0" t="e">
        <f aca="false">VLOOKUP(F:F,#REF!,2,0)</f>
        <v>#VALUE!</v>
      </c>
      <c r="I212" s="0" t="e">
        <f aca="false">G212=H212</f>
        <v>#VALUE!</v>
      </c>
    </row>
    <row r="213" customFormat="false" ht="16.5" hidden="true" customHeight="false" outlineLevel="0" collapsed="false">
      <c r="A213" s="6" t="s">
        <v>212</v>
      </c>
      <c r="B213" s="7" t="n">
        <v>2</v>
      </c>
      <c r="C213" s="0" t="n">
        <v>2</v>
      </c>
      <c r="D213" s="0" t="n">
        <f aca="false">GETPIVOTDATA("機型",$A$3,"門市","七堵")=C213</f>
        <v>0</v>
      </c>
      <c r="F213" s="0" t="s">
        <v>212</v>
      </c>
      <c r="G213" s="0" t="n">
        <v>2</v>
      </c>
      <c r="H213" s="0" t="n">
        <v>2</v>
      </c>
      <c r="I213" s="0" t="n">
        <f aca="false">G213=H213</f>
        <v>1</v>
      </c>
    </row>
    <row r="214" customFormat="false" ht="16.5" hidden="true" customHeight="false" outlineLevel="0" collapsed="false">
      <c r="A214" s="6" t="s">
        <v>213</v>
      </c>
      <c r="B214" s="7" t="n">
        <v>6</v>
      </c>
      <c r="C214" s="0" t="e">
        <f aca="false">VLOOKUP(A:A,#REF!,2,0)</f>
        <v>#VALUE!</v>
      </c>
      <c r="D214" s="0" t="e">
        <f aca="false">GETPIVOTDATA("機型",$A$3,"門市","七堵")=C214</f>
        <v>#VALUE!</v>
      </c>
      <c r="F214" s="0" t="s">
        <v>213</v>
      </c>
      <c r="G214" s="0" t="n">
        <v>6</v>
      </c>
      <c r="H214" s="0" t="e">
        <f aca="false">VLOOKUP(F:F,#REF!,2,0)</f>
        <v>#VALUE!</v>
      </c>
      <c r="I214" s="0" t="e">
        <f aca="false">G214=H214</f>
        <v>#VALUE!</v>
      </c>
    </row>
    <row r="215" customFormat="false" ht="16.5" hidden="true" customHeight="false" outlineLevel="0" collapsed="false">
      <c r="A215" s="6" t="s">
        <v>214</v>
      </c>
      <c r="B215" s="7" t="n">
        <v>5</v>
      </c>
      <c r="C215" s="0" t="e">
        <f aca="false">VLOOKUP(A:A,#REF!,2,0)</f>
        <v>#VALUE!</v>
      </c>
      <c r="D215" s="0" t="e">
        <f aca="false">GETPIVOTDATA("機型",$A$3,"門市","七堵")=C215</f>
        <v>#VALUE!</v>
      </c>
      <c r="F215" s="0" t="s">
        <v>214</v>
      </c>
      <c r="G215" s="0" t="n">
        <v>5</v>
      </c>
      <c r="H215" s="0" t="e">
        <f aca="false">VLOOKUP(F:F,#REF!,2,0)</f>
        <v>#VALUE!</v>
      </c>
      <c r="I215" s="0" t="e">
        <f aca="false">G215=H215</f>
        <v>#VALUE!</v>
      </c>
    </row>
    <row r="216" customFormat="false" ht="16.5" hidden="true" customHeight="false" outlineLevel="0" collapsed="false">
      <c r="A216" s="6" t="s">
        <v>215</v>
      </c>
      <c r="B216" s="7" t="n">
        <v>4</v>
      </c>
      <c r="C216" s="0" t="e">
        <f aca="false">VLOOKUP(A:A,#REF!,2,0)</f>
        <v>#VALUE!</v>
      </c>
      <c r="D216" s="0" t="e">
        <f aca="false">GETPIVOTDATA("機型",$A$3,"門市","七堵")=C216</f>
        <v>#VALUE!</v>
      </c>
      <c r="F216" s="0" t="s">
        <v>215</v>
      </c>
      <c r="G216" s="0" t="n">
        <v>4</v>
      </c>
      <c r="H216" s="0" t="e">
        <f aca="false">VLOOKUP(F:F,#REF!,2,0)</f>
        <v>#VALUE!</v>
      </c>
      <c r="I216" s="0" t="e">
        <f aca="false">G216=H216</f>
        <v>#VALUE!</v>
      </c>
    </row>
    <row r="217" customFormat="false" ht="16.5" hidden="true" customHeight="false" outlineLevel="0" collapsed="false">
      <c r="A217" s="6" t="s">
        <v>216</v>
      </c>
      <c r="B217" s="7" t="n">
        <v>1</v>
      </c>
      <c r="C217" s="0" t="e">
        <f aca="false">VLOOKUP(A:A,#REF!,2,0)</f>
        <v>#VALUE!</v>
      </c>
      <c r="D217" s="0" t="e">
        <f aca="false">GETPIVOTDATA("機型",$A$3,"門市","七堵")=C217</f>
        <v>#VALUE!</v>
      </c>
      <c r="F217" s="0" t="s">
        <v>216</v>
      </c>
      <c r="G217" s="0" t="n">
        <v>1</v>
      </c>
      <c r="H217" s="0" t="e">
        <f aca="false">VLOOKUP(F:F,#REF!,2,0)</f>
        <v>#VALUE!</v>
      </c>
      <c r="I217" s="0" t="e">
        <f aca="false">G217=H217</f>
        <v>#VALUE!</v>
      </c>
    </row>
    <row r="218" customFormat="false" ht="16.5" hidden="true" customHeight="false" outlineLevel="0" collapsed="false">
      <c r="A218" s="6" t="s">
        <v>217</v>
      </c>
      <c r="B218" s="7" t="n">
        <v>2</v>
      </c>
      <c r="C218" s="0" t="e">
        <f aca="false">VLOOKUP(A:A,#REF!,2,0)</f>
        <v>#VALUE!</v>
      </c>
      <c r="D218" s="0" t="e">
        <f aca="false">GETPIVOTDATA("機型",$A$3,"門市","七堵")=C218</f>
        <v>#VALUE!</v>
      </c>
      <c r="F218" s="0" t="s">
        <v>217</v>
      </c>
      <c r="G218" s="0" t="n">
        <v>2</v>
      </c>
      <c r="H218" s="0" t="e">
        <f aca="false">VLOOKUP(F:F,#REF!,2,0)</f>
        <v>#VALUE!</v>
      </c>
      <c r="I218" s="0" t="e">
        <f aca="false">G218=H218</f>
        <v>#VALUE!</v>
      </c>
    </row>
    <row r="219" customFormat="false" ht="16.5" hidden="true" customHeight="false" outlineLevel="0" collapsed="false">
      <c r="A219" s="6" t="s">
        <v>218</v>
      </c>
      <c r="B219" s="7" t="n">
        <v>5</v>
      </c>
      <c r="C219" s="0" t="e">
        <f aca="false">VLOOKUP(A:A,#REF!,2,0)</f>
        <v>#VALUE!</v>
      </c>
      <c r="D219" s="0" t="e">
        <f aca="false">GETPIVOTDATA("機型",$A$3,"門市","七堵")=C219</f>
        <v>#VALUE!</v>
      </c>
      <c r="F219" s="0" t="s">
        <v>218</v>
      </c>
      <c r="G219" s="0" t="n">
        <v>5</v>
      </c>
      <c r="H219" s="0" t="e">
        <f aca="false">VLOOKUP(F:F,#REF!,2,0)</f>
        <v>#VALUE!</v>
      </c>
      <c r="I219" s="0" t="e">
        <f aca="false">G219=H219</f>
        <v>#VALUE!</v>
      </c>
    </row>
    <row r="220" customFormat="false" ht="16.5" hidden="true" customHeight="false" outlineLevel="0" collapsed="false">
      <c r="A220" s="6" t="s">
        <v>219</v>
      </c>
      <c r="B220" s="7" t="n">
        <v>4</v>
      </c>
      <c r="C220" s="0" t="e">
        <f aca="false">VLOOKUP(A:A,#REF!,2,0)</f>
        <v>#VALUE!</v>
      </c>
      <c r="D220" s="0" t="e">
        <f aca="false">GETPIVOTDATA("機型",$A$3,"門市","七堵")=C220</f>
        <v>#VALUE!</v>
      </c>
      <c r="F220" s="0" t="s">
        <v>219</v>
      </c>
      <c r="G220" s="0" t="n">
        <v>4</v>
      </c>
      <c r="H220" s="0" t="e">
        <f aca="false">VLOOKUP(F:F,#REF!,2,0)</f>
        <v>#VALUE!</v>
      </c>
      <c r="I220" s="0" t="e">
        <f aca="false">G220=H220</f>
        <v>#VALUE!</v>
      </c>
    </row>
    <row r="221" customFormat="false" ht="16.5" hidden="true" customHeight="false" outlineLevel="0" collapsed="false">
      <c r="A221" s="6" t="s">
        <v>220</v>
      </c>
      <c r="B221" s="7" t="n">
        <v>19</v>
      </c>
      <c r="C221" s="0" t="e">
        <f aca="false">VLOOKUP(A:A,#REF!,2,0)</f>
        <v>#VALUE!</v>
      </c>
      <c r="D221" s="0" t="e">
        <f aca="false">GETPIVOTDATA("機型",$A$3,"門市","七堵")=C221</f>
        <v>#VALUE!</v>
      </c>
      <c r="F221" s="0" t="s">
        <v>220</v>
      </c>
      <c r="G221" s="0" t="n">
        <v>19</v>
      </c>
      <c r="H221" s="0" t="e">
        <f aca="false">VLOOKUP(F:F,#REF!,2,0)</f>
        <v>#VALUE!</v>
      </c>
      <c r="I221" s="0" t="e">
        <f aca="false">G221=H221</f>
        <v>#VALUE!</v>
      </c>
    </row>
    <row r="222" customFormat="false" ht="16.5" hidden="true" customHeight="false" outlineLevel="0" collapsed="false">
      <c r="A222" s="6" t="s">
        <v>221</v>
      </c>
      <c r="B222" s="7" t="n">
        <v>4</v>
      </c>
      <c r="C222" s="0" t="e">
        <f aca="false">VLOOKUP(A:A,#REF!,2,0)</f>
        <v>#VALUE!</v>
      </c>
      <c r="D222" s="0" t="e">
        <f aca="false">GETPIVOTDATA("機型",$A$3,"門市","七堵")=C222</f>
        <v>#VALUE!</v>
      </c>
      <c r="F222" s="0" t="s">
        <v>221</v>
      </c>
      <c r="G222" s="0" t="n">
        <v>4</v>
      </c>
      <c r="H222" s="0" t="e">
        <f aca="false">VLOOKUP(F:F,#REF!,2,0)</f>
        <v>#VALUE!</v>
      </c>
      <c r="I222" s="0" t="e">
        <f aca="false">G222=H222</f>
        <v>#VALUE!</v>
      </c>
    </row>
    <row r="223" customFormat="false" ht="16.5" hidden="true" customHeight="false" outlineLevel="0" collapsed="false">
      <c r="A223" s="6" t="s">
        <v>222</v>
      </c>
      <c r="B223" s="7" t="n">
        <v>1</v>
      </c>
      <c r="C223" s="0" t="e">
        <f aca="false">VLOOKUP(A:A,#REF!,2,0)</f>
        <v>#VALUE!</v>
      </c>
      <c r="D223" s="0" t="e">
        <f aca="false">GETPIVOTDATA("機型",$A$3,"門市","七堵")=C223</f>
        <v>#VALUE!</v>
      </c>
      <c r="F223" s="0" t="s">
        <v>222</v>
      </c>
      <c r="G223" s="0" t="n">
        <v>1</v>
      </c>
      <c r="H223" s="0" t="e">
        <f aca="false">VLOOKUP(F:F,#REF!,2,0)</f>
        <v>#VALUE!</v>
      </c>
      <c r="I223" s="0" t="e">
        <f aca="false">G223=H223</f>
        <v>#VALUE!</v>
      </c>
    </row>
    <row r="224" customFormat="false" ht="16.5" hidden="true" customHeight="false" outlineLevel="0" collapsed="false">
      <c r="A224" s="6" t="s">
        <v>223</v>
      </c>
      <c r="B224" s="7" t="n">
        <v>4</v>
      </c>
      <c r="C224" s="0" t="e">
        <f aca="false">VLOOKUP(A:A,#REF!,2,0)</f>
        <v>#VALUE!</v>
      </c>
      <c r="D224" s="0" t="e">
        <f aca="false">GETPIVOTDATA("機型",$A$3,"門市","七堵")=C224</f>
        <v>#VALUE!</v>
      </c>
      <c r="F224" s="0" t="s">
        <v>223</v>
      </c>
      <c r="G224" s="0" t="n">
        <v>4</v>
      </c>
      <c r="H224" s="0" t="e">
        <f aca="false">VLOOKUP(F:F,#REF!,2,0)</f>
        <v>#VALUE!</v>
      </c>
      <c r="I224" s="0" t="e">
        <f aca="false">G224=H224</f>
        <v>#VALUE!</v>
      </c>
    </row>
    <row r="225" customFormat="false" ht="16.5" hidden="true" customHeight="false" outlineLevel="0" collapsed="false">
      <c r="A225" s="6" t="s">
        <v>224</v>
      </c>
      <c r="B225" s="7" t="n">
        <v>3</v>
      </c>
      <c r="C225" s="0" t="e">
        <f aca="false">VLOOKUP(A:A,#REF!,2,0)</f>
        <v>#VALUE!</v>
      </c>
      <c r="D225" s="0" t="e">
        <f aca="false">GETPIVOTDATA("機型",$A$3,"門市","七堵")=C225</f>
        <v>#VALUE!</v>
      </c>
      <c r="F225" s="0" t="s">
        <v>224</v>
      </c>
      <c r="G225" s="0" t="n">
        <v>3</v>
      </c>
      <c r="H225" s="0" t="e">
        <f aca="false">VLOOKUP(F:F,#REF!,2,0)</f>
        <v>#VALUE!</v>
      </c>
      <c r="I225" s="0" t="e">
        <f aca="false">G225=H225</f>
        <v>#VALUE!</v>
      </c>
    </row>
    <row r="226" customFormat="false" ht="16.5" hidden="true" customHeight="false" outlineLevel="0" collapsed="false">
      <c r="A226" s="6" t="s">
        <v>225</v>
      </c>
      <c r="B226" s="7" t="n">
        <v>4</v>
      </c>
      <c r="C226" s="0" t="e">
        <f aca="false">VLOOKUP(A:A,#REF!,2,0)</f>
        <v>#VALUE!</v>
      </c>
      <c r="D226" s="0" t="e">
        <f aca="false">GETPIVOTDATA("機型",$A$3,"門市","七堵")=C226</f>
        <v>#VALUE!</v>
      </c>
      <c r="F226" s="0" t="s">
        <v>225</v>
      </c>
      <c r="G226" s="0" t="n">
        <v>4</v>
      </c>
      <c r="H226" s="0" t="e">
        <f aca="false">VLOOKUP(F:F,#REF!,2,0)</f>
        <v>#VALUE!</v>
      </c>
      <c r="I226" s="0" t="e">
        <f aca="false">G226=H226</f>
        <v>#VALUE!</v>
      </c>
    </row>
    <row r="227" customFormat="false" ht="16.5" hidden="true" customHeight="false" outlineLevel="0" collapsed="false">
      <c r="A227" s="6" t="s">
        <v>226</v>
      </c>
      <c r="B227" s="7" t="n">
        <v>5</v>
      </c>
      <c r="C227" s="0" t="e">
        <f aca="false">VLOOKUP(A:A,#REF!,2,0)</f>
        <v>#VALUE!</v>
      </c>
      <c r="D227" s="0" t="e">
        <f aca="false">GETPIVOTDATA("機型",$A$3,"門市","七堵")=C227</f>
        <v>#VALUE!</v>
      </c>
      <c r="F227" s="0" t="s">
        <v>226</v>
      </c>
      <c r="G227" s="0" t="n">
        <v>5</v>
      </c>
      <c r="H227" s="0" t="e">
        <f aca="false">VLOOKUP(F:F,#REF!,2,0)</f>
        <v>#VALUE!</v>
      </c>
      <c r="I227" s="0" t="e">
        <f aca="false">G227=H227</f>
        <v>#VALUE!</v>
      </c>
    </row>
    <row r="228" customFormat="false" ht="16.5" hidden="true" customHeight="false" outlineLevel="0" collapsed="false">
      <c r="A228" s="6" t="s">
        <v>227</v>
      </c>
      <c r="B228" s="7" t="n">
        <v>2</v>
      </c>
      <c r="C228" s="0" t="e">
        <f aca="false">VLOOKUP(A:A,#REF!,2,0)</f>
        <v>#VALUE!</v>
      </c>
      <c r="D228" s="0" t="e">
        <f aca="false">GETPIVOTDATA("機型",$A$3,"門市","七堵")=C228</f>
        <v>#VALUE!</v>
      </c>
      <c r="F228" s="0" t="s">
        <v>227</v>
      </c>
      <c r="G228" s="0" t="n">
        <v>2</v>
      </c>
      <c r="H228" s="0" t="e">
        <f aca="false">VLOOKUP(F:F,#REF!,2,0)</f>
        <v>#VALUE!</v>
      </c>
      <c r="I228" s="0" t="e">
        <f aca="false">G228=H228</f>
        <v>#VALUE!</v>
      </c>
    </row>
    <row r="229" customFormat="false" ht="16.5" hidden="true" customHeight="false" outlineLevel="0" collapsed="false">
      <c r="A229" s="6" t="s">
        <v>228</v>
      </c>
      <c r="B229" s="7" t="n">
        <v>3</v>
      </c>
      <c r="C229" s="0" t="e">
        <f aca="false">VLOOKUP(A:A,#REF!,2,0)</f>
        <v>#VALUE!</v>
      </c>
      <c r="D229" s="0" t="e">
        <f aca="false">GETPIVOTDATA("機型",$A$3,"門市","七堵")=C229</f>
        <v>#VALUE!</v>
      </c>
      <c r="F229" s="0" t="s">
        <v>228</v>
      </c>
      <c r="G229" s="0" t="n">
        <v>3</v>
      </c>
      <c r="H229" s="0" t="e">
        <f aca="false">VLOOKUP(F:F,#REF!,2,0)</f>
        <v>#VALUE!</v>
      </c>
      <c r="I229" s="0" t="e">
        <f aca="false">G229=H229</f>
        <v>#VALUE!</v>
      </c>
    </row>
    <row r="230" customFormat="false" ht="16.5" hidden="true" customHeight="false" outlineLevel="0" collapsed="false">
      <c r="A230" s="6" t="s">
        <v>229</v>
      </c>
      <c r="B230" s="7" t="n">
        <v>18</v>
      </c>
      <c r="C230" s="0" t="e">
        <f aca="false">VLOOKUP(A:A,#REF!,2,0)</f>
        <v>#VALUE!</v>
      </c>
      <c r="D230" s="0" t="e">
        <f aca="false">GETPIVOTDATA("機型",$A$3,"門市","七堵")=C230</f>
        <v>#VALUE!</v>
      </c>
      <c r="F230" s="0" t="s">
        <v>229</v>
      </c>
      <c r="G230" s="0" t="n">
        <v>18</v>
      </c>
      <c r="H230" s="0" t="e">
        <f aca="false">VLOOKUP(F:F,#REF!,2,0)</f>
        <v>#VALUE!</v>
      </c>
      <c r="I230" s="0" t="e">
        <f aca="false">G230=H230</f>
        <v>#VALUE!</v>
      </c>
    </row>
    <row r="231" customFormat="false" ht="16.5" hidden="true" customHeight="false" outlineLevel="0" collapsed="false">
      <c r="A231" s="6" t="s">
        <v>230</v>
      </c>
      <c r="B231" s="7" t="n">
        <v>5</v>
      </c>
      <c r="C231" s="0" t="e">
        <f aca="false">VLOOKUP(A:A,#REF!,2,0)</f>
        <v>#VALUE!</v>
      </c>
      <c r="D231" s="0" t="e">
        <f aca="false">GETPIVOTDATA("機型",$A$3,"門市","七堵")=C231</f>
        <v>#VALUE!</v>
      </c>
      <c r="F231" s="0" t="s">
        <v>230</v>
      </c>
      <c r="G231" s="0" t="n">
        <v>5</v>
      </c>
      <c r="H231" s="0" t="e">
        <f aca="false">VLOOKUP(F:F,#REF!,2,0)</f>
        <v>#VALUE!</v>
      </c>
      <c r="I231" s="0" t="e">
        <f aca="false">G231=H231</f>
        <v>#VALUE!</v>
      </c>
    </row>
    <row r="232" customFormat="false" ht="16.5" hidden="true" customHeight="false" outlineLevel="0" collapsed="false">
      <c r="A232" s="6" t="s">
        <v>231</v>
      </c>
      <c r="B232" s="7" t="n">
        <v>7</v>
      </c>
      <c r="C232" s="0" t="e">
        <f aca="false">VLOOKUP(A:A,#REF!,2,0)</f>
        <v>#VALUE!</v>
      </c>
      <c r="D232" s="0" t="e">
        <f aca="false">GETPIVOTDATA("機型",$A$3,"門市","七堵")=C232</f>
        <v>#VALUE!</v>
      </c>
      <c r="F232" s="0" t="s">
        <v>231</v>
      </c>
      <c r="G232" s="0" t="n">
        <v>7</v>
      </c>
      <c r="H232" s="0" t="e">
        <f aca="false">VLOOKUP(F:F,#REF!,2,0)</f>
        <v>#VALUE!</v>
      </c>
      <c r="I232" s="0" t="e">
        <f aca="false">G232=H232</f>
        <v>#VALUE!</v>
      </c>
    </row>
    <row r="233" customFormat="false" ht="16.5" hidden="true" customHeight="false" outlineLevel="0" collapsed="false">
      <c r="A233" s="6" t="s">
        <v>232</v>
      </c>
      <c r="B233" s="7" t="n">
        <v>5</v>
      </c>
      <c r="C233" s="0" t="e">
        <f aca="false">VLOOKUP(A:A,#REF!,2,0)</f>
        <v>#VALUE!</v>
      </c>
      <c r="D233" s="0" t="e">
        <f aca="false">GETPIVOTDATA("機型",$A$3,"門市","七堵")=C233</f>
        <v>#VALUE!</v>
      </c>
      <c r="F233" s="0" t="s">
        <v>232</v>
      </c>
      <c r="G233" s="0" t="n">
        <v>5</v>
      </c>
      <c r="H233" s="0" t="e">
        <f aca="false">VLOOKUP(F:F,#REF!,2,0)</f>
        <v>#VALUE!</v>
      </c>
      <c r="I233" s="0" t="e">
        <f aca="false">G233=H233</f>
        <v>#VALUE!</v>
      </c>
    </row>
    <row r="234" customFormat="false" ht="16.5" hidden="true" customHeight="false" outlineLevel="0" collapsed="false">
      <c r="A234" s="6" t="s">
        <v>233</v>
      </c>
      <c r="B234" s="7" t="n">
        <v>2</v>
      </c>
      <c r="C234" s="0" t="e">
        <f aca="false">VLOOKUP(A:A,#REF!,2,0)</f>
        <v>#VALUE!</v>
      </c>
      <c r="D234" s="0" t="e">
        <f aca="false">GETPIVOTDATA("機型",$A$3,"門市","七堵")=C234</f>
        <v>#VALUE!</v>
      </c>
      <c r="F234" s="0" t="s">
        <v>233</v>
      </c>
      <c r="G234" s="0" t="n">
        <v>2</v>
      </c>
      <c r="H234" s="0" t="e">
        <f aca="false">VLOOKUP(F:F,#REF!,2,0)</f>
        <v>#VALUE!</v>
      </c>
      <c r="I234" s="0" t="e">
        <f aca="false">G234=H234</f>
        <v>#VALUE!</v>
      </c>
    </row>
    <row r="235" customFormat="false" ht="16.5" hidden="true" customHeight="false" outlineLevel="0" collapsed="false">
      <c r="A235" s="6" t="s">
        <v>234</v>
      </c>
      <c r="B235" s="7" t="n">
        <v>1</v>
      </c>
      <c r="C235" s="0" t="e">
        <f aca="false">VLOOKUP(A:A,#REF!,2,0)</f>
        <v>#VALUE!</v>
      </c>
      <c r="D235" s="0" t="e">
        <f aca="false">GETPIVOTDATA("機型",$A$3,"門市","七堵")=C235</f>
        <v>#VALUE!</v>
      </c>
      <c r="F235" s="0" t="s">
        <v>234</v>
      </c>
      <c r="G235" s="0" t="n">
        <v>1</v>
      </c>
      <c r="H235" s="0" t="e">
        <f aca="false">VLOOKUP(F:F,#REF!,2,0)</f>
        <v>#VALUE!</v>
      </c>
      <c r="I235" s="0" t="e">
        <f aca="false">G235=H235</f>
        <v>#VALUE!</v>
      </c>
    </row>
    <row r="236" customFormat="false" ht="16.5" hidden="true" customHeight="false" outlineLevel="0" collapsed="false">
      <c r="A236" s="6" t="s">
        <v>235</v>
      </c>
      <c r="B236" s="7" t="n">
        <v>19</v>
      </c>
      <c r="C236" s="0" t="e">
        <f aca="false">VLOOKUP(A:A,#REF!,2,0)</f>
        <v>#VALUE!</v>
      </c>
      <c r="D236" s="0" t="e">
        <f aca="false">GETPIVOTDATA("機型",$A$3,"門市","七堵")=C236</f>
        <v>#VALUE!</v>
      </c>
      <c r="F236" s="0" t="s">
        <v>235</v>
      </c>
      <c r="G236" s="0" t="n">
        <v>19</v>
      </c>
      <c r="H236" s="0" t="e">
        <f aca="false">VLOOKUP(F:F,#REF!,2,0)</f>
        <v>#VALUE!</v>
      </c>
      <c r="I236" s="0" t="e">
        <f aca="false">G236=H236</f>
        <v>#VALUE!</v>
      </c>
    </row>
    <row r="237" customFormat="false" ht="16.5" hidden="true" customHeight="false" outlineLevel="0" collapsed="false">
      <c r="A237" s="6" t="s">
        <v>236</v>
      </c>
      <c r="B237" s="7" t="n">
        <v>3</v>
      </c>
      <c r="C237" s="0" t="e">
        <f aca="false">VLOOKUP(A:A,#REF!,2,0)</f>
        <v>#VALUE!</v>
      </c>
      <c r="D237" s="0" t="e">
        <f aca="false">GETPIVOTDATA("機型",$A$3,"門市","七堵")=C237</f>
        <v>#VALUE!</v>
      </c>
      <c r="F237" s="0" t="s">
        <v>236</v>
      </c>
      <c r="G237" s="0" t="n">
        <v>3</v>
      </c>
      <c r="H237" s="0" t="e">
        <f aca="false">VLOOKUP(F:F,#REF!,2,0)</f>
        <v>#VALUE!</v>
      </c>
      <c r="I237" s="0" t="e">
        <f aca="false">G237=H237</f>
        <v>#VALUE!</v>
      </c>
    </row>
    <row r="238" customFormat="false" ht="16.5" hidden="true" customHeight="false" outlineLevel="0" collapsed="false">
      <c r="A238" s="6" t="s">
        <v>237</v>
      </c>
      <c r="B238" s="7" t="n">
        <v>1</v>
      </c>
      <c r="C238" s="0" t="e">
        <f aca="false">VLOOKUP(A:A,#REF!,2,0)</f>
        <v>#VALUE!</v>
      </c>
      <c r="D238" s="0" t="e">
        <f aca="false">GETPIVOTDATA("機型",$A$3,"門市","七堵")=C238</f>
        <v>#VALUE!</v>
      </c>
      <c r="F238" s="0" t="s">
        <v>237</v>
      </c>
      <c r="G238" s="0" t="n">
        <v>1</v>
      </c>
      <c r="H238" s="0" t="e">
        <f aca="false">VLOOKUP(F:F,#REF!,2,0)</f>
        <v>#VALUE!</v>
      </c>
      <c r="I238" s="0" t="e">
        <f aca="false">G238=H238</f>
        <v>#VALUE!</v>
      </c>
    </row>
    <row r="239" customFormat="false" ht="16.5" hidden="true" customHeight="false" outlineLevel="0" collapsed="false">
      <c r="A239" s="6" t="s">
        <v>238</v>
      </c>
      <c r="B239" s="7" t="n">
        <v>11</v>
      </c>
      <c r="C239" s="0" t="e">
        <f aca="false">VLOOKUP(A:A,#REF!,2,0)</f>
        <v>#VALUE!</v>
      </c>
      <c r="D239" s="0" t="e">
        <f aca="false">GETPIVOTDATA("機型",$A$3,"門市","七堵")=C239</f>
        <v>#VALUE!</v>
      </c>
      <c r="F239" s="0" t="s">
        <v>238</v>
      </c>
      <c r="G239" s="0" t="n">
        <v>11</v>
      </c>
      <c r="H239" s="0" t="e">
        <f aca="false">VLOOKUP(F:F,#REF!,2,0)</f>
        <v>#VALUE!</v>
      </c>
      <c r="I239" s="0" t="e">
        <f aca="false">G239=H239</f>
        <v>#VALUE!</v>
      </c>
    </row>
    <row r="240" customFormat="false" ht="16.5" hidden="true" customHeight="false" outlineLevel="0" collapsed="false">
      <c r="A240" s="6" t="s">
        <v>239</v>
      </c>
      <c r="B240" s="7" t="n">
        <v>2</v>
      </c>
      <c r="C240" s="0" t="e">
        <f aca="false">VLOOKUP(A:A,#REF!,2,0)</f>
        <v>#VALUE!</v>
      </c>
      <c r="D240" s="0" t="e">
        <f aca="false">GETPIVOTDATA("機型",$A$3,"門市","七堵")=C240</f>
        <v>#VALUE!</v>
      </c>
      <c r="F240" s="0" t="s">
        <v>239</v>
      </c>
      <c r="G240" s="0" t="n">
        <v>2</v>
      </c>
      <c r="H240" s="0" t="e">
        <f aca="false">VLOOKUP(F:F,#REF!,2,0)</f>
        <v>#VALUE!</v>
      </c>
      <c r="I240" s="0" t="e">
        <f aca="false">G240=H240</f>
        <v>#VALUE!</v>
      </c>
    </row>
    <row r="241" customFormat="false" ht="16.5" hidden="true" customHeight="false" outlineLevel="0" collapsed="false">
      <c r="A241" s="6" t="s">
        <v>240</v>
      </c>
      <c r="B241" s="7" t="n">
        <v>8</v>
      </c>
      <c r="C241" s="0" t="e">
        <f aca="false">VLOOKUP(A:A,#REF!,2,0)</f>
        <v>#VALUE!</v>
      </c>
      <c r="D241" s="0" t="e">
        <f aca="false">GETPIVOTDATA("機型",$A$3,"門市","七堵")=C241</f>
        <v>#VALUE!</v>
      </c>
      <c r="F241" s="0" t="s">
        <v>240</v>
      </c>
      <c r="G241" s="0" t="n">
        <v>8</v>
      </c>
      <c r="H241" s="0" t="e">
        <f aca="false">VLOOKUP(F:F,#REF!,2,0)</f>
        <v>#VALUE!</v>
      </c>
      <c r="I241" s="0" t="e">
        <f aca="false">G241=H241</f>
        <v>#VALUE!</v>
      </c>
    </row>
    <row r="242" customFormat="false" ht="16.5" hidden="true" customHeight="false" outlineLevel="0" collapsed="false">
      <c r="A242" s="6" t="s">
        <v>241</v>
      </c>
      <c r="B242" s="7" t="n">
        <v>4</v>
      </c>
      <c r="C242" s="0" t="e">
        <f aca="false">VLOOKUP(A:A,#REF!,2,0)</f>
        <v>#VALUE!</v>
      </c>
      <c r="D242" s="0" t="e">
        <f aca="false">GETPIVOTDATA("機型",$A$3,"門市","七堵")=C242</f>
        <v>#VALUE!</v>
      </c>
      <c r="F242" s="0" t="s">
        <v>241</v>
      </c>
      <c r="G242" s="0" t="n">
        <v>4</v>
      </c>
      <c r="H242" s="0" t="e">
        <f aca="false">VLOOKUP(F:F,#REF!,2,0)</f>
        <v>#VALUE!</v>
      </c>
      <c r="I242" s="0" t="e">
        <f aca="false">G242=H242</f>
        <v>#VALUE!</v>
      </c>
    </row>
    <row r="243" customFormat="false" ht="16.5" hidden="true" customHeight="false" outlineLevel="0" collapsed="false">
      <c r="A243" s="6" t="s">
        <v>242</v>
      </c>
      <c r="B243" s="7" t="n">
        <v>2</v>
      </c>
      <c r="C243" s="0" t="e">
        <f aca="false">VLOOKUP(A:A,#REF!,2,0)</f>
        <v>#VALUE!</v>
      </c>
      <c r="D243" s="0" t="e">
        <f aca="false">GETPIVOTDATA("機型",$A$3,"門市","七堵")=C243</f>
        <v>#VALUE!</v>
      </c>
      <c r="F243" s="0" t="s">
        <v>242</v>
      </c>
      <c r="G243" s="0" t="n">
        <v>2</v>
      </c>
      <c r="H243" s="0" t="e">
        <f aca="false">VLOOKUP(F:F,#REF!,2,0)</f>
        <v>#VALUE!</v>
      </c>
      <c r="I243" s="0" t="e">
        <f aca="false">G243=H243</f>
        <v>#VALUE!</v>
      </c>
    </row>
    <row r="244" customFormat="false" ht="16.5" hidden="true" customHeight="false" outlineLevel="0" collapsed="false">
      <c r="A244" s="6" t="s">
        <v>243</v>
      </c>
      <c r="B244" s="7" t="n">
        <v>2</v>
      </c>
      <c r="C244" s="0" t="e">
        <f aca="false">VLOOKUP(A:A,#REF!,2,0)</f>
        <v>#VALUE!</v>
      </c>
      <c r="D244" s="0" t="e">
        <f aca="false">GETPIVOTDATA("機型",$A$3,"門市","七堵")=C244</f>
        <v>#VALUE!</v>
      </c>
      <c r="F244" s="0" t="s">
        <v>243</v>
      </c>
      <c r="G244" s="0" t="n">
        <v>2</v>
      </c>
      <c r="H244" s="0" t="e">
        <f aca="false">VLOOKUP(F:F,#REF!,2,0)</f>
        <v>#VALUE!</v>
      </c>
      <c r="I244" s="0" t="e">
        <f aca="false">G244=H244</f>
        <v>#VALUE!</v>
      </c>
    </row>
    <row r="245" customFormat="false" ht="16.5" hidden="true" customHeight="false" outlineLevel="0" collapsed="false">
      <c r="A245" s="6" t="s">
        <v>244</v>
      </c>
      <c r="B245" s="7" t="n">
        <v>4</v>
      </c>
      <c r="C245" s="0" t="e">
        <f aca="false">VLOOKUP(A:A,#REF!,2,0)</f>
        <v>#VALUE!</v>
      </c>
      <c r="D245" s="0" t="e">
        <f aca="false">GETPIVOTDATA("機型",$A$3,"門市","七堵")=C245</f>
        <v>#VALUE!</v>
      </c>
      <c r="F245" s="0" t="s">
        <v>244</v>
      </c>
      <c r="G245" s="0" t="n">
        <v>4</v>
      </c>
      <c r="H245" s="0" t="e">
        <f aca="false">VLOOKUP(F:F,#REF!,2,0)</f>
        <v>#VALUE!</v>
      </c>
      <c r="I245" s="0" t="e">
        <f aca="false">G245=H245</f>
        <v>#VALUE!</v>
      </c>
    </row>
    <row r="246" customFormat="false" ht="16.5" hidden="true" customHeight="false" outlineLevel="0" collapsed="false">
      <c r="A246" s="6" t="s">
        <v>245</v>
      </c>
      <c r="B246" s="7" t="n">
        <v>2</v>
      </c>
      <c r="C246" s="0" t="e">
        <f aca="false">VLOOKUP(A:A,#REF!,2,0)</f>
        <v>#VALUE!</v>
      </c>
      <c r="D246" s="0" t="e">
        <f aca="false">GETPIVOTDATA("機型",$A$3,"門市","七堵")=C246</f>
        <v>#VALUE!</v>
      </c>
      <c r="F246" s="0" t="s">
        <v>245</v>
      </c>
      <c r="G246" s="0" t="n">
        <v>2</v>
      </c>
      <c r="H246" s="0" t="e">
        <f aca="false">VLOOKUP(F:F,#REF!,2,0)</f>
        <v>#VALUE!</v>
      </c>
      <c r="I246" s="0" t="e">
        <f aca="false">G246=H246</f>
        <v>#VALUE!</v>
      </c>
    </row>
    <row r="247" customFormat="false" ht="16.5" hidden="true" customHeight="false" outlineLevel="0" collapsed="false">
      <c r="A247" s="6" t="s">
        <v>246</v>
      </c>
      <c r="B247" s="7" t="n">
        <v>2</v>
      </c>
      <c r="C247" s="0" t="e">
        <f aca="false">VLOOKUP(A:A,#REF!,2,0)</f>
        <v>#VALUE!</v>
      </c>
      <c r="D247" s="0" t="e">
        <f aca="false">GETPIVOTDATA("機型",$A$3,"門市","七堵")=C247</f>
        <v>#VALUE!</v>
      </c>
      <c r="F247" s="0" t="s">
        <v>246</v>
      </c>
      <c r="G247" s="0" t="n">
        <v>2</v>
      </c>
      <c r="H247" s="0" t="e">
        <f aca="false">VLOOKUP(F:F,#REF!,2,0)</f>
        <v>#VALUE!</v>
      </c>
      <c r="I247" s="0" t="e">
        <f aca="false">G247=H247</f>
        <v>#VALUE!</v>
      </c>
    </row>
    <row r="248" customFormat="false" ht="16.5" hidden="true" customHeight="false" outlineLevel="0" collapsed="false">
      <c r="A248" s="6" t="s">
        <v>247</v>
      </c>
      <c r="B248" s="7" t="n">
        <v>3</v>
      </c>
      <c r="C248" s="0" t="e">
        <f aca="false">VLOOKUP(A:A,#REF!,2,0)</f>
        <v>#VALUE!</v>
      </c>
      <c r="D248" s="0" t="e">
        <f aca="false">GETPIVOTDATA("機型",$A$3,"門市","七堵")=C248</f>
        <v>#VALUE!</v>
      </c>
      <c r="F248" s="0" t="s">
        <v>247</v>
      </c>
      <c r="G248" s="0" t="n">
        <v>3</v>
      </c>
      <c r="H248" s="0" t="e">
        <f aca="false">VLOOKUP(F:F,#REF!,2,0)</f>
        <v>#VALUE!</v>
      </c>
      <c r="I248" s="0" t="e">
        <f aca="false">G248=H248</f>
        <v>#VALUE!</v>
      </c>
    </row>
    <row r="249" customFormat="false" ht="16.5" hidden="true" customHeight="false" outlineLevel="0" collapsed="false">
      <c r="A249" s="6" t="s">
        <v>248</v>
      </c>
      <c r="B249" s="7" t="n">
        <v>11</v>
      </c>
      <c r="C249" s="0" t="e">
        <f aca="false">VLOOKUP(A:A,#REF!,2,0)</f>
        <v>#VALUE!</v>
      </c>
      <c r="D249" s="0" t="e">
        <f aca="false">GETPIVOTDATA("機型",$A$3,"門市","七堵")=C249</f>
        <v>#VALUE!</v>
      </c>
      <c r="F249" s="0" t="s">
        <v>248</v>
      </c>
      <c r="G249" s="0" t="n">
        <v>11</v>
      </c>
      <c r="H249" s="0" t="e">
        <f aca="false">VLOOKUP(F:F,#REF!,2,0)</f>
        <v>#VALUE!</v>
      </c>
      <c r="I249" s="0" t="e">
        <f aca="false">G249=H249</f>
        <v>#VALUE!</v>
      </c>
    </row>
    <row r="250" customFormat="false" ht="16.5" hidden="false" customHeight="false" outlineLevel="0" collapsed="false">
      <c r="A250" s="6" t="s">
        <v>249</v>
      </c>
      <c r="B250" s="7" t="n">
        <v>8</v>
      </c>
      <c r="C250" s="0" t="e">
        <f aca="false">VLOOKUP(A:A,#REF!,2,0)</f>
        <v>#VALUE!</v>
      </c>
      <c r="D250" s="0" t="e">
        <f aca="false">GETPIVOTDATA("機型",$A$3,"門市","七堵")=C250</f>
        <v>#VALUE!</v>
      </c>
      <c r="F250" s="8" t="s">
        <v>249</v>
      </c>
      <c r="G250" s="8" t="n">
        <v>8</v>
      </c>
      <c r="H250" s="8" t="e">
        <f aca="false">VLOOKUP(F:F,#REF!,2,0)</f>
        <v>#VALUE!</v>
      </c>
      <c r="I250" s="0" t="e">
        <f aca="false">G250=H250</f>
        <v>#VALUE!</v>
      </c>
    </row>
    <row r="251" customFormat="false" ht="16.5" hidden="true" customHeight="false" outlineLevel="0" collapsed="false">
      <c r="A251" s="6" t="s">
        <v>250</v>
      </c>
      <c r="B251" s="7" t="n">
        <v>2</v>
      </c>
      <c r="C251" s="0" t="e">
        <f aca="false">VLOOKUP(A:A,#REF!,2,0)</f>
        <v>#VALUE!</v>
      </c>
      <c r="D251" s="0" t="e">
        <f aca="false">GETPIVOTDATA("機型",$A$3,"門市","七堵")=C251</f>
        <v>#VALUE!</v>
      </c>
      <c r="F251" s="0" t="s">
        <v>250</v>
      </c>
      <c r="G251" s="0" t="n">
        <v>2</v>
      </c>
      <c r="H251" s="0" t="e">
        <f aca="false">VLOOKUP(F:F,#REF!,2,0)</f>
        <v>#VALUE!</v>
      </c>
      <c r="I251" s="0" t="e">
        <f aca="false">G251=H251</f>
        <v>#VALUE!</v>
      </c>
    </row>
    <row r="252" customFormat="false" ht="16.5" hidden="true" customHeight="false" outlineLevel="0" collapsed="false">
      <c r="A252" s="6" t="s">
        <v>251</v>
      </c>
      <c r="B252" s="7" t="n">
        <v>2</v>
      </c>
      <c r="C252" s="0" t="e">
        <f aca="false">VLOOKUP(A:A,#REF!,2,0)</f>
        <v>#VALUE!</v>
      </c>
      <c r="D252" s="0" t="e">
        <f aca="false">GETPIVOTDATA("機型",$A$3,"門市","七堵")=C252</f>
        <v>#VALUE!</v>
      </c>
      <c r="F252" s="0" t="s">
        <v>251</v>
      </c>
      <c r="G252" s="0" t="n">
        <v>2</v>
      </c>
      <c r="H252" s="0" t="e">
        <f aca="false">VLOOKUP(F:F,#REF!,2,0)</f>
        <v>#VALUE!</v>
      </c>
      <c r="I252" s="0" t="e">
        <f aca="false">G252=H252</f>
        <v>#VALUE!</v>
      </c>
    </row>
    <row r="253" customFormat="false" ht="16.5" hidden="true" customHeight="false" outlineLevel="0" collapsed="false">
      <c r="A253" s="6" t="s">
        <v>252</v>
      </c>
      <c r="B253" s="7" t="n">
        <v>3</v>
      </c>
      <c r="C253" s="0" t="e">
        <f aca="false">VLOOKUP(A:A,#REF!,2,0)</f>
        <v>#VALUE!</v>
      </c>
      <c r="D253" s="0" t="e">
        <f aca="false">GETPIVOTDATA("機型",$A$3,"門市","七堵")=C253</f>
        <v>#VALUE!</v>
      </c>
      <c r="F253" s="0" t="s">
        <v>252</v>
      </c>
      <c r="G253" s="0" t="n">
        <v>3</v>
      </c>
      <c r="H253" s="0" t="e">
        <f aca="false">VLOOKUP(F:F,#REF!,2,0)</f>
        <v>#VALUE!</v>
      </c>
      <c r="I253" s="0" t="e">
        <f aca="false">G253=H253</f>
        <v>#VALUE!</v>
      </c>
    </row>
    <row r="254" customFormat="false" ht="16.5" hidden="true" customHeight="false" outlineLevel="0" collapsed="false">
      <c r="A254" s="6" t="s">
        <v>253</v>
      </c>
      <c r="B254" s="7" t="n">
        <v>5</v>
      </c>
      <c r="C254" s="0" t="e">
        <f aca="false">VLOOKUP(A:A,#REF!,2,0)</f>
        <v>#VALUE!</v>
      </c>
      <c r="D254" s="0" t="e">
        <f aca="false">GETPIVOTDATA("機型",$A$3,"門市","七堵")=C254</f>
        <v>#VALUE!</v>
      </c>
      <c r="F254" s="0" t="s">
        <v>253</v>
      </c>
      <c r="G254" s="0" t="n">
        <v>5</v>
      </c>
      <c r="H254" s="0" t="e">
        <f aca="false">VLOOKUP(F:F,#REF!,2,0)</f>
        <v>#VALUE!</v>
      </c>
      <c r="I254" s="0" t="e">
        <f aca="false">G254=H254</f>
        <v>#VALUE!</v>
      </c>
    </row>
    <row r="255" customFormat="false" ht="16.5" hidden="true" customHeight="false" outlineLevel="0" collapsed="false">
      <c r="A255" s="6" t="s">
        <v>254</v>
      </c>
      <c r="B255" s="7" t="n">
        <v>1</v>
      </c>
      <c r="C255" s="0" t="e">
        <f aca="false">VLOOKUP(A:A,#REF!,2,0)</f>
        <v>#VALUE!</v>
      </c>
      <c r="D255" s="0" t="e">
        <f aca="false">GETPIVOTDATA("機型",$A$3,"門市","七堵")=C255</f>
        <v>#VALUE!</v>
      </c>
      <c r="F255" s="0" t="s">
        <v>254</v>
      </c>
      <c r="G255" s="0" t="n">
        <v>1</v>
      </c>
      <c r="H255" s="0" t="e">
        <f aca="false">VLOOKUP(F:F,#REF!,2,0)</f>
        <v>#VALUE!</v>
      </c>
      <c r="I255" s="0" t="e">
        <f aca="false">G255=H255</f>
        <v>#VALUE!</v>
      </c>
    </row>
    <row r="256" customFormat="false" ht="16.5" hidden="true" customHeight="false" outlineLevel="0" collapsed="false">
      <c r="A256" s="6" t="s">
        <v>255</v>
      </c>
      <c r="B256" s="7" t="n">
        <v>4</v>
      </c>
      <c r="C256" s="0" t="e">
        <f aca="false">VLOOKUP(A:A,#REF!,2,0)</f>
        <v>#VALUE!</v>
      </c>
      <c r="D256" s="0" t="e">
        <f aca="false">GETPIVOTDATA("機型",$A$3,"門市","七堵")=C256</f>
        <v>#VALUE!</v>
      </c>
      <c r="F256" s="0" t="s">
        <v>255</v>
      </c>
      <c r="G256" s="0" t="n">
        <v>4</v>
      </c>
      <c r="H256" s="0" t="e">
        <f aca="false">VLOOKUP(F:F,#REF!,2,0)</f>
        <v>#VALUE!</v>
      </c>
      <c r="I256" s="0" t="e">
        <f aca="false">G256=H256</f>
        <v>#VALUE!</v>
      </c>
    </row>
    <row r="257" customFormat="false" ht="16.5" hidden="true" customHeight="false" outlineLevel="0" collapsed="false">
      <c r="A257" s="6" t="s">
        <v>256</v>
      </c>
      <c r="B257" s="7" t="n">
        <v>2</v>
      </c>
      <c r="C257" s="0" t="e">
        <f aca="false">VLOOKUP(A:A,#REF!,2,0)</f>
        <v>#VALUE!</v>
      </c>
      <c r="D257" s="0" t="e">
        <f aca="false">GETPIVOTDATA("機型",$A$3,"門市","七堵")=C257</f>
        <v>#VALUE!</v>
      </c>
      <c r="F257" s="0" t="s">
        <v>256</v>
      </c>
      <c r="G257" s="0" t="n">
        <v>2</v>
      </c>
      <c r="H257" s="0" t="e">
        <f aca="false">VLOOKUP(F:F,#REF!,2,0)</f>
        <v>#VALUE!</v>
      </c>
      <c r="I257" s="0" t="e">
        <f aca="false">G257=H257</f>
        <v>#VALUE!</v>
      </c>
    </row>
    <row r="258" customFormat="false" ht="16.5" hidden="true" customHeight="false" outlineLevel="0" collapsed="false">
      <c r="A258" s="6" t="s">
        <v>257</v>
      </c>
      <c r="B258" s="7" t="n">
        <v>2</v>
      </c>
      <c r="C258" s="0" t="e">
        <f aca="false">VLOOKUP(A:A,#REF!,2,0)</f>
        <v>#VALUE!</v>
      </c>
      <c r="D258" s="0" t="e">
        <f aca="false">GETPIVOTDATA("機型",$A$3,"門市","七堵")=C258</f>
        <v>#VALUE!</v>
      </c>
      <c r="F258" s="0" t="s">
        <v>257</v>
      </c>
      <c r="G258" s="0" t="n">
        <v>2</v>
      </c>
      <c r="H258" s="0" t="e">
        <f aca="false">VLOOKUP(F:F,#REF!,2,0)</f>
        <v>#VALUE!</v>
      </c>
      <c r="I258" s="0" t="e">
        <f aca="false">G258=H258</f>
        <v>#VALUE!</v>
      </c>
    </row>
    <row r="259" customFormat="false" ht="16.5" hidden="true" customHeight="false" outlineLevel="0" collapsed="false">
      <c r="A259" s="6" t="s">
        <v>258</v>
      </c>
      <c r="B259" s="7" t="n">
        <v>18</v>
      </c>
      <c r="C259" s="0" t="e">
        <f aca="false">VLOOKUP(A:A,#REF!,2,0)</f>
        <v>#VALUE!</v>
      </c>
      <c r="D259" s="0" t="e">
        <f aca="false">GETPIVOTDATA("機型",$A$3,"門市","七堵")=C259</f>
        <v>#VALUE!</v>
      </c>
      <c r="F259" s="0" t="s">
        <v>258</v>
      </c>
      <c r="G259" s="0" t="n">
        <v>18</v>
      </c>
      <c r="H259" s="0" t="e">
        <f aca="false">VLOOKUP(F:F,#REF!,2,0)</f>
        <v>#VALUE!</v>
      </c>
      <c r="I259" s="0" t="e">
        <f aca="false">G259=H259</f>
        <v>#VALUE!</v>
      </c>
    </row>
    <row r="260" customFormat="false" ht="16.5" hidden="true" customHeight="false" outlineLevel="0" collapsed="false">
      <c r="A260" s="6" t="s">
        <v>259</v>
      </c>
      <c r="B260" s="7" t="n">
        <v>2</v>
      </c>
      <c r="C260" s="0" t="e">
        <f aca="false">VLOOKUP(A:A,#REF!,2,0)</f>
        <v>#VALUE!</v>
      </c>
      <c r="D260" s="0" t="e">
        <f aca="false">GETPIVOTDATA("機型",$A$3,"門市","七堵")=C260</f>
        <v>#VALUE!</v>
      </c>
      <c r="F260" s="0" t="s">
        <v>259</v>
      </c>
      <c r="G260" s="0" t="n">
        <v>2</v>
      </c>
      <c r="H260" s="0" t="e">
        <f aca="false">VLOOKUP(F:F,#REF!,2,0)</f>
        <v>#VALUE!</v>
      </c>
      <c r="I260" s="0" t="e">
        <f aca="false">G260=H260</f>
        <v>#VALUE!</v>
      </c>
    </row>
    <row r="261" customFormat="false" ht="16.5" hidden="true" customHeight="false" outlineLevel="0" collapsed="false">
      <c r="A261" s="6" t="s">
        <v>260</v>
      </c>
      <c r="B261" s="7" t="n">
        <v>1</v>
      </c>
      <c r="C261" s="0" t="e">
        <f aca="false">VLOOKUP(A:A,#REF!,2,0)</f>
        <v>#VALUE!</v>
      </c>
      <c r="D261" s="0" t="e">
        <f aca="false">GETPIVOTDATA("機型",$A$3,"門市","七堵")=C261</f>
        <v>#VALUE!</v>
      </c>
      <c r="F261" s="0" t="s">
        <v>260</v>
      </c>
      <c r="G261" s="0" t="n">
        <v>1</v>
      </c>
      <c r="H261" s="0" t="e">
        <f aca="false">VLOOKUP(F:F,#REF!,2,0)</f>
        <v>#VALUE!</v>
      </c>
      <c r="I261" s="0" t="e">
        <f aca="false">G261=H261</f>
        <v>#VALUE!</v>
      </c>
    </row>
    <row r="262" customFormat="false" ht="16.5" hidden="true" customHeight="false" outlineLevel="0" collapsed="false">
      <c r="A262" s="6" t="s">
        <v>261</v>
      </c>
      <c r="B262" s="7" t="n">
        <v>12</v>
      </c>
      <c r="C262" s="0" t="e">
        <f aca="false">VLOOKUP(A:A,#REF!,2,0)</f>
        <v>#VALUE!</v>
      </c>
      <c r="D262" s="0" t="e">
        <f aca="false">GETPIVOTDATA("機型",$A$3,"門市","七堵")=C262</f>
        <v>#VALUE!</v>
      </c>
      <c r="F262" s="0" t="s">
        <v>261</v>
      </c>
      <c r="G262" s="0" t="n">
        <v>12</v>
      </c>
      <c r="H262" s="0" t="e">
        <f aca="false">VLOOKUP(F:F,#REF!,2,0)</f>
        <v>#VALUE!</v>
      </c>
      <c r="I262" s="0" t="e">
        <f aca="false">G262=H262</f>
        <v>#VALUE!</v>
      </c>
    </row>
    <row r="263" customFormat="false" ht="16.5" hidden="false" customHeight="false" outlineLevel="0" collapsed="false">
      <c r="A263" s="6" t="s">
        <v>262</v>
      </c>
      <c r="B263" s="7" t="n">
        <v>4</v>
      </c>
      <c r="C263" s="0" t="e">
        <f aca="false">VLOOKUP(A:A,#REF!,2,0)</f>
        <v>#VALUE!</v>
      </c>
      <c r="D263" s="0" t="e">
        <f aca="false">GETPIVOTDATA("機型",$A$3,"門市","七堵")=C263</f>
        <v>#VALUE!</v>
      </c>
      <c r="F263" s="8" t="s">
        <v>262</v>
      </c>
      <c r="G263" s="8" t="n">
        <v>4</v>
      </c>
      <c r="H263" s="0" t="e">
        <f aca="false">VLOOKUP(F:F,#REF!,2,0)</f>
        <v>#VALUE!</v>
      </c>
      <c r="I263" s="0" t="e">
        <f aca="false">G263=H263</f>
        <v>#VALUE!</v>
      </c>
    </row>
    <row r="264" customFormat="false" ht="16.5" hidden="true" customHeight="false" outlineLevel="0" collapsed="false">
      <c r="A264" s="6" t="s">
        <v>263</v>
      </c>
      <c r="B264" s="7" t="n">
        <v>9</v>
      </c>
      <c r="C264" s="0" t="e">
        <f aca="false">VLOOKUP(A:A,#REF!,2,0)</f>
        <v>#VALUE!</v>
      </c>
      <c r="D264" s="0" t="e">
        <f aca="false">GETPIVOTDATA("機型",$A$3,"門市","七堵")=C264</f>
        <v>#VALUE!</v>
      </c>
      <c r="F264" s="0" t="s">
        <v>263</v>
      </c>
      <c r="G264" s="0" t="n">
        <v>9</v>
      </c>
      <c r="H264" s="0" t="e">
        <f aca="false">VLOOKUP(F:F,#REF!,2,0)</f>
        <v>#VALUE!</v>
      </c>
      <c r="I264" s="0" t="e">
        <f aca="false">G264=H264</f>
        <v>#VALUE!</v>
      </c>
    </row>
    <row r="265" customFormat="false" ht="16.5" hidden="true" customHeight="false" outlineLevel="0" collapsed="false">
      <c r="A265" s="6" t="s">
        <v>264</v>
      </c>
      <c r="B265" s="7" t="n">
        <v>2</v>
      </c>
      <c r="C265" s="0" t="e">
        <f aca="false">VLOOKUP(A:A,#REF!,2,0)</f>
        <v>#VALUE!</v>
      </c>
      <c r="D265" s="0" t="e">
        <f aca="false">GETPIVOTDATA("機型",$A$3,"門市","七堵")=C265</f>
        <v>#VALUE!</v>
      </c>
      <c r="F265" s="0" t="s">
        <v>264</v>
      </c>
      <c r="G265" s="0" t="n">
        <v>2</v>
      </c>
      <c r="H265" s="0" t="e">
        <f aca="false">VLOOKUP(F:F,#REF!,2,0)</f>
        <v>#VALUE!</v>
      </c>
      <c r="I265" s="0" t="e">
        <f aca="false">G265=H265</f>
        <v>#VALUE!</v>
      </c>
    </row>
    <row r="266" customFormat="false" ht="16.5" hidden="true" customHeight="false" outlineLevel="0" collapsed="false">
      <c r="A266" s="6" t="s">
        <v>265</v>
      </c>
      <c r="B266" s="7" t="n">
        <v>2</v>
      </c>
      <c r="C266" s="0" t="e">
        <f aca="false">VLOOKUP(A:A,#REF!,2,0)</f>
        <v>#VALUE!</v>
      </c>
      <c r="D266" s="0" t="e">
        <f aca="false">GETPIVOTDATA("機型",$A$3,"門市","七堵")=C266</f>
        <v>#VALUE!</v>
      </c>
      <c r="F266" s="0" t="s">
        <v>265</v>
      </c>
      <c r="G266" s="0" t="n">
        <v>2</v>
      </c>
      <c r="H266" s="0" t="e">
        <f aca="false">VLOOKUP(F:F,#REF!,2,0)</f>
        <v>#VALUE!</v>
      </c>
      <c r="I266" s="0" t="e">
        <f aca="false">G266=H266</f>
        <v>#VALUE!</v>
      </c>
    </row>
    <row r="267" customFormat="false" ht="16.5" hidden="true" customHeight="false" outlineLevel="0" collapsed="false">
      <c r="A267" s="6" t="s">
        <v>266</v>
      </c>
      <c r="B267" s="7" t="n">
        <v>2</v>
      </c>
      <c r="C267" s="0" t="e">
        <f aca="false">VLOOKUP(A:A,#REF!,2,0)</f>
        <v>#VALUE!</v>
      </c>
      <c r="D267" s="0" t="e">
        <f aca="false">GETPIVOTDATA("機型",$A$3,"門市","七堵")=C267</f>
        <v>#VALUE!</v>
      </c>
      <c r="F267" s="0" t="s">
        <v>266</v>
      </c>
      <c r="G267" s="0" t="n">
        <v>2</v>
      </c>
      <c r="H267" s="0" t="e">
        <f aca="false">VLOOKUP(F:F,#REF!,2,0)</f>
        <v>#VALUE!</v>
      </c>
      <c r="I267" s="0" t="e">
        <f aca="false">G267=H267</f>
        <v>#VALUE!</v>
      </c>
    </row>
    <row r="268" customFormat="false" ht="16.5" hidden="true" customHeight="false" outlineLevel="0" collapsed="false">
      <c r="A268" s="6" t="s">
        <v>267</v>
      </c>
      <c r="B268" s="7" t="n">
        <v>5</v>
      </c>
      <c r="C268" s="0" t="e">
        <f aca="false">VLOOKUP(A:A,#REF!,2,0)</f>
        <v>#VALUE!</v>
      </c>
      <c r="D268" s="0" t="e">
        <f aca="false">GETPIVOTDATA("機型",$A$3,"門市","七堵")=C268</f>
        <v>#VALUE!</v>
      </c>
      <c r="F268" s="0" t="s">
        <v>267</v>
      </c>
      <c r="G268" s="0" t="n">
        <v>5</v>
      </c>
      <c r="H268" s="0" t="e">
        <f aca="false">VLOOKUP(F:F,#REF!,2,0)</f>
        <v>#VALUE!</v>
      </c>
      <c r="I268" s="0" t="e">
        <f aca="false">G268=H268</f>
        <v>#VALUE!</v>
      </c>
    </row>
    <row r="269" customFormat="false" ht="16.5" hidden="false" customHeight="false" outlineLevel="0" collapsed="false">
      <c r="A269" s="6" t="s">
        <v>268</v>
      </c>
      <c r="B269" s="7" t="n">
        <v>2</v>
      </c>
      <c r="C269" s="0" t="e">
        <f aca="false">VLOOKUP(A:A,#REF!,2,0)</f>
        <v>#VALUE!</v>
      </c>
      <c r="D269" s="0" t="e">
        <f aca="false">GETPIVOTDATA("機型",$A$3,"門市","七堵")=C269</f>
        <v>#VALUE!</v>
      </c>
      <c r="F269" s="8" t="s">
        <v>268</v>
      </c>
      <c r="G269" s="8" t="n">
        <v>2</v>
      </c>
      <c r="H269" s="0" t="e">
        <f aca="false">VLOOKUP(F:F,#REF!,2,0)</f>
        <v>#VALUE!</v>
      </c>
      <c r="I269" s="0" t="e">
        <f aca="false">G269=H269</f>
        <v>#VALUE!</v>
      </c>
    </row>
    <row r="270" customFormat="false" ht="16.5" hidden="true" customHeight="false" outlineLevel="0" collapsed="false">
      <c r="A270" s="6" t="s">
        <v>269</v>
      </c>
      <c r="B270" s="7" t="n">
        <v>1</v>
      </c>
      <c r="C270" s="0" t="n">
        <v>1</v>
      </c>
      <c r="D270" s="0" t="n">
        <f aca="false">GETPIVOTDATA("機型",$A$3,"門市","七堵")=C270</f>
        <v>0</v>
      </c>
      <c r="F270" s="0" t="s">
        <v>269</v>
      </c>
      <c r="G270" s="0" t="n">
        <v>1</v>
      </c>
      <c r="H270" s="0" t="n">
        <v>1</v>
      </c>
      <c r="I270" s="0" t="n">
        <f aca="false">G270=H270</f>
        <v>1</v>
      </c>
    </row>
    <row r="271" customFormat="false" ht="16.5" hidden="true" customHeight="false" outlineLevel="0" collapsed="false">
      <c r="A271" s="6" t="s">
        <v>270</v>
      </c>
      <c r="B271" s="7" t="n">
        <v>1</v>
      </c>
      <c r="C271" s="0" t="n">
        <v>1</v>
      </c>
      <c r="D271" s="0" t="n">
        <f aca="false">GETPIVOTDATA("機型",$A$3,"門市","七堵")=C271</f>
        <v>0</v>
      </c>
      <c r="F271" s="0" t="s">
        <v>270</v>
      </c>
      <c r="G271" s="0" t="n">
        <v>1</v>
      </c>
      <c r="H271" s="0" t="n">
        <v>1</v>
      </c>
      <c r="I271" s="0" t="n">
        <f aca="false">G271=H271</f>
        <v>1</v>
      </c>
    </row>
    <row r="272" customFormat="false" ht="16.5" hidden="true" customHeight="false" outlineLevel="0" collapsed="false">
      <c r="A272" s="6" t="s">
        <v>271</v>
      </c>
      <c r="B272" s="7" t="n">
        <v>1</v>
      </c>
      <c r="C272" s="0" t="n">
        <v>1</v>
      </c>
      <c r="D272" s="0" t="n">
        <f aca="false">GETPIVOTDATA("機型",$A$3,"門市","七堵")=C272</f>
        <v>0</v>
      </c>
      <c r="F272" s="0" t="s">
        <v>271</v>
      </c>
      <c r="G272" s="0" t="n">
        <v>1</v>
      </c>
      <c r="H272" s="0" t="n">
        <v>1</v>
      </c>
      <c r="I272" s="0" t="n">
        <f aca="false">G272=H272</f>
        <v>1</v>
      </c>
    </row>
    <row r="273" customFormat="false" ht="16.5" hidden="true" customHeight="false" outlineLevel="0" collapsed="false">
      <c r="A273" s="6" t="s">
        <v>272</v>
      </c>
      <c r="B273" s="7" t="n">
        <v>1</v>
      </c>
      <c r="C273" s="0" t="n">
        <v>1</v>
      </c>
      <c r="D273" s="0" t="n">
        <f aca="false">GETPIVOTDATA("機型",$A$3,"門市","七堵")=C273</f>
        <v>0</v>
      </c>
      <c r="F273" s="0" t="s">
        <v>272</v>
      </c>
      <c r="G273" s="0" t="n">
        <v>1</v>
      </c>
      <c r="H273" s="0" t="n">
        <v>1</v>
      </c>
      <c r="I273" s="0" t="n">
        <f aca="false">G273=H273</f>
        <v>1</v>
      </c>
    </row>
    <row r="274" customFormat="false" ht="16.5" hidden="true" customHeight="false" outlineLevel="0" collapsed="false">
      <c r="A274" s="6" t="s">
        <v>273</v>
      </c>
      <c r="B274" s="7" t="n">
        <v>1</v>
      </c>
      <c r="C274" s="0" t="n">
        <v>1</v>
      </c>
      <c r="D274" s="0" t="n">
        <f aca="false">GETPIVOTDATA("機型",$A$3,"門市","七堵")=C274</f>
        <v>0</v>
      </c>
      <c r="F274" s="0" t="s">
        <v>273</v>
      </c>
      <c r="G274" s="0" t="n">
        <v>1</v>
      </c>
      <c r="H274" s="0" t="n">
        <v>1</v>
      </c>
      <c r="I274" s="0" t="n">
        <f aca="false">G274=H274</f>
        <v>1</v>
      </c>
    </row>
    <row r="275" customFormat="false" ht="16.5" hidden="true" customHeight="false" outlineLevel="0" collapsed="false">
      <c r="A275" s="6" t="s">
        <v>274</v>
      </c>
      <c r="B275" s="7" t="n">
        <v>1</v>
      </c>
      <c r="C275" s="0" t="e">
        <f aca="false">VLOOKUP(A:A,#REF!,2,0)</f>
        <v>#VALUE!</v>
      </c>
      <c r="D275" s="0" t="e">
        <f aca="false">GETPIVOTDATA("機型",$A$3,"門市","七堵")=C275</f>
        <v>#VALUE!</v>
      </c>
      <c r="F275" s="0" t="s">
        <v>274</v>
      </c>
      <c r="G275" s="0" t="n">
        <v>1</v>
      </c>
      <c r="H275" s="0" t="e">
        <f aca="false">VLOOKUP(F:F,#REF!,2,0)</f>
        <v>#VALUE!</v>
      </c>
      <c r="I275" s="0" t="e">
        <f aca="false">G275=H275</f>
        <v>#VALUE!</v>
      </c>
    </row>
    <row r="276" customFormat="false" ht="16.5" hidden="true" customHeight="false" outlineLevel="0" collapsed="false">
      <c r="A276" s="6" t="s">
        <v>275</v>
      </c>
      <c r="B276" s="7" t="n">
        <v>2</v>
      </c>
      <c r="C276" s="0" t="e">
        <f aca="false">VLOOKUP(A:A,#REF!,2,0)</f>
        <v>#VALUE!</v>
      </c>
      <c r="D276" s="0" t="e">
        <f aca="false">GETPIVOTDATA("機型",$A$3,"門市","七堵")=C276</f>
        <v>#VALUE!</v>
      </c>
      <c r="F276" s="0" t="s">
        <v>275</v>
      </c>
      <c r="G276" s="0" t="n">
        <v>2</v>
      </c>
      <c r="H276" s="0" t="e">
        <f aca="false">VLOOKUP(F:F,#REF!,2,0)</f>
        <v>#VALUE!</v>
      </c>
      <c r="I276" s="0" t="e">
        <f aca="false">G276=H276</f>
        <v>#VALUE!</v>
      </c>
    </row>
    <row r="277" customFormat="false" ht="16.5" hidden="true" customHeight="false" outlineLevel="0" collapsed="false">
      <c r="A277" s="6" t="s">
        <v>276</v>
      </c>
      <c r="B277" s="7" t="n">
        <v>5</v>
      </c>
      <c r="C277" s="0" t="e">
        <f aca="false">VLOOKUP(A:A,#REF!,2,0)</f>
        <v>#VALUE!</v>
      </c>
      <c r="D277" s="0" t="e">
        <f aca="false">GETPIVOTDATA("機型",$A$3,"門市","七堵")=C277</f>
        <v>#VALUE!</v>
      </c>
      <c r="F277" s="0" t="s">
        <v>276</v>
      </c>
      <c r="G277" s="0" t="n">
        <v>5</v>
      </c>
      <c r="H277" s="0" t="e">
        <f aca="false">VLOOKUP(F:F,#REF!,2,0)</f>
        <v>#VALUE!</v>
      </c>
      <c r="I277" s="0" t="e">
        <f aca="false">G277=H277</f>
        <v>#VALUE!</v>
      </c>
    </row>
    <row r="278" customFormat="false" ht="16.5" hidden="true" customHeight="false" outlineLevel="0" collapsed="false">
      <c r="A278" s="6" t="s">
        <v>277</v>
      </c>
      <c r="B278" s="7" t="n">
        <v>4</v>
      </c>
      <c r="C278" s="0" t="e">
        <f aca="false">VLOOKUP(A:A,#REF!,2,0)</f>
        <v>#VALUE!</v>
      </c>
      <c r="D278" s="0" t="e">
        <f aca="false">GETPIVOTDATA("機型",$A$3,"門市","七堵")=C278</f>
        <v>#VALUE!</v>
      </c>
      <c r="F278" s="0" t="s">
        <v>277</v>
      </c>
      <c r="G278" s="0" t="n">
        <v>4</v>
      </c>
      <c r="H278" s="0" t="e">
        <f aca="false">VLOOKUP(F:F,#REF!,2,0)</f>
        <v>#VALUE!</v>
      </c>
      <c r="I278" s="0" t="e">
        <f aca="false">G278=H278</f>
        <v>#VALUE!</v>
      </c>
    </row>
    <row r="279" customFormat="false" ht="16.5" hidden="true" customHeight="false" outlineLevel="0" collapsed="false">
      <c r="A279" s="6" t="s">
        <v>278</v>
      </c>
      <c r="B279" s="7" t="n">
        <v>6</v>
      </c>
      <c r="C279" s="0" t="e">
        <f aca="false">VLOOKUP(A:A,#REF!,2,0)</f>
        <v>#VALUE!</v>
      </c>
      <c r="D279" s="0" t="e">
        <f aca="false">GETPIVOTDATA("機型",$A$3,"門市","七堵")=C279</f>
        <v>#VALUE!</v>
      </c>
      <c r="F279" s="0" t="s">
        <v>278</v>
      </c>
      <c r="G279" s="0" t="n">
        <v>6</v>
      </c>
      <c r="H279" s="0" t="e">
        <f aca="false">VLOOKUP(F:F,#REF!,2,0)</f>
        <v>#VALUE!</v>
      </c>
      <c r="I279" s="0" t="e">
        <f aca="false">G279=H279</f>
        <v>#VALUE!</v>
      </c>
    </row>
    <row r="280" customFormat="false" ht="16.5" hidden="true" customHeight="false" outlineLevel="0" collapsed="false">
      <c r="A280" s="6" t="s">
        <v>279</v>
      </c>
      <c r="B280" s="7" t="n">
        <v>4</v>
      </c>
      <c r="C280" s="0" t="n">
        <v>4</v>
      </c>
      <c r="D280" s="0" t="n">
        <f aca="false">GETPIVOTDATA("機型",$A$3,"門市","七堵")=C280</f>
        <v>0</v>
      </c>
      <c r="F280" s="0" t="s">
        <v>279</v>
      </c>
      <c r="G280" s="0" t="n">
        <v>4</v>
      </c>
      <c r="H280" s="0" t="n">
        <v>4</v>
      </c>
      <c r="I280" s="0" t="n">
        <f aca="false">G280=H280</f>
        <v>1</v>
      </c>
    </row>
    <row r="281" customFormat="false" ht="16.5" hidden="true" customHeight="false" outlineLevel="0" collapsed="false">
      <c r="A281" s="6" t="s">
        <v>280</v>
      </c>
      <c r="B281" s="7" t="n">
        <v>2</v>
      </c>
      <c r="C281" s="0" t="e">
        <f aca="false">VLOOKUP(A:A,#REF!,2,0)</f>
        <v>#VALUE!</v>
      </c>
      <c r="D281" s="0" t="e">
        <f aca="false">GETPIVOTDATA("機型",$A$3,"門市","七堵")=C281</f>
        <v>#VALUE!</v>
      </c>
      <c r="F281" s="0" t="s">
        <v>280</v>
      </c>
      <c r="G281" s="0" t="n">
        <v>2</v>
      </c>
      <c r="H281" s="0" t="e">
        <f aca="false">VLOOKUP(F:F,#REF!,2,0)</f>
        <v>#VALUE!</v>
      </c>
      <c r="I281" s="0" t="e">
        <f aca="false">G281=H281</f>
        <v>#VALUE!</v>
      </c>
    </row>
    <row r="282" customFormat="false" ht="16.5" hidden="true" customHeight="false" outlineLevel="0" collapsed="false">
      <c r="A282" s="6" t="s">
        <v>281</v>
      </c>
      <c r="B282" s="7" t="n">
        <v>5</v>
      </c>
      <c r="C282" s="0" t="e">
        <f aca="false">VLOOKUP(A:A,#REF!,2,0)</f>
        <v>#VALUE!</v>
      </c>
      <c r="D282" s="0" t="e">
        <f aca="false">GETPIVOTDATA("機型",$A$3,"門市","七堵")=C282</f>
        <v>#VALUE!</v>
      </c>
      <c r="F282" s="0" t="s">
        <v>281</v>
      </c>
      <c r="G282" s="0" t="n">
        <v>5</v>
      </c>
      <c r="H282" s="0" t="e">
        <f aca="false">VLOOKUP(F:F,#REF!,2,0)</f>
        <v>#VALUE!</v>
      </c>
      <c r="I282" s="0" t="e">
        <f aca="false">G282=H282</f>
        <v>#VALUE!</v>
      </c>
    </row>
    <row r="283" customFormat="false" ht="16.5" hidden="true" customHeight="false" outlineLevel="0" collapsed="false">
      <c r="A283" s="6" t="s">
        <v>282</v>
      </c>
      <c r="B283" s="7" t="n">
        <v>2</v>
      </c>
      <c r="C283" s="0" t="n">
        <v>2</v>
      </c>
      <c r="D283" s="0" t="n">
        <f aca="false">GETPIVOTDATA("機型",$A$3,"門市","七堵")=C283</f>
        <v>0</v>
      </c>
      <c r="F283" s="0" t="s">
        <v>282</v>
      </c>
      <c r="G283" s="0" t="n">
        <v>2</v>
      </c>
      <c r="H283" s="0" t="n">
        <v>2</v>
      </c>
      <c r="I283" s="0" t="n">
        <f aca="false">G283=H283</f>
        <v>1</v>
      </c>
    </row>
    <row r="284" customFormat="false" ht="16.5" hidden="true" customHeight="false" outlineLevel="0" collapsed="false">
      <c r="A284" s="6" t="s">
        <v>283</v>
      </c>
      <c r="B284" s="7" t="n">
        <v>8</v>
      </c>
      <c r="C284" s="0" t="e">
        <f aca="false">VLOOKUP(A:A,#REF!,2,0)</f>
        <v>#VALUE!</v>
      </c>
      <c r="D284" s="0" t="e">
        <f aca="false">GETPIVOTDATA("機型",$A$3,"門市","七堵")=C284</f>
        <v>#VALUE!</v>
      </c>
      <c r="F284" s="0" t="s">
        <v>283</v>
      </c>
      <c r="G284" s="0" t="n">
        <v>8</v>
      </c>
      <c r="H284" s="0" t="e">
        <f aca="false">VLOOKUP(F:F,#REF!,2,0)</f>
        <v>#VALUE!</v>
      </c>
      <c r="I284" s="0" t="e">
        <f aca="false">G284=H284</f>
        <v>#VALUE!</v>
      </c>
    </row>
    <row r="285" customFormat="false" ht="16.5" hidden="true" customHeight="false" outlineLevel="0" collapsed="false">
      <c r="A285" s="6" t="s">
        <v>284</v>
      </c>
      <c r="B285" s="7" t="n">
        <v>14</v>
      </c>
      <c r="C285" s="0" t="e">
        <f aca="false">VLOOKUP(A:A,#REF!,2,0)</f>
        <v>#VALUE!</v>
      </c>
      <c r="D285" s="0" t="e">
        <f aca="false">GETPIVOTDATA("機型",$A$3,"門市","七堵")=C285</f>
        <v>#VALUE!</v>
      </c>
      <c r="F285" s="0" t="s">
        <v>284</v>
      </c>
      <c r="G285" s="0" t="n">
        <v>14</v>
      </c>
      <c r="H285" s="0" t="e">
        <f aca="false">VLOOKUP(F:F,#REF!,2,0)</f>
        <v>#VALUE!</v>
      </c>
      <c r="I285" s="0" t="e">
        <f aca="false">G285=H285</f>
        <v>#VALUE!</v>
      </c>
    </row>
    <row r="286" customFormat="false" ht="16.5" hidden="true" customHeight="false" outlineLevel="0" collapsed="false">
      <c r="A286" s="6" t="s">
        <v>285</v>
      </c>
      <c r="B286" s="7" t="n">
        <v>6</v>
      </c>
      <c r="C286" s="0" t="e">
        <f aca="false">VLOOKUP(A:A,#REF!,2,0)</f>
        <v>#VALUE!</v>
      </c>
      <c r="D286" s="0" t="e">
        <f aca="false">GETPIVOTDATA("機型",$A$3,"門市","七堵")=C286</f>
        <v>#VALUE!</v>
      </c>
      <c r="F286" s="0" t="s">
        <v>285</v>
      </c>
      <c r="G286" s="0" t="n">
        <v>6</v>
      </c>
      <c r="H286" s="0" t="e">
        <f aca="false">VLOOKUP(F:F,#REF!,2,0)</f>
        <v>#VALUE!</v>
      </c>
      <c r="I286" s="0" t="e">
        <f aca="false">G286=H286</f>
        <v>#VALUE!</v>
      </c>
    </row>
    <row r="287" customFormat="false" ht="16.5" hidden="true" customHeight="false" outlineLevel="0" collapsed="false">
      <c r="A287" s="6" t="s">
        <v>286</v>
      </c>
      <c r="B287" s="7" t="n">
        <v>7</v>
      </c>
      <c r="C287" s="0" t="e">
        <f aca="false">VLOOKUP(A:A,#REF!,2,0)</f>
        <v>#VALUE!</v>
      </c>
      <c r="D287" s="0" t="e">
        <f aca="false">GETPIVOTDATA("機型",$A$3,"門市","七堵")=C287</f>
        <v>#VALUE!</v>
      </c>
      <c r="F287" s="0" t="s">
        <v>286</v>
      </c>
      <c r="G287" s="0" t="n">
        <v>7</v>
      </c>
      <c r="H287" s="0" t="e">
        <f aca="false">VLOOKUP(F:F,#REF!,2,0)</f>
        <v>#VALUE!</v>
      </c>
      <c r="I287" s="0" t="e">
        <f aca="false">G287=H287</f>
        <v>#VALUE!</v>
      </c>
    </row>
    <row r="288" customFormat="false" ht="16.5" hidden="true" customHeight="false" outlineLevel="0" collapsed="false">
      <c r="A288" s="6" t="s">
        <v>287</v>
      </c>
      <c r="B288" s="7" t="n">
        <v>7</v>
      </c>
      <c r="C288" s="0" t="e">
        <f aca="false">VLOOKUP(A:A,#REF!,2,0)</f>
        <v>#VALUE!</v>
      </c>
      <c r="D288" s="0" t="e">
        <f aca="false">GETPIVOTDATA("機型",$A$3,"門市","七堵")=C288</f>
        <v>#VALUE!</v>
      </c>
      <c r="F288" s="0" t="s">
        <v>287</v>
      </c>
      <c r="G288" s="0" t="n">
        <v>7</v>
      </c>
      <c r="H288" s="0" t="e">
        <f aca="false">VLOOKUP(F:F,#REF!,2,0)</f>
        <v>#VALUE!</v>
      </c>
      <c r="I288" s="0" t="e">
        <f aca="false">G288=H288</f>
        <v>#VALUE!</v>
      </c>
    </row>
    <row r="289" customFormat="false" ht="16.5" hidden="true" customHeight="false" outlineLevel="0" collapsed="false">
      <c r="A289" s="6" t="s">
        <v>288</v>
      </c>
      <c r="B289" s="7" t="n">
        <v>8</v>
      </c>
      <c r="C289" s="0" t="e">
        <f aca="false">VLOOKUP(A:A,#REF!,2,0)</f>
        <v>#VALUE!</v>
      </c>
      <c r="D289" s="0" t="e">
        <f aca="false">GETPIVOTDATA("機型",$A$3,"門市","七堵")=C289</f>
        <v>#VALUE!</v>
      </c>
      <c r="F289" s="0" t="s">
        <v>288</v>
      </c>
      <c r="G289" s="0" t="n">
        <v>8</v>
      </c>
      <c r="H289" s="0" t="e">
        <f aca="false">VLOOKUP(F:F,#REF!,2,0)</f>
        <v>#VALUE!</v>
      </c>
      <c r="I289" s="0" t="e">
        <f aca="false">G289=H289</f>
        <v>#VALUE!</v>
      </c>
    </row>
    <row r="290" customFormat="false" ht="16.5" hidden="true" customHeight="false" outlineLevel="0" collapsed="false">
      <c r="A290" s="6" t="s">
        <v>289</v>
      </c>
      <c r="B290" s="7" t="n">
        <v>6</v>
      </c>
      <c r="C290" s="0" t="e">
        <f aca="false">VLOOKUP(A:A,#REF!,2,0)</f>
        <v>#VALUE!</v>
      </c>
      <c r="D290" s="0" t="e">
        <f aca="false">GETPIVOTDATA("機型",$A$3,"門市","七堵")=C290</f>
        <v>#VALUE!</v>
      </c>
      <c r="F290" s="0" t="s">
        <v>289</v>
      </c>
      <c r="G290" s="0" t="n">
        <v>6</v>
      </c>
      <c r="H290" s="0" t="e">
        <f aca="false">VLOOKUP(F:F,#REF!,2,0)</f>
        <v>#VALUE!</v>
      </c>
      <c r="I290" s="0" t="e">
        <f aca="false">G290=H290</f>
        <v>#VALUE!</v>
      </c>
    </row>
    <row r="291" customFormat="false" ht="16.5" hidden="true" customHeight="false" outlineLevel="0" collapsed="false">
      <c r="A291" s="6" t="s">
        <v>290</v>
      </c>
      <c r="B291" s="7" t="n">
        <v>6</v>
      </c>
      <c r="C291" s="0" t="n">
        <v>6</v>
      </c>
      <c r="D291" s="0" t="n">
        <f aca="false">GETPIVOTDATA("機型",$A$3,"門市","七堵")=C291</f>
        <v>0</v>
      </c>
      <c r="F291" s="0" t="s">
        <v>290</v>
      </c>
      <c r="G291" s="0" t="n">
        <v>6</v>
      </c>
      <c r="H291" s="0" t="n">
        <v>6</v>
      </c>
      <c r="I291" s="0" t="n">
        <f aca="false">G291=H291</f>
        <v>1</v>
      </c>
    </row>
    <row r="292" customFormat="false" ht="16.5" hidden="true" customHeight="false" outlineLevel="0" collapsed="false">
      <c r="A292" s="6" t="s">
        <v>291</v>
      </c>
      <c r="B292" s="7" t="n">
        <v>1</v>
      </c>
      <c r="C292" s="0" t="e">
        <f aca="false">VLOOKUP(A:A,#REF!,2,0)</f>
        <v>#VALUE!</v>
      </c>
      <c r="D292" s="0" t="e">
        <f aca="false">GETPIVOTDATA("機型",$A$3,"門市","七堵")=C292</f>
        <v>#VALUE!</v>
      </c>
      <c r="F292" s="0" t="s">
        <v>291</v>
      </c>
      <c r="G292" s="0" t="n">
        <v>1</v>
      </c>
      <c r="H292" s="0" t="e">
        <f aca="false">VLOOKUP(F:F,#REF!,2,0)</f>
        <v>#VALUE!</v>
      </c>
      <c r="I292" s="0" t="e">
        <f aca="false">G292=H292</f>
        <v>#VALUE!</v>
      </c>
    </row>
    <row r="293" customFormat="false" ht="16.5" hidden="true" customHeight="false" outlineLevel="0" collapsed="false">
      <c r="A293" s="6" t="s">
        <v>292</v>
      </c>
      <c r="B293" s="7" t="n">
        <v>3</v>
      </c>
      <c r="C293" s="0" t="e">
        <f aca="false">VLOOKUP(A:A,#REF!,2,0)</f>
        <v>#VALUE!</v>
      </c>
      <c r="D293" s="0" t="e">
        <f aca="false">GETPIVOTDATA("機型",$A$3,"門市","七堵")=C293</f>
        <v>#VALUE!</v>
      </c>
      <c r="F293" s="0" t="s">
        <v>292</v>
      </c>
      <c r="G293" s="0" t="n">
        <v>3</v>
      </c>
      <c r="H293" s="0" t="e">
        <f aca="false">VLOOKUP(F:F,#REF!,2,0)</f>
        <v>#VALUE!</v>
      </c>
      <c r="I293" s="0" t="e">
        <f aca="false">G293=H293</f>
        <v>#VALUE!</v>
      </c>
    </row>
    <row r="294" customFormat="false" ht="16.5" hidden="true" customHeight="false" outlineLevel="0" collapsed="false">
      <c r="A294" s="6" t="s">
        <v>293</v>
      </c>
      <c r="B294" s="7" t="n">
        <v>4</v>
      </c>
      <c r="C294" s="0" t="n">
        <v>4</v>
      </c>
      <c r="D294" s="0" t="n">
        <f aca="false">GETPIVOTDATA("機型",$A$3,"門市","七堵")=C294</f>
        <v>0</v>
      </c>
      <c r="F294" s="0" t="s">
        <v>293</v>
      </c>
      <c r="G294" s="0" t="n">
        <v>4</v>
      </c>
      <c r="H294" s="0" t="n">
        <v>4</v>
      </c>
      <c r="I294" s="0" t="n">
        <f aca="false">G294=H294</f>
        <v>1</v>
      </c>
    </row>
    <row r="295" customFormat="false" ht="16.5" hidden="true" customHeight="false" outlineLevel="0" collapsed="false">
      <c r="A295" s="6" t="s">
        <v>294</v>
      </c>
      <c r="B295" s="7" t="n">
        <v>4</v>
      </c>
      <c r="C295" s="0" t="e">
        <f aca="false">VLOOKUP(A:A,#REF!,2,0)</f>
        <v>#VALUE!</v>
      </c>
      <c r="D295" s="0" t="e">
        <f aca="false">GETPIVOTDATA("機型",$A$3,"門市","七堵")=C295</f>
        <v>#VALUE!</v>
      </c>
      <c r="F295" s="0" t="s">
        <v>294</v>
      </c>
      <c r="G295" s="0" t="n">
        <v>4</v>
      </c>
      <c r="H295" s="0" t="e">
        <f aca="false">VLOOKUP(F:F,#REF!,2,0)</f>
        <v>#VALUE!</v>
      </c>
      <c r="I295" s="0" t="e">
        <f aca="false">G295=H295</f>
        <v>#VALUE!</v>
      </c>
    </row>
    <row r="296" customFormat="false" ht="16.5" hidden="true" customHeight="false" outlineLevel="0" collapsed="false">
      <c r="A296" s="6" t="s">
        <v>295</v>
      </c>
      <c r="B296" s="7" t="n">
        <v>5</v>
      </c>
      <c r="C296" s="0" t="e">
        <f aca="false">VLOOKUP(A:A,#REF!,2,0)</f>
        <v>#VALUE!</v>
      </c>
      <c r="D296" s="0" t="e">
        <f aca="false">GETPIVOTDATA("機型",$A$3,"門市","七堵")=C296</f>
        <v>#VALUE!</v>
      </c>
      <c r="F296" s="0" t="s">
        <v>295</v>
      </c>
      <c r="G296" s="0" t="n">
        <v>5</v>
      </c>
      <c r="H296" s="0" t="e">
        <f aca="false">VLOOKUP(F:F,#REF!,2,0)</f>
        <v>#VALUE!</v>
      </c>
      <c r="I296" s="0" t="e">
        <f aca="false">G296=H296</f>
        <v>#VALUE!</v>
      </c>
    </row>
    <row r="297" customFormat="false" ht="16.5" hidden="true" customHeight="false" outlineLevel="0" collapsed="false">
      <c r="A297" s="6" t="s">
        <v>296</v>
      </c>
      <c r="B297" s="7" t="n">
        <v>19</v>
      </c>
      <c r="C297" s="0" t="e">
        <f aca="false">VLOOKUP(A:A,#REF!,2,0)</f>
        <v>#VALUE!</v>
      </c>
      <c r="D297" s="0" t="e">
        <f aca="false">GETPIVOTDATA("機型",$A$3,"門市","七堵")=C297</f>
        <v>#VALUE!</v>
      </c>
      <c r="F297" s="0" t="s">
        <v>296</v>
      </c>
      <c r="G297" s="0" t="n">
        <v>19</v>
      </c>
      <c r="H297" s="0" t="e">
        <f aca="false">VLOOKUP(F:F,#REF!,2,0)</f>
        <v>#VALUE!</v>
      </c>
      <c r="I297" s="0" t="e">
        <f aca="false">G297=H297</f>
        <v>#VALUE!</v>
      </c>
    </row>
    <row r="298" customFormat="false" ht="16.5" hidden="true" customHeight="false" outlineLevel="0" collapsed="false">
      <c r="A298" s="6" t="s">
        <v>297</v>
      </c>
      <c r="B298" s="7" t="n">
        <v>3</v>
      </c>
      <c r="C298" s="0" t="e">
        <f aca="false">VLOOKUP(A:A,#REF!,2,0)</f>
        <v>#VALUE!</v>
      </c>
      <c r="D298" s="0" t="e">
        <f aca="false">GETPIVOTDATA("機型",$A$3,"門市","七堵")=C298</f>
        <v>#VALUE!</v>
      </c>
      <c r="F298" s="0" t="s">
        <v>297</v>
      </c>
      <c r="G298" s="0" t="n">
        <v>3</v>
      </c>
      <c r="H298" s="0" t="e">
        <f aca="false">VLOOKUP(F:F,#REF!,2,0)</f>
        <v>#VALUE!</v>
      </c>
      <c r="I298" s="0" t="e">
        <f aca="false">G298=H298</f>
        <v>#VALUE!</v>
      </c>
    </row>
    <row r="299" customFormat="false" ht="16.5" hidden="true" customHeight="false" outlineLevel="0" collapsed="false">
      <c r="A299" s="6" t="s">
        <v>298</v>
      </c>
      <c r="B299" s="7" t="n">
        <v>5</v>
      </c>
      <c r="C299" s="0" t="e">
        <f aca="false">VLOOKUP(A:A,#REF!,2,0)</f>
        <v>#VALUE!</v>
      </c>
      <c r="D299" s="0" t="e">
        <f aca="false">GETPIVOTDATA("機型",$A$3,"門市","七堵")=C299</f>
        <v>#VALUE!</v>
      </c>
      <c r="F299" s="0" t="s">
        <v>298</v>
      </c>
      <c r="G299" s="0" t="n">
        <v>5</v>
      </c>
      <c r="H299" s="0" t="e">
        <f aca="false">VLOOKUP(F:F,#REF!,2,0)</f>
        <v>#VALUE!</v>
      </c>
      <c r="I299" s="0" t="e">
        <f aca="false">G299=H299</f>
        <v>#VALUE!</v>
      </c>
    </row>
    <row r="300" customFormat="false" ht="16.5" hidden="true" customHeight="false" outlineLevel="0" collapsed="false">
      <c r="A300" s="6" t="s">
        <v>299</v>
      </c>
      <c r="B300" s="7" t="n">
        <v>4</v>
      </c>
      <c r="C300" s="0" t="e">
        <f aca="false">VLOOKUP(A:A,#REF!,2,0)</f>
        <v>#VALUE!</v>
      </c>
      <c r="D300" s="0" t="e">
        <f aca="false">GETPIVOTDATA("機型",$A$3,"門市","七堵")=C300</f>
        <v>#VALUE!</v>
      </c>
      <c r="F300" s="0" t="s">
        <v>299</v>
      </c>
      <c r="G300" s="0" t="n">
        <v>4</v>
      </c>
      <c r="H300" s="0" t="e">
        <f aca="false">VLOOKUP(F:F,#REF!,2,0)</f>
        <v>#VALUE!</v>
      </c>
      <c r="I300" s="0" t="e">
        <f aca="false">G300=H300</f>
        <v>#VALUE!</v>
      </c>
    </row>
    <row r="301" customFormat="false" ht="16.5" hidden="true" customHeight="false" outlineLevel="0" collapsed="false">
      <c r="A301" s="6" t="s">
        <v>300</v>
      </c>
      <c r="B301" s="7" t="n">
        <v>4</v>
      </c>
      <c r="C301" s="0" t="e">
        <f aca="false">VLOOKUP(A:A,#REF!,2,0)</f>
        <v>#VALUE!</v>
      </c>
      <c r="D301" s="0" t="e">
        <f aca="false">GETPIVOTDATA("機型",$A$3,"門市","七堵")=C301</f>
        <v>#VALUE!</v>
      </c>
      <c r="F301" s="0" t="s">
        <v>300</v>
      </c>
      <c r="G301" s="0" t="n">
        <v>4</v>
      </c>
      <c r="H301" s="0" t="e">
        <f aca="false">VLOOKUP(F:F,#REF!,2,0)</f>
        <v>#VALUE!</v>
      </c>
      <c r="I301" s="0" t="e">
        <f aca="false">G301=H301</f>
        <v>#VALUE!</v>
      </c>
    </row>
    <row r="302" customFormat="false" ht="16.5" hidden="true" customHeight="false" outlineLevel="0" collapsed="false">
      <c r="A302" s="6" t="s">
        <v>301</v>
      </c>
      <c r="B302" s="7" t="n">
        <v>2</v>
      </c>
      <c r="C302" s="0" t="e">
        <f aca="false">VLOOKUP(A:A,#REF!,2,0)</f>
        <v>#VALUE!</v>
      </c>
      <c r="D302" s="0" t="e">
        <f aca="false">GETPIVOTDATA("機型",$A$3,"門市","七堵")=C302</f>
        <v>#VALUE!</v>
      </c>
      <c r="F302" s="0" t="s">
        <v>301</v>
      </c>
      <c r="G302" s="0" t="n">
        <v>2</v>
      </c>
      <c r="H302" s="0" t="e">
        <f aca="false">VLOOKUP(F:F,#REF!,2,0)</f>
        <v>#VALUE!</v>
      </c>
      <c r="I302" s="0" t="e">
        <f aca="false">G302=H302</f>
        <v>#VALUE!</v>
      </c>
    </row>
    <row r="303" customFormat="false" ht="16.5" hidden="true" customHeight="false" outlineLevel="0" collapsed="false">
      <c r="A303" s="6" t="s">
        <v>302</v>
      </c>
      <c r="B303" s="7" t="n">
        <v>2</v>
      </c>
      <c r="C303" s="0" t="e">
        <f aca="false">VLOOKUP(A:A,#REF!,2,0)</f>
        <v>#VALUE!</v>
      </c>
      <c r="D303" s="0" t="e">
        <f aca="false">GETPIVOTDATA("機型",$A$3,"門市","七堵")=C303</f>
        <v>#VALUE!</v>
      </c>
      <c r="F303" s="0" t="s">
        <v>302</v>
      </c>
      <c r="G303" s="0" t="n">
        <v>2</v>
      </c>
      <c r="H303" s="0" t="e">
        <f aca="false">VLOOKUP(F:F,#REF!,2,0)</f>
        <v>#VALUE!</v>
      </c>
      <c r="I303" s="0" t="e">
        <f aca="false">G303=H303</f>
        <v>#VALUE!</v>
      </c>
    </row>
    <row r="304" customFormat="false" ht="16.5" hidden="true" customHeight="false" outlineLevel="0" collapsed="false">
      <c r="A304" s="6" t="s">
        <v>303</v>
      </c>
      <c r="B304" s="7" t="n">
        <v>2</v>
      </c>
      <c r="C304" s="0" t="e">
        <f aca="false">VLOOKUP(A:A,#REF!,2,0)</f>
        <v>#VALUE!</v>
      </c>
      <c r="D304" s="0" t="e">
        <f aca="false">GETPIVOTDATA("機型",$A$3,"門市","七堵")=C304</f>
        <v>#VALUE!</v>
      </c>
      <c r="F304" s="0" t="s">
        <v>303</v>
      </c>
      <c r="G304" s="0" t="n">
        <v>2</v>
      </c>
      <c r="H304" s="0" t="e">
        <f aca="false">VLOOKUP(F:F,#REF!,2,0)</f>
        <v>#VALUE!</v>
      </c>
      <c r="I304" s="0" t="e">
        <f aca="false">G304=H304</f>
        <v>#VALUE!</v>
      </c>
    </row>
    <row r="305" customFormat="false" ht="16.5" hidden="true" customHeight="false" outlineLevel="0" collapsed="false">
      <c r="A305" s="6" t="s">
        <v>304</v>
      </c>
      <c r="B305" s="7" t="n">
        <v>5</v>
      </c>
      <c r="C305" s="0" t="e">
        <f aca="false">VLOOKUP(A:A,#REF!,2,0)</f>
        <v>#VALUE!</v>
      </c>
      <c r="D305" s="0" t="e">
        <f aca="false">GETPIVOTDATA("機型",$A$3,"門市","七堵")=C305</f>
        <v>#VALUE!</v>
      </c>
      <c r="F305" s="0" t="s">
        <v>304</v>
      </c>
      <c r="G305" s="0" t="n">
        <v>5</v>
      </c>
      <c r="H305" s="0" t="e">
        <f aca="false">VLOOKUP(F:F,#REF!,2,0)</f>
        <v>#VALUE!</v>
      </c>
      <c r="I305" s="0" t="e">
        <f aca="false">G305=H305</f>
        <v>#VALUE!</v>
      </c>
    </row>
    <row r="306" customFormat="false" ht="16.5" hidden="true" customHeight="false" outlineLevel="0" collapsed="false">
      <c r="A306" s="6" t="s">
        <v>305</v>
      </c>
      <c r="B306" s="7" t="n">
        <v>1</v>
      </c>
      <c r="C306" s="0" t="e">
        <f aca="false">VLOOKUP(A:A,#REF!,2,0)</f>
        <v>#VALUE!</v>
      </c>
      <c r="D306" s="0" t="e">
        <f aca="false">GETPIVOTDATA("機型",$A$3,"門市","七堵")=C306</f>
        <v>#VALUE!</v>
      </c>
      <c r="F306" s="0" t="s">
        <v>305</v>
      </c>
      <c r="G306" s="0" t="n">
        <v>1</v>
      </c>
      <c r="H306" s="0" t="e">
        <f aca="false">VLOOKUP(F:F,#REF!,2,0)</f>
        <v>#VALUE!</v>
      </c>
      <c r="I306" s="0" t="e">
        <f aca="false">G306=H306</f>
        <v>#VALUE!</v>
      </c>
    </row>
    <row r="307" customFormat="false" ht="16.5" hidden="true" customHeight="false" outlineLevel="0" collapsed="false">
      <c r="A307" s="6" t="s">
        <v>306</v>
      </c>
      <c r="B307" s="7" t="n">
        <v>5</v>
      </c>
      <c r="C307" s="0" t="e">
        <f aca="false">VLOOKUP(A:A,#REF!,2,0)</f>
        <v>#VALUE!</v>
      </c>
      <c r="D307" s="0" t="e">
        <f aca="false">GETPIVOTDATA("機型",$A$3,"門市","七堵")=C307</f>
        <v>#VALUE!</v>
      </c>
      <c r="F307" s="0" t="s">
        <v>306</v>
      </c>
      <c r="G307" s="0" t="n">
        <v>5</v>
      </c>
      <c r="H307" s="0" t="e">
        <f aca="false">VLOOKUP(F:F,#REF!,2,0)</f>
        <v>#VALUE!</v>
      </c>
      <c r="I307" s="0" t="e">
        <f aca="false">G307=H307</f>
        <v>#VALUE!</v>
      </c>
    </row>
    <row r="308" customFormat="false" ht="16.5" hidden="true" customHeight="false" outlineLevel="0" collapsed="false">
      <c r="A308" s="6" t="s">
        <v>307</v>
      </c>
      <c r="B308" s="7" t="n">
        <v>5</v>
      </c>
      <c r="C308" s="0" t="e">
        <f aca="false">VLOOKUP(A:A,#REF!,2,0)</f>
        <v>#VALUE!</v>
      </c>
      <c r="D308" s="0" t="e">
        <f aca="false">GETPIVOTDATA("機型",$A$3,"門市","七堵")=C308</f>
        <v>#VALUE!</v>
      </c>
      <c r="F308" s="0" t="s">
        <v>307</v>
      </c>
      <c r="G308" s="0" t="n">
        <v>5</v>
      </c>
      <c r="H308" s="0" t="e">
        <f aca="false">VLOOKUP(F:F,#REF!,2,0)</f>
        <v>#VALUE!</v>
      </c>
      <c r="I308" s="0" t="e">
        <f aca="false">G308=H308</f>
        <v>#VALUE!</v>
      </c>
    </row>
    <row r="309" customFormat="false" ht="16.5" hidden="true" customHeight="false" outlineLevel="0" collapsed="false">
      <c r="A309" s="6" t="s">
        <v>308</v>
      </c>
      <c r="B309" s="7" t="n">
        <v>6</v>
      </c>
      <c r="C309" s="0" t="e">
        <f aca="false">VLOOKUP(A:A,#REF!,2,0)</f>
        <v>#VALUE!</v>
      </c>
      <c r="D309" s="0" t="e">
        <f aca="false">GETPIVOTDATA("機型",$A$3,"門市","七堵")=C309</f>
        <v>#VALUE!</v>
      </c>
      <c r="F309" s="0" t="s">
        <v>308</v>
      </c>
      <c r="G309" s="0" t="n">
        <v>6</v>
      </c>
      <c r="H309" s="0" t="e">
        <f aca="false">VLOOKUP(F:F,#REF!,2,0)</f>
        <v>#VALUE!</v>
      </c>
      <c r="I309" s="0" t="e">
        <f aca="false">G309=H309</f>
        <v>#VALUE!</v>
      </c>
    </row>
    <row r="310" customFormat="false" ht="16.5" hidden="true" customHeight="false" outlineLevel="0" collapsed="false">
      <c r="A310" s="6" t="s">
        <v>309</v>
      </c>
      <c r="B310" s="7" t="n">
        <v>5</v>
      </c>
      <c r="C310" s="0" t="n">
        <v>5</v>
      </c>
      <c r="D310" s="0" t="n">
        <f aca="false">GETPIVOTDATA("機型",$A$3,"門市","七堵")=C310</f>
        <v>1</v>
      </c>
      <c r="F310" s="0" t="s">
        <v>309</v>
      </c>
      <c r="G310" s="0" t="n">
        <v>5</v>
      </c>
      <c r="H310" s="0" t="n">
        <v>5</v>
      </c>
      <c r="I310" s="0" t="n">
        <f aca="false">G310=H310</f>
        <v>1</v>
      </c>
    </row>
    <row r="311" customFormat="false" ht="16.5" hidden="false" customHeight="false" outlineLevel="0" collapsed="false">
      <c r="A311" s="6" t="s">
        <v>310</v>
      </c>
      <c r="B311" s="7" t="n">
        <v>2</v>
      </c>
      <c r="C311" s="0" t="e">
        <f aca="false">VLOOKUP(A:A,#REF!,2,0)</f>
        <v>#VALUE!</v>
      </c>
      <c r="D311" s="0" t="e">
        <f aca="false">GETPIVOTDATA("機型",$A$3,"門市","七堵")=C311</f>
        <v>#VALUE!</v>
      </c>
      <c r="F311" s="8" t="s">
        <v>310</v>
      </c>
      <c r="G311" s="8" t="n">
        <v>2</v>
      </c>
      <c r="H311" s="0" t="e">
        <f aca="false">VLOOKUP(F:F,#REF!,2,0)</f>
        <v>#VALUE!</v>
      </c>
      <c r="I311" s="0" t="e">
        <f aca="false">G311=H311</f>
        <v>#VALUE!</v>
      </c>
    </row>
    <row r="312" customFormat="false" ht="16.5" hidden="true" customHeight="false" outlineLevel="0" collapsed="false">
      <c r="A312" s="6" t="s">
        <v>311</v>
      </c>
      <c r="B312" s="7" t="n">
        <v>2</v>
      </c>
      <c r="C312" s="0" t="e">
        <f aca="false">VLOOKUP(A:A,#REF!,2,0)</f>
        <v>#VALUE!</v>
      </c>
      <c r="D312" s="0" t="e">
        <f aca="false">GETPIVOTDATA("機型",$A$3,"門市","七堵")=C312</f>
        <v>#VALUE!</v>
      </c>
      <c r="F312" s="0" t="s">
        <v>311</v>
      </c>
      <c r="G312" s="0" t="n">
        <v>2</v>
      </c>
      <c r="H312" s="0" t="e">
        <f aca="false">VLOOKUP(F:F,#REF!,2,0)</f>
        <v>#VALUE!</v>
      </c>
      <c r="I312" s="0" t="e">
        <f aca="false">G312=H312</f>
        <v>#VALUE!</v>
      </c>
    </row>
    <row r="313" customFormat="false" ht="16.5" hidden="true" customHeight="false" outlineLevel="0" collapsed="false">
      <c r="A313" s="6" t="s">
        <v>312</v>
      </c>
      <c r="B313" s="7" t="n">
        <v>6</v>
      </c>
      <c r="C313" s="0" t="e">
        <f aca="false">VLOOKUP(A:A,#REF!,2,0)</f>
        <v>#VALUE!</v>
      </c>
      <c r="D313" s="0" t="e">
        <f aca="false">GETPIVOTDATA("機型",$A$3,"門市","七堵")=C313</f>
        <v>#VALUE!</v>
      </c>
      <c r="F313" s="0" t="s">
        <v>312</v>
      </c>
      <c r="G313" s="0" t="n">
        <v>6</v>
      </c>
      <c r="H313" s="0" t="e">
        <f aca="false">VLOOKUP(F:F,#REF!,2,0)</f>
        <v>#VALUE!</v>
      </c>
      <c r="I313" s="0" t="e">
        <f aca="false">G313=H313</f>
        <v>#VALUE!</v>
      </c>
    </row>
    <row r="314" customFormat="false" ht="16.5" hidden="true" customHeight="false" outlineLevel="0" collapsed="false">
      <c r="A314" s="6" t="s">
        <v>313</v>
      </c>
      <c r="B314" s="7" t="n">
        <v>5</v>
      </c>
      <c r="C314" s="0" t="e">
        <f aca="false">VLOOKUP(A:A,#REF!,2,0)</f>
        <v>#VALUE!</v>
      </c>
      <c r="D314" s="0" t="e">
        <f aca="false">GETPIVOTDATA("機型",$A$3,"門市","七堵")=C314</f>
        <v>#VALUE!</v>
      </c>
      <c r="F314" s="0" t="s">
        <v>313</v>
      </c>
      <c r="G314" s="0" t="n">
        <v>5</v>
      </c>
      <c r="H314" s="0" t="e">
        <f aca="false">VLOOKUP(F:F,#REF!,2,0)</f>
        <v>#VALUE!</v>
      </c>
      <c r="I314" s="0" t="e">
        <f aca="false">G314=H314</f>
        <v>#VALUE!</v>
      </c>
    </row>
    <row r="315" customFormat="false" ht="16.5" hidden="false" customHeight="false" outlineLevel="0" collapsed="false">
      <c r="A315" s="6" t="s">
        <v>314</v>
      </c>
      <c r="B315" s="7" t="n">
        <v>9</v>
      </c>
      <c r="C315" s="0" t="e">
        <f aca="false">VLOOKUP(A:A,#REF!,2,0)</f>
        <v>#VALUE!</v>
      </c>
      <c r="D315" s="0" t="e">
        <f aca="false">GETPIVOTDATA("機型",$A$3,"門市","七堵")=C315</f>
        <v>#VALUE!</v>
      </c>
      <c r="F315" s="8" t="s">
        <v>314</v>
      </c>
      <c r="G315" s="8" t="n">
        <v>9</v>
      </c>
      <c r="H315" s="8" t="e">
        <f aca="false">VLOOKUP(F:F,#REF!,2,0)</f>
        <v>#VALUE!</v>
      </c>
      <c r="I315" s="0" t="e">
        <f aca="false">G315=H315</f>
        <v>#VALUE!</v>
      </c>
    </row>
    <row r="316" customFormat="false" ht="16.5" hidden="true" customHeight="false" outlineLevel="0" collapsed="false">
      <c r="A316" s="6" t="s">
        <v>315</v>
      </c>
      <c r="B316" s="7" t="n">
        <v>2</v>
      </c>
      <c r="C316" s="0" t="e">
        <f aca="false">VLOOKUP(A:A,#REF!,2,0)</f>
        <v>#VALUE!</v>
      </c>
      <c r="D316" s="0" t="e">
        <f aca="false">GETPIVOTDATA("機型",$A$3,"門市","七堵")=C316</f>
        <v>#VALUE!</v>
      </c>
      <c r="F316" s="0" t="s">
        <v>315</v>
      </c>
      <c r="G316" s="0" t="n">
        <v>2</v>
      </c>
      <c r="H316" s="0" t="e">
        <f aca="false">VLOOKUP(F:F,#REF!,2,0)</f>
        <v>#VALUE!</v>
      </c>
      <c r="I316" s="0" t="e">
        <f aca="false">G316=H316</f>
        <v>#VALUE!</v>
      </c>
    </row>
    <row r="317" customFormat="false" ht="16.5" hidden="true" customHeight="false" outlineLevel="0" collapsed="false">
      <c r="A317" s="6" t="s">
        <v>316</v>
      </c>
      <c r="B317" s="7" t="n">
        <v>3</v>
      </c>
      <c r="C317" s="0" t="e">
        <f aca="false">VLOOKUP(A:A,#REF!,2,0)</f>
        <v>#VALUE!</v>
      </c>
      <c r="D317" s="0" t="e">
        <f aca="false">GETPIVOTDATA("機型",$A$3,"門市","七堵")=C317</f>
        <v>#VALUE!</v>
      </c>
      <c r="F317" s="0" t="s">
        <v>316</v>
      </c>
      <c r="G317" s="0" t="n">
        <v>3</v>
      </c>
      <c r="H317" s="0" t="e">
        <f aca="false">VLOOKUP(F:F,#REF!,2,0)</f>
        <v>#VALUE!</v>
      </c>
      <c r="I317" s="0" t="e">
        <f aca="false">G317=H317</f>
        <v>#VALUE!</v>
      </c>
    </row>
    <row r="318" customFormat="false" ht="16.5" hidden="true" customHeight="false" outlineLevel="0" collapsed="false">
      <c r="A318" s="6" t="s">
        <v>317</v>
      </c>
      <c r="B318" s="7" t="n">
        <v>2</v>
      </c>
      <c r="C318" s="0" t="e">
        <f aca="false">VLOOKUP(A:A,#REF!,2,0)</f>
        <v>#VALUE!</v>
      </c>
      <c r="D318" s="0" t="e">
        <f aca="false">GETPIVOTDATA("機型",$A$3,"門市","七堵")=C318</f>
        <v>#VALUE!</v>
      </c>
      <c r="F318" s="0" t="s">
        <v>317</v>
      </c>
      <c r="G318" s="0" t="n">
        <v>2</v>
      </c>
      <c r="H318" s="0" t="e">
        <f aca="false">VLOOKUP(F:F,#REF!,2,0)</f>
        <v>#VALUE!</v>
      </c>
      <c r="I318" s="0" t="e">
        <f aca="false">G318=H318</f>
        <v>#VALUE!</v>
      </c>
    </row>
    <row r="319" customFormat="false" ht="16.5" hidden="true" customHeight="false" outlineLevel="0" collapsed="false">
      <c r="A319" s="6" t="s">
        <v>318</v>
      </c>
      <c r="B319" s="7" t="n">
        <v>8</v>
      </c>
      <c r="C319" s="0" t="e">
        <f aca="false">VLOOKUP(A:A,#REF!,2,0)</f>
        <v>#VALUE!</v>
      </c>
      <c r="D319" s="0" t="e">
        <f aca="false">GETPIVOTDATA("機型",$A$3,"門市","七堵")=C319</f>
        <v>#VALUE!</v>
      </c>
      <c r="F319" s="0" t="s">
        <v>318</v>
      </c>
      <c r="G319" s="0" t="n">
        <v>8</v>
      </c>
      <c r="H319" s="0" t="e">
        <f aca="false">VLOOKUP(F:F,#REF!,2,0)</f>
        <v>#VALUE!</v>
      </c>
      <c r="I319" s="0" t="e">
        <f aca="false">G319=H319</f>
        <v>#VALUE!</v>
      </c>
    </row>
    <row r="320" customFormat="false" ht="16.5" hidden="true" customHeight="false" outlineLevel="0" collapsed="false">
      <c r="A320" s="6" t="s">
        <v>319</v>
      </c>
      <c r="B320" s="7" t="n">
        <v>1</v>
      </c>
      <c r="C320" s="0" t="n">
        <v>1</v>
      </c>
      <c r="D320" s="0" t="n">
        <f aca="false">GETPIVOTDATA("機型",$A$3,"門市","七堵")=C320</f>
        <v>0</v>
      </c>
      <c r="F320" s="0" t="s">
        <v>319</v>
      </c>
      <c r="G320" s="0" t="n">
        <v>1</v>
      </c>
      <c r="H320" s="0" t="n">
        <v>1</v>
      </c>
      <c r="I320" s="0" t="n">
        <f aca="false">G320=H320</f>
        <v>1</v>
      </c>
    </row>
    <row r="321" customFormat="false" ht="16.5" hidden="false" customHeight="false" outlineLevel="0" collapsed="false">
      <c r="A321" s="6" t="s">
        <v>320</v>
      </c>
      <c r="B321" s="7" t="n">
        <v>6</v>
      </c>
      <c r="C321" s="0" t="e">
        <f aca="false">VLOOKUP(A:A,#REF!,2,0)</f>
        <v>#VALUE!</v>
      </c>
      <c r="D321" s="0" t="e">
        <f aca="false">GETPIVOTDATA("機型",$A$3,"門市","七堵")=C321</f>
        <v>#VALUE!</v>
      </c>
      <c r="F321" s="8" t="s">
        <v>320</v>
      </c>
      <c r="G321" s="8" t="n">
        <v>6</v>
      </c>
      <c r="H321" s="0" t="e">
        <f aca="false">VLOOKUP(F:F,#REF!,2,0)</f>
        <v>#VALUE!</v>
      </c>
      <c r="I321" s="0" t="e">
        <f aca="false">G321=H321</f>
        <v>#VALUE!</v>
      </c>
    </row>
    <row r="322" customFormat="false" ht="16.5" hidden="true" customHeight="false" outlineLevel="0" collapsed="false">
      <c r="A322" s="6" t="s">
        <v>321</v>
      </c>
      <c r="B322" s="7" t="n">
        <v>10</v>
      </c>
      <c r="C322" s="0" t="e">
        <f aca="false">VLOOKUP(A:A,#REF!,2,0)</f>
        <v>#VALUE!</v>
      </c>
      <c r="D322" s="0" t="e">
        <f aca="false">GETPIVOTDATA("機型",$A$3,"門市","七堵")=C322</f>
        <v>#VALUE!</v>
      </c>
      <c r="F322" s="0" t="s">
        <v>321</v>
      </c>
      <c r="G322" s="0" t="n">
        <v>10</v>
      </c>
      <c r="H322" s="0" t="e">
        <f aca="false">VLOOKUP(F:F,#REF!,2,0)</f>
        <v>#VALUE!</v>
      </c>
      <c r="I322" s="0" t="e">
        <f aca="false">G322=H322</f>
        <v>#VALUE!</v>
      </c>
    </row>
    <row r="323" customFormat="false" ht="16.5" hidden="true" customHeight="false" outlineLevel="0" collapsed="false">
      <c r="A323" s="6" t="s">
        <v>322</v>
      </c>
      <c r="B323" s="7" t="n">
        <v>2</v>
      </c>
      <c r="C323" s="0" t="e">
        <f aca="false">VLOOKUP(A:A,#REF!,2,0)</f>
        <v>#VALUE!</v>
      </c>
      <c r="D323" s="0" t="e">
        <f aca="false">GETPIVOTDATA("機型",$A$3,"門市","七堵")=C323</f>
        <v>#VALUE!</v>
      </c>
      <c r="F323" s="0" t="s">
        <v>322</v>
      </c>
      <c r="G323" s="0" t="n">
        <v>2</v>
      </c>
      <c r="H323" s="0" t="e">
        <f aca="false">VLOOKUP(F:F,#REF!,2,0)</f>
        <v>#VALUE!</v>
      </c>
      <c r="I323" s="0" t="e">
        <f aca="false">G323=H323</f>
        <v>#VALUE!</v>
      </c>
    </row>
    <row r="324" customFormat="false" ht="16.5" hidden="true" customHeight="false" outlineLevel="0" collapsed="false">
      <c r="A324" s="6" t="s">
        <v>323</v>
      </c>
      <c r="B324" s="7" t="n">
        <v>4</v>
      </c>
      <c r="C324" s="0" t="e">
        <f aca="false">VLOOKUP(A:A,#REF!,2,0)</f>
        <v>#VALUE!</v>
      </c>
      <c r="D324" s="0" t="e">
        <f aca="false">GETPIVOTDATA("機型",$A$3,"門市","七堵")=C324</f>
        <v>#VALUE!</v>
      </c>
      <c r="F324" s="0" t="s">
        <v>323</v>
      </c>
      <c r="G324" s="0" t="n">
        <v>4</v>
      </c>
      <c r="H324" s="0" t="e">
        <f aca="false">VLOOKUP(F:F,#REF!,2,0)</f>
        <v>#VALUE!</v>
      </c>
      <c r="I324" s="0" t="e">
        <f aca="false">G324=H324</f>
        <v>#VALUE!</v>
      </c>
    </row>
    <row r="325" customFormat="false" ht="16.5" hidden="true" customHeight="false" outlineLevel="0" collapsed="false">
      <c r="A325" s="6" t="s">
        <v>324</v>
      </c>
      <c r="B325" s="7" t="n">
        <v>6</v>
      </c>
      <c r="C325" s="0" t="e">
        <f aca="false">VLOOKUP(A:A,#REF!,2,0)</f>
        <v>#VALUE!</v>
      </c>
      <c r="D325" s="0" t="e">
        <f aca="false">GETPIVOTDATA("機型",$A$3,"門市","七堵")=C325</f>
        <v>#VALUE!</v>
      </c>
      <c r="F325" s="0" t="s">
        <v>324</v>
      </c>
      <c r="G325" s="0" t="n">
        <v>6</v>
      </c>
      <c r="H325" s="0" t="e">
        <f aca="false">VLOOKUP(F:F,#REF!,2,0)</f>
        <v>#VALUE!</v>
      </c>
      <c r="I325" s="0" t="e">
        <f aca="false">G325=H325</f>
        <v>#VALUE!</v>
      </c>
    </row>
    <row r="326" customFormat="false" ht="16.5" hidden="true" customHeight="false" outlineLevel="0" collapsed="false">
      <c r="A326" s="6" t="s">
        <v>325</v>
      </c>
      <c r="B326" s="7" t="n">
        <v>6</v>
      </c>
      <c r="C326" s="0" t="e">
        <f aca="false">VLOOKUP(A:A,#REF!,2,0)</f>
        <v>#VALUE!</v>
      </c>
      <c r="D326" s="0" t="e">
        <f aca="false">GETPIVOTDATA("機型",$A$3,"門市","七堵")=C326</f>
        <v>#VALUE!</v>
      </c>
      <c r="F326" s="0" t="s">
        <v>325</v>
      </c>
      <c r="G326" s="0" t="n">
        <v>6</v>
      </c>
      <c r="H326" s="0" t="e">
        <f aca="false">VLOOKUP(F:F,#REF!,2,0)</f>
        <v>#VALUE!</v>
      </c>
      <c r="I326" s="0" t="e">
        <f aca="false">G326=H326</f>
        <v>#VALUE!</v>
      </c>
    </row>
    <row r="327" customFormat="false" ht="16.5" hidden="true" customHeight="false" outlineLevel="0" collapsed="false">
      <c r="A327" s="6" t="s">
        <v>326</v>
      </c>
      <c r="B327" s="7" t="n">
        <v>4</v>
      </c>
      <c r="C327" s="0" t="e">
        <f aca="false">VLOOKUP(A:A,#REF!,2,0)</f>
        <v>#VALUE!</v>
      </c>
      <c r="D327" s="0" t="e">
        <f aca="false">GETPIVOTDATA("機型",$A$3,"門市","七堵")=C327</f>
        <v>#VALUE!</v>
      </c>
      <c r="F327" s="0" t="s">
        <v>326</v>
      </c>
      <c r="G327" s="0" t="n">
        <v>4</v>
      </c>
      <c r="H327" s="0" t="e">
        <f aca="false">VLOOKUP(F:F,#REF!,2,0)</f>
        <v>#VALUE!</v>
      </c>
      <c r="I327" s="0" t="e">
        <f aca="false">G327=H327</f>
        <v>#VALUE!</v>
      </c>
    </row>
    <row r="328" customFormat="false" ht="16.5" hidden="true" customHeight="false" outlineLevel="0" collapsed="false">
      <c r="A328" s="6" t="s">
        <v>327</v>
      </c>
      <c r="B328" s="7" t="n">
        <v>6</v>
      </c>
      <c r="C328" s="0" t="e">
        <f aca="false">VLOOKUP(A:A,#REF!,2,0)</f>
        <v>#VALUE!</v>
      </c>
      <c r="D328" s="0" t="e">
        <f aca="false">GETPIVOTDATA("機型",$A$3,"門市","七堵")=C328</f>
        <v>#VALUE!</v>
      </c>
      <c r="F328" s="0" t="s">
        <v>327</v>
      </c>
      <c r="G328" s="0" t="n">
        <v>6</v>
      </c>
      <c r="H328" s="0" t="e">
        <f aca="false">VLOOKUP(F:F,#REF!,2,0)</f>
        <v>#VALUE!</v>
      </c>
      <c r="I328" s="0" t="e">
        <f aca="false">G328=H328</f>
        <v>#VALUE!</v>
      </c>
    </row>
    <row r="329" customFormat="false" ht="16.5" hidden="true" customHeight="false" outlineLevel="0" collapsed="false">
      <c r="A329" s="6" t="s">
        <v>328</v>
      </c>
      <c r="B329" s="7" t="n">
        <v>1</v>
      </c>
      <c r="C329" s="0" t="e">
        <f aca="false">VLOOKUP(A:A,#REF!,2,0)</f>
        <v>#VALUE!</v>
      </c>
      <c r="D329" s="0" t="e">
        <f aca="false">GETPIVOTDATA("機型",$A$3,"門市","七堵")=C329</f>
        <v>#VALUE!</v>
      </c>
      <c r="F329" s="0" t="s">
        <v>328</v>
      </c>
      <c r="G329" s="0" t="n">
        <v>1</v>
      </c>
      <c r="H329" s="0" t="e">
        <f aca="false">VLOOKUP(F:F,#REF!,2,0)</f>
        <v>#VALUE!</v>
      </c>
      <c r="I329" s="0" t="e">
        <f aca="false">G329=H329</f>
        <v>#VALUE!</v>
      </c>
    </row>
    <row r="330" customFormat="false" ht="16.5" hidden="true" customHeight="false" outlineLevel="0" collapsed="false">
      <c r="A330" s="6" t="s">
        <v>329</v>
      </c>
      <c r="B330" s="7" t="n">
        <v>1</v>
      </c>
      <c r="C330" s="0" t="e">
        <f aca="false">VLOOKUP(A:A,#REF!,2,0)</f>
        <v>#VALUE!</v>
      </c>
      <c r="D330" s="0" t="e">
        <f aca="false">GETPIVOTDATA("機型",$A$3,"門市","七堵")=C330</f>
        <v>#VALUE!</v>
      </c>
      <c r="F330" s="0" t="s">
        <v>329</v>
      </c>
      <c r="G330" s="0" t="n">
        <v>1</v>
      </c>
      <c r="H330" s="0" t="e">
        <f aca="false">VLOOKUP(F:F,#REF!,2,0)</f>
        <v>#VALUE!</v>
      </c>
      <c r="I330" s="0" t="e">
        <f aca="false">G330=H330</f>
        <v>#VALUE!</v>
      </c>
    </row>
    <row r="331" customFormat="false" ht="16.5" hidden="true" customHeight="false" outlineLevel="0" collapsed="false">
      <c r="A331" s="6" t="s">
        <v>330</v>
      </c>
      <c r="B331" s="7" t="n">
        <v>4</v>
      </c>
      <c r="C331" s="0" t="e">
        <f aca="false">VLOOKUP(A:A,#REF!,2,0)</f>
        <v>#VALUE!</v>
      </c>
      <c r="D331" s="0" t="e">
        <f aca="false">GETPIVOTDATA("機型",$A$3,"門市","七堵")=C331</f>
        <v>#VALUE!</v>
      </c>
      <c r="F331" s="0" t="s">
        <v>330</v>
      </c>
      <c r="G331" s="0" t="n">
        <v>4</v>
      </c>
      <c r="H331" s="0" t="e">
        <f aca="false">VLOOKUP(F:F,#REF!,2,0)</f>
        <v>#VALUE!</v>
      </c>
      <c r="I331" s="0" t="e">
        <f aca="false">G331=H331</f>
        <v>#VALUE!</v>
      </c>
    </row>
    <row r="332" customFormat="false" ht="16.5" hidden="true" customHeight="false" outlineLevel="0" collapsed="false">
      <c r="A332" s="6" t="s">
        <v>331</v>
      </c>
      <c r="B332" s="7" t="n">
        <v>7</v>
      </c>
      <c r="C332" s="0" t="e">
        <f aca="false">VLOOKUP(A:A,#REF!,2,0)</f>
        <v>#VALUE!</v>
      </c>
      <c r="D332" s="0" t="e">
        <f aca="false">GETPIVOTDATA("機型",$A$3,"門市","七堵")=C332</f>
        <v>#VALUE!</v>
      </c>
      <c r="F332" s="0" t="s">
        <v>331</v>
      </c>
      <c r="G332" s="0" t="n">
        <v>7</v>
      </c>
      <c r="H332" s="0" t="e">
        <f aca="false">VLOOKUP(F:F,#REF!,2,0)</f>
        <v>#VALUE!</v>
      </c>
      <c r="I332" s="0" t="e">
        <f aca="false">G332=H332</f>
        <v>#VALUE!</v>
      </c>
    </row>
    <row r="333" customFormat="false" ht="16.5" hidden="true" customHeight="false" outlineLevel="0" collapsed="false">
      <c r="A333" s="6" t="s">
        <v>332</v>
      </c>
      <c r="B333" s="7" t="n">
        <v>5</v>
      </c>
      <c r="C333" s="0" t="e">
        <f aca="false">VLOOKUP(A:A,#REF!,2,0)</f>
        <v>#VALUE!</v>
      </c>
      <c r="D333" s="0" t="e">
        <f aca="false">GETPIVOTDATA("機型",$A$3,"門市","七堵")=C333</f>
        <v>#VALUE!</v>
      </c>
      <c r="F333" s="0" t="s">
        <v>332</v>
      </c>
      <c r="G333" s="0" t="n">
        <v>5</v>
      </c>
      <c r="H333" s="0" t="e">
        <f aca="false">VLOOKUP(F:F,#REF!,2,0)</f>
        <v>#VALUE!</v>
      </c>
      <c r="I333" s="0" t="e">
        <f aca="false">G333=H333</f>
        <v>#VALUE!</v>
      </c>
    </row>
    <row r="334" customFormat="false" ht="16.5" hidden="true" customHeight="false" outlineLevel="0" collapsed="false">
      <c r="A334" s="6" t="s">
        <v>333</v>
      </c>
      <c r="B334" s="7" t="n">
        <v>5</v>
      </c>
      <c r="C334" s="0" t="e">
        <f aca="false">VLOOKUP(A:A,#REF!,2,0)</f>
        <v>#VALUE!</v>
      </c>
      <c r="D334" s="0" t="e">
        <f aca="false">GETPIVOTDATA("機型",$A$3,"門市","七堵")=C334</f>
        <v>#VALUE!</v>
      </c>
      <c r="F334" s="0" t="s">
        <v>333</v>
      </c>
      <c r="G334" s="0" t="n">
        <v>5</v>
      </c>
      <c r="H334" s="0" t="e">
        <f aca="false">VLOOKUP(F:F,#REF!,2,0)</f>
        <v>#VALUE!</v>
      </c>
      <c r="I334" s="0" t="e">
        <f aca="false">G334=H334</f>
        <v>#VALUE!</v>
      </c>
    </row>
    <row r="335" customFormat="false" ht="16.5" hidden="true" customHeight="false" outlineLevel="0" collapsed="false">
      <c r="A335" s="6" t="s">
        <v>334</v>
      </c>
      <c r="B335" s="7" t="n">
        <v>2</v>
      </c>
      <c r="C335" s="0" t="e">
        <f aca="false">VLOOKUP(A:A,#REF!,2,0)</f>
        <v>#VALUE!</v>
      </c>
      <c r="D335" s="0" t="e">
        <f aca="false">GETPIVOTDATA("機型",$A$3,"門市","七堵")=C335</f>
        <v>#VALUE!</v>
      </c>
      <c r="F335" s="0" t="s">
        <v>334</v>
      </c>
      <c r="G335" s="0" t="n">
        <v>2</v>
      </c>
      <c r="H335" s="0" t="e">
        <f aca="false">VLOOKUP(F:F,#REF!,2,0)</f>
        <v>#VALUE!</v>
      </c>
      <c r="I335" s="0" t="e">
        <f aca="false">G335=H335</f>
        <v>#VALUE!</v>
      </c>
    </row>
    <row r="336" customFormat="false" ht="16.5" hidden="true" customHeight="false" outlineLevel="0" collapsed="false">
      <c r="A336" s="6" t="s">
        <v>335</v>
      </c>
      <c r="B336" s="7" t="n">
        <v>3</v>
      </c>
      <c r="C336" s="0" t="e">
        <f aca="false">VLOOKUP(A:A,#REF!,2,0)</f>
        <v>#VALUE!</v>
      </c>
      <c r="D336" s="0" t="e">
        <f aca="false">GETPIVOTDATA("機型",$A$3,"門市","七堵")=C336</f>
        <v>#VALUE!</v>
      </c>
      <c r="F336" s="0" t="s">
        <v>335</v>
      </c>
      <c r="G336" s="0" t="n">
        <v>3</v>
      </c>
      <c r="H336" s="0" t="e">
        <f aca="false">VLOOKUP(F:F,#REF!,2,0)</f>
        <v>#VALUE!</v>
      </c>
      <c r="I336" s="0" t="e">
        <f aca="false">G336=H336</f>
        <v>#VALUE!</v>
      </c>
    </row>
    <row r="337" customFormat="false" ht="16.5" hidden="true" customHeight="false" outlineLevel="0" collapsed="false">
      <c r="A337" s="6" t="s">
        <v>336</v>
      </c>
      <c r="B337" s="7" t="n">
        <v>6</v>
      </c>
      <c r="C337" s="0" t="e">
        <f aca="false">VLOOKUP(A:A,#REF!,2,0)</f>
        <v>#VALUE!</v>
      </c>
      <c r="D337" s="0" t="e">
        <f aca="false">GETPIVOTDATA("機型",$A$3,"門市","七堵")=C337</f>
        <v>#VALUE!</v>
      </c>
      <c r="F337" s="0" t="s">
        <v>336</v>
      </c>
      <c r="G337" s="0" t="n">
        <v>6</v>
      </c>
      <c r="H337" s="0" t="e">
        <f aca="false">VLOOKUP(F:F,#REF!,2,0)</f>
        <v>#VALUE!</v>
      </c>
      <c r="I337" s="0" t="e">
        <f aca="false">G337=H337</f>
        <v>#VALUE!</v>
      </c>
    </row>
    <row r="338" customFormat="false" ht="16.5" hidden="true" customHeight="false" outlineLevel="0" collapsed="false">
      <c r="A338" s="6" t="s">
        <v>337</v>
      </c>
      <c r="B338" s="7" t="n">
        <v>5</v>
      </c>
      <c r="C338" s="0" t="e">
        <f aca="false">VLOOKUP(A:A,#REF!,2,0)</f>
        <v>#VALUE!</v>
      </c>
      <c r="D338" s="0" t="e">
        <f aca="false">GETPIVOTDATA("機型",$A$3,"門市","七堵")=C338</f>
        <v>#VALUE!</v>
      </c>
      <c r="F338" s="0" t="s">
        <v>337</v>
      </c>
      <c r="G338" s="0" t="n">
        <v>5</v>
      </c>
      <c r="H338" s="0" t="e">
        <f aca="false">VLOOKUP(F:F,#REF!,2,0)</f>
        <v>#VALUE!</v>
      </c>
      <c r="I338" s="0" t="e">
        <f aca="false">G338=H338</f>
        <v>#VALUE!</v>
      </c>
    </row>
    <row r="339" customFormat="false" ht="16.5" hidden="true" customHeight="false" outlineLevel="0" collapsed="false">
      <c r="A339" s="6" t="s">
        <v>338</v>
      </c>
      <c r="B339" s="7" t="n">
        <v>4</v>
      </c>
      <c r="C339" s="0" t="e">
        <f aca="false">VLOOKUP(A:A,#REF!,2,0)</f>
        <v>#VALUE!</v>
      </c>
      <c r="D339" s="0" t="e">
        <f aca="false">GETPIVOTDATA("機型",$A$3,"門市","七堵")=C339</f>
        <v>#VALUE!</v>
      </c>
      <c r="F339" s="0" t="s">
        <v>338</v>
      </c>
      <c r="G339" s="0" t="n">
        <v>4</v>
      </c>
      <c r="H339" s="0" t="e">
        <f aca="false">VLOOKUP(F:F,#REF!,2,0)</f>
        <v>#VALUE!</v>
      </c>
      <c r="I339" s="0" t="e">
        <f aca="false">G339=H339</f>
        <v>#VALUE!</v>
      </c>
    </row>
    <row r="340" customFormat="false" ht="16.5" hidden="true" customHeight="false" outlineLevel="0" collapsed="false">
      <c r="A340" s="6" t="s">
        <v>339</v>
      </c>
      <c r="B340" s="7" t="n">
        <v>2</v>
      </c>
      <c r="C340" s="0" t="e">
        <f aca="false">VLOOKUP(A:A,#REF!,2,0)</f>
        <v>#VALUE!</v>
      </c>
      <c r="D340" s="0" t="e">
        <f aca="false">GETPIVOTDATA("機型",$A$3,"門市","七堵")=C340</f>
        <v>#VALUE!</v>
      </c>
      <c r="F340" s="0" t="s">
        <v>339</v>
      </c>
      <c r="G340" s="0" t="n">
        <v>2</v>
      </c>
      <c r="H340" s="0" t="e">
        <f aca="false">VLOOKUP(F:F,#REF!,2,0)</f>
        <v>#VALUE!</v>
      </c>
      <c r="I340" s="0" t="e">
        <f aca="false">G340=H340</f>
        <v>#VALUE!</v>
      </c>
    </row>
    <row r="341" customFormat="false" ht="16.5" hidden="true" customHeight="false" outlineLevel="0" collapsed="false">
      <c r="A341" s="6" t="s">
        <v>340</v>
      </c>
      <c r="B341" s="7" t="n">
        <v>5</v>
      </c>
      <c r="C341" s="0" t="e">
        <f aca="false">VLOOKUP(A:A,#REF!,2,0)</f>
        <v>#VALUE!</v>
      </c>
      <c r="D341" s="0" t="e">
        <f aca="false">GETPIVOTDATA("機型",$A$3,"門市","七堵")=C341</f>
        <v>#VALUE!</v>
      </c>
      <c r="F341" s="0" t="s">
        <v>340</v>
      </c>
      <c r="G341" s="0" t="n">
        <v>5</v>
      </c>
      <c r="H341" s="0" t="e">
        <f aca="false">VLOOKUP(F:F,#REF!,2,0)</f>
        <v>#VALUE!</v>
      </c>
      <c r="I341" s="0" t="e">
        <f aca="false">G341=H341</f>
        <v>#VALUE!</v>
      </c>
    </row>
    <row r="342" customFormat="false" ht="16.5" hidden="true" customHeight="false" outlineLevel="0" collapsed="false">
      <c r="A342" s="6" t="s">
        <v>341</v>
      </c>
      <c r="B342" s="7" t="n">
        <v>10</v>
      </c>
      <c r="C342" s="0" t="e">
        <f aca="false">VLOOKUP(A:A,#REF!,2,0)</f>
        <v>#VALUE!</v>
      </c>
      <c r="D342" s="0" t="e">
        <f aca="false">GETPIVOTDATA("機型",$A$3,"門市","七堵")=C342</f>
        <v>#VALUE!</v>
      </c>
      <c r="F342" s="0" t="s">
        <v>341</v>
      </c>
      <c r="G342" s="0" t="n">
        <v>10</v>
      </c>
      <c r="H342" s="0" t="e">
        <f aca="false">VLOOKUP(F:F,#REF!,2,0)</f>
        <v>#VALUE!</v>
      </c>
      <c r="I342" s="0" t="e">
        <f aca="false">G342=H342</f>
        <v>#VALUE!</v>
      </c>
    </row>
    <row r="343" customFormat="false" ht="16.5" hidden="true" customHeight="false" outlineLevel="0" collapsed="false">
      <c r="A343" s="6" t="s">
        <v>342</v>
      </c>
      <c r="B343" s="7" t="n">
        <v>5</v>
      </c>
      <c r="C343" s="0" t="e">
        <f aca="false">VLOOKUP(A:A,#REF!,2,0)</f>
        <v>#VALUE!</v>
      </c>
      <c r="D343" s="0" t="e">
        <f aca="false">GETPIVOTDATA("機型",$A$3,"門市","七堵")=C343</f>
        <v>#VALUE!</v>
      </c>
      <c r="F343" s="0" t="s">
        <v>342</v>
      </c>
      <c r="G343" s="0" t="n">
        <v>5</v>
      </c>
      <c r="H343" s="0" t="e">
        <f aca="false">VLOOKUP(F:F,#REF!,2,0)</f>
        <v>#VALUE!</v>
      </c>
      <c r="I343" s="0" t="e">
        <f aca="false">G343=H343</f>
        <v>#VALUE!</v>
      </c>
    </row>
    <row r="344" customFormat="false" ht="16.5" hidden="true" customHeight="false" outlineLevel="0" collapsed="false">
      <c r="A344" s="6" t="s">
        <v>343</v>
      </c>
      <c r="B344" s="7" t="n">
        <v>7</v>
      </c>
      <c r="C344" s="0" t="e">
        <f aca="false">VLOOKUP(A:A,#REF!,2,0)</f>
        <v>#VALUE!</v>
      </c>
      <c r="D344" s="0" t="e">
        <f aca="false">GETPIVOTDATA("機型",$A$3,"門市","七堵")=C344</f>
        <v>#VALUE!</v>
      </c>
      <c r="F344" s="0" t="s">
        <v>343</v>
      </c>
      <c r="G344" s="0" t="n">
        <v>7</v>
      </c>
      <c r="H344" s="0" t="e">
        <f aca="false">VLOOKUP(F:F,#REF!,2,0)</f>
        <v>#VALUE!</v>
      </c>
      <c r="I344" s="0" t="e">
        <f aca="false">G344=H344</f>
        <v>#VALUE!</v>
      </c>
    </row>
    <row r="345" customFormat="false" ht="16.5" hidden="false" customHeight="false" outlineLevel="0" collapsed="false">
      <c r="A345" s="6" t="s">
        <v>344</v>
      </c>
      <c r="B345" s="7" t="n">
        <v>14</v>
      </c>
      <c r="C345" s="0" t="e">
        <f aca="false">VLOOKUP(A:A,#REF!,2,0)</f>
        <v>#VALUE!</v>
      </c>
      <c r="D345" s="0" t="e">
        <f aca="false">GETPIVOTDATA("機型",$A$3,"門市","七堵")=C345</f>
        <v>#VALUE!</v>
      </c>
      <c r="F345" s="8" t="s">
        <v>344</v>
      </c>
      <c r="G345" s="8" t="n">
        <v>14</v>
      </c>
      <c r="H345" s="8" t="e">
        <f aca="false">VLOOKUP(F:F,#REF!,2,0)</f>
        <v>#VALUE!</v>
      </c>
      <c r="I345" s="0" t="e">
        <f aca="false">G345=H345</f>
        <v>#VALUE!</v>
      </c>
    </row>
    <row r="346" customFormat="false" ht="16.5" hidden="true" customHeight="false" outlineLevel="0" collapsed="false">
      <c r="A346" s="6" t="s">
        <v>345</v>
      </c>
      <c r="B346" s="7" t="n">
        <v>3</v>
      </c>
      <c r="C346" s="0" t="e">
        <f aca="false">VLOOKUP(A:A,#REF!,2,0)</f>
        <v>#VALUE!</v>
      </c>
      <c r="D346" s="0" t="e">
        <f aca="false">GETPIVOTDATA("機型",$A$3,"門市","七堵")=C346</f>
        <v>#VALUE!</v>
      </c>
      <c r="F346" s="0" t="s">
        <v>345</v>
      </c>
      <c r="G346" s="0" t="n">
        <v>3</v>
      </c>
      <c r="H346" s="0" t="e">
        <f aca="false">VLOOKUP(F:F,#REF!,2,0)</f>
        <v>#VALUE!</v>
      </c>
      <c r="I346" s="0" t="e">
        <f aca="false">G346=H346</f>
        <v>#VALUE!</v>
      </c>
    </row>
    <row r="347" customFormat="false" ht="16.5" hidden="true" customHeight="false" outlineLevel="0" collapsed="false">
      <c r="A347" s="6" t="s">
        <v>346</v>
      </c>
      <c r="B347" s="7" t="n">
        <v>2</v>
      </c>
      <c r="C347" s="0" t="e">
        <f aca="false">VLOOKUP(A:A,#REF!,2,0)</f>
        <v>#VALUE!</v>
      </c>
      <c r="D347" s="0" t="e">
        <f aca="false">GETPIVOTDATA("機型",$A$3,"門市","七堵")=C347</f>
        <v>#VALUE!</v>
      </c>
      <c r="F347" s="0" t="s">
        <v>346</v>
      </c>
      <c r="G347" s="0" t="n">
        <v>2</v>
      </c>
      <c r="H347" s="0" t="e">
        <f aca="false">VLOOKUP(F:F,#REF!,2,0)</f>
        <v>#VALUE!</v>
      </c>
      <c r="I347" s="0" t="e">
        <f aca="false">G347=H347</f>
        <v>#VALUE!</v>
      </c>
    </row>
    <row r="348" customFormat="false" ht="16.5" hidden="true" customHeight="false" outlineLevel="0" collapsed="false">
      <c r="A348" s="6" t="s">
        <v>347</v>
      </c>
      <c r="B348" s="7" t="n">
        <v>1</v>
      </c>
      <c r="C348" s="0" t="e">
        <f aca="false">VLOOKUP(A:A,#REF!,2,0)</f>
        <v>#VALUE!</v>
      </c>
      <c r="D348" s="0" t="e">
        <f aca="false">GETPIVOTDATA("機型",$A$3,"門市","七堵")=C348</f>
        <v>#VALUE!</v>
      </c>
      <c r="F348" s="0" t="s">
        <v>347</v>
      </c>
      <c r="G348" s="0" t="n">
        <v>1</v>
      </c>
      <c r="H348" s="0" t="e">
        <f aca="false">VLOOKUP(F:F,#REF!,2,0)</f>
        <v>#VALUE!</v>
      </c>
      <c r="I348" s="0" t="e">
        <f aca="false">G348=H348</f>
        <v>#VALUE!</v>
      </c>
    </row>
    <row r="349" customFormat="false" ht="16.5" hidden="true" customHeight="false" outlineLevel="0" collapsed="false">
      <c r="A349" s="6" t="s">
        <v>348</v>
      </c>
      <c r="B349" s="7" t="n">
        <v>15</v>
      </c>
      <c r="C349" s="0" t="e">
        <f aca="false">VLOOKUP(A:A,#REF!,2,0)</f>
        <v>#VALUE!</v>
      </c>
      <c r="D349" s="0" t="e">
        <f aca="false">GETPIVOTDATA("機型",$A$3,"門市","七堵")=C349</f>
        <v>#VALUE!</v>
      </c>
      <c r="F349" s="0" t="s">
        <v>348</v>
      </c>
      <c r="G349" s="0" t="n">
        <v>15</v>
      </c>
      <c r="H349" s="0" t="e">
        <f aca="false">VLOOKUP(F:F,#REF!,2,0)</f>
        <v>#VALUE!</v>
      </c>
      <c r="I349" s="0" t="e">
        <f aca="false">G349=H349</f>
        <v>#VALUE!</v>
      </c>
    </row>
    <row r="350" customFormat="false" ht="16.5" hidden="true" customHeight="false" outlineLevel="0" collapsed="false">
      <c r="A350" s="6" t="s">
        <v>349</v>
      </c>
      <c r="B350" s="7" t="n">
        <v>4</v>
      </c>
      <c r="C350" s="0" t="e">
        <f aca="false">VLOOKUP(A:A,#REF!,2,0)</f>
        <v>#VALUE!</v>
      </c>
      <c r="D350" s="0" t="e">
        <f aca="false">GETPIVOTDATA("機型",$A$3,"門市","七堵")=C350</f>
        <v>#VALUE!</v>
      </c>
      <c r="F350" s="0" t="s">
        <v>349</v>
      </c>
      <c r="G350" s="0" t="n">
        <v>4</v>
      </c>
      <c r="H350" s="0" t="e">
        <f aca="false">VLOOKUP(F:F,#REF!,2,0)</f>
        <v>#VALUE!</v>
      </c>
      <c r="I350" s="0" t="e">
        <f aca="false">G350=H350</f>
        <v>#VALUE!</v>
      </c>
    </row>
    <row r="351" customFormat="false" ht="16.5" hidden="true" customHeight="false" outlineLevel="0" collapsed="false">
      <c r="A351" s="6" t="s">
        <v>350</v>
      </c>
      <c r="B351" s="7" t="n">
        <v>4</v>
      </c>
      <c r="C351" s="0" t="e">
        <f aca="false">VLOOKUP(A:A,#REF!,2,0)</f>
        <v>#VALUE!</v>
      </c>
      <c r="D351" s="0" t="e">
        <f aca="false">GETPIVOTDATA("機型",$A$3,"門市","七堵")=C351</f>
        <v>#VALUE!</v>
      </c>
      <c r="F351" s="0" t="s">
        <v>350</v>
      </c>
      <c r="G351" s="0" t="n">
        <v>4</v>
      </c>
      <c r="H351" s="0" t="e">
        <f aca="false">VLOOKUP(F:F,#REF!,2,0)</f>
        <v>#VALUE!</v>
      </c>
      <c r="I351" s="0" t="e">
        <f aca="false">G351=H351</f>
        <v>#VALUE!</v>
      </c>
    </row>
    <row r="352" customFormat="false" ht="16.5" hidden="true" customHeight="false" outlineLevel="0" collapsed="false">
      <c r="A352" s="6" t="s">
        <v>351</v>
      </c>
      <c r="B352" s="7" t="n">
        <v>5</v>
      </c>
      <c r="C352" s="0" t="e">
        <f aca="false">VLOOKUP(A:A,#REF!,2,0)</f>
        <v>#VALUE!</v>
      </c>
      <c r="D352" s="0" t="e">
        <f aca="false">GETPIVOTDATA("機型",$A$3,"門市","七堵")=C352</f>
        <v>#VALUE!</v>
      </c>
      <c r="F352" s="0" t="s">
        <v>351</v>
      </c>
      <c r="G352" s="0" t="n">
        <v>5</v>
      </c>
      <c r="H352" s="0" t="e">
        <f aca="false">VLOOKUP(F:F,#REF!,2,0)</f>
        <v>#VALUE!</v>
      </c>
      <c r="I352" s="0" t="e">
        <f aca="false">G352=H352</f>
        <v>#VALUE!</v>
      </c>
    </row>
    <row r="353" customFormat="false" ht="16.5" hidden="true" customHeight="false" outlineLevel="0" collapsed="false">
      <c r="A353" s="6" t="s">
        <v>352</v>
      </c>
      <c r="B353" s="7" t="n">
        <v>2</v>
      </c>
      <c r="C353" s="0" t="e">
        <f aca="false">VLOOKUP(A:A,#REF!,2,0)</f>
        <v>#VALUE!</v>
      </c>
      <c r="D353" s="0" t="e">
        <f aca="false">GETPIVOTDATA("機型",$A$3,"門市","七堵")=C353</f>
        <v>#VALUE!</v>
      </c>
      <c r="F353" s="0" t="s">
        <v>352</v>
      </c>
      <c r="G353" s="0" t="n">
        <v>2</v>
      </c>
      <c r="H353" s="0" t="e">
        <f aca="false">VLOOKUP(F:F,#REF!,2,0)</f>
        <v>#VALUE!</v>
      </c>
      <c r="I353" s="0" t="e">
        <f aca="false">G353=H353</f>
        <v>#VALUE!</v>
      </c>
    </row>
    <row r="354" customFormat="false" ht="16.5" hidden="true" customHeight="false" outlineLevel="0" collapsed="false">
      <c r="A354" s="6" t="s">
        <v>353</v>
      </c>
      <c r="B354" s="7" t="n">
        <v>1</v>
      </c>
      <c r="C354" s="0" t="e">
        <f aca="false">VLOOKUP(A:A,#REF!,2,0)</f>
        <v>#VALUE!</v>
      </c>
      <c r="D354" s="0" t="e">
        <f aca="false">GETPIVOTDATA("機型",$A$3,"門市","七堵")=C354</f>
        <v>#VALUE!</v>
      </c>
      <c r="F354" s="0" t="s">
        <v>353</v>
      </c>
      <c r="G354" s="0" t="n">
        <v>1</v>
      </c>
      <c r="H354" s="0" t="e">
        <f aca="false">VLOOKUP(F:F,#REF!,2,0)</f>
        <v>#VALUE!</v>
      </c>
      <c r="I354" s="0" t="e">
        <f aca="false">G354=H354</f>
        <v>#VALUE!</v>
      </c>
    </row>
    <row r="355" customFormat="false" ht="16.5" hidden="true" customHeight="false" outlineLevel="0" collapsed="false">
      <c r="A355" s="6" t="s">
        <v>354</v>
      </c>
      <c r="B355" s="7" t="n">
        <v>3</v>
      </c>
      <c r="C355" s="0" t="e">
        <f aca="false">VLOOKUP(A:A,#REF!,2,0)</f>
        <v>#VALUE!</v>
      </c>
      <c r="D355" s="0" t="e">
        <f aca="false">GETPIVOTDATA("機型",$A$3,"門市","七堵")=C355</f>
        <v>#VALUE!</v>
      </c>
      <c r="F355" s="0" t="s">
        <v>354</v>
      </c>
      <c r="G355" s="0" t="n">
        <v>3</v>
      </c>
      <c r="H355" s="0" t="e">
        <f aca="false">VLOOKUP(F:F,#REF!,2,0)</f>
        <v>#VALUE!</v>
      </c>
      <c r="I355" s="0" t="e">
        <f aca="false">G355=H355</f>
        <v>#VALUE!</v>
      </c>
    </row>
    <row r="356" customFormat="false" ht="16.5" hidden="true" customHeight="false" outlineLevel="0" collapsed="false">
      <c r="A356" s="6" t="s">
        <v>355</v>
      </c>
      <c r="B356" s="7" t="n">
        <v>7</v>
      </c>
      <c r="C356" s="0" t="e">
        <f aca="false">VLOOKUP(A:A,#REF!,2,0)</f>
        <v>#VALUE!</v>
      </c>
      <c r="D356" s="0" t="e">
        <f aca="false">GETPIVOTDATA("機型",$A$3,"門市","七堵")=C356</f>
        <v>#VALUE!</v>
      </c>
      <c r="F356" s="0" t="s">
        <v>355</v>
      </c>
      <c r="G356" s="0" t="n">
        <v>7</v>
      </c>
      <c r="H356" s="0" t="e">
        <f aca="false">VLOOKUP(F:F,#REF!,2,0)</f>
        <v>#VALUE!</v>
      </c>
      <c r="I356" s="0" t="e">
        <f aca="false">G356=H356</f>
        <v>#VALUE!</v>
      </c>
    </row>
    <row r="357" customFormat="false" ht="16.5" hidden="true" customHeight="false" outlineLevel="0" collapsed="false">
      <c r="A357" s="6" t="s">
        <v>356</v>
      </c>
      <c r="B357" s="7" t="n">
        <v>1</v>
      </c>
      <c r="C357" s="0" t="e">
        <f aca="false">VLOOKUP(A:A,#REF!,2,0)</f>
        <v>#VALUE!</v>
      </c>
      <c r="D357" s="0" t="e">
        <f aca="false">GETPIVOTDATA("機型",$A$3,"門市","七堵")=C357</f>
        <v>#VALUE!</v>
      </c>
      <c r="F357" s="0" t="s">
        <v>356</v>
      </c>
      <c r="G357" s="0" t="n">
        <v>1</v>
      </c>
      <c r="H357" s="0" t="e">
        <f aca="false">VLOOKUP(F:F,#REF!,2,0)</f>
        <v>#VALUE!</v>
      </c>
      <c r="I357" s="0" t="e">
        <f aca="false">G357=H357</f>
        <v>#VALUE!</v>
      </c>
    </row>
    <row r="358" customFormat="false" ht="16.5" hidden="true" customHeight="false" outlineLevel="0" collapsed="false">
      <c r="A358" s="6" t="s">
        <v>357</v>
      </c>
      <c r="B358" s="7" t="n">
        <v>9</v>
      </c>
      <c r="C358" s="0" t="e">
        <f aca="false">VLOOKUP(A:A,#REF!,2,0)</f>
        <v>#VALUE!</v>
      </c>
      <c r="D358" s="0" t="e">
        <f aca="false">GETPIVOTDATA("機型",$A$3,"門市","七堵")=C358</f>
        <v>#VALUE!</v>
      </c>
      <c r="F358" s="0" t="s">
        <v>357</v>
      </c>
      <c r="G358" s="0" t="n">
        <v>9</v>
      </c>
      <c r="H358" s="0" t="e">
        <f aca="false">VLOOKUP(F:F,#REF!,2,0)</f>
        <v>#VALUE!</v>
      </c>
      <c r="I358" s="0" t="e">
        <f aca="false">G358=H358</f>
        <v>#VALUE!</v>
      </c>
    </row>
    <row r="359" customFormat="false" ht="16.5" hidden="true" customHeight="false" outlineLevel="0" collapsed="false">
      <c r="A359" s="6" t="s">
        <v>358</v>
      </c>
      <c r="B359" s="7" t="n">
        <v>4</v>
      </c>
      <c r="C359" s="0" t="e">
        <f aca="false">VLOOKUP(A:A,#REF!,2,0)</f>
        <v>#VALUE!</v>
      </c>
      <c r="D359" s="0" t="e">
        <f aca="false">GETPIVOTDATA("機型",$A$3,"門市","七堵")=C359</f>
        <v>#VALUE!</v>
      </c>
      <c r="F359" s="0" t="s">
        <v>358</v>
      </c>
      <c r="G359" s="0" t="n">
        <v>4</v>
      </c>
      <c r="H359" s="0" t="e">
        <f aca="false">VLOOKUP(F:F,#REF!,2,0)</f>
        <v>#VALUE!</v>
      </c>
      <c r="I359" s="0" t="e">
        <f aca="false">G359=H359</f>
        <v>#VALUE!</v>
      </c>
    </row>
    <row r="360" customFormat="false" ht="16.5" hidden="true" customHeight="false" outlineLevel="0" collapsed="false">
      <c r="A360" s="6" t="s">
        <v>359</v>
      </c>
      <c r="B360" s="7" t="n">
        <v>2</v>
      </c>
      <c r="C360" s="0" t="e">
        <f aca="false">VLOOKUP(A:A,#REF!,2,0)</f>
        <v>#VALUE!</v>
      </c>
      <c r="D360" s="0" t="e">
        <f aca="false">GETPIVOTDATA("機型",$A$3,"門市","七堵")=C360</f>
        <v>#VALUE!</v>
      </c>
      <c r="F360" s="0" t="s">
        <v>359</v>
      </c>
      <c r="G360" s="0" t="n">
        <v>2</v>
      </c>
      <c r="H360" s="0" t="e">
        <f aca="false">VLOOKUP(F:F,#REF!,2,0)</f>
        <v>#VALUE!</v>
      </c>
      <c r="I360" s="0" t="e">
        <f aca="false">G360=H360</f>
        <v>#VALUE!</v>
      </c>
    </row>
    <row r="361" customFormat="false" ht="16.5" hidden="true" customHeight="false" outlineLevel="0" collapsed="false">
      <c r="A361" s="6" t="s">
        <v>360</v>
      </c>
      <c r="B361" s="7" t="n">
        <v>5</v>
      </c>
      <c r="C361" s="0" t="e">
        <f aca="false">VLOOKUP(A:A,#REF!,2,0)</f>
        <v>#VALUE!</v>
      </c>
      <c r="D361" s="0" t="e">
        <f aca="false">GETPIVOTDATA("機型",$A$3,"門市","七堵")=C361</f>
        <v>#VALUE!</v>
      </c>
      <c r="F361" s="0" t="s">
        <v>360</v>
      </c>
      <c r="G361" s="0" t="n">
        <v>5</v>
      </c>
      <c r="H361" s="0" t="e">
        <f aca="false">VLOOKUP(F:F,#REF!,2,0)</f>
        <v>#VALUE!</v>
      </c>
      <c r="I361" s="0" t="e">
        <f aca="false">G361=H361</f>
        <v>#VALUE!</v>
      </c>
    </row>
    <row r="362" customFormat="false" ht="16.5" hidden="true" customHeight="false" outlineLevel="0" collapsed="false">
      <c r="A362" s="6" t="s">
        <v>361</v>
      </c>
      <c r="B362" s="7" t="n">
        <v>6</v>
      </c>
      <c r="C362" s="0" t="e">
        <f aca="false">VLOOKUP(A:A,#REF!,2,0)</f>
        <v>#VALUE!</v>
      </c>
      <c r="D362" s="0" t="e">
        <f aca="false">GETPIVOTDATA("機型",$A$3,"門市","七堵")=C362</f>
        <v>#VALUE!</v>
      </c>
      <c r="F362" s="0" t="s">
        <v>361</v>
      </c>
      <c r="G362" s="0" t="n">
        <v>6</v>
      </c>
      <c r="H362" s="0" t="e">
        <f aca="false">VLOOKUP(F:F,#REF!,2,0)</f>
        <v>#VALUE!</v>
      </c>
      <c r="I362" s="0" t="e">
        <f aca="false">G362=H362</f>
        <v>#VALUE!</v>
      </c>
    </row>
    <row r="363" customFormat="false" ht="16.5" hidden="true" customHeight="false" outlineLevel="0" collapsed="false">
      <c r="A363" s="6" t="s">
        <v>362</v>
      </c>
      <c r="B363" s="7" t="n">
        <v>3</v>
      </c>
      <c r="C363" s="0" t="e">
        <f aca="false">VLOOKUP(A:A,#REF!,2,0)</f>
        <v>#VALUE!</v>
      </c>
      <c r="D363" s="0" t="e">
        <f aca="false">GETPIVOTDATA("機型",$A$3,"門市","七堵")=C363</f>
        <v>#VALUE!</v>
      </c>
      <c r="F363" s="0" t="s">
        <v>362</v>
      </c>
      <c r="G363" s="0" t="n">
        <v>3</v>
      </c>
      <c r="H363" s="0" t="e">
        <f aca="false">VLOOKUP(F:F,#REF!,2,0)</f>
        <v>#VALUE!</v>
      </c>
      <c r="I363" s="0" t="e">
        <f aca="false">G363=H363</f>
        <v>#VALUE!</v>
      </c>
    </row>
    <row r="364" customFormat="false" ht="16.5" hidden="true" customHeight="false" outlineLevel="0" collapsed="false">
      <c r="A364" s="6" t="s">
        <v>363</v>
      </c>
      <c r="B364" s="7" t="n">
        <v>6</v>
      </c>
      <c r="C364" s="0" t="e">
        <f aca="false">VLOOKUP(A:A,#REF!,2,0)</f>
        <v>#VALUE!</v>
      </c>
      <c r="D364" s="0" t="e">
        <f aca="false">GETPIVOTDATA("機型",$A$3,"門市","七堵")=C364</f>
        <v>#VALUE!</v>
      </c>
      <c r="F364" s="0" t="s">
        <v>363</v>
      </c>
      <c r="G364" s="0" t="n">
        <v>6</v>
      </c>
      <c r="H364" s="0" t="e">
        <f aca="false">VLOOKUP(F:F,#REF!,2,0)</f>
        <v>#VALUE!</v>
      </c>
      <c r="I364" s="0" t="e">
        <f aca="false">G364=H364</f>
        <v>#VALUE!</v>
      </c>
    </row>
    <row r="365" customFormat="false" ht="16.5" hidden="true" customHeight="false" outlineLevel="0" collapsed="false">
      <c r="A365" s="6" t="s">
        <v>364</v>
      </c>
      <c r="B365" s="7" t="n">
        <v>2</v>
      </c>
      <c r="C365" s="0" t="e">
        <f aca="false">VLOOKUP(A:A,#REF!,2,0)</f>
        <v>#VALUE!</v>
      </c>
      <c r="D365" s="0" t="e">
        <f aca="false">GETPIVOTDATA("機型",$A$3,"門市","七堵")=C365</f>
        <v>#VALUE!</v>
      </c>
      <c r="F365" s="0" t="s">
        <v>364</v>
      </c>
      <c r="G365" s="0" t="n">
        <v>2</v>
      </c>
      <c r="H365" s="0" t="e">
        <f aca="false">VLOOKUP(F:F,#REF!,2,0)</f>
        <v>#VALUE!</v>
      </c>
      <c r="I365" s="0" t="e">
        <f aca="false">G365=H365</f>
        <v>#VALUE!</v>
      </c>
    </row>
    <row r="366" customFormat="false" ht="16.5" hidden="true" customHeight="false" outlineLevel="0" collapsed="false">
      <c r="A366" s="6" t="s">
        <v>365</v>
      </c>
      <c r="B366" s="7" t="n">
        <v>2</v>
      </c>
      <c r="C366" s="0" t="e">
        <f aca="false">VLOOKUP(A:A,#REF!,2,0)</f>
        <v>#VALUE!</v>
      </c>
      <c r="D366" s="0" t="e">
        <f aca="false">GETPIVOTDATA("機型",$A$3,"門市","七堵")=C366</f>
        <v>#VALUE!</v>
      </c>
      <c r="F366" s="0" t="s">
        <v>365</v>
      </c>
      <c r="G366" s="0" t="n">
        <v>2</v>
      </c>
      <c r="H366" s="0" t="e">
        <f aca="false">VLOOKUP(F:F,#REF!,2,0)</f>
        <v>#VALUE!</v>
      </c>
      <c r="I366" s="0" t="e">
        <f aca="false">G366=H366</f>
        <v>#VALUE!</v>
      </c>
    </row>
    <row r="367" customFormat="false" ht="16.5" hidden="true" customHeight="false" outlineLevel="0" collapsed="false">
      <c r="A367" s="6" t="s">
        <v>366</v>
      </c>
      <c r="B367" s="7" t="n">
        <v>1</v>
      </c>
      <c r="C367" s="0" t="e">
        <f aca="false">VLOOKUP(A:A,#REF!,2,0)</f>
        <v>#VALUE!</v>
      </c>
      <c r="D367" s="0" t="e">
        <f aca="false">GETPIVOTDATA("機型",$A$3,"門市","七堵")=C367</f>
        <v>#VALUE!</v>
      </c>
      <c r="F367" s="0" t="s">
        <v>366</v>
      </c>
      <c r="G367" s="0" t="n">
        <v>1</v>
      </c>
      <c r="H367" s="0" t="e">
        <f aca="false">VLOOKUP(F:F,#REF!,2,0)</f>
        <v>#VALUE!</v>
      </c>
      <c r="I367" s="0" t="e">
        <f aca="false">G367=H367</f>
        <v>#VALUE!</v>
      </c>
    </row>
    <row r="368" customFormat="false" ht="16.5" hidden="true" customHeight="false" outlineLevel="0" collapsed="false">
      <c r="A368" s="6" t="s">
        <v>367</v>
      </c>
      <c r="B368" s="7" t="n">
        <v>2</v>
      </c>
      <c r="C368" s="0" t="e">
        <f aca="false">VLOOKUP(A:A,#REF!,2,0)</f>
        <v>#VALUE!</v>
      </c>
      <c r="D368" s="0" t="e">
        <f aca="false">GETPIVOTDATA("機型",$A$3,"門市","七堵")=C368</f>
        <v>#VALUE!</v>
      </c>
      <c r="F368" s="0" t="s">
        <v>367</v>
      </c>
      <c r="G368" s="0" t="n">
        <v>2</v>
      </c>
      <c r="H368" s="0" t="e">
        <f aca="false">VLOOKUP(F:F,#REF!,2,0)</f>
        <v>#VALUE!</v>
      </c>
      <c r="I368" s="0" t="e">
        <f aca="false">G368=H368</f>
        <v>#VALUE!</v>
      </c>
    </row>
    <row r="369" customFormat="false" ht="16.5" hidden="true" customHeight="false" outlineLevel="0" collapsed="false">
      <c r="A369" s="6" t="s">
        <v>368</v>
      </c>
      <c r="B369" s="7" t="n">
        <v>1</v>
      </c>
      <c r="C369" s="0" t="e">
        <f aca="false">VLOOKUP(A:A,#REF!,2,0)</f>
        <v>#VALUE!</v>
      </c>
      <c r="D369" s="0" t="e">
        <f aca="false">GETPIVOTDATA("機型",$A$3,"門市","七堵")=C369</f>
        <v>#VALUE!</v>
      </c>
      <c r="F369" s="0" t="s">
        <v>368</v>
      </c>
      <c r="G369" s="0" t="n">
        <v>1</v>
      </c>
      <c r="H369" s="0" t="e">
        <f aca="false">VLOOKUP(F:F,#REF!,2,0)</f>
        <v>#VALUE!</v>
      </c>
      <c r="I369" s="0" t="e">
        <f aca="false">G369=H369</f>
        <v>#VALUE!</v>
      </c>
    </row>
    <row r="370" customFormat="false" ht="16.5" hidden="true" customHeight="false" outlineLevel="0" collapsed="false">
      <c r="A370" s="6" t="s">
        <v>369</v>
      </c>
      <c r="B370" s="7" t="n">
        <v>2</v>
      </c>
      <c r="C370" s="0" t="e">
        <f aca="false">VLOOKUP(A:A,#REF!,2,0)</f>
        <v>#VALUE!</v>
      </c>
      <c r="D370" s="0" t="e">
        <f aca="false">GETPIVOTDATA("機型",$A$3,"門市","七堵")=C370</f>
        <v>#VALUE!</v>
      </c>
      <c r="F370" s="0" t="s">
        <v>369</v>
      </c>
      <c r="G370" s="0" t="n">
        <v>2</v>
      </c>
      <c r="H370" s="0" t="e">
        <f aca="false">VLOOKUP(F:F,#REF!,2,0)</f>
        <v>#VALUE!</v>
      </c>
      <c r="I370" s="0" t="e">
        <f aca="false">G370=H370</f>
        <v>#VALUE!</v>
      </c>
    </row>
    <row r="371" customFormat="false" ht="16.5" hidden="true" customHeight="false" outlineLevel="0" collapsed="false">
      <c r="A371" s="6" t="s">
        <v>370</v>
      </c>
      <c r="B371" s="7" t="n">
        <v>6</v>
      </c>
      <c r="C371" s="0" t="e">
        <f aca="false">VLOOKUP(A:A,#REF!,2,0)</f>
        <v>#VALUE!</v>
      </c>
      <c r="D371" s="0" t="e">
        <f aca="false">GETPIVOTDATA("機型",$A$3,"門市","七堵")=C371</f>
        <v>#VALUE!</v>
      </c>
      <c r="F371" s="0" t="s">
        <v>370</v>
      </c>
      <c r="G371" s="0" t="n">
        <v>6</v>
      </c>
      <c r="H371" s="0" t="e">
        <f aca="false">VLOOKUP(F:F,#REF!,2,0)</f>
        <v>#VALUE!</v>
      </c>
      <c r="I371" s="0" t="e">
        <f aca="false">G371=H371</f>
        <v>#VALUE!</v>
      </c>
    </row>
    <row r="372" customFormat="false" ht="16.5" hidden="true" customHeight="false" outlineLevel="0" collapsed="false">
      <c r="A372" s="6" t="s">
        <v>371</v>
      </c>
      <c r="B372" s="7" t="n">
        <v>1</v>
      </c>
      <c r="C372" s="0" t="e">
        <f aca="false">VLOOKUP(A:A,#REF!,2,0)</f>
        <v>#VALUE!</v>
      </c>
      <c r="D372" s="0" t="e">
        <f aca="false">GETPIVOTDATA("機型",$A$3,"門市","七堵")=C372</f>
        <v>#VALUE!</v>
      </c>
      <c r="F372" s="0" t="s">
        <v>371</v>
      </c>
      <c r="G372" s="0" t="n">
        <v>1</v>
      </c>
      <c r="H372" s="0" t="e">
        <f aca="false">VLOOKUP(F:F,#REF!,2,0)</f>
        <v>#VALUE!</v>
      </c>
      <c r="I372" s="0" t="e">
        <f aca="false">G372=H372</f>
        <v>#VALUE!</v>
      </c>
    </row>
    <row r="373" customFormat="false" ht="16.5" hidden="true" customHeight="false" outlineLevel="0" collapsed="false">
      <c r="A373" s="6" t="s">
        <v>372</v>
      </c>
      <c r="B373" s="7" t="n">
        <v>2</v>
      </c>
      <c r="C373" s="0" t="e">
        <f aca="false">VLOOKUP(A:A,#REF!,2,0)</f>
        <v>#VALUE!</v>
      </c>
      <c r="D373" s="0" t="e">
        <f aca="false">GETPIVOTDATA("機型",$A$3,"門市","七堵")=C373</f>
        <v>#VALUE!</v>
      </c>
      <c r="F373" s="0" t="s">
        <v>372</v>
      </c>
      <c r="G373" s="0" t="n">
        <v>2</v>
      </c>
      <c r="H373" s="0" t="e">
        <f aca="false">VLOOKUP(F:F,#REF!,2,0)</f>
        <v>#VALUE!</v>
      </c>
      <c r="I373" s="0" t="e">
        <f aca="false">G373=H373</f>
        <v>#VALUE!</v>
      </c>
    </row>
    <row r="374" customFormat="false" ht="16.5" hidden="true" customHeight="false" outlineLevel="0" collapsed="false">
      <c r="A374" s="6" t="s">
        <v>373</v>
      </c>
      <c r="B374" s="7" t="n">
        <v>12</v>
      </c>
      <c r="C374" s="0" t="e">
        <f aca="false">VLOOKUP(A:A,#REF!,2,0)</f>
        <v>#VALUE!</v>
      </c>
      <c r="D374" s="0" t="e">
        <f aca="false">GETPIVOTDATA("機型",$A$3,"門市","七堵")=C374</f>
        <v>#VALUE!</v>
      </c>
      <c r="F374" s="0" t="s">
        <v>373</v>
      </c>
      <c r="G374" s="0" t="n">
        <v>12</v>
      </c>
      <c r="H374" s="0" t="e">
        <f aca="false">VLOOKUP(F:F,#REF!,2,0)</f>
        <v>#VALUE!</v>
      </c>
      <c r="I374" s="0" t="e">
        <f aca="false">G374=H374</f>
        <v>#VALUE!</v>
      </c>
    </row>
    <row r="375" customFormat="false" ht="16.5" hidden="true" customHeight="false" outlineLevel="0" collapsed="false">
      <c r="A375" s="6" t="s">
        <v>374</v>
      </c>
      <c r="B375" s="7" t="n">
        <v>6</v>
      </c>
      <c r="C375" s="0" t="e">
        <f aca="false">VLOOKUP(A:A,#REF!,2,0)</f>
        <v>#VALUE!</v>
      </c>
      <c r="D375" s="0" t="e">
        <f aca="false">GETPIVOTDATA("機型",$A$3,"門市","七堵")=C375</f>
        <v>#VALUE!</v>
      </c>
      <c r="F375" s="0" t="s">
        <v>374</v>
      </c>
      <c r="G375" s="0" t="n">
        <v>6</v>
      </c>
      <c r="H375" s="0" t="e">
        <f aca="false">VLOOKUP(F:F,#REF!,2,0)</f>
        <v>#VALUE!</v>
      </c>
      <c r="I375" s="0" t="e">
        <f aca="false">G375=H375</f>
        <v>#VALUE!</v>
      </c>
    </row>
    <row r="376" customFormat="false" ht="16.5" hidden="true" customHeight="false" outlineLevel="0" collapsed="false">
      <c r="A376" s="6" t="s">
        <v>375</v>
      </c>
      <c r="B376" s="7" t="n">
        <v>11</v>
      </c>
      <c r="C376" s="0" t="e">
        <f aca="false">VLOOKUP(A:A,#REF!,2,0)</f>
        <v>#VALUE!</v>
      </c>
      <c r="D376" s="0" t="e">
        <f aca="false">GETPIVOTDATA("機型",$A$3,"門市","七堵")=C376</f>
        <v>#VALUE!</v>
      </c>
      <c r="F376" s="0" t="s">
        <v>375</v>
      </c>
      <c r="G376" s="0" t="n">
        <v>11</v>
      </c>
      <c r="H376" s="0" t="e">
        <f aca="false">VLOOKUP(F:F,#REF!,2,0)</f>
        <v>#VALUE!</v>
      </c>
      <c r="I376" s="0" t="e">
        <f aca="false">G376=H376</f>
        <v>#VALUE!</v>
      </c>
    </row>
    <row r="377" customFormat="false" ht="16.5" hidden="true" customHeight="false" outlineLevel="0" collapsed="false">
      <c r="A377" s="6" t="s">
        <v>376</v>
      </c>
      <c r="B377" s="7" t="n">
        <v>7</v>
      </c>
      <c r="C377" s="0" t="e">
        <f aca="false">VLOOKUP(A:A,#REF!,2,0)</f>
        <v>#VALUE!</v>
      </c>
      <c r="D377" s="0" t="e">
        <f aca="false">GETPIVOTDATA("機型",$A$3,"門市","七堵")=C377</f>
        <v>#VALUE!</v>
      </c>
      <c r="F377" s="0" t="s">
        <v>376</v>
      </c>
      <c r="G377" s="0" t="n">
        <v>7</v>
      </c>
      <c r="H377" s="0" t="e">
        <f aca="false">VLOOKUP(F:F,#REF!,2,0)</f>
        <v>#VALUE!</v>
      </c>
      <c r="I377" s="0" t="e">
        <f aca="false">G377=H377</f>
        <v>#VALUE!</v>
      </c>
    </row>
    <row r="378" customFormat="false" ht="16.5" hidden="true" customHeight="false" outlineLevel="0" collapsed="false">
      <c r="A378" s="6" t="s">
        <v>377</v>
      </c>
      <c r="B378" s="7" t="n">
        <v>6</v>
      </c>
      <c r="C378" s="0" t="e">
        <f aca="false">VLOOKUP(A:A,#REF!,2,0)</f>
        <v>#VALUE!</v>
      </c>
      <c r="D378" s="0" t="e">
        <f aca="false">GETPIVOTDATA("機型",$A$3,"門市","七堵")=C378</f>
        <v>#VALUE!</v>
      </c>
      <c r="F378" s="0" t="s">
        <v>377</v>
      </c>
      <c r="G378" s="0" t="n">
        <v>6</v>
      </c>
      <c r="H378" s="0" t="e">
        <f aca="false">VLOOKUP(F:F,#REF!,2,0)</f>
        <v>#VALUE!</v>
      </c>
      <c r="I378" s="0" t="e">
        <f aca="false">G378=H378</f>
        <v>#VALUE!</v>
      </c>
    </row>
    <row r="379" customFormat="false" ht="16.5" hidden="true" customHeight="false" outlineLevel="0" collapsed="false">
      <c r="A379" s="6" t="s">
        <v>378</v>
      </c>
      <c r="B379" s="7" t="n">
        <v>2</v>
      </c>
      <c r="C379" s="0" t="e">
        <f aca="false">VLOOKUP(A:A,#REF!,2,0)</f>
        <v>#VALUE!</v>
      </c>
      <c r="D379" s="0" t="e">
        <f aca="false">GETPIVOTDATA("機型",$A$3,"門市","七堵")=C379</f>
        <v>#VALUE!</v>
      </c>
      <c r="F379" s="0" t="s">
        <v>378</v>
      </c>
      <c r="G379" s="0" t="n">
        <v>2</v>
      </c>
      <c r="H379" s="0" t="e">
        <f aca="false">VLOOKUP(F:F,#REF!,2,0)</f>
        <v>#VALUE!</v>
      </c>
      <c r="I379" s="0" t="e">
        <f aca="false">G379=H379</f>
        <v>#VALUE!</v>
      </c>
    </row>
    <row r="380" customFormat="false" ht="16.5" hidden="true" customHeight="false" outlineLevel="0" collapsed="false">
      <c r="A380" s="6" t="s">
        <v>379</v>
      </c>
      <c r="B380" s="7" t="n">
        <v>2</v>
      </c>
      <c r="C380" s="0" t="e">
        <f aca="false">VLOOKUP(A:A,#REF!,2,0)</f>
        <v>#VALUE!</v>
      </c>
      <c r="D380" s="0" t="e">
        <f aca="false">GETPIVOTDATA("機型",$A$3,"門市","七堵")=C380</f>
        <v>#VALUE!</v>
      </c>
      <c r="F380" s="0" t="s">
        <v>379</v>
      </c>
      <c r="G380" s="0" t="n">
        <v>2</v>
      </c>
      <c r="H380" s="0" t="e">
        <f aca="false">VLOOKUP(F:F,#REF!,2,0)</f>
        <v>#VALUE!</v>
      </c>
      <c r="I380" s="0" t="e">
        <f aca="false">G380=H380</f>
        <v>#VALUE!</v>
      </c>
    </row>
    <row r="381" customFormat="false" ht="16.5" hidden="true" customHeight="false" outlineLevel="0" collapsed="false">
      <c r="A381" s="6" t="s">
        <v>380</v>
      </c>
      <c r="B381" s="7" t="n">
        <v>10</v>
      </c>
      <c r="C381" s="0" t="e">
        <f aca="false">VLOOKUP(A:A,#REF!,2,0)</f>
        <v>#VALUE!</v>
      </c>
      <c r="D381" s="0" t="e">
        <f aca="false">GETPIVOTDATA("機型",$A$3,"門市","七堵")=C381</f>
        <v>#VALUE!</v>
      </c>
      <c r="F381" s="0" t="s">
        <v>380</v>
      </c>
      <c r="G381" s="0" t="n">
        <v>10</v>
      </c>
      <c r="H381" s="0" t="e">
        <f aca="false">VLOOKUP(F:F,#REF!,2,0)</f>
        <v>#VALUE!</v>
      </c>
      <c r="I381" s="0" t="e">
        <f aca="false">G381=H381</f>
        <v>#VALUE!</v>
      </c>
    </row>
    <row r="382" customFormat="false" ht="16.5" hidden="true" customHeight="false" outlineLevel="0" collapsed="false">
      <c r="A382" s="6" t="s">
        <v>381</v>
      </c>
      <c r="B382" s="7" t="n">
        <v>6</v>
      </c>
      <c r="C382" s="0" t="e">
        <f aca="false">VLOOKUP(A:A,#REF!,2,0)</f>
        <v>#VALUE!</v>
      </c>
      <c r="D382" s="0" t="e">
        <f aca="false">GETPIVOTDATA("機型",$A$3,"門市","七堵")=C382</f>
        <v>#VALUE!</v>
      </c>
      <c r="F382" s="0" t="s">
        <v>381</v>
      </c>
      <c r="G382" s="0" t="n">
        <v>6</v>
      </c>
      <c r="H382" s="0" t="e">
        <f aca="false">VLOOKUP(F:F,#REF!,2,0)</f>
        <v>#VALUE!</v>
      </c>
      <c r="I382" s="0" t="e">
        <f aca="false">G382=H382</f>
        <v>#VALUE!</v>
      </c>
    </row>
    <row r="383" customFormat="false" ht="16.5" hidden="true" customHeight="false" outlineLevel="0" collapsed="false">
      <c r="A383" s="6" t="s">
        <v>382</v>
      </c>
      <c r="B383" s="7" t="n">
        <v>3</v>
      </c>
      <c r="C383" s="0" t="e">
        <f aca="false">VLOOKUP(A:A,#REF!,2,0)</f>
        <v>#VALUE!</v>
      </c>
      <c r="D383" s="0" t="e">
        <f aca="false">GETPIVOTDATA("機型",$A$3,"門市","七堵")=C383</f>
        <v>#VALUE!</v>
      </c>
      <c r="F383" s="0" t="s">
        <v>382</v>
      </c>
      <c r="G383" s="0" t="n">
        <v>3</v>
      </c>
      <c r="H383" s="0" t="e">
        <f aca="false">VLOOKUP(F:F,#REF!,2,0)</f>
        <v>#VALUE!</v>
      </c>
      <c r="I383" s="0" t="e">
        <f aca="false">G383=H383</f>
        <v>#VALUE!</v>
      </c>
    </row>
    <row r="384" customFormat="false" ht="16.5" hidden="true" customHeight="false" outlineLevel="0" collapsed="false">
      <c r="A384" s="6" t="s">
        <v>383</v>
      </c>
      <c r="B384" s="7" t="n">
        <v>5</v>
      </c>
      <c r="C384" s="0" t="e">
        <f aca="false">VLOOKUP(A:A,#REF!,2,0)</f>
        <v>#VALUE!</v>
      </c>
      <c r="D384" s="0" t="e">
        <f aca="false">GETPIVOTDATA("機型",$A$3,"門市","七堵")=C384</f>
        <v>#VALUE!</v>
      </c>
      <c r="F384" s="0" t="s">
        <v>383</v>
      </c>
      <c r="G384" s="0" t="n">
        <v>5</v>
      </c>
      <c r="H384" s="0" t="e">
        <f aca="false">VLOOKUP(F:F,#REF!,2,0)</f>
        <v>#VALUE!</v>
      </c>
      <c r="I384" s="0" t="e">
        <f aca="false">G384=H384</f>
        <v>#VALUE!</v>
      </c>
    </row>
    <row r="385" customFormat="false" ht="16.5" hidden="true" customHeight="false" outlineLevel="0" collapsed="false">
      <c r="A385" s="6" t="s">
        <v>384</v>
      </c>
      <c r="B385" s="7" t="n">
        <v>6</v>
      </c>
      <c r="C385" s="0" t="e">
        <f aca="false">VLOOKUP(A:A,#REF!,2,0)</f>
        <v>#VALUE!</v>
      </c>
      <c r="D385" s="0" t="e">
        <f aca="false">GETPIVOTDATA("機型",$A$3,"門市","七堵")=C385</f>
        <v>#VALUE!</v>
      </c>
      <c r="F385" s="0" t="s">
        <v>384</v>
      </c>
      <c r="G385" s="0" t="n">
        <v>6</v>
      </c>
      <c r="H385" s="0" t="e">
        <f aca="false">VLOOKUP(F:F,#REF!,2,0)</f>
        <v>#VALUE!</v>
      </c>
      <c r="I385" s="0" t="e">
        <f aca="false">G385=H385</f>
        <v>#VALUE!</v>
      </c>
    </row>
    <row r="386" customFormat="false" ht="16.5" hidden="true" customHeight="false" outlineLevel="0" collapsed="false">
      <c r="A386" s="6" t="s">
        <v>385</v>
      </c>
      <c r="B386" s="7" t="n">
        <v>6</v>
      </c>
      <c r="C386" s="0" t="e">
        <f aca="false">VLOOKUP(A:A,#REF!,2,0)</f>
        <v>#VALUE!</v>
      </c>
      <c r="D386" s="0" t="e">
        <f aca="false">GETPIVOTDATA("機型",$A$3,"門市","七堵")=C386</f>
        <v>#VALUE!</v>
      </c>
      <c r="F386" s="0" t="s">
        <v>385</v>
      </c>
      <c r="G386" s="0" t="n">
        <v>6</v>
      </c>
      <c r="H386" s="0" t="e">
        <f aca="false">VLOOKUP(F:F,#REF!,2,0)</f>
        <v>#VALUE!</v>
      </c>
      <c r="I386" s="0" t="e">
        <f aca="false">G386=H386</f>
        <v>#VALUE!</v>
      </c>
    </row>
    <row r="387" customFormat="false" ht="16.5" hidden="true" customHeight="false" outlineLevel="0" collapsed="false">
      <c r="A387" s="6" t="s">
        <v>386</v>
      </c>
      <c r="B387" s="7" t="n">
        <v>6</v>
      </c>
      <c r="C387" s="0" t="e">
        <f aca="false">VLOOKUP(A:A,#REF!,2,0)</f>
        <v>#VALUE!</v>
      </c>
      <c r="D387" s="0" t="e">
        <f aca="false">GETPIVOTDATA("機型",$A$3,"門市","七堵")=C387</f>
        <v>#VALUE!</v>
      </c>
      <c r="F387" s="0" t="s">
        <v>386</v>
      </c>
      <c r="G387" s="0" t="n">
        <v>6</v>
      </c>
      <c r="H387" s="0" t="e">
        <f aca="false">VLOOKUP(F:F,#REF!,2,0)</f>
        <v>#VALUE!</v>
      </c>
      <c r="I387" s="0" t="e">
        <f aca="false">G387=H387</f>
        <v>#VALUE!</v>
      </c>
    </row>
    <row r="388" customFormat="false" ht="16.5" hidden="false" customHeight="false" outlineLevel="0" collapsed="false">
      <c r="A388" s="6" t="s">
        <v>387</v>
      </c>
      <c r="B388" s="7" t="n">
        <v>6</v>
      </c>
      <c r="C388" s="0" t="e">
        <f aca="false">VLOOKUP(A:A,#REF!,2,0)</f>
        <v>#VALUE!</v>
      </c>
      <c r="D388" s="0" t="e">
        <f aca="false">GETPIVOTDATA("機型",$A$3,"門市","七堵")=C388</f>
        <v>#VALUE!</v>
      </c>
      <c r="F388" s="8" t="s">
        <v>387</v>
      </c>
      <c r="G388" s="8" t="n">
        <v>6</v>
      </c>
      <c r="H388" s="0" t="e">
        <f aca="false">VLOOKUP(F:F,#REF!,2,0)</f>
        <v>#VALUE!</v>
      </c>
      <c r="I388" s="0" t="e">
        <f aca="false">G388=H388</f>
        <v>#VALUE!</v>
      </c>
    </row>
    <row r="389" customFormat="false" ht="16.5" hidden="true" customHeight="false" outlineLevel="0" collapsed="false">
      <c r="A389" s="6" t="s">
        <v>388</v>
      </c>
      <c r="B389" s="7" t="n">
        <v>11</v>
      </c>
      <c r="C389" s="0" t="e">
        <f aca="false">VLOOKUP(A:A,#REF!,2,0)</f>
        <v>#VALUE!</v>
      </c>
      <c r="D389" s="0" t="e">
        <f aca="false">GETPIVOTDATA("機型",$A$3,"門市","七堵")=C389</f>
        <v>#VALUE!</v>
      </c>
      <c r="F389" s="0" t="s">
        <v>388</v>
      </c>
      <c r="G389" s="0" t="n">
        <v>11</v>
      </c>
      <c r="H389" s="0" t="e">
        <f aca="false">VLOOKUP(F:F,#REF!,2,0)</f>
        <v>#VALUE!</v>
      </c>
      <c r="I389" s="0" t="e">
        <f aca="false">G389=H389</f>
        <v>#VALUE!</v>
      </c>
    </row>
    <row r="390" customFormat="false" ht="16.5" hidden="true" customHeight="false" outlineLevel="0" collapsed="false">
      <c r="A390" s="6" t="s">
        <v>389</v>
      </c>
      <c r="B390" s="7" t="n">
        <v>7</v>
      </c>
      <c r="C390" s="0" t="e">
        <f aca="false">VLOOKUP(A:A,#REF!,2,0)</f>
        <v>#VALUE!</v>
      </c>
      <c r="D390" s="0" t="e">
        <f aca="false">GETPIVOTDATA("機型",$A$3,"門市","七堵")=C390</f>
        <v>#VALUE!</v>
      </c>
      <c r="F390" s="0" t="s">
        <v>389</v>
      </c>
      <c r="G390" s="0" t="n">
        <v>7</v>
      </c>
      <c r="H390" s="0" t="e">
        <f aca="false">VLOOKUP(F:F,#REF!,2,0)</f>
        <v>#VALUE!</v>
      </c>
      <c r="I390" s="0" t="e">
        <f aca="false">G390=H390</f>
        <v>#VALUE!</v>
      </c>
    </row>
    <row r="391" customFormat="false" ht="16.5" hidden="true" customHeight="false" outlineLevel="0" collapsed="false">
      <c r="A391" s="6" t="s">
        <v>390</v>
      </c>
      <c r="B391" s="7" t="n">
        <v>1</v>
      </c>
      <c r="C391" s="0" t="e">
        <f aca="false">VLOOKUP(A:A,#REF!,2,0)</f>
        <v>#VALUE!</v>
      </c>
      <c r="D391" s="0" t="e">
        <f aca="false">GETPIVOTDATA("機型",$A$3,"門市","七堵")=C391</f>
        <v>#VALUE!</v>
      </c>
      <c r="F391" s="0" t="s">
        <v>390</v>
      </c>
      <c r="G391" s="0" t="n">
        <v>1</v>
      </c>
      <c r="H391" s="0" t="e">
        <f aca="false">VLOOKUP(F:F,#REF!,2,0)</f>
        <v>#VALUE!</v>
      </c>
      <c r="I391" s="0" t="e">
        <f aca="false">G391=H391</f>
        <v>#VALUE!</v>
      </c>
    </row>
    <row r="392" customFormat="false" ht="16.5" hidden="true" customHeight="false" outlineLevel="0" collapsed="false">
      <c r="A392" s="6" t="s">
        <v>391</v>
      </c>
      <c r="B392" s="7" t="n">
        <v>4</v>
      </c>
      <c r="C392" s="0" t="e">
        <f aca="false">VLOOKUP(A:A,#REF!,2,0)</f>
        <v>#VALUE!</v>
      </c>
      <c r="D392" s="0" t="e">
        <f aca="false">GETPIVOTDATA("機型",$A$3,"門市","七堵")=C392</f>
        <v>#VALUE!</v>
      </c>
      <c r="F392" s="0" t="s">
        <v>391</v>
      </c>
      <c r="G392" s="0" t="n">
        <v>4</v>
      </c>
      <c r="H392" s="0" t="e">
        <f aca="false">VLOOKUP(F:F,#REF!,2,0)</f>
        <v>#VALUE!</v>
      </c>
      <c r="I392" s="0" t="e">
        <f aca="false">G392=H392</f>
        <v>#VALUE!</v>
      </c>
    </row>
    <row r="393" customFormat="false" ht="16.5" hidden="true" customHeight="false" outlineLevel="0" collapsed="false">
      <c r="A393" s="6" t="s">
        <v>392</v>
      </c>
      <c r="B393" s="7" t="n">
        <v>4</v>
      </c>
      <c r="C393" s="0" t="e">
        <f aca="false">VLOOKUP(A:A,#REF!,2,0)</f>
        <v>#VALUE!</v>
      </c>
      <c r="D393" s="0" t="e">
        <f aca="false">GETPIVOTDATA("機型",$A$3,"門市","七堵")=C393</f>
        <v>#VALUE!</v>
      </c>
      <c r="F393" s="0" t="s">
        <v>392</v>
      </c>
      <c r="G393" s="0" t="n">
        <v>4</v>
      </c>
      <c r="H393" s="0" t="e">
        <f aca="false">VLOOKUP(F:F,#REF!,2,0)</f>
        <v>#VALUE!</v>
      </c>
      <c r="I393" s="0" t="e">
        <f aca="false">G393=H393</f>
        <v>#VALUE!</v>
      </c>
    </row>
    <row r="394" customFormat="false" ht="16.5" hidden="false" customHeight="false" outlineLevel="0" collapsed="false">
      <c r="A394" s="6" t="s">
        <v>393</v>
      </c>
      <c r="B394" s="7" t="n">
        <v>6</v>
      </c>
      <c r="C394" s="0" t="e">
        <f aca="false">VLOOKUP(A:A,#REF!,2,0)</f>
        <v>#VALUE!</v>
      </c>
      <c r="D394" s="0" t="e">
        <f aca="false">GETPIVOTDATA("機型",$A$3,"門市","七堵")=C394</f>
        <v>#VALUE!</v>
      </c>
      <c r="F394" s="8" t="s">
        <v>393</v>
      </c>
      <c r="G394" s="8" t="n">
        <v>6</v>
      </c>
      <c r="H394" s="8" t="e">
        <f aca="false">VLOOKUP(F:F,#REF!,2,0)</f>
        <v>#VALUE!</v>
      </c>
      <c r="I394" s="0" t="e">
        <f aca="false">G394=H394</f>
        <v>#VALUE!</v>
      </c>
    </row>
    <row r="395" customFormat="false" ht="16.5" hidden="true" customHeight="false" outlineLevel="0" collapsed="false">
      <c r="A395" s="6" t="s">
        <v>394</v>
      </c>
      <c r="B395" s="7" t="n">
        <v>1</v>
      </c>
      <c r="C395" s="0" t="e">
        <f aca="false">VLOOKUP(A:A,#REF!,2,0)</f>
        <v>#VALUE!</v>
      </c>
      <c r="D395" s="0" t="e">
        <f aca="false">GETPIVOTDATA("機型",$A$3,"門市","七堵")=C395</f>
        <v>#VALUE!</v>
      </c>
      <c r="F395" s="0" t="s">
        <v>394</v>
      </c>
      <c r="G395" s="0" t="n">
        <v>1</v>
      </c>
      <c r="H395" s="0" t="e">
        <f aca="false">VLOOKUP(F:F,#REF!,2,0)</f>
        <v>#VALUE!</v>
      </c>
      <c r="I395" s="0" t="e">
        <f aca="false">G395=H395</f>
        <v>#VALUE!</v>
      </c>
    </row>
    <row r="396" customFormat="false" ht="16.5" hidden="true" customHeight="false" outlineLevel="0" collapsed="false">
      <c r="A396" s="6" t="s">
        <v>395</v>
      </c>
      <c r="B396" s="7" t="n">
        <v>3</v>
      </c>
      <c r="C396" s="0" t="e">
        <f aca="false">VLOOKUP(A:A,#REF!,2,0)</f>
        <v>#VALUE!</v>
      </c>
      <c r="D396" s="0" t="e">
        <f aca="false">GETPIVOTDATA("機型",$A$3,"門市","七堵")=C396</f>
        <v>#VALUE!</v>
      </c>
      <c r="F396" s="0" t="s">
        <v>395</v>
      </c>
      <c r="G396" s="0" t="n">
        <v>3</v>
      </c>
      <c r="H396" s="0" t="e">
        <f aca="false">VLOOKUP(F:F,#REF!,2,0)</f>
        <v>#VALUE!</v>
      </c>
      <c r="I396" s="0" t="e">
        <f aca="false">G396=H396</f>
        <v>#VALUE!</v>
      </c>
    </row>
    <row r="397" customFormat="false" ht="16.5" hidden="true" customHeight="false" outlineLevel="0" collapsed="false">
      <c r="A397" s="6" t="s">
        <v>396</v>
      </c>
      <c r="B397" s="7" t="n">
        <v>5</v>
      </c>
      <c r="C397" s="0" t="e">
        <f aca="false">VLOOKUP(A:A,#REF!,2,0)</f>
        <v>#VALUE!</v>
      </c>
      <c r="D397" s="0" t="e">
        <f aca="false">GETPIVOTDATA("機型",$A$3,"門市","七堵")=C397</f>
        <v>#VALUE!</v>
      </c>
      <c r="F397" s="0" t="s">
        <v>396</v>
      </c>
      <c r="G397" s="0" t="n">
        <v>5</v>
      </c>
      <c r="H397" s="0" t="e">
        <f aca="false">VLOOKUP(F:F,#REF!,2,0)</f>
        <v>#VALUE!</v>
      </c>
      <c r="I397" s="0" t="e">
        <f aca="false">G397=H397</f>
        <v>#VALUE!</v>
      </c>
    </row>
    <row r="398" customFormat="false" ht="16.5" hidden="true" customHeight="false" outlineLevel="0" collapsed="false">
      <c r="A398" s="6" t="s">
        <v>397</v>
      </c>
      <c r="B398" s="7" t="n">
        <v>4</v>
      </c>
      <c r="C398" s="0" t="e">
        <f aca="false">VLOOKUP(A:A,#REF!,2,0)</f>
        <v>#VALUE!</v>
      </c>
      <c r="D398" s="0" t="e">
        <f aca="false">GETPIVOTDATA("機型",$A$3,"門市","七堵")=C398</f>
        <v>#VALUE!</v>
      </c>
      <c r="F398" s="0" t="s">
        <v>397</v>
      </c>
      <c r="G398" s="0" t="n">
        <v>4</v>
      </c>
      <c r="H398" s="0" t="e">
        <f aca="false">VLOOKUP(F:F,#REF!,2,0)</f>
        <v>#VALUE!</v>
      </c>
      <c r="I398" s="0" t="e">
        <f aca="false">G398=H398</f>
        <v>#VALUE!</v>
      </c>
    </row>
    <row r="399" customFormat="false" ht="16.5" hidden="true" customHeight="false" outlineLevel="0" collapsed="false">
      <c r="A399" s="6" t="s">
        <v>398</v>
      </c>
      <c r="B399" s="7" t="n">
        <v>7</v>
      </c>
      <c r="C399" s="0" t="e">
        <f aca="false">VLOOKUP(A:A,#REF!,2,0)</f>
        <v>#VALUE!</v>
      </c>
      <c r="D399" s="0" t="e">
        <f aca="false">GETPIVOTDATA("機型",$A$3,"門市","七堵")=C399</f>
        <v>#VALUE!</v>
      </c>
      <c r="F399" s="0" t="s">
        <v>398</v>
      </c>
      <c r="G399" s="0" t="n">
        <v>7</v>
      </c>
      <c r="H399" s="0" t="e">
        <f aca="false">VLOOKUP(F:F,#REF!,2,0)</f>
        <v>#VALUE!</v>
      </c>
      <c r="I399" s="0" t="e">
        <f aca="false">G399=H399</f>
        <v>#VALUE!</v>
      </c>
    </row>
    <row r="400" customFormat="false" ht="16.5" hidden="true" customHeight="false" outlineLevel="0" collapsed="false">
      <c r="A400" s="6" t="s">
        <v>399</v>
      </c>
      <c r="B400" s="7" t="n">
        <v>5</v>
      </c>
      <c r="C400" s="0" t="e">
        <f aca="false">VLOOKUP(A:A,#REF!,2,0)</f>
        <v>#VALUE!</v>
      </c>
      <c r="D400" s="0" t="e">
        <f aca="false">GETPIVOTDATA("機型",$A$3,"門市","七堵")=C400</f>
        <v>#VALUE!</v>
      </c>
      <c r="F400" s="0" t="s">
        <v>399</v>
      </c>
      <c r="G400" s="0" t="n">
        <v>5</v>
      </c>
      <c r="H400" s="0" t="e">
        <f aca="false">VLOOKUP(F:F,#REF!,2,0)</f>
        <v>#VALUE!</v>
      </c>
      <c r="I400" s="0" t="e">
        <f aca="false">G400=H400</f>
        <v>#VALUE!</v>
      </c>
    </row>
    <row r="401" customFormat="false" ht="16.5" hidden="true" customHeight="false" outlineLevel="0" collapsed="false">
      <c r="A401" s="6" t="s">
        <v>400</v>
      </c>
      <c r="B401" s="7" t="n">
        <v>10</v>
      </c>
      <c r="C401" s="0" t="e">
        <f aca="false">VLOOKUP(A:A,#REF!,2,0)</f>
        <v>#VALUE!</v>
      </c>
      <c r="D401" s="0" t="e">
        <f aca="false">GETPIVOTDATA("機型",$A$3,"門市","七堵")=C401</f>
        <v>#VALUE!</v>
      </c>
      <c r="F401" s="0" t="s">
        <v>400</v>
      </c>
      <c r="G401" s="0" t="n">
        <v>10</v>
      </c>
      <c r="H401" s="0" t="e">
        <f aca="false">VLOOKUP(F:F,#REF!,2,0)</f>
        <v>#VALUE!</v>
      </c>
      <c r="I401" s="0" t="e">
        <f aca="false">G401=H401</f>
        <v>#VALUE!</v>
      </c>
    </row>
    <row r="402" customFormat="false" ht="16.5" hidden="true" customHeight="false" outlineLevel="0" collapsed="false">
      <c r="A402" s="6" t="s">
        <v>401</v>
      </c>
      <c r="B402" s="7" t="n">
        <v>1</v>
      </c>
      <c r="C402" s="0" t="e">
        <f aca="false">VLOOKUP(A:A,#REF!,2,0)</f>
        <v>#VALUE!</v>
      </c>
      <c r="D402" s="0" t="e">
        <f aca="false">GETPIVOTDATA("機型",$A$3,"門市","七堵")=C402</f>
        <v>#VALUE!</v>
      </c>
      <c r="F402" s="0" t="s">
        <v>401</v>
      </c>
      <c r="G402" s="0" t="n">
        <v>1</v>
      </c>
      <c r="H402" s="0" t="e">
        <f aca="false">VLOOKUP(F:F,#REF!,2,0)</f>
        <v>#VALUE!</v>
      </c>
      <c r="I402" s="0" t="e">
        <f aca="false">G402=H402</f>
        <v>#VALUE!</v>
      </c>
    </row>
    <row r="403" customFormat="false" ht="16.5" hidden="true" customHeight="false" outlineLevel="0" collapsed="false">
      <c r="A403" s="6" t="s">
        <v>402</v>
      </c>
      <c r="B403" s="7" t="n">
        <v>4</v>
      </c>
      <c r="C403" s="0" t="e">
        <f aca="false">VLOOKUP(A:A,#REF!,2,0)</f>
        <v>#VALUE!</v>
      </c>
      <c r="D403" s="0" t="e">
        <f aca="false">GETPIVOTDATA("機型",$A$3,"門市","七堵")=C403</f>
        <v>#VALUE!</v>
      </c>
      <c r="F403" s="0" t="s">
        <v>402</v>
      </c>
      <c r="G403" s="0" t="n">
        <v>4</v>
      </c>
      <c r="H403" s="0" t="e">
        <f aca="false">VLOOKUP(F:F,#REF!,2,0)</f>
        <v>#VALUE!</v>
      </c>
      <c r="I403" s="0" t="e">
        <f aca="false">G403=H403</f>
        <v>#VALUE!</v>
      </c>
    </row>
    <row r="404" customFormat="false" ht="16.5" hidden="true" customHeight="false" outlineLevel="0" collapsed="false">
      <c r="A404" s="6" t="s">
        <v>403</v>
      </c>
      <c r="B404" s="7" t="n">
        <v>5</v>
      </c>
      <c r="C404" s="0" t="e">
        <f aca="false">VLOOKUP(A:A,#REF!,2,0)</f>
        <v>#VALUE!</v>
      </c>
      <c r="D404" s="0" t="e">
        <f aca="false">GETPIVOTDATA("機型",$A$3,"門市","七堵")=C404</f>
        <v>#VALUE!</v>
      </c>
      <c r="F404" s="0" t="s">
        <v>403</v>
      </c>
      <c r="G404" s="0" t="n">
        <v>5</v>
      </c>
      <c r="H404" s="0" t="e">
        <f aca="false">VLOOKUP(F:F,#REF!,2,0)</f>
        <v>#VALUE!</v>
      </c>
      <c r="I404" s="0" t="e">
        <f aca="false">G404=H404</f>
        <v>#VALUE!</v>
      </c>
    </row>
    <row r="405" customFormat="false" ht="16.5" hidden="true" customHeight="false" outlineLevel="0" collapsed="false">
      <c r="A405" s="6" t="s">
        <v>404</v>
      </c>
      <c r="B405" s="7" t="n">
        <v>12</v>
      </c>
      <c r="C405" s="0" t="e">
        <f aca="false">VLOOKUP(A:A,#REF!,2,0)</f>
        <v>#VALUE!</v>
      </c>
      <c r="D405" s="0" t="e">
        <f aca="false">GETPIVOTDATA("機型",$A$3,"門市","七堵")=C405</f>
        <v>#VALUE!</v>
      </c>
      <c r="F405" s="0" t="s">
        <v>404</v>
      </c>
      <c r="G405" s="0" t="n">
        <v>12</v>
      </c>
      <c r="H405" s="0" t="e">
        <f aca="false">VLOOKUP(F:F,#REF!,2,0)</f>
        <v>#VALUE!</v>
      </c>
      <c r="I405" s="0" t="e">
        <f aca="false">G405=H405</f>
        <v>#VALUE!</v>
      </c>
    </row>
    <row r="406" customFormat="false" ht="16.5" hidden="true" customHeight="false" outlineLevel="0" collapsed="false">
      <c r="A406" s="6" t="s">
        <v>405</v>
      </c>
      <c r="B406" s="7" t="n">
        <v>4</v>
      </c>
      <c r="C406" s="0" t="e">
        <f aca="false">VLOOKUP(A:A,#REF!,2,0)</f>
        <v>#VALUE!</v>
      </c>
      <c r="D406" s="0" t="e">
        <f aca="false">GETPIVOTDATA("機型",$A$3,"門市","七堵")=C406</f>
        <v>#VALUE!</v>
      </c>
      <c r="F406" s="0" t="s">
        <v>405</v>
      </c>
      <c r="G406" s="0" t="n">
        <v>4</v>
      </c>
      <c r="H406" s="0" t="e">
        <f aca="false">VLOOKUP(F:F,#REF!,2,0)</f>
        <v>#VALUE!</v>
      </c>
      <c r="I406" s="0" t="e">
        <f aca="false">G406=H406</f>
        <v>#VALUE!</v>
      </c>
    </row>
    <row r="407" customFormat="false" ht="16.5" hidden="true" customHeight="false" outlineLevel="0" collapsed="false">
      <c r="A407" s="6" t="s">
        <v>406</v>
      </c>
      <c r="B407" s="7" t="n">
        <v>5</v>
      </c>
      <c r="C407" s="0" t="n">
        <v>5</v>
      </c>
      <c r="D407" s="0" t="n">
        <f aca="false">GETPIVOTDATA("機型",$A$3,"門市","七堵")=C407</f>
        <v>1</v>
      </c>
      <c r="F407" s="0" t="s">
        <v>406</v>
      </c>
      <c r="G407" s="0" t="n">
        <v>5</v>
      </c>
      <c r="H407" s="0" t="n">
        <v>5</v>
      </c>
      <c r="I407" s="0" t="n">
        <f aca="false">G407=H407</f>
        <v>1</v>
      </c>
    </row>
    <row r="408" customFormat="false" ht="16.5" hidden="true" customHeight="false" outlineLevel="0" collapsed="false">
      <c r="A408" s="6" t="s">
        <v>407</v>
      </c>
      <c r="B408" s="7" t="n">
        <v>4</v>
      </c>
      <c r="C408" s="0" t="e">
        <f aca="false">VLOOKUP(A:A,#REF!,2,0)</f>
        <v>#VALUE!</v>
      </c>
      <c r="D408" s="0" t="e">
        <f aca="false">GETPIVOTDATA("機型",$A$3,"門市","七堵")=C408</f>
        <v>#VALUE!</v>
      </c>
      <c r="F408" s="0" t="s">
        <v>407</v>
      </c>
      <c r="G408" s="0" t="n">
        <v>4</v>
      </c>
      <c r="H408" s="0" t="e">
        <f aca="false">VLOOKUP(F:F,#REF!,2,0)</f>
        <v>#VALUE!</v>
      </c>
      <c r="I408" s="0" t="e">
        <f aca="false">G408=H408</f>
        <v>#VALUE!</v>
      </c>
    </row>
    <row r="409" customFormat="false" ht="16.5" hidden="true" customHeight="false" outlineLevel="0" collapsed="false">
      <c r="A409" s="6" t="s">
        <v>408</v>
      </c>
      <c r="B409" s="7" t="n">
        <v>4</v>
      </c>
      <c r="C409" s="0" t="e">
        <f aca="false">VLOOKUP(A:A,#REF!,2,0)</f>
        <v>#VALUE!</v>
      </c>
      <c r="D409" s="0" t="e">
        <f aca="false">GETPIVOTDATA("機型",$A$3,"門市","七堵")=C409</f>
        <v>#VALUE!</v>
      </c>
      <c r="F409" s="0" t="s">
        <v>408</v>
      </c>
      <c r="G409" s="0" t="n">
        <v>4</v>
      </c>
      <c r="H409" s="0" t="e">
        <f aca="false">VLOOKUP(F:F,#REF!,2,0)</f>
        <v>#VALUE!</v>
      </c>
      <c r="I409" s="0" t="e">
        <f aca="false">G409=H409</f>
        <v>#VALUE!</v>
      </c>
    </row>
    <row r="410" customFormat="false" ht="16.5" hidden="true" customHeight="false" outlineLevel="0" collapsed="false">
      <c r="A410" s="6" t="s">
        <v>409</v>
      </c>
      <c r="B410" s="7" t="n">
        <v>6</v>
      </c>
      <c r="C410" s="0" t="e">
        <f aca="false">VLOOKUP(A:A,#REF!,2,0)</f>
        <v>#VALUE!</v>
      </c>
      <c r="D410" s="0" t="e">
        <f aca="false">GETPIVOTDATA("機型",$A$3,"門市","七堵")=C410</f>
        <v>#VALUE!</v>
      </c>
      <c r="F410" s="0" t="s">
        <v>409</v>
      </c>
      <c r="G410" s="0" t="n">
        <v>6</v>
      </c>
      <c r="H410" s="0" t="e">
        <f aca="false">VLOOKUP(F:F,#REF!,2,0)</f>
        <v>#VALUE!</v>
      </c>
      <c r="I410" s="0" t="e">
        <f aca="false">G410=H410</f>
        <v>#VALUE!</v>
      </c>
    </row>
    <row r="411" customFormat="false" ht="16.5" hidden="true" customHeight="false" outlineLevel="0" collapsed="false">
      <c r="A411" s="6" t="s">
        <v>410</v>
      </c>
      <c r="B411" s="7" t="n">
        <v>5</v>
      </c>
      <c r="C411" s="0" t="e">
        <f aca="false">VLOOKUP(A:A,#REF!,2,0)</f>
        <v>#VALUE!</v>
      </c>
      <c r="D411" s="0" t="e">
        <f aca="false">GETPIVOTDATA("機型",$A$3,"門市","七堵")=C411</f>
        <v>#VALUE!</v>
      </c>
      <c r="F411" s="0" t="s">
        <v>410</v>
      </c>
      <c r="G411" s="0" t="n">
        <v>5</v>
      </c>
      <c r="H411" s="0" t="e">
        <f aca="false">VLOOKUP(F:F,#REF!,2,0)</f>
        <v>#VALUE!</v>
      </c>
      <c r="I411" s="0" t="e">
        <f aca="false">G411=H411</f>
        <v>#VALUE!</v>
      </c>
    </row>
    <row r="412" customFormat="false" ht="16.5" hidden="false" customHeight="false" outlineLevel="0" collapsed="false">
      <c r="A412" s="6" t="s">
        <v>411</v>
      </c>
      <c r="B412" s="7" t="n">
        <v>3</v>
      </c>
      <c r="C412" s="0" t="e">
        <f aca="false">VLOOKUP(A:A,#REF!,2,0)</f>
        <v>#VALUE!</v>
      </c>
      <c r="D412" s="0" t="e">
        <f aca="false">GETPIVOTDATA("機型",$A$3,"門市","七堵")=C412</f>
        <v>#VALUE!</v>
      </c>
      <c r="F412" s="8" t="s">
        <v>411</v>
      </c>
      <c r="G412" s="8" t="n">
        <v>3</v>
      </c>
      <c r="H412" s="0" t="e">
        <f aca="false">VLOOKUP(F:F,#REF!,2,0)</f>
        <v>#VALUE!</v>
      </c>
      <c r="I412" s="0" t="e">
        <f aca="false">G412=H412</f>
        <v>#VALUE!</v>
      </c>
    </row>
    <row r="413" customFormat="false" ht="16.5" hidden="true" customHeight="false" outlineLevel="0" collapsed="false">
      <c r="A413" s="6" t="s">
        <v>412</v>
      </c>
      <c r="B413" s="7" t="n">
        <v>5</v>
      </c>
      <c r="C413" s="0" t="e">
        <f aca="false">VLOOKUP(A:A,#REF!,2,0)</f>
        <v>#VALUE!</v>
      </c>
      <c r="D413" s="0" t="e">
        <f aca="false">GETPIVOTDATA("機型",$A$3,"門市","七堵")=C413</f>
        <v>#VALUE!</v>
      </c>
      <c r="F413" s="0" t="s">
        <v>412</v>
      </c>
      <c r="G413" s="0" t="n">
        <v>5</v>
      </c>
      <c r="H413" s="0" t="e">
        <f aca="false">VLOOKUP(F:F,#REF!,2,0)</f>
        <v>#VALUE!</v>
      </c>
      <c r="I413" s="0" t="e">
        <f aca="false">G413=H413</f>
        <v>#VALUE!</v>
      </c>
    </row>
    <row r="414" customFormat="false" ht="16.5" hidden="true" customHeight="false" outlineLevel="0" collapsed="false">
      <c r="A414" s="6" t="s">
        <v>413</v>
      </c>
      <c r="B414" s="7" t="n">
        <v>1</v>
      </c>
      <c r="C414" s="0" t="e">
        <f aca="false">VLOOKUP(A:A,#REF!,2,0)</f>
        <v>#VALUE!</v>
      </c>
      <c r="D414" s="0" t="e">
        <f aca="false">GETPIVOTDATA("機型",$A$3,"門市","七堵")=C414</f>
        <v>#VALUE!</v>
      </c>
      <c r="F414" s="0" t="s">
        <v>413</v>
      </c>
      <c r="G414" s="0" t="n">
        <v>1</v>
      </c>
      <c r="H414" s="0" t="e">
        <f aca="false">VLOOKUP(F:F,#REF!,2,0)</f>
        <v>#VALUE!</v>
      </c>
      <c r="I414" s="0" t="e">
        <f aca="false">G414=H414</f>
        <v>#VALUE!</v>
      </c>
    </row>
    <row r="415" customFormat="false" ht="16.5" hidden="false" customHeight="false" outlineLevel="0" collapsed="false">
      <c r="A415" s="6" t="s">
        <v>414</v>
      </c>
      <c r="B415" s="7" t="n">
        <v>16</v>
      </c>
      <c r="C415" s="0" t="e">
        <f aca="false">VLOOKUP(A:A,#REF!,2,0)</f>
        <v>#VALUE!</v>
      </c>
      <c r="D415" s="0" t="e">
        <f aca="false">GETPIVOTDATA("機型",$A$3,"門市","七堵")=C415</f>
        <v>#VALUE!</v>
      </c>
      <c r="F415" s="8" t="s">
        <v>414</v>
      </c>
      <c r="G415" s="8" t="n">
        <v>16</v>
      </c>
      <c r="H415" s="0" t="e">
        <f aca="false">VLOOKUP(F:F,#REF!,2,0)</f>
        <v>#VALUE!</v>
      </c>
      <c r="I415" s="0" t="e">
        <f aca="false">G415=H415</f>
        <v>#VALUE!</v>
      </c>
    </row>
    <row r="416" customFormat="false" ht="16.5" hidden="true" customHeight="false" outlineLevel="0" collapsed="false">
      <c r="A416" s="6" t="s">
        <v>415</v>
      </c>
      <c r="B416" s="7" t="n">
        <v>1</v>
      </c>
      <c r="C416" s="0" t="e">
        <f aca="false">VLOOKUP(A:A,#REF!,2,0)</f>
        <v>#VALUE!</v>
      </c>
      <c r="D416" s="0" t="e">
        <f aca="false">GETPIVOTDATA("機型",$A$3,"門市","七堵")=C416</f>
        <v>#VALUE!</v>
      </c>
      <c r="F416" s="0" t="s">
        <v>415</v>
      </c>
      <c r="G416" s="0" t="n">
        <v>1</v>
      </c>
      <c r="H416" s="0" t="e">
        <f aca="false">VLOOKUP(F:F,#REF!,2,0)</f>
        <v>#VALUE!</v>
      </c>
      <c r="I416" s="0" t="e">
        <f aca="false">G416=H416</f>
        <v>#VALUE!</v>
      </c>
    </row>
    <row r="417" customFormat="false" ht="16.5" hidden="true" customHeight="false" outlineLevel="0" collapsed="false">
      <c r="A417" s="6" t="s">
        <v>416</v>
      </c>
      <c r="B417" s="7" t="n">
        <v>8</v>
      </c>
      <c r="C417" s="0" t="e">
        <f aca="false">VLOOKUP(A:A,#REF!,2,0)</f>
        <v>#VALUE!</v>
      </c>
      <c r="D417" s="0" t="e">
        <f aca="false">GETPIVOTDATA("機型",$A$3,"門市","七堵")=C417</f>
        <v>#VALUE!</v>
      </c>
      <c r="F417" s="0" t="s">
        <v>416</v>
      </c>
      <c r="G417" s="0" t="n">
        <v>8</v>
      </c>
      <c r="H417" s="0" t="e">
        <f aca="false">VLOOKUP(F:F,#REF!,2,0)</f>
        <v>#VALUE!</v>
      </c>
      <c r="I417" s="0" t="e">
        <f aca="false">G417=H417</f>
        <v>#VALUE!</v>
      </c>
    </row>
    <row r="418" customFormat="false" ht="16.5" hidden="true" customHeight="false" outlineLevel="0" collapsed="false">
      <c r="A418" s="6" t="s">
        <v>417</v>
      </c>
      <c r="B418" s="7" t="n">
        <v>4</v>
      </c>
      <c r="C418" s="0" t="e">
        <f aca="false">VLOOKUP(A:A,#REF!,2,0)</f>
        <v>#VALUE!</v>
      </c>
      <c r="D418" s="0" t="e">
        <f aca="false">GETPIVOTDATA("機型",$A$3,"門市","七堵")=C418</f>
        <v>#VALUE!</v>
      </c>
      <c r="F418" s="0" t="s">
        <v>417</v>
      </c>
      <c r="G418" s="0" t="n">
        <v>4</v>
      </c>
      <c r="H418" s="0" t="e">
        <f aca="false">VLOOKUP(F:F,#REF!,2,0)</f>
        <v>#VALUE!</v>
      </c>
      <c r="I418" s="0" t="e">
        <f aca="false">G418=H418</f>
        <v>#VALUE!</v>
      </c>
    </row>
    <row r="419" customFormat="false" ht="16.5" hidden="true" customHeight="false" outlineLevel="0" collapsed="false">
      <c r="A419" s="6" t="s">
        <v>418</v>
      </c>
      <c r="B419" s="7" t="n">
        <v>6</v>
      </c>
      <c r="C419" s="0" t="e">
        <f aca="false">VLOOKUP(A:A,#REF!,2,0)</f>
        <v>#VALUE!</v>
      </c>
      <c r="D419" s="0" t="e">
        <f aca="false">GETPIVOTDATA("機型",$A$3,"門市","七堵")=C419</f>
        <v>#VALUE!</v>
      </c>
      <c r="F419" s="0" t="s">
        <v>418</v>
      </c>
      <c r="G419" s="0" t="n">
        <v>6</v>
      </c>
      <c r="H419" s="0" t="e">
        <f aca="false">VLOOKUP(F:F,#REF!,2,0)</f>
        <v>#VALUE!</v>
      </c>
      <c r="I419" s="0" t="e">
        <f aca="false">G419=H419</f>
        <v>#VALUE!</v>
      </c>
    </row>
    <row r="420" customFormat="false" ht="16.5" hidden="true" customHeight="false" outlineLevel="0" collapsed="false">
      <c r="A420" s="6" t="s">
        <v>419</v>
      </c>
      <c r="B420" s="7" t="n">
        <v>5</v>
      </c>
      <c r="C420" s="0" t="e">
        <f aca="false">VLOOKUP(A:A,#REF!,2,0)</f>
        <v>#VALUE!</v>
      </c>
      <c r="D420" s="0" t="e">
        <f aca="false">GETPIVOTDATA("機型",$A$3,"門市","七堵")=C420</f>
        <v>#VALUE!</v>
      </c>
      <c r="F420" s="0" t="s">
        <v>419</v>
      </c>
      <c r="G420" s="0" t="n">
        <v>5</v>
      </c>
      <c r="H420" s="0" t="e">
        <f aca="false">VLOOKUP(F:F,#REF!,2,0)</f>
        <v>#VALUE!</v>
      </c>
      <c r="I420" s="0" t="e">
        <f aca="false">G420=H420</f>
        <v>#VALUE!</v>
      </c>
    </row>
    <row r="421" customFormat="false" ht="16.5" hidden="true" customHeight="false" outlineLevel="0" collapsed="false">
      <c r="A421" s="6" t="s">
        <v>420</v>
      </c>
      <c r="B421" s="7" t="n">
        <v>2</v>
      </c>
      <c r="C421" s="0" t="e">
        <f aca="false">VLOOKUP(A:A,#REF!,2,0)</f>
        <v>#VALUE!</v>
      </c>
      <c r="D421" s="0" t="e">
        <f aca="false">GETPIVOTDATA("機型",$A$3,"門市","七堵")=C421</f>
        <v>#VALUE!</v>
      </c>
      <c r="F421" s="0" t="s">
        <v>420</v>
      </c>
      <c r="G421" s="0" t="n">
        <v>2</v>
      </c>
      <c r="H421" s="0" t="e">
        <f aca="false">VLOOKUP(F:F,#REF!,2,0)</f>
        <v>#VALUE!</v>
      </c>
      <c r="I421" s="0" t="e">
        <f aca="false">G421=H421</f>
        <v>#VALUE!</v>
      </c>
    </row>
    <row r="422" customFormat="false" ht="16.5" hidden="true" customHeight="false" outlineLevel="0" collapsed="false">
      <c r="A422" s="6" t="s">
        <v>421</v>
      </c>
      <c r="B422" s="7" t="n">
        <v>4</v>
      </c>
      <c r="C422" s="0" t="e">
        <f aca="false">VLOOKUP(A:A,#REF!,2,0)</f>
        <v>#VALUE!</v>
      </c>
      <c r="D422" s="0" t="e">
        <f aca="false">GETPIVOTDATA("機型",$A$3,"門市","七堵")=C422</f>
        <v>#VALUE!</v>
      </c>
      <c r="F422" s="0" t="s">
        <v>421</v>
      </c>
      <c r="G422" s="0" t="n">
        <v>4</v>
      </c>
      <c r="H422" s="0" t="e">
        <f aca="false">VLOOKUP(F:F,#REF!,2,0)</f>
        <v>#VALUE!</v>
      </c>
      <c r="I422" s="0" t="e">
        <f aca="false">G422=H422</f>
        <v>#VALUE!</v>
      </c>
    </row>
    <row r="423" customFormat="false" ht="16.5" hidden="true" customHeight="false" outlineLevel="0" collapsed="false">
      <c r="A423" s="6" t="s">
        <v>422</v>
      </c>
      <c r="B423" s="7" t="n">
        <v>3</v>
      </c>
      <c r="C423" s="0" t="e">
        <f aca="false">VLOOKUP(A:A,#REF!,2,0)</f>
        <v>#VALUE!</v>
      </c>
      <c r="D423" s="0" t="e">
        <f aca="false">GETPIVOTDATA("機型",$A$3,"門市","七堵")=C423</f>
        <v>#VALUE!</v>
      </c>
      <c r="F423" s="0" t="s">
        <v>422</v>
      </c>
      <c r="G423" s="0" t="n">
        <v>3</v>
      </c>
      <c r="H423" s="0" t="e">
        <f aca="false">VLOOKUP(F:F,#REF!,2,0)</f>
        <v>#VALUE!</v>
      </c>
      <c r="I423" s="0" t="e">
        <f aca="false">G423=H423</f>
        <v>#VALUE!</v>
      </c>
    </row>
    <row r="424" customFormat="false" ht="16.5" hidden="true" customHeight="false" outlineLevel="0" collapsed="false">
      <c r="A424" s="6" t="s">
        <v>423</v>
      </c>
      <c r="B424" s="7" t="n">
        <v>9</v>
      </c>
      <c r="C424" s="0" t="e">
        <f aca="false">VLOOKUP(A:A,#REF!,2,0)</f>
        <v>#VALUE!</v>
      </c>
      <c r="D424" s="0" t="e">
        <f aca="false">GETPIVOTDATA("機型",$A$3,"門市","七堵")=C424</f>
        <v>#VALUE!</v>
      </c>
      <c r="F424" s="0" t="s">
        <v>423</v>
      </c>
      <c r="G424" s="0" t="n">
        <v>9</v>
      </c>
      <c r="H424" s="0" t="e">
        <f aca="false">VLOOKUP(F:F,#REF!,2,0)</f>
        <v>#VALUE!</v>
      </c>
      <c r="I424" s="0" t="e">
        <f aca="false">G424=H424</f>
        <v>#VALUE!</v>
      </c>
    </row>
    <row r="425" customFormat="false" ht="16.5" hidden="true" customHeight="false" outlineLevel="0" collapsed="false">
      <c r="A425" s="6" t="s">
        <v>424</v>
      </c>
      <c r="B425" s="7" t="n">
        <v>3</v>
      </c>
      <c r="C425" s="0" t="n">
        <v>3</v>
      </c>
      <c r="D425" s="0" t="n">
        <f aca="false">GETPIVOTDATA("機型",$A$3,"門市","七堵")=C425</f>
        <v>0</v>
      </c>
      <c r="F425" s="0" t="s">
        <v>424</v>
      </c>
      <c r="G425" s="0" t="n">
        <v>3</v>
      </c>
      <c r="H425" s="0" t="n">
        <v>3</v>
      </c>
      <c r="I425" s="0" t="n">
        <f aca="false">G425=H425</f>
        <v>1</v>
      </c>
    </row>
    <row r="426" customFormat="false" ht="16.5" hidden="true" customHeight="false" outlineLevel="0" collapsed="false">
      <c r="A426" s="6" t="s">
        <v>425</v>
      </c>
      <c r="B426" s="7" t="n">
        <v>1</v>
      </c>
      <c r="C426" s="0" t="e">
        <f aca="false">VLOOKUP(A:A,#REF!,2,0)</f>
        <v>#VALUE!</v>
      </c>
      <c r="D426" s="0" t="e">
        <f aca="false">GETPIVOTDATA("機型",$A$3,"門市","七堵")=C426</f>
        <v>#VALUE!</v>
      </c>
      <c r="F426" s="0" t="s">
        <v>425</v>
      </c>
      <c r="G426" s="0" t="n">
        <v>1</v>
      </c>
      <c r="H426" s="0" t="e">
        <f aca="false">VLOOKUP(F:F,#REF!,2,0)</f>
        <v>#VALUE!</v>
      </c>
      <c r="I426" s="0" t="e">
        <f aca="false">G426=H426</f>
        <v>#VALUE!</v>
      </c>
    </row>
    <row r="427" customFormat="false" ht="16.5" hidden="true" customHeight="false" outlineLevel="0" collapsed="false">
      <c r="A427" s="6" t="s">
        <v>426</v>
      </c>
      <c r="B427" s="9" t="n">
        <v>2</v>
      </c>
      <c r="C427" s="0" t="e">
        <f aca="false">VLOOKUP(A:A,#REF!,2,0)</f>
        <v>#VALUE!</v>
      </c>
      <c r="D427" s="0" t="e">
        <f aca="false">GETPIVOTDATA("機型",$A$3,"門市","七堵")=C427</f>
        <v>#VALUE!</v>
      </c>
      <c r="F427" s="0" t="s">
        <v>426</v>
      </c>
      <c r="G427" s="0" t="n">
        <v>2</v>
      </c>
      <c r="H427" s="0" t="e">
        <f aca="false">VLOOKUP(F:F,#REF!,2,0)</f>
        <v>#VALUE!</v>
      </c>
      <c r="I427" s="0" t="e">
        <f aca="false">G427=H427</f>
        <v>#VALUE!</v>
      </c>
    </row>
    <row r="428" customFormat="false" ht="16.5" hidden="false" customHeight="false" outlineLevel="0" collapsed="false">
      <c r="A428" s="10" t="s">
        <v>427</v>
      </c>
      <c r="B428" s="11" t="n">
        <v>1968</v>
      </c>
      <c r="C428" s="0" t="e">
        <f aca="false">VLOOKUP(A:A,#REF!,2,0)</f>
        <v>#VALUE!</v>
      </c>
      <c r="D428" s="0" t="e">
        <f aca="false">GETPIVOTDATA("機型",$A$3,"門市","七堵")=C428</f>
        <v>#VALUE!</v>
      </c>
      <c r="F428" s="0" t="s">
        <v>428</v>
      </c>
      <c r="G428" s="0" t="n">
        <v>1969</v>
      </c>
      <c r="H428" s="0" t="e">
        <f aca="false">VLOOKUP(F:F,#REF!,2,0)</f>
        <v>#VALUE!</v>
      </c>
      <c r="I428" s="0" t="e">
        <f aca="false">G428=H428</f>
        <v>#VALUE!</v>
      </c>
    </row>
  </sheetData>
  <autoFilter ref="F3:I428">
    <filterColumn colId="3">
      <filters>
        <filter val="FALS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00000"/>
    <pageSetUpPr fitToPage="false"/>
  </sheetPr>
  <dimension ref="A1:AE1997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E22" activeCellId="0" sqref="E22"/>
    </sheetView>
  </sheetViews>
  <sheetFormatPr defaultColWidth="8.61328125" defaultRowHeight="16.5" zeroHeight="false" outlineLevelRow="0" outlineLevelCol="0"/>
  <cols>
    <col collapsed="false" customWidth="true" hidden="false" outlineLevel="0" max="1" min="1" style="12" width="8"/>
    <col collapsed="false" customWidth="true" hidden="false" outlineLevel="0" max="2" min="2" style="12" width="6.5"/>
    <col collapsed="false" customWidth="true" hidden="false" outlineLevel="0" max="3" min="3" style="12" width="15.71"/>
    <col collapsed="false" customWidth="true" hidden="false" outlineLevel="0" max="4" min="4" style="0" width="7"/>
    <col collapsed="false" customWidth="true" hidden="false" outlineLevel="0" max="5" min="5" style="0" width="9.88"/>
    <col collapsed="false" customWidth="true" hidden="false" outlineLevel="0" max="6" min="6" style="0" width="22.5"/>
    <col collapsed="false" customWidth="true" hidden="false" outlineLevel="0" max="7" min="7" style="0" width="16"/>
    <col collapsed="false" customWidth="true" hidden="false" outlineLevel="0" max="8" min="8" style="0" width="10.89"/>
    <col collapsed="false" customWidth="true" hidden="false" outlineLevel="0" max="9" min="9" style="0" width="20.5"/>
    <col collapsed="false" customWidth="true" hidden="false" outlineLevel="0" max="10" min="10" style="0" width="26.89"/>
    <col collapsed="false" customWidth="true" hidden="false" outlineLevel="0" max="11" min="11" style="0" width="17.25"/>
    <col collapsed="false" customWidth="true" hidden="false" outlineLevel="0" max="12" min="12" style="13" width="14"/>
    <col collapsed="false" customWidth="true" hidden="false" outlineLevel="0" max="13" min="13" style="0" width="12.13"/>
    <col collapsed="false" customWidth="true" hidden="false" outlineLevel="0" max="15" min="14" style="0" width="14.14"/>
    <col collapsed="false" customWidth="true" hidden="false" outlineLevel="0" max="16" min="16" style="0" width="22.75"/>
    <col collapsed="false" customWidth="true" hidden="false" outlineLevel="0" max="17" min="17" style="0" width="20.88"/>
    <col collapsed="false" customWidth="true" hidden="false" outlineLevel="0" max="18" min="18" style="0" width="16.38"/>
    <col collapsed="false" customWidth="true" hidden="false" outlineLevel="0" max="19" min="19" style="14" width="16.38"/>
    <col collapsed="false" customWidth="true" hidden="false" outlineLevel="0" max="20" min="20" style="0" width="20.88"/>
    <col collapsed="false" customWidth="true" hidden="false" outlineLevel="0" max="22" min="21" style="0" width="12.13"/>
    <col collapsed="false" customWidth="true" hidden="false" outlineLevel="0" max="23" min="23" style="0" width="14.14"/>
    <col collapsed="false" customWidth="true" hidden="false" outlineLevel="0" max="24" min="24" style="0" width="20.13"/>
    <col collapsed="false" customWidth="true" hidden="false" outlineLevel="0" max="25" min="25" style="0" width="20.88"/>
    <col collapsed="false" customWidth="true" hidden="false" outlineLevel="0" max="27" min="26" style="0" width="16.38"/>
    <col collapsed="false" customWidth="true" hidden="false" outlineLevel="0" max="28" min="28" style="0" width="20.88"/>
    <col collapsed="false" customWidth="true" hidden="false" outlineLevel="0" max="29" min="29" style="15" width="46.75"/>
    <col collapsed="false" customWidth="true" hidden="false" outlineLevel="0" max="30" min="30" style="16" width="14.14"/>
    <col collapsed="false" customWidth="true" hidden="false" outlineLevel="0" max="31" min="31" style="17" width="12"/>
  </cols>
  <sheetData>
    <row r="1" customFormat="false" ht="16.5" hidden="false" customHeight="true" outlineLevel="0" collapsed="false">
      <c r="A1" s="18" t="s">
        <v>429</v>
      </c>
      <c r="B1" s="18" t="s">
        <v>430</v>
      </c>
      <c r="C1" s="18" t="s">
        <v>431</v>
      </c>
      <c r="D1" s="18" t="s">
        <v>432</v>
      </c>
      <c r="E1" s="18" t="s">
        <v>433</v>
      </c>
      <c r="F1" s="18" t="s">
        <v>434</v>
      </c>
      <c r="G1" s="18" t="s">
        <v>435</v>
      </c>
      <c r="H1" s="18" t="s">
        <v>436</v>
      </c>
      <c r="I1" s="18" t="s">
        <v>0</v>
      </c>
      <c r="J1" s="18" t="s">
        <v>437</v>
      </c>
      <c r="K1" s="18" t="s">
        <v>438</v>
      </c>
      <c r="L1" s="19" t="s">
        <v>439</v>
      </c>
      <c r="M1" s="20" t="s">
        <v>440</v>
      </c>
      <c r="N1" s="20" t="s">
        <v>441</v>
      </c>
      <c r="O1" s="20" t="s">
        <v>442</v>
      </c>
      <c r="P1" s="20" t="s">
        <v>443</v>
      </c>
      <c r="Q1" s="20" t="s">
        <v>444</v>
      </c>
      <c r="R1" s="20" t="s">
        <v>445</v>
      </c>
      <c r="S1" s="21" t="s">
        <v>446</v>
      </c>
      <c r="T1" s="22" t="s">
        <v>447</v>
      </c>
      <c r="U1" s="20" t="s">
        <v>440</v>
      </c>
      <c r="V1" s="20" t="s">
        <v>441</v>
      </c>
      <c r="W1" s="20" t="s">
        <v>442</v>
      </c>
      <c r="X1" s="20" t="s">
        <v>443</v>
      </c>
      <c r="Y1" s="20" t="s">
        <v>444</v>
      </c>
      <c r="Z1" s="20" t="s">
        <v>448</v>
      </c>
      <c r="AA1" s="22" t="s">
        <v>449</v>
      </c>
      <c r="AB1" s="22" t="s">
        <v>450</v>
      </c>
      <c r="AC1" s="23" t="s">
        <v>451</v>
      </c>
      <c r="AD1" s="24" t="s">
        <v>452</v>
      </c>
      <c r="AE1" s="24"/>
    </row>
    <row r="2" customFormat="false" ht="63" hidden="false" customHeight="tru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20"/>
      <c r="N2" s="20"/>
      <c r="O2" s="20"/>
      <c r="P2" s="20"/>
      <c r="Q2" s="20"/>
      <c r="R2" s="20"/>
      <c r="S2" s="21"/>
      <c r="T2" s="22"/>
      <c r="U2" s="20"/>
      <c r="V2" s="20"/>
      <c r="W2" s="20"/>
      <c r="X2" s="20"/>
      <c r="Y2" s="20"/>
      <c r="Z2" s="20"/>
      <c r="AA2" s="22"/>
      <c r="AB2" s="22"/>
      <c r="AC2" s="23"/>
      <c r="AD2" s="25" t="s">
        <v>453</v>
      </c>
      <c r="AE2" s="26" t="s">
        <v>454</v>
      </c>
    </row>
    <row r="3" customFormat="false" ht="16.5" hidden="false" customHeight="true" outlineLevel="0" collapsed="false">
      <c r="A3" s="27" t="n">
        <f aca="false">ROW(A1)</f>
        <v>1</v>
      </c>
      <c r="B3" s="27" t="s">
        <v>455</v>
      </c>
      <c r="C3" s="28" t="n">
        <v>1</v>
      </c>
      <c r="D3" s="29" t="n">
        <v>5</v>
      </c>
      <c r="E3" s="28" t="s">
        <v>456</v>
      </c>
      <c r="F3" s="30" t="s">
        <v>457</v>
      </c>
      <c r="G3" s="31" t="s">
        <v>458</v>
      </c>
      <c r="H3" s="31" t="s">
        <v>459</v>
      </c>
      <c r="I3" s="32" t="s">
        <v>123</v>
      </c>
      <c r="J3" s="28" t="s">
        <v>460</v>
      </c>
      <c r="K3" s="33" t="s">
        <v>461</v>
      </c>
      <c r="L3" s="34" t="n">
        <v>45779</v>
      </c>
      <c r="M3" s="32" t="n">
        <v>236</v>
      </c>
      <c r="N3" s="32" t="n">
        <v>288</v>
      </c>
      <c r="O3" s="31" t="n">
        <v>52</v>
      </c>
      <c r="P3" s="31" t="n">
        <v>50</v>
      </c>
      <c r="Q3" s="31"/>
      <c r="R3" s="35" t="n">
        <f aca="false">合約與計費!$D$4</f>
        <v>0.296</v>
      </c>
      <c r="S3" s="36" t="n">
        <f aca="false">ROUND(P3*R3,0)</f>
        <v>15</v>
      </c>
      <c r="T3" s="37"/>
      <c r="U3" s="31" t="n">
        <v>845</v>
      </c>
      <c r="V3" s="31" t="n">
        <v>1084</v>
      </c>
      <c r="W3" s="31" t="n">
        <v>239</v>
      </c>
      <c r="X3" s="31" t="n">
        <v>232</v>
      </c>
      <c r="Y3" s="31"/>
      <c r="Z3" s="38" t="n">
        <f aca="false">合約與計費!$E$4</f>
        <v>2.8</v>
      </c>
      <c r="AA3" s="39" t="n">
        <f aca="false">ROUND(X3*Z3,0)</f>
        <v>650</v>
      </c>
      <c r="AB3" s="40"/>
      <c r="AC3" s="41"/>
      <c r="AD3" s="42"/>
      <c r="AE3" s="43"/>
    </row>
    <row r="4" customFormat="false" ht="16.5" hidden="false" customHeight="true" outlineLevel="0" collapsed="false">
      <c r="A4" s="44" t="n">
        <f aca="false">ROW(A2)</f>
        <v>2</v>
      </c>
      <c r="B4" s="44" t="s">
        <v>462</v>
      </c>
      <c r="C4" s="45" t="n">
        <v>1</v>
      </c>
      <c r="D4" s="29"/>
      <c r="E4" s="45" t="s">
        <v>463</v>
      </c>
      <c r="F4" s="46" t="s">
        <v>457</v>
      </c>
      <c r="G4" s="47" t="s">
        <v>458</v>
      </c>
      <c r="H4" s="47" t="s">
        <v>459</v>
      </c>
      <c r="I4" s="47" t="s">
        <v>123</v>
      </c>
      <c r="J4" s="45" t="s">
        <v>464</v>
      </c>
      <c r="K4" s="48" t="s">
        <v>465</v>
      </c>
      <c r="L4" s="49" t="n">
        <v>45779</v>
      </c>
      <c r="M4" s="47" t="n">
        <v>1249</v>
      </c>
      <c r="N4" s="47" t="n">
        <v>1949</v>
      </c>
      <c r="O4" s="47" t="n">
        <v>700</v>
      </c>
      <c r="P4" s="47" t="n">
        <v>679</v>
      </c>
      <c r="Q4" s="47"/>
      <c r="R4" s="50" t="n">
        <f aca="false">合約與計費!$D$4</f>
        <v>0.296</v>
      </c>
      <c r="S4" s="51" t="n">
        <f aca="false">ROUND(P4*R4,0)</f>
        <v>201</v>
      </c>
      <c r="T4" s="52"/>
      <c r="U4" s="47"/>
      <c r="V4" s="47"/>
      <c r="W4" s="53"/>
      <c r="X4" s="47"/>
      <c r="Y4" s="47"/>
      <c r="Z4" s="54"/>
      <c r="AA4" s="55"/>
      <c r="AB4" s="56"/>
      <c r="AC4" s="57"/>
      <c r="AD4" s="42" t="n">
        <v>0.0548</v>
      </c>
      <c r="AE4" s="43" t="n">
        <v>0.2</v>
      </c>
    </row>
    <row r="5" customFormat="false" ht="16.5" hidden="false" customHeight="true" outlineLevel="0" collapsed="false">
      <c r="A5" s="44" t="n">
        <f aca="false">ROW(A3)</f>
        <v>3</v>
      </c>
      <c r="B5" s="44" t="s">
        <v>466</v>
      </c>
      <c r="C5" s="47" t="n">
        <v>1</v>
      </c>
      <c r="D5" s="29"/>
      <c r="E5" s="45" t="s">
        <v>467</v>
      </c>
      <c r="F5" s="46" t="s">
        <v>457</v>
      </c>
      <c r="G5" s="47" t="s">
        <v>458</v>
      </c>
      <c r="H5" s="47" t="s">
        <v>459</v>
      </c>
      <c r="I5" s="47" t="s">
        <v>123</v>
      </c>
      <c r="J5" s="45" t="s">
        <v>464</v>
      </c>
      <c r="K5" s="48" t="s">
        <v>468</v>
      </c>
      <c r="L5" s="49" t="n">
        <v>45779</v>
      </c>
      <c r="M5" s="47" t="n">
        <v>1788</v>
      </c>
      <c r="N5" s="47" t="n">
        <v>2031</v>
      </c>
      <c r="O5" s="47" t="n">
        <v>243</v>
      </c>
      <c r="P5" s="47" t="n">
        <v>236</v>
      </c>
      <c r="Q5" s="47"/>
      <c r="R5" s="50" t="n">
        <f aca="false">合約與計費!$D$4</f>
        <v>0.296</v>
      </c>
      <c r="S5" s="51" t="n">
        <f aca="false">ROUND(P5*R5,0)</f>
        <v>70</v>
      </c>
      <c r="T5" s="52"/>
      <c r="U5" s="47"/>
      <c r="V5" s="47"/>
      <c r="W5" s="53"/>
      <c r="X5" s="47"/>
      <c r="Y5" s="47"/>
      <c r="Z5" s="54"/>
      <c r="AA5" s="55"/>
      <c r="AB5" s="58"/>
      <c r="AC5" s="57"/>
      <c r="AD5" s="42" t="n">
        <v>0.0577</v>
      </c>
      <c r="AE5" s="43" t="n">
        <v>0.1</v>
      </c>
    </row>
    <row r="6" customFormat="false" ht="16.5" hidden="false" customHeight="true" outlineLevel="0" collapsed="false">
      <c r="A6" s="44" t="n">
        <f aca="false">ROW(A4)</f>
        <v>4</v>
      </c>
      <c r="B6" s="44" t="s">
        <v>469</v>
      </c>
      <c r="C6" s="47" t="n">
        <v>1</v>
      </c>
      <c r="D6" s="29"/>
      <c r="E6" s="45" t="s">
        <v>470</v>
      </c>
      <c r="F6" s="46" t="s">
        <v>457</v>
      </c>
      <c r="G6" s="47" t="s">
        <v>458</v>
      </c>
      <c r="H6" s="47" t="s">
        <v>459</v>
      </c>
      <c r="I6" s="47" t="s">
        <v>123</v>
      </c>
      <c r="J6" s="45" t="s">
        <v>471</v>
      </c>
      <c r="K6" s="48" t="s">
        <v>472</v>
      </c>
      <c r="L6" s="49" t="n">
        <v>45779</v>
      </c>
      <c r="M6" s="47" t="n">
        <v>617</v>
      </c>
      <c r="N6" s="47" t="n">
        <v>1377</v>
      </c>
      <c r="O6" s="47" t="n">
        <v>760</v>
      </c>
      <c r="P6" s="47" t="n">
        <v>737</v>
      </c>
      <c r="Q6" s="47"/>
      <c r="R6" s="50" t="n">
        <f aca="false">合約與計費!$D$4</f>
        <v>0.296</v>
      </c>
      <c r="S6" s="51" t="n">
        <f aca="false">ROUND(P6*R6,0)</f>
        <v>218</v>
      </c>
      <c r="T6" s="52"/>
      <c r="U6" s="47"/>
      <c r="V6" s="47"/>
      <c r="W6" s="53"/>
      <c r="X6" s="47"/>
      <c r="Y6" s="47"/>
      <c r="Z6" s="54"/>
      <c r="AA6" s="55"/>
      <c r="AB6" s="56"/>
      <c r="AC6" s="57"/>
      <c r="AD6" s="42" t="n">
        <v>0.0804</v>
      </c>
      <c r="AE6" s="43" t="n">
        <v>0.1</v>
      </c>
    </row>
    <row r="7" customFormat="false" ht="16.5" hidden="false" customHeight="true" outlineLevel="0" collapsed="false">
      <c r="A7" s="44" t="n">
        <f aca="false">ROW(A5)</f>
        <v>5</v>
      </c>
      <c r="B7" s="44" t="s">
        <v>473</v>
      </c>
      <c r="C7" s="47" t="n">
        <v>1</v>
      </c>
      <c r="D7" s="29"/>
      <c r="E7" s="45" t="s">
        <v>474</v>
      </c>
      <c r="F7" s="46" t="s">
        <v>457</v>
      </c>
      <c r="G7" s="47" t="s">
        <v>458</v>
      </c>
      <c r="H7" s="47" t="s">
        <v>459</v>
      </c>
      <c r="I7" s="47" t="s">
        <v>123</v>
      </c>
      <c r="J7" s="45" t="s">
        <v>471</v>
      </c>
      <c r="K7" s="48" t="s">
        <v>475</v>
      </c>
      <c r="L7" s="49" t="n">
        <v>45779</v>
      </c>
      <c r="M7" s="47" t="n">
        <v>9824</v>
      </c>
      <c r="N7" s="47" t="n">
        <v>11610</v>
      </c>
      <c r="O7" s="47" t="n">
        <v>1786</v>
      </c>
      <c r="P7" s="47" t="n">
        <v>1732</v>
      </c>
      <c r="Q7" s="47"/>
      <c r="R7" s="50" t="n">
        <f aca="false">合約與計費!$D$4</f>
        <v>0.296</v>
      </c>
      <c r="S7" s="51" t="n">
        <f aca="false">ROUND(P7*R7,0)</f>
        <v>513</v>
      </c>
      <c r="T7" s="52"/>
      <c r="U7" s="47"/>
      <c r="V7" s="47"/>
      <c r="W7" s="53"/>
      <c r="X7" s="47"/>
      <c r="Y7" s="47"/>
      <c r="Z7" s="54"/>
      <c r="AA7" s="55"/>
      <c r="AB7" s="56"/>
      <c r="AC7" s="57"/>
      <c r="AD7" s="42" t="n">
        <v>0.0793</v>
      </c>
      <c r="AE7" s="43" t="n">
        <v>0.1</v>
      </c>
    </row>
    <row r="8" customFormat="false" ht="16.5" hidden="false" customHeight="true" outlineLevel="0" collapsed="false">
      <c r="A8" s="44" t="n">
        <f aca="false">ROW(A6)</f>
        <v>6</v>
      </c>
      <c r="B8" s="44" t="s">
        <v>476</v>
      </c>
      <c r="C8" s="47" t="n">
        <v>1</v>
      </c>
      <c r="D8" s="29"/>
      <c r="E8" s="45" t="s">
        <v>477</v>
      </c>
      <c r="F8" s="46" t="s">
        <v>457</v>
      </c>
      <c r="G8" s="47" t="s">
        <v>458</v>
      </c>
      <c r="H8" s="47" t="s">
        <v>459</v>
      </c>
      <c r="I8" s="47" t="s">
        <v>123</v>
      </c>
      <c r="J8" s="45" t="s">
        <v>471</v>
      </c>
      <c r="K8" s="48" t="s">
        <v>478</v>
      </c>
      <c r="L8" s="49" t="n">
        <v>45779</v>
      </c>
      <c r="M8" s="47" t="n">
        <v>5363</v>
      </c>
      <c r="N8" s="47" t="n">
        <v>6779</v>
      </c>
      <c r="O8" s="47" t="n">
        <v>1416</v>
      </c>
      <c r="P8" s="47" t="n">
        <v>1374</v>
      </c>
      <c r="Q8" s="47"/>
      <c r="R8" s="50" t="n">
        <f aca="false">合約與計費!$D$4</f>
        <v>0.296</v>
      </c>
      <c r="S8" s="51" t="n">
        <f aca="false">ROUND(P8*R8,0)</f>
        <v>407</v>
      </c>
      <c r="T8" s="52"/>
      <c r="U8" s="47"/>
      <c r="V8" s="47"/>
      <c r="W8" s="53"/>
      <c r="X8" s="47"/>
      <c r="Y8" s="47"/>
      <c r="Z8" s="54"/>
      <c r="AA8" s="55"/>
      <c r="AB8" s="56"/>
      <c r="AC8" s="57"/>
      <c r="AD8" s="42" t="n">
        <v>0.1144</v>
      </c>
      <c r="AE8" s="43" t="n">
        <v>0.5</v>
      </c>
    </row>
    <row r="9" customFormat="false" ht="16.5" hidden="false" customHeight="true" outlineLevel="0" collapsed="false">
      <c r="A9" s="44" t="n">
        <f aca="false">ROW(A7)</f>
        <v>7</v>
      </c>
      <c r="B9" s="44" t="s">
        <v>479</v>
      </c>
      <c r="C9" s="47" t="n">
        <v>1</v>
      </c>
      <c r="D9" s="29"/>
      <c r="E9" s="45" t="s">
        <v>480</v>
      </c>
      <c r="F9" s="46" t="s">
        <v>457</v>
      </c>
      <c r="G9" s="47" t="s">
        <v>458</v>
      </c>
      <c r="H9" s="47" t="s">
        <v>459</v>
      </c>
      <c r="I9" s="47" t="s">
        <v>123</v>
      </c>
      <c r="J9" s="45" t="s">
        <v>471</v>
      </c>
      <c r="K9" s="48" t="s">
        <v>481</v>
      </c>
      <c r="L9" s="49" t="n">
        <v>45779</v>
      </c>
      <c r="M9" s="47" t="n">
        <v>4966</v>
      </c>
      <c r="N9" s="47" t="n">
        <v>6611</v>
      </c>
      <c r="O9" s="47" t="n">
        <v>1645</v>
      </c>
      <c r="P9" s="47" t="n">
        <v>1596</v>
      </c>
      <c r="Q9" s="47"/>
      <c r="R9" s="50" t="n">
        <f aca="false">合約與計費!$D$4</f>
        <v>0.296</v>
      </c>
      <c r="S9" s="51" t="n">
        <f aca="false">ROUND(P9*R9,0)</f>
        <v>472</v>
      </c>
      <c r="T9" s="52"/>
      <c r="U9" s="47"/>
      <c r="V9" s="47"/>
      <c r="W9" s="53"/>
      <c r="X9" s="47"/>
      <c r="Y9" s="47"/>
      <c r="Z9" s="54"/>
      <c r="AA9" s="55"/>
      <c r="AB9" s="56"/>
      <c r="AC9" s="57"/>
      <c r="AD9" s="42" t="n">
        <v>0.0955</v>
      </c>
      <c r="AE9" s="43" t="n">
        <v>0.6</v>
      </c>
    </row>
    <row r="10" customFormat="false" ht="16.5" hidden="false" customHeight="true" outlineLevel="0" collapsed="false">
      <c r="A10" s="44" t="n">
        <f aca="false">ROW(A8)</f>
        <v>8</v>
      </c>
      <c r="B10" s="44" t="s">
        <v>482</v>
      </c>
      <c r="C10" s="47" t="n">
        <v>1</v>
      </c>
      <c r="D10" s="29"/>
      <c r="E10" s="45" t="s">
        <v>483</v>
      </c>
      <c r="F10" s="46" t="s">
        <v>457</v>
      </c>
      <c r="G10" s="47" t="s">
        <v>458</v>
      </c>
      <c r="H10" s="47" t="s">
        <v>459</v>
      </c>
      <c r="I10" s="47" t="s">
        <v>123</v>
      </c>
      <c r="J10" s="45" t="s">
        <v>471</v>
      </c>
      <c r="K10" s="48" t="s">
        <v>484</v>
      </c>
      <c r="L10" s="49" t="n">
        <v>45779</v>
      </c>
      <c r="M10" s="47" t="n">
        <v>282</v>
      </c>
      <c r="N10" s="47" t="n">
        <v>410</v>
      </c>
      <c r="O10" s="47" t="n">
        <v>128</v>
      </c>
      <c r="P10" s="47" t="n">
        <v>124</v>
      </c>
      <c r="Q10" s="47"/>
      <c r="R10" s="50" t="n">
        <f aca="false">合約與計費!$D$4</f>
        <v>0.296</v>
      </c>
      <c r="S10" s="51" t="n">
        <f aca="false">ROUND(P10*R10,0)</f>
        <v>37</v>
      </c>
      <c r="T10" s="52"/>
      <c r="U10" s="47"/>
      <c r="V10" s="47"/>
      <c r="W10" s="53"/>
      <c r="X10" s="47"/>
      <c r="Y10" s="47"/>
      <c r="Z10" s="54"/>
      <c r="AA10" s="55"/>
      <c r="AB10" s="56"/>
      <c r="AC10" s="57"/>
      <c r="AD10" s="42" t="n">
        <v>0.0976</v>
      </c>
      <c r="AE10" s="43" t="n">
        <v>0.8</v>
      </c>
    </row>
    <row r="11" customFormat="false" ht="16.5" hidden="false" customHeight="true" outlineLevel="0" collapsed="false">
      <c r="A11" s="44" t="n">
        <f aca="false">ROW(A9)</f>
        <v>9</v>
      </c>
      <c r="B11" s="44" t="s">
        <v>485</v>
      </c>
      <c r="C11" s="47" t="n">
        <v>1</v>
      </c>
      <c r="D11" s="29"/>
      <c r="E11" s="45" t="s">
        <v>486</v>
      </c>
      <c r="F11" s="46" t="s">
        <v>457</v>
      </c>
      <c r="G11" s="47" t="s">
        <v>458</v>
      </c>
      <c r="H11" s="47" t="s">
        <v>459</v>
      </c>
      <c r="I11" s="47" t="s">
        <v>123</v>
      </c>
      <c r="J11" s="45" t="s">
        <v>471</v>
      </c>
      <c r="K11" s="48" t="s">
        <v>487</v>
      </c>
      <c r="L11" s="49" t="n">
        <v>45779</v>
      </c>
      <c r="M11" s="47" t="n">
        <v>3837</v>
      </c>
      <c r="N11" s="47" t="n">
        <v>5182</v>
      </c>
      <c r="O11" s="47" t="n">
        <v>1345</v>
      </c>
      <c r="P11" s="47" t="n">
        <v>1305</v>
      </c>
      <c r="Q11" s="47"/>
      <c r="R11" s="50" t="n">
        <f aca="false">合約與計費!$D$4</f>
        <v>0.296</v>
      </c>
      <c r="S11" s="51" t="n">
        <f aca="false">ROUND(P11*R11,0)</f>
        <v>386</v>
      </c>
      <c r="T11" s="52"/>
      <c r="U11" s="47"/>
      <c r="V11" s="47"/>
      <c r="W11" s="53"/>
      <c r="X11" s="47"/>
      <c r="Y11" s="47"/>
      <c r="Z11" s="54"/>
      <c r="AA11" s="55"/>
      <c r="AB11" s="56"/>
      <c r="AC11" s="57"/>
      <c r="AD11" s="42" t="n">
        <v>0.0873</v>
      </c>
      <c r="AE11" s="43" t="n">
        <v>0.1</v>
      </c>
    </row>
    <row r="12" customFormat="false" ht="16.5" hidden="false" customHeight="true" outlineLevel="0" collapsed="false">
      <c r="A12" s="44" t="n">
        <f aca="false">ROW(A10)</f>
        <v>10</v>
      </c>
      <c r="B12" s="44" t="n">
        <v>10</v>
      </c>
      <c r="C12" s="47" t="n">
        <v>1</v>
      </c>
      <c r="D12" s="29"/>
      <c r="E12" s="45" t="s">
        <v>488</v>
      </c>
      <c r="F12" s="46" t="s">
        <v>457</v>
      </c>
      <c r="G12" s="47" t="s">
        <v>458</v>
      </c>
      <c r="H12" s="47" t="s">
        <v>459</v>
      </c>
      <c r="I12" s="47" t="s">
        <v>123</v>
      </c>
      <c r="J12" s="45" t="s">
        <v>471</v>
      </c>
      <c r="K12" s="48" t="s">
        <v>489</v>
      </c>
      <c r="L12" s="49" t="n">
        <v>45779</v>
      </c>
      <c r="M12" s="47" t="n">
        <v>4777</v>
      </c>
      <c r="N12" s="47" t="n">
        <v>5804</v>
      </c>
      <c r="O12" s="47" t="n">
        <v>1027</v>
      </c>
      <c r="P12" s="47" t="n">
        <v>996</v>
      </c>
      <c r="Q12" s="47"/>
      <c r="R12" s="50" t="n">
        <f aca="false">合約與計費!$D$4</f>
        <v>0.296</v>
      </c>
      <c r="S12" s="51" t="n">
        <f aca="false">ROUND(P12*R12,0)</f>
        <v>295</v>
      </c>
      <c r="T12" s="52"/>
      <c r="U12" s="47"/>
      <c r="V12" s="47"/>
      <c r="W12" s="53"/>
      <c r="X12" s="47"/>
      <c r="Y12" s="47"/>
      <c r="Z12" s="54"/>
      <c r="AA12" s="55"/>
      <c r="AB12" s="56"/>
      <c r="AC12" s="57"/>
      <c r="AD12" s="42" t="n">
        <v>0.101</v>
      </c>
      <c r="AE12" s="43" t="n">
        <v>0.9</v>
      </c>
    </row>
    <row r="13" customFormat="false" ht="16.5" hidden="false" customHeight="true" outlineLevel="0" collapsed="false">
      <c r="A13" s="44" t="n">
        <f aca="false">ROW(A11)</f>
        <v>11</v>
      </c>
      <c r="B13" s="44" t="n">
        <v>11</v>
      </c>
      <c r="C13" s="47" t="n">
        <v>1</v>
      </c>
      <c r="D13" s="29"/>
      <c r="E13" s="45" t="s">
        <v>490</v>
      </c>
      <c r="F13" s="46" t="s">
        <v>457</v>
      </c>
      <c r="G13" s="47" t="s">
        <v>458</v>
      </c>
      <c r="H13" s="47" t="s">
        <v>459</v>
      </c>
      <c r="I13" s="47" t="s">
        <v>123</v>
      </c>
      <c r="J13" s="45" t="s">
        <v>471</v>
      </c>
      <c r="K13" s="48" t="s">
        <v>491</v>
      </c>
      <c r="L13" s="49" t="n">
        <v>45779</v>
      </c>
      <c r="M13" s="47" t="n">
        <v>12624</v>
      </c>
      <c r="N13" s="47" t="n">
        <v>16106</v>
      </c>
      <c r="O13" s="47" t="n">
        <v>3482</v>
      </c>
      <c r="P13" s="47" t="n">
        <v>3378</v>
      </c>
      <c r="Q13" s="47"/>
      <c r="R13" s="50" t="n">
        <f aca="false">合約與計費!$D$4</f>
        <v>0.296</v>
      </c>
      <c r="S13" s="51" t="n">
        <f aca="false">ROUND(P13*R13,0)</f>
        <v>1000</v>
      </c>
      <c r="T13" s="52"/>
      <c r="U13" s="47"/>
      <c r="V13" s="47"/>
      <c r="W13" s="53"/>
      <c r="X13" s="47"/>
      <c r="Y13" s="47"/>
      <c r="Z13" s="54"/>
      <c r="AA13" s="55"/>
      <c r="AB13" s="56"/>
      <c r="AC13" s="57"/>
      <c r="AD13" s="42" t="n">
        <v>0.0813</v>
      </c>
      <c r="AE13" s="43" t="n">
        <v>0.7</v>
      </c>
    </row>
    <row r="14" customFormat="false" ht="16.5" hidden="false" customHeight="true" outlineLevel="0" collapsed="false">
      <c r="A14" s="44" t="n">
        <f aca="false">ROW(A12)</f>
        <v>12</v>
      </c>
      <c r="B14" s="44" t="n">
        <v>12</v>
      </c>
      <c r="C14" s="47" t="n">
        <v>1</v>
      </c>
      <c r="D14" s="29"/>
      <c r="E14" s="45" t="s">
        <v>492</v>
      </c>
      <c r="F14" s="46" t="s">
        <v>457</v>
      </c>
      <c r="G14" s="47" t="s">
        <v>458</v>
      </c>
      <c r="H14" s="47" t="s">
        <v>459</v>
      </c>
      <c r="I14" s="47" t="s">
        <v>123</v>
      </c>
      <c r="J14" s="45" t="s">
        <v>471</v>
      </c>
      <c r="K14" s="48" t="s">
        <v>493</v>
      </c>
      <c r="L14" s="49" t="n">
        <v>45779</v>
      </c>
      <c r="M14" s="47" t="n">
        <v>2214</v>
      </c>
      <c r="N14" s="47" t="n">
        <v>3318</v>
      </c>
      <c r="O14" s="47" t="n">
        <v>1104</v>
      </c>
      <c r="P14" s="47" t="n">
        <v>1071</v>
      </c>
      <c r="Q14" s="47"/>
      <c r="R14" s="50" t="n">
        <f aca="false">合約與計費!$D$4</f>
        <v>0.296</v>
      </c>
      <c r="S14" s="51" t="n">
        <f aca="false">ROUND(P14*R14,0)</f>
        <v>317</v>
      </c>
      <c r="T14" s="52"/>
      <c r="U14" s="47"/>
      <c r="V14" s="47"/>
      <c r="W14" s="53"/>
      <c r="X14" s="47"/>
      <c r="Y14" s="47"/>
      <c r="Z14" s="54"/>
      <c r="AA14" s="55"/>
      <c r="AB14" s="56"/>
      <c r="AC14" s="57"/>
      <c r="AD14" s="42" t="n">
        <v>0.0737</v>
      </c>
      <c r="AE14" s="43" t="n">
        <v>0.9</v>
      </c>
    </row>
    <row r="15" customFormat="false" ht="16.5" hidden="false" customHeight="true" outlineLevel="0" collapsed="false">
      <c r="A15" s="44" t="n">
        <f aca="false">ROW(A13)</f>
        <v>13</v>
      </c>
      <c r="B15" s="44" t="n">
        <v>13</v>
      </c>
      <c r="C15" s="47" t="n">
        <v>1</v>
      </c>
      <c r="D15" s="29"/>
      <c r="E15" s="45" t="s">
        <v>494</v>
      </c>
      <c r="F15" s="46" t="s">
        <v>457</v>
      </c>
      <c r="G15" s="47" t="s">
        <v>458</v>
      </c>
      <c r="H15" s="47" t="s">
        <v>459</v>
      </c>
      <c r="I15" s="47" t="s">
        <v>123</v>
      </c>
      <c r="J15" s="45" t="s">
        <v>471</v>
      </c>
      <c r="K15" s="48" t="s">
        <v>495</v>
      </c>
      <c r="L15" s="49" t="n">
        <v>45779</v>
      </c>
      <c r="M15" s="47" t="n">
        <v>3868</v>
      </c>
      <c r="N15" s="47" t="n">
        <v>4739</v>
      </c>
      <c r="O15" s="47" t="n">
        <v>871</v>
      </c>
      <c r="P15" s="47" t="n">
        <v>845</v>
      </c>
      <c r="Q15" s="47"/>
      <c r="R15" s="50" t="n">
        <f aca="false">合約與計費!$D$4</f>
        <v>0.296</v>
      </c>
      <c r="S15" s="51" t="n">
        <f aca="false">ROUND(P15*R15,0)</f>
        <v>250</v>
      </c>
      <c r="T15" s="52"/>
      <c r="U15" s="47"/>
      <c r="V15" s="47"/>
      <c r="W15" s="53"/>
      <c r="X15" s="47"/>
      <c r="Y15" s="47"/>
      <c r="Z15" s="54"/>
      <c r="AA15" s="55"/>
      <c r="AB15" s="56"/>
      <c r="AC15" s="57"/>
      <c r="AD15" s="42" t="n">
        <v>0.0506</v>
      </c>
      <c r="AE15" s="43" t="n">
        <v>0.8</v>
      </c>
    </row>
    <row r="16" customFormat="false" ht="16.5" hidden="false" customHeight="true" outlineLevel="0" collapsed="false">
      <c r="A16" s="44" t="n">
        <f aca="false">ROW(A14)</f>
        <v>14</v>
      </c>
      <c r="B16" s="44" t="n">
        <v>14</v>
      </c>
      <c r="C16" s="47" t="n">
        <v>1</v>
      </c>
      <c r="D16" s="29"/>
      <c r="E16" s="45" t="s">
        <v>496</v>
      </c>
      <c r="F16" s="46" t="s">
        <v>457</v>
      </c>
      <c r="G16" s="47" t="s">
        <v>458</v>
      </c>
      <c r="H16" s="47" t="s">
        <v>459</v>
      </c>
      <c r="I16" s="47" t="s">
        <v>123</v>
      </c>
      <c r="J16" s="45" t="s">
        <v>471</v>
      </c>
      <c r="K16" s="48" t="s">
        <v>497</v>
      </c>
      <c r="L16" s="49" t="n">
        <v>45779</v>
      </c>
      <c r="M16" s="47" t="n">
        <v>1503</v>
      </c>
      <c r="N16" s="47" t="n">
        <v>2161</v>
      </c>
      <c r="O16" s="47" t="n">
        <v>658</v>
      </c>
      <c r="P16" s="47" t="n">
        <v>638</v>
      </c>
      <c r="Q16" s="47"/>
      <c r="R16" s="50" t="n">
        <f aca="false">合約與計費!$D$4</f>
        <v>0.296</v>
      </c>
      <c r="S16" s="51" t="n">
        <f aca="false">ROUND(P16*R16,0)</f>
        <v>189</v>
      </c>
      <c r="T16" s="52"/>
      <c r="U16" s="47"/>
      <c r="V16" s="47"/>
      <c r="W16" s="53"/>
      <c r="X16" s="47"/>
      <c r="Y16" s="47"/>
      <c r="Z16" s="54"/>
      <c r="AA16" s="55"/>
      <c r="AB16" s="56"/>
      <c r="AC16" s="57"/>
      <c r="AD16" s="42" t="n">
        <v>0.0829</v>
      </c>
      <c r="AE16" s="43" t="n">
        <v>0.7</v>
      </c>
    </row>
    <row r="17" customFormat="false" ht="16.5" hidden="false" customHeight="true" outlineLevel="0" collapsed="false">
      <c r="A17" s="44" t="n">
        <f aca="false">ROW(A15)</f>
        <v>15</v>
      </c>
      <c r="B17" s="44" t="n">
        <v>15</v>
      </c>
      <c r="C17" s="47" t="n">
        <v>1</v>
      </c>
      <c r="D17" s="29"/>
      <c r="E17" s="45" t="s">
        <v>498</v>
      </c>
      <c r="F17" s="46" t="s">
        <v>457</v>
      </c>
      <c r="G17" s="47" t="s">
        <v>458</v>
      </c>
      <c r="H17" s="47" t="s">
        <v>459</v>
      </c>
      <c r="I17" s="47" t="s">
        <v>123</v>
      </c>
      <c r="J17" s="45" t="s">
        <v>471</v>
      </c>
      <c r="K17" s="48" t="s">
        <v>499</v>
      </c>
      <c r="L17" s="49" t="n">
        <v>45779</v>
      </c>
      <c r="M17" s="47" t="n">
        <v>5562</v>
      </c>
      <c r="N17" s="47" t="n">
        <v>7374</v>
      </c>
      <c r="O17" s="47" t="n">
        <v>1812</v>
      </c>
      <c r="P17" s="47" t="n">
        <v>1758</v>
      </c>
      <c r="Q17" s="47"/>
      <c r="R17" s="50" t="n">
        <f aca="false">合約與計費!$D$4</f>
        <v>0.296</v>
      </c>
      <c r="S17" s="51" t="n">
        <f aca="false">ROUND(P17*R17,0)</f>
        <v>520</v>
      </c>
      <c r="T17" s="52"/>
      <c r="U17" s="47"/>
      <c r="V17" s="47"/>
      <c r="W17" s="53"/>
      <c r="X17" s="47"/>
      <c r="Y17" s="47"/>
      <c r="Z17" s="54"/>
      <c r="AA17" s="55"/>
      <c r="AB17" s="56"/>
      <c r="AC17" s="57"/>
      <c r="AD17" s="42" t="n">
        <v>0.1075</v>
      </c>
      <c r="AE17" s="43" t="n">
        <v>0.5</v>
      </c>
    </row>
    <row r="18" customFormat="false" ht="16.5" hidden="false" customHeight="true" outlineLevel="0" collapsed="false">
      <c r="A18" s="44" t="n">
        <f aca="false">ROW(A16)</f>
        <v>16</v>
      </c>
      <c r="B18" s="44" t="n">
        <v>16</v>
      </c>
      <c r="C18" s="47" t="n">
        <v>1</v>
      </c>
      <c r="D18" s="29"/>
      <c r="E18" s="45" t="s">
        <v>500</v>
      </c>
      <c r="F18" s="46" t="s">
        <v>457</v>
      </c>
      <c r="G18" s="47" t="s">
        <v>458</v>
      </c>
      <c r="H18" s="47" t="s">
        <v>459</v>
      </c>
      <c r="I18" s="47" t="s">
        <v>123</v>
      </c>
      <c r="J18" s="45" t="s">
        <v>471</v>
      </c>
      <c r="K18" s="48" t="s">
        <v>501</v>
      </c>
      <c r="L18" s="49" t="n">
        <v>45779</v>
      </c>
      <c r="M18" s="47" t="n">
        <v>3570</v>
      </c>
      <c r="N18" s="47" t="n">
        <v>4738</v>
      </c>
      <c r="O18" s="47" t="n">
        <v>1168</v>
      </c>
      <c r="P18" s="47" t="n">
        <v>1133</v>
      </c>
      <c r="Q18" s="47"/>
      <c r="R18" s="50" t="n">
        <f aca="false">合約與計費!$D$4</f>
        <v>0.296</v>
      </c>
      <c r="S18" s="51" t="n">
        <f aca="false">ROUND(P18*R18,0)</f>
        <v>335</v>
      </c>
      <c r="T18" s="52"/>
      <c r="U18" s="47"/>
      <c r="V18" s="47"/>
      <c r="W18" s="53"/>
      <c r="X18" s="47"/>
      <c r="Y18" s="47"/>
      <c r="Z18" s="54"/>
      <c r="AA18" s="55"/>
      <c r="AB18" s="56"/>
      <c r="AC18" s="57"/>
      <c r="AD18" s="42" t="n">
        <v>0.2639</v>
      </c>
      <c r="AE18" s="43" t="n">
        <v>0.5</v>
      </c>
    </row>
    <row r="19" customFormat="false" ht="16.5" hidden="false" customHeight="true" outlineLevel="0" collapsed="false">
      <c r="A19" s="44" t="n">
        <f aca="false">ROW(A17)</f>
        <v>17</v>
      </c>
      <c r="B19" s="44" t="n">
        <v>17</v>
      </c>
      <c r="C19" s="47" t="n">
        <v>1</v>
      </c>
      <c r="D19" s="29"/>
      <c r="E19" s="45" t="s">
        <v>502</v>
      </c>
      <c r="F19" s="46" t="s">
        <v>457</v>
      </c>
      <c r="G19" s="47" t="s">
        <v>458</v>
      </c>
      <c r="H19" s="47" t="s">
        <v>459</v>
      </c>
      <c r="I19" s="47" t="s">
        <v>123</v>
      </c>
      <c r="J19" s="45" t="s">
        <v>471</v>
      </c>
      <c r="K19" s="48" t="s">
        <v>503</v>
      </c>
      <c r="L19" s="49" t="n">
        <v>45779</v>
      </c>
      <c r="M19" s="47" t="n">
        <v>4672</v>
      </c>
      <c r="N19" s="47" t="n">
        <v>6424</v>
      </c>
      <c r="O19" s="47" t="n">
        <v>1752</v>
      </c>
      <c r="P19" s="47" t="n">
        <v>1699</v>
      </c>
      <c r="Q19" s="47"/>
      <c r="R19" s="50" t="n">
        <f aca="false">合約與計費!$D$4</f>
        <v>0.296</v>
      </c>
      <c r="S19" s="51" t="n">
        <f aca="false">ROUND(P19*R19,0)</f>
        <v>503</v>
      </c>
      <c r="T19" s="52"/>
      <c r="U19" s="47"/>
      <c r="V19" s="47"/>
      <c r="W19" s="53"/>
      <c r="X19" s="47"/>
      <c r="Y19" s="47"/>
      <c r="Z19" s="54"/>
      <c r="AA19" s="55"/>
      <c r="AB19" s="56"/>
      <c r="AC19" s="57"/>
      <c r="AD19" s="42" t="n">
        <v>0.0957</v>
      </c>
      <c r="AE19" s="43" t="n">
        <v>0.6</v>
      </c>
    </row>
    <row r="20" customFormat="false" ht="16.5" hidden="false" customHeight="true" outlineLevel="0" collapsed="false">
      <c r="A20" s="59" t="n">
        <f aca="false">ROW(A18)</f>
        <v>18</v>
      </c>
      <c r="B20" s="59" t="n">
        <v>18</v>
      </c>
      <c r="C20" s="60" t="n">
        <v>1</v>
      </c>
      <c r="D20" s="29"/>
      <c r="E20" s="60" t="s">
        <v>504</v>
      </c>
      <c r="F20" s="61" t="s">
        <v>457</v>
      </c>
      <c r="G20" s="62" t="s">
        <v>458</v>
      </c>
      <c r="H20" s="62" t="s">
        <v>459</v>
      </c>
      <c r="I20" s="62" t="s">
        <v>123</v>
      </c>
      <c r="J20" s="60" t="s">
        <v>471</v>
      </c>
      <c r="K20" s="63" t="s">
        <v>505</v>
      </c>
      <c r="L20" s="64" t="n">
        <v>45779</v>
      </c>
      <c r="M20" s="62" t="n">
        <v>4826</v>
      </c>
      <c r="N20" s="62" t="n">
        <v>6276</v>
      </c>
      <c r="O20" s="47" t="n">
        <v>1450</v>
      </c>
      <c r="P20" s="47" t="n">
        <v>1407</v>
      </c>
      <c r="Q20" s="47" t="n">
        <f aca="false">ROUND(SUM(P3:P20),2)</f>
        <v>20758</v>
      </c>
      <c r="R20" s="65" t="n">
        <f aca="false">合約與計費!$D$4</f>
        <v>0.296</v>
      </c>
      <c r="S20" s="66" t="n">
        <f aca="false">ROUND(P20*R20,0)</f>
        <v>416</v>
      </c>
      <c r="T20" s="52" t="n">
        <f aca="false">ROUND(SUM(S3:S20),2)</f>
        <v>6144</v>
      </c>
      <c r="U20" s="62"/>
      <c r="V20" s="62"/>
      <c r="W20" s="67"/>
      <c r="X20" s="62"/>
      <c r="Y20" s="47" t="n">
        <f aca="false">ROUND(SUM(X3:X20),2)</f>
        <v>232</v>
      </c>
      <c r="Z20" s="68"/>
      <c r="AA20" s="55"/>
      <c r="AB20" s="56" t="n">
        <f aca="false">ROUND(SUM(AA3:AA20),2)</f>
        <v>650</v>
      </c>
      <c r="AC20" s="69"/>
      <c r="AD20" s="42" t="n">
        <v>0.1138</v>
      </c>
      <c r="AE20" s="43" t="n">
        <v>0.5</v>
      </c>
    </row>
    <row r="21" customFormat="false" ht="16.5" hidden="false" customHeight="true" outlineLevel="0" collapsed="false">
      <c r="A21" s="27" t="n">
        <f aca="false">ROW(A19)</f>
        <v>19</v>
      </c>
      <c r="B21" s="27" t="s">
        <v>455</v>
      </c>
      <c r="C21" s="31" t="n">
        <v>1</v>
      </c>
      <c r="D21" s="29" t="n">
        <v>8</v>
      </c>
      <c r="E21" s="28" t="s">
        <v>506</v>
      </c>
      <c r="F21" s="30" t="s">
        <v>507</v>
      </c>
      <c r="G21" s="31" t="s">
        <v>458</v>
      </c>
      <c r="H21" s="31" t="s">
        <v>459</v>
      </c>
      <c r="I21" s="31" t="s">
        <v>117</v>
      </c>
      <c r="J21" s="28" t="s">
        <v>460</v>
      </c>
      <c r="K21" s="33" t="s">
        <v>508</v>
      </c>
      <c r="L21" s="34" t="n">
        <v>45779</v>
      </c>
      <c r="M21" s="31" t="n">
        <v>561</v>
      </c>
      <c r="N21" s="31" t="n">
        <v>613</v>
      </c>
      <c r="O21" s="31" t="n">
        <v>52</v>
      </c>
      <c r="P21" s="31" t="n">
        <v>50</v>
      </c>
      <c r="Q21" s="31"/>
      <c r="R21" s="35" t="n">
        <f aca="false">合約與計費!$D$4</f>
        <v>0.296</v>
      </c>
      <c r="S21" s="36" t="n">
        <f aca="false">ROUND(P21*R21,0)</f>
        <v>15</v>
      </c>
      <c r="T21" s="37"/>
      <c r="U21" s="31" t="n">
        <v>284</v>
      </c>
      <c r="V21" s="31" t="n">
        <v>331</v>
      </c>
      <c r="W21" s="31" t="n">
        <v>47</v>
      </c>
      <c r="X21" s="31" t="n">
        <v>46</v>
      </c>
      <c r="Y21" s="31"/>
      <c r="Z21" s="38" t="n">
        <f aca="false">合約與計費!$E$4</f>
        <v>2.8</v>
      </c>
      <c r="AA21" s="39" t="n">
        <f aca="false">ROUND(X21*Z21,0)</f>
        <v>129</v>
      </c>
      <c r="AB21" s="40"/>
      <c r="AC21" s="41"/>
      <c r="AD21" s="42"/>
      <c r="AE21" s="43"/>
    </row>
    <row r="22" customFormat="false" ht="16.5" hidden="false" customHeight="true" outlineLevel="0" collapsed="false">
      <c r="A22" s="44" t="n">
        <f aca="false">ROW(A20)</f>
        <v>20</v>
      </c>
      <c r="B22" s="44" t="s">
        <v>462</v>
      </c>
      <c r="C22" s="47" t="n">
        <v>1</v>
      </c>
      <c r="D22" s="29"/>
      <c r="E22" s="45" t="s">
        <v>509</v>
      </c>
      <c r="F22" s="46" t="s">
        <v>507</v>
      </c>
      <c r="G22" s="47" t="s">
        <v>458</v>
      </c>
      <c r="H22" s="47" t="s">
        <v>459</v>
      </c>
      <c r="I22" s="47" t="s">
        <v>117</v>
      </c>
      <c r="J22" s="45" t="s">
        <v>464</v>
      </c>
      <c r="K22" s="48" t="s">
        <v>510</v>
      </c>
      <c r="L22" s="49" t="n">
        <v>45779</v>
      </c>
      <c r="M22" s="47" t="n">
        <v>882</v>
      </c>
      <c r="N22" s="47" t="n">
        <v>1004</v>
      </c>
      <c r="O22" s="47" t="n">
        <v>122</v>
      </c>
      <c r="P22" s="47" t="n">
        <v>118</v>
      </c>
      <c r="Q22" s="47"/>
      <c r="R22" s="50" t="n">
        <f aca="false">合約與計費!$D$4</f>
        <v>0.296</v>
      </c>
      <c r="S22" s="51" t="n">
        <f aca="false">ROUND(P22*R22,0)</f>
        <v>35</v>
      </c>
      <c r="T22" s="52"/>
      <c r="U22" s="47"/>
      <c r="V22" s="47"/>
      <c r="W22" s="53"/>
      <c r="X22" s="47"/>
      <c r="Y22" s="47"/>
      <c r="Z22" s="54"/>
      <c r="AA22" s="55"/>
      <c r="AB22" s="56"/>
      <c r="AC22" s="57"/>
      <c r="AD22" s="42" t="n">
        <v>0.057</v>
      </c>
      <c r="AE22" s="43" t="n">
        <v>0.6</v>
      </c>
    </row>
    <row r="23" customFormat="false" ht="16.5" hidden="false" customHeight="true" outlineLevel="0" collapsed="false">
      <c r="A23" s="44" t="n">
        <f aca="false">ROW(A21)</f>
        <v>21</v>
      </c>
      <c r="B23" s="44" t="s">
        <v>466</v>
      </c>
      <c r="C23" s="47" t="n">
        <v>1</v>
      </c>
      <c r="D23" s="29"/>
      <c r="E23" s="45" t="s">
        <v>511</v>
      </c>
      <c r="F23" s="46" t="s">
        <v>507</v>
      </c>
      <c r="G23" s="47" t="s">
        <v>458</v>
      </c>
      <c r="H23" s="47" t="s">
        <v>459</v>
      </c>
      <c r="I23" s="47" t="s">
        <v>117</v>
      </c>
      <c r="J23" s="45" t="s">
        <v>471</v>
      </c>
      <c r="K23" s="48" t="s">
        <v>512</v>
      </c>
      <c r="L23" s="49" t="n">
        <v>45779</v>
      </c>
      <c r="M23" s="47" t="n">
        <v>19207</v>
      </c>
      <c r="N23" s="47" t="n">
        <v>24079</v>
      </c>
      <c r="O23" s="47" t="n">
        <v>4872</v>
      </c>
      <c r="P23" s="47" t="n">
        <v>4726</v>
      </c>
      <c r="Q23" s="47"/>
      <c r="R23" s="50" t="n">
        <f aca="false">合約與計費!$D$4</f>
        <v>0.296</v>
      </c>
      <c r="S23" s="51" t="n">
        <f aca="false">ROUND(P23*R23,0)</f>
        <v>1399</v>
      </c>
      <c r="T23" s="52"/>
      <c r="U23" s="47"/>
      <c r="V23" s="47"/>
      <c r="W23" s="53"/>
      <c r="X23" s="47"/>
      <c r="Y23" s="47"/>
      <c r="Z23" s="54"/>
      <c r="AA23" s="55"/>
      <c r="AB23" s="56"/>
      <c r="AC23" s="57"/>
      <c r="AD23" s="42" t="n">
        <v>0.1005</v>
      </c>
      <c r="AE23" s="43" t="n">
        <v>0.8</v>
      </c>
    </row>
    <row r="24" customFormat="false" ht="16.5" hidden="false" customHeight="true" outlineLevel="0" collapsed="false">
      <c r="A24" s="44" t="n">
        <f aca="false">ROW(A22)</f>
        <v>22</v>
      </c>
      <c r="B24" s="44" t="s">
        <v>469</v>
      </c>
      <c r="C24" s="47" t="n">
        <v>1</v>
      </c>
      <c r="D24" s="29"/>
      <c r="E24" s="45" t="s">
        <v>513</v>
      </c>
      <c r="F24" s="46" t="s">
        <v>507</v>
      </c>
      <c r="G24" s="47" t="s">
        <v>458</v>
      </c>
      <c r="H24" s="47" t="s">
        <v>459</v>
      </c>
      <c r="I24" s="47" t="s">
        <v>117</v>
      </c>
      <c r="J24" s="45" t="s">
        <v>471</v>
      </c>
      <c r="K24" s="48" t="s">
        <v>514</v>
      </c>
      <c r="L24" s="49" t="n">
        <v>45779</v>
      </c>
      <c r="M24" s="47" t="n">
        <v>7038</v>
      </c>
      <c r="N24" s="47" t="n">
        <v>9121</v>
      </c>
      <c r="O24" s="47" t="n">
        <v>2083</v>
      </c>
      <c r="P24" s="47" t="n">
        <v>2021</v>
      </c>
      <c r="Q24" s="47"/>
      <c r="R24" s="50" t="n">
        <f aca="false">合約與計費!$D$4</f>
        <v>0.296</v>
      </c>
      <c r="S24" s="51" t="n">
        <f aca="false">ROUND(P24*R24,0)</f>
        <v>598</v>
      </c>
      <c r="T24" s="52"/>
      <c r="U24" s="47"/>
      <c r="V24" s="47"/>
      <c r="W24" s="53"/>
      <c r="X24" s="47"/>
      <c r="Y24" s="47"/>
      <c r="Z24" s="54"/>
      <c r="AA24" s="55"/>
      <c r="AB24" s="56"/>
      <c r="AC24" s="57"/>
      <c r="AD24" s="42" t="n">
        <v>0.1093</v>
      </c>
      <c r="AE24" s="43" t="n">
        <v>0.5</v>
      </c>
    </row>
    <row r="25" customFormat="false" ht="16.5" hidden="false" customHeight="true" outlineLevel="0" collapsed="false">
      <c r="A25" s="44" t="n">
        <f aca="false">ROW(A23)</f>
        <v>23</v>
      </c>
      <c r="B25" s="44" t="s">
        <v>473</v>
      </c>
      <c r="C25" s="47" t="n">
        <v>1</v>
      </c>
      <c r="D25" s="29"/>
      <c r="E25" s="45" t="s">
        <v>515</v>
      </c>
      <c r="F25" s="46" t="s">
        <v>507</v>
      </c>
      <c r="G25" s="47" t="s">
        <v>458</v>
      </c>
      <c r="H25" s="47" t="s">
        <v>459</v>
      </c>
      <c r="I25" s="47" t="s">
        <v>117</v>
      </c>
      <c r="J25" s="45" t="s">
        <v>471</v>
      </c>
      <c r="K25" s="48" t="s">
        <v>516</v>
      </c>
      <c r="L25" s="49" t="n">
        <v>45779</v>
      </c>
      <c r="M25" s="47" t="n">
        <v>17</v>
      </c>
      <c r="N25" s="47" t="n">
        <v>21</v>
      </c>
      <c r="O25" s="47" t="n">
        <v>4</v>
      </c>
      <c r="P25" s="47" t="n">
        <v>4</v>
      </c>
      <c r="Q25" s="47"/>
      <c r="R25" s="50" t="n">
        <f aca="false">合約與計費!$D$4</f>
        <v>0.296</v>
      </c>
      <c r="S25" s="51" t="n">
        <f aca="false">ROUND(P25*R25,0)</f>
        <v>1</v>
      </c>
      <c r="T25" s="52"/>
      <c r="U25" s="47"/>
      <c r="V25" s="47"/>
      <c r="W25" s="53"/>
      <c r="X25" s="47"/>
      <c r="Y25" s="47"/>
      <c r="Z25" s="54"/>
      <c r="AA25" s="55"/>
      <c r="AB25" s="56"/>
      <c r="AC25" s="57"/>
      <c r="AD25" s="42" t="n">
        <v>0.3293</v>
      </c>
      <c r="AE25" s="43" t="n">
        <v>0.8</v>
      </c>
    </row>
    <row r="26" customFormat="false" ht="16.5" hidden="false" customHeight="true" outlineLevel="0" collapsed="false">
      <c r="A26" s="44" t="n">
        <f aca="false">ROW(A24)</f>
        <v>24</v>
      </c>
      <c r="B26" s="44" t="s">
        <v>476</v>
      </c>
      <c r="C26" s="47" t="n">
        <v>1</v>
      </c>
      <c r="D26" s="29"/>
      <c r="E26" s="45" t="s">
        <v>517</v>
      </c>
      <c r="F26" s="46" t="s">
        <v>507</v>
      </c>
      <c r="G26" s="47" t="s">
        <v>458</v>
      </c>
      <c r="H26" s="47" t="s">
        <v>459</v>
      </c>
      <c r="I26" s="47" t="s">
        <v>117</v>
      </c>
      <c r="J26" s="45" t="s">
        <v>471</v>
      </c>
      <c r="K26" s="48" t="s">
        <v>518</v>
      </c>
      <c r="L26" s="49" t="n">
        <v>45779</v>
      </c>
      <c r="M26" s="47" t="n">
        <v>6895</v>
      </c>
      <c r="N26" s="47" t="n">
        <v>8276</v>
      </c>
      <c r="O26" s="47" t="n">
        <v>1381</v>
      </c>
      <c r="P26" s="47" t="n">
        <v>1340</v>
      </c>
      <c r="Q26" s="47"/>
      <c r="R26" s="50" t="n">
        <f aca="false">合約與計費!$D$4</f>
        <v>0.296</v>
      </c>
      <c r="S26" s="51" t="n">
        <f aca="false">ROUND(P26*R26,0)</f>
        <v>397</v>
      </c>
      <c r="T26" s="52"/>
      <c r="U26" s="47"/>
      <c r="V26" s="47"/>
      <c r="W26" s="53"/>
      <c r="X26" s="47"/>
      <c r="Y26" s="47"/>
      <c r="Z26" s="54"/>
      <c r="AA26" s="55"/>
      <c r="AB26" s="56"/>
      <c r="AC26" s="57"/>
      <c r="AD26" s="42" t="n">
        <v>0.0645</v>
      </c>
      <c r="AE26" s="43" t="n">
        <v>0.5</v>
      </c>
    </row>
    <row r="27" customFormat="false" ht="16.5" hidden="false" customHeight="true" outlineLevel="0" collapsed="false">
      <c r="A27" s="59" t="n">
        <f aca="false">ROW(A25)</f>
        <v>25</v>
      </c>
      <c r="B27" s="59" t="s">
        <v>479</v>
      </c>
      <c r="C27" s="62" t="n">
        <v>1</v>
      </c>
      <c r="D27" s="29"/>
      <c r="E27" s="60" t="s">
        <v>519</v>
      </c>
      <c r="F27" s="61" t="s">
        <v>507</v>
      </c>
      <c r="G27" s="62" t="s">
        <v>458</v>
      </c>
      <c r="H27" s="62" t="s">
        <v>459</v>
      </c>
      <c r="I27" s="62" t="s">
        <v>117</v>
      </c>
      <c r="J27" s="60" t="s">
        <v>471</v>
      </c>
      <c r="K27" s="63" t="s">
        <v>520</v>
      </c>
      <c r="L27" s="64" t="n">
        <v>45779</v>
      </c>
      <c r="M27" s="62" t="n">
        <v>14884</v>
      </c>
      <c r="N27" s="62" t="n">
        <v>17915</v>
      </c>
      <c r="O27" s="47" t="n">
        <v>3031</v>
      </c>
      <c r="P27" s="47" t="n">
        <v>2940</v>
      </c>
      <c r="Q27" s="47" t="n">
        <f aca="false">ROUND(SUM(P21:P27),2)</f>
        <v>11199</v>
      </c>
      <c r="R27" s="65" t="n">
        <f aca="false">合約與計費!$D$4</f>
        <v>0.296</v>
      </c>
      <c r="S27" s="66" t="n">
        <f aca="false">ROUND(P27*R27,0)</f>
        <v>870</v>
      </c>
      <c r="T27" s="52" t="n">
        <f aca="false">ROUND(SUM(S21:S27),2)</f>
        <v>3315</v>
      </c>
      <c r="U27" s="62"/>
      <c r="V27" s="62"/>
      <c r="W27" s="67"/>
      <c r="X27" s="62"/>
      <c r="Y27" s="47" t="n">
        <f aca="false">ROUND(SUM(X21:X27),2)</f>
        <v>46</v>
      </c>
      <c r="Z27" s="68"/>
      <c r="AA27" s="55"/>
      <c r="AB27" s="56" t="n">
        <f aca="false">ROUND(SUM(AA21:AA27),2)</f>
        <v>129</v>
      </c>
      <c r="AC27" s="69"/>
      <c r="AD27" s="42" t="n">
        <v>0.1012</v>
      </c>
      <c r="AE27" s="43" t="n">
        <v>1</v>
      </c>
    </row>
    <row r="28" customFormat="false" ht="16.5" hidden="false" customHeight="true" outlineLevel="0" collapsed="false">
      <c r="A28" s="27" t="n">
        <f aca="false">ROW(A26)</f>
        <v>26</v>
      </c>
      <c r="B28" s="27" t="s">
        <v>455</v>
      </c>
      <c r="C28" s="31" t="n">
        <v>1</v>
      </c>
      <c r="D28" s="29" t="n">
        <v>9</v>
      </c>
      <c r="E28" s="70" t="s">
        <v>521</v>
      </c>
      <c r="F28" s="30" t="s">
        <v>522</v>
      </c>
      <c r="G28" s="31" t="s">
        <v>458</v>
      </c>
      <c r="H28" s="31" t="s">
        <v>459</v>
      </c>
      <c r="I28" s="71" t="s">
        <v>118</v>
      </c>
      <c r="J28" s="28" t="s">
        <v>460</v>
      </c>
      <c r="K28" s="33" t="s">
        <v>523</v>
      </c>
      <c r="L28" s="34" t="n">
        <v>45744</v>
      </c>
      <c r="M28" s="31" t="n">
        <v>88</v>
      </c>
      <c r="N28" s="31" t="n">
        <v>261</v>
      </c>
      <c r="O28" s="31" t="n">
        <v>173</v>
      </c>
      <c r="P28" s="31" t="n">
        <v>168</v>
      </c>
      <c r="Q28" s="31"/>
      <c r="R28" s="35" t="n">
        <f aca="false">合約與計費!$D$4</f>
        <v>0.296</v>
      </c>
      <c r="S28" s="36" t="n">
        <f aca="false">ROUND(P28*R28,0)</f>
        <v>50</v>
      </c>
      <c r="T28" s="37"/>
      <c r="U28" s="31" t="n">
        <v>346</v>
      </c>
      <c r="V28" s="31" t="n">
        <v>415</v>
      </c>
      <c r="W28" s="31" t="n">
        <v>69</v>
      </c>
      <c r="X28" s="31" t="n">
        <v>67</v>
      </c>
      <c r="Y28" s="31"/>
      <c r="Z28" s="38" t="n">
        <f aca="false">合約與計費!$E$4</f>
        <v>2.8</v>
      </c>
      <c r="AA28" s="39" t="n">
        <f aca="false">ROUND(X28*Z28,0)</f>
        <v>188</v>
      </c>
      <c r="AB28" s="40"/>
      <c r="AC28" s="41"/>
      <c r="AD28" s="42"/>
      <c r="AE28" s="43"/>
    </row>
    <row r="29" customFormat="false" ht="16.5" hidden="false" customHeight="true" outlineLevel="0" collapsed="false">
      <c r="A29" s="44" t="n">
        <f aca="false">ROW(A27)</f>
        <v>27</v>
      </c>
      <c r="B29" s="44" t="s">
        <v>462</v>
      </c>
      <c r="C29" s="47" t="n">
        <v>1</v>
      </c>
      <c r="D29" s="29"/>
      <c r="E29" s="72" t="s">
        <v>524</v>
      </c>
      <c r="F29" s="46" t="s">
        <v>522</v>
      </c>
      <c r="G29" s="47" t="s">
        <v>458</v>
      </c>
      <c r="H29" s="47" t="s">
        <v>459</v>
      </c>
      <c r="I29" s="73" t="s">
        <v>118</v>
      </c>
      <c r="J29" s="45" t="s">
        <v>464</v>
      </c>
      <c r="K29" s="74" t="s">
        <v>525</v>
      </c>
      <c r="L29" s="49" t="n">
        <v>45744</v>
      </c>
      <c r="M29" s="47" t="n">
        <v>1562</v>
      </c>
      <c r="N29" s="47" t="n">
        <v>1690</v>
      </c>
      <c r="O29" s="47" t="n">
        <v>128</v>
      </c>
      <c r="P29" s="47" t="n">
        <v>124</v>
      </c>
      <c r="Q29" s="47"/>
      <c r="R29" s="50" t="n">
        <f aca="false">合約與計費!$D$4</f>
        <v>0.296</v>
      </c>
      <c r="S29" s="51" t="n">
        <f aca="false">ROUND(P29*R29,0)</f>
        <v>37</v>
      </c>
      <c r="T29" s="52"/>
      <c r="U29" s="47"/>
      <c r="V29" s="47"/>
      <c r="W29" s="53"/>
      <c r="X29" s="47"/>
      <c r="Y29" s="47"/>
      <c r="Z29" s="54"/>
      <c r="AA29" s="55"/>
      <c r="AB29" s="56"/>
      <c r="AC29" s="57"/>
      <c r="AD29" s="42" t="n">
        <v>0.0671</v>
      </c>
      <c r="AE29" s="43" t="n">
        <v>0.1</v>
      </c>
    </row>
    <row r="30" customFormat="false" ht="16.5" hidden="false" customHeight="true" outlineLevel="0" collapsed="false">
      <c r="A30" s="44" t="n">
        <f aca="false">ROW(A28)</f>
        <v>28</v>
      </c>
      <c r="B30" s="44" t="s">
        <v>466</v>
      </c>
      <c r="C30" s="47" t="n">
        <v>1</v>
      </c>
      <c r="D30" s="29"/>
      <c r="E30" s="72" t="s">
        <v>526</v>
      </c>
      <c r="F30" s="46" t="s">
        <v>522</v>
      </c>
      <c r="G30" s="47" t="s">
        <v>458</v>
      </c>
      <c r="H30" s="47" t="s">
        <v>459</v>
      </c>
      <c r="I30" s="73" t="s">
        <v>118</v>
      </c>
      <c r="J30" s="45" t="s">
        <v>527</v>
      </c>
      <c r="K30" s="48" t="s">
        <v>528</v>
      </c>
      <c r="L30" s="49" t="n">
        <v>45744</v>
      </c>
      <c r="M30" s="47" t="n">
        <v>1545</v>
      </c>
      <c r="N30" s="47" t="n">
        <v>1741</v>
      </c>
      <c r="O30" s="47" t="n">
        <v>196</v>
      </c>
      <c r="P30" s="47" t="n">
        <v>190</v>
      </c>
      <c r="Q30" s="47"/>
      <c r="R30" s="50" t="n">
        <f aca="false">合約與計費!$D$4</f>
        <v>0.296</v>
      </c>
      <c r="S30" s="51" t="n">
        <f aca="false">ROUND(P30*R30,0)</f>
        <v>56</v>
      </c>
      <c r="T30" s="52"/>
      <c r="U30" s="47"/>
      <c r="V30" s="47"/>
      <c r="W30" s="53"/>
      <c r="X30" s="47"/>
      <c r="Y30" s="47"/>
      <c r="Z30" s="54"/>
      <c r="AA30" s="55"/>
      <c r="AB30" s="56"/>
      <c r="AC30" s="57"/>
      <c r="AD30" s="42"/>
      <c r="AE30" s="43"/>
    </row>
    <row r="31" customFormat="false" ht="16.5" hidden="false" customHeight="true" outlineLevel="0" collapsed="false">
      <c r="A31" s="44" t="n">
        <f aca="false">ROW(A29)</f>
        <v>29</v>
      </c>
      <c r="B31" s="44" t="s">
        <v>469</v>
      </c>
      <c r="C31" s="47" t="n">
        <v>1</v>
      </c>
      <c r="D31" s="29"/>
      <c r="E31" s="72" t="s">
        <v>529</v>
      </c>
      <c r="F31" s="46" t="s">
        <v>522</v>
      </c>
      <c r="G31" s="47" t="s">
        <v>458</v>
      </c>
      <c r="H31" s="47" t="s">
        <v>459</v>
      </c>
      <c r="I31" s="73" t="s">
        <v>118</v>
      </c>
      <c r="J31" s="45" t="s">
        <v>527</v>
      </c>
      <c r="K31" s="48" t="s">
        <v>530</v>
      </c>
      <c r="L31" s="49" t="n">
        <v>45744</v>
      </c>
      <c r="M31" s="47" t="n">
        <v>14354</v>
      </c>
      <c r="N31" s="47" t="n">
        <v>16473</v>
      </c>
      <c r="O31" s="47" t="n">
        <v>2119</v>
      </c>
      <c r="P31" s="47" t="n">
        <v>2055</v>
      </c>
      <c r="Q31" s="47"/>
      <c r="R31" s="50" t="n">
        <f aca="false">合約與計費!$D$4</f>
        <v>0.296</v>
      </c>
      <c r="S31" s="51" t="n">
        <f aca="false">ROUND(P31*R31,0)</f>
        <v>608</v>
      </c>
      <c r="T31" s="52"/>
      <c r="U31" s="47"/>
      <c r="V31" s="47"/>
      <c r="W31" s="53"/>
      <c r="X31" s="47"/>
      <c r="Y31" s="47"/>
      <c r="Z31" s="54"/>
      <c r="AA31" s="55"/>
      <c r="AB31" s="56"/>
      <c r="AC31" s="57"/>
      <c r="AD31" s="42"/>
      <c r="AE31" s="43"/>
    </row>
    <row r="32" customFormat="false" ht="16.5" hidden="false" customHeight="true" outlineLevel="0" collapsed="false">
      <c r="A32" s="59" t="n">
        <f aca="false">ROW(A30)</f>
        <v>30</v>
      </c>
      <c r="B32" s="59" t="s">
        <v>473</v>
      </c>
      <c r="C32" s="62" t="n">
        <v>1</v>
      </c>
      <c r="D32" s="29"/>
      <c r="E32" s="75" t="s">
        <v>531</v>
      </c>
      <c r="F32" s="61" t="s">
        <v>522</v>
      </c>
      <c r="G32" s="62" t="s">
        <v>458</v>
      </c>
      <c r="H32" s="62" t="s">
        <v>459</v>
      </c>
      <c r="I32" s="76" t="s">
        <v>118</v>
      </c>
      <c r="J32" s="60" t="s">
        <v>527</v>
      </c>
      <c r="K32" s="63" t="s">
        <v>532</v>
      </c>
      <c r="L32" s="64" t="n">
        <v>45744</v>
      </c>
      <c r="M32" s="62" t="n">
        <v>16805</v>
      </c>
      <c r="N32" s="62" t="n">
        <v>19162</v>
      </c>
      <c r="O32" s="47" t="n">
        <v>2357</v>
      </c>
      <c r="P32" s="47" t="n">
        <v>2286</v>
      </c>
      <c r="Q32" s="47" t="n">
        <f aca="false">ROUND(SUM(P28:P32),2)</f>
        <v>4823</v>
      </c>
      <c r="R32" s="65" t="n">
        <f aca="false">合約與計費!$D$4</f>
        <v>0.296</v>
      </c>
      <c r="S32" s="66" t="n">
        <f aca="false">ROUND(P32*R32,0)</f>
        <v>677</v>
      </c>
      <c r="T32" s="52" t="n">
        <f aca="false">ROUND(SUM(S28:S32),2)</f>
        <v>1428</v>
      </c>
      <c r="U32" s="62"/>
      <c r="V32" s="62"/>
      <c r="W32" s="67"/>
      <c r="X32" s="62"/>
      <c r="Y32" s="62" t="n">
        <f aca="false">ROUND(SUM(X28:X32),2)</f>
        <v>67</v>
      </c>
      <c r="Z32" s="68"/>
      <c r="AA32" s="77"/>
      <c r="AB32" s="78" t="n">
        <f aca="false">ROUND(SUM(AA28:AA32),2)</f>
        <v>188</v>
      </c>
      <c r="AC32" s="69"/>
      <c r="AD32" s="42"/>
      <c r="AE32" s="43"/>
    </row>
    <row r="33" customFormat="false" ht="16.5" hidden="false" customHeight="true" outlineLevel="0" collapsed="false">
      <c r="A33" s="27" t="n">
        <f aca="false">ROW(A31)</f>
        <v>31</v>
      </c>
      <c r="B33" s="27" t="s">
        <v>455</v>
      </c>
      <c r="C33" s="31" t="n">
        <v>1</v>
      </c>
      <c r="D33" s="29" t="n">
        <v>10</v>
      </c>
      <c r="E33" s="70" t="s">
        <v>533</v>
      </c>
      <c r="F33" s="30" t="s">
        <v>534</v>
      </c>
      <c r="G33" s="31" t="s">
        <v>458</v>
      </c>
      <c r="H33" s="31" t="s">
        <v>459</v>
      </c>
      <c r="I33" s="71" t="s">
        <v>128</v>
      </c>
      <c r="J33" s="28" t="s">
        <v>460</v>
      </c>
      <c r="K33" s="33" t="s">
        <v>535</v>
      </c>
      <c r="L33" s="34" t="n">
        <v>45761</v>
      </c>
      <c r="M33" s="31" t="n">
        <v>1501</v>
      </c>
      <c r="N33" s="31" t="n">
        <v>1781</v>
      </c>
      <c r="O33" s="31" t="n">
        <v>280</v>
      </c>
      <c r="P33" s="31" t="n">
        <v>272</v>
      </c>
      <c r="Q33" s="31"/>
      <c r="R33" s="35" t="n">
        <f aca="false">合約與計費!$D$4</f>
        <v>0.296</v>
      </c>
      <c r="S33" s="36" t="n">
        <f aca="false">ROUND(P33*R33,0)</f>
        <v>81</v>
      </c>
      <c r="T33" s="37"/>
      <c r="U33" s="31" t="n">
        <v>542</v>
      </c>
      <c r="V33" s="31" t="n">
        <v>752</v>
      </c>
      <c r="W33" s="31" t="n">
        <v>210</v>
      </c>
      <c r="X33" s="31" t="n">
        <v>204</v>
      </c>
      <c r="Y33" s="31"/>
      <c r="Z33" s="38" t="n">
        <f aca="false">合約與計費!$E$4</f>
        <v>2.8</v>
      </c>
      <c r="AA33" s="39" t="n">
        <f aca="false">ROUND(X33*Z33,0)</f>
        <v>571</v>
      </c>
      <c r="AB33" s="40"/>
      <c r="AC33" s="41"/>
      <c r="AD33" s="42"/>
      <c r="AE33" s="43"/>
    </row>
    <row r="34" customFormat="false" ht="16.5" hidden="false" customHeight="true" outlineLevel="0" collapsed="false">
      <c r="A34" s="44" t="n">
        <f aca="false">ROW(A32)</f>
        <v>32</v>
      </c>
      <c r="B34" s="44" t="s">
        <v>462</v>
      </c>
      <c r="C34" s="47" t="n">
        <v>1</v>
      </c>
      <c r="D34" s="29"/>
      <c r="E34" s="72" t="s">
        <v>536</v>
      </c>
      <c r="F34" s="46" t="s">
        <v>534</v>
      </c>
      <c r="G34" s="47" t="s">
        <v>458</v>
      </c>
      <c r="H34" s="47" t="s">
        <v>459</v>
      </c>
      <c r="I34" s="73" t="s">
        <v>128</v>
      </c>
      <c r="J34" s="45" t="s">
        <v>464</v>
      </c>
      <c r="K34" s="74" t="s">
        <v>537</v>
      </c>
      <c r="L34" s="49" t="n">
        <v>45761</v>
      </c>
      <c r="M34" s="47" t="n">
        <v>622</v>
      </c>
      <c r="N34" s="47" t="n">
        <v>750</v>
      </c>
      <c r="O34" s="47" t="n">
        <v>128</v>
      </c>
      <c r="P34" s="47" t="n">
        <v>124</v>
      </c>
      <c r="Q34" s="47"/>
      <c r="R34" s="50" t="n">
        <f aca="false">合約與計費!$D$4</f>
        <v>0.296</v>
      </c>
      <c r="S34" s="51" t="n">
        <f aca="false">ROUND(P34*R34,0)</f>
        <v>37</v>
      </c>
      <c r="T34" s="52"/>
      <c r="U34" s="47"/>
      <c r="V34" s="47"/>
      <c r="W34" s="53"/>
      <c r="X34" s="47"/>
      <c r="Y34" s="47"/>
      <c r="Z34" s="54"/>
      <c r="AA34" s="55"/>
      <c r="AB34" s="56"/>
      <c r="AC34" s="57"/>
      <c r="AD34" s="42"/>
      <c r="AE34" s="43"/>
    </row>
    <row r="35" customFormat="false" ht="16.5" hidden="false" customHeight="true" outlineLevel="0" collapsed="false">
      <c r="A35" s="44" t="n">
        <f aca="false">ROW(A33)</f>
        <v>33</v>
      </c>
      <c r="B35" s="44" t="s">
        <v>466</v>
      </c>
      <c r="C35" s="47" t="n">
        <v>1</v>
      </c>
      <c r="D35" s="29"/>
      <c r="E35" s="72" t="s">
        <v>538</v>
      </c>
      <c r="F35" s="46" t="s">
        <v>534</v>
      </c>
      <c r="G35" s="47" t="s">
        <v>458</v>
      </c>
      <c r="H35" s="47" t="s">
        <v>459</v>
      </c>
      <c r="I35" s="73" t="s">
        <v>128</v>
      </c>
      <c r="J35" s="45" t="s">
        <v>527</v>
      </c>
      <c r="K35" s="48" t="s">
        <v>539</v>
      </c>
      <c r="L35" s="49" t="n">
        <v>45761</v>
      </c>
      <c r="M35" s="47" t="n">
        <v>23975</v>
      </c>
      <c r="N35" s="47" t="n">
        <v>30501</v>
      </c>
      <c r="O35" s="47" t="n">
        <v>6526</v>
      </c>
      <c r="P35" s="47" t="n">
        <v>6330</v>
      </c>
      <c r="Q35" s="47"/>
      <c r="R35" s="50" t="n">
        <f aca="false">合約與計費!$D$4</f>
        <v>0.296</v>
      </c>
      <c r="S35" s="51" t="n">
        <f aca="false">ROUND(P35*R35,0)</f>
        <v>1874</v>
      </c>
      <c r="T35" s="52"/>
      <c r="U35" s="47"/>
      <c r="V35" s="47"/>
      <c r="W35" s="53"/>
      <c r="X35" s="47"/>
      <c r="Y35" s="47"/>
      <c r="Z35" s="54"/>
      <c r="AA35" s="55"/>
      <c r="AB35" s="56"/>
      <c r="AC35" s="57"/>
      <c r="AD35" s="42"/>
      <c r="AE35" s="43"/>
    </row>
    <row r="36" customFormat="false" ht="16.5" hidden="false" customHeight="true" outlineLevel="0" collapsed="false">
      <c r="A36" s="44" t="n">
        <f aca="false">ROW(A34)</f>
        <v>34</v>
      </c>
      <c r="B36" s="44" t="s">
        <v>469</v>
      </c>
      <c r="C36" s="47" t="n">
        <v>1</v>
      </c>
      <c r="D36" s="29"/>
      <c r="E36" s="72" t="s">
        <v>540</v>
      </c>
      <c r="F36" s="46" t="s">
        <v>534</v>
      </c>
      <c r="G36" s="47" t="s">
        <v>458</v>
      </c>
      <c r="H36" s="47" t="s">
        <v>459</v>
      </c>
      <c r="I36" s="73" t="s">
        <v>128</v>
      </c>
      <c r="J36" s="45" t="s">
        <v>527</v>
      </c>
      <c r="K36" s="48" t="s">
        <v>541</v>
      </c>
      <c r="L36" s="49" t="n">
        <v>45761</v>
      </c>
      <c r="M36" s="47" t="n">
        <v>24955</v>
      </c>
      <c r="N36" s="47" t="n">
        <v>30917</v>
      </c>
      <c r="O36" s="47" t="n">
        <v>5962</v>
      </c>
      <c r="P36" s="47" t="n">
        <v>5783</v>
      </c>
      <c r="Q36" s="47"/>
      <c r="R36" s="50" t="n">
        <f aca="false">合約與計費!$D$4</f>
        <v>0.296</v>
      </c>
      <c r="S36" s="51" t="n">
        <f aca="false">ROUND(P36*R36,0)</f>
        <v>1712</v>
      </c>
      <c r="T36" s="52"/>
      <c r="U36" s="47"/>
      <c r="V36" s="47"/>
      <c r="W36" s="53"/>
      <c r="X36" s="47"/>
      <c r="Y36" s="47"/>
      <c r="Z36" s="54"/>
      <c r="AA36" s="55"/>
      <c r="AB36" s="56"/>
      <c r="AC36" s="57"/>
      <c r="AD36" s="42"/>
      <c r="AE36" s="43"/>
    </row>
    <row r="37" customFormat="false" ht="16.5" hidden="false" customHeight="true" outlineLevel="0" collapsed="false">
      <c r="A37" s="59" t="n">
        <f aca="false">ROW(A35)</f>
        <v>35</v>
      </c>
      <c r="B37" s="59" t="s">
        <v>473</v>
      </c>
      <c r="C37" s="62" t="n">
        <v>1</v>
      </c>
      <c r="D37" s="29"/>
      <c r="E37" s="75" t="s">
        <v>542</v>
      </c>
      <c r="F37" s="61" t="s">
        <v>534</v>
      </c>
      <c r="G37" s="62" t="s">
        <v>458</v>
      </c>
      <c r="H37" s="62" t="s">
        <v>459</v>
      </c>
      <c r="I37" s="76" t="s">
        <v>128</v>
      </c>
      <c r="J37" s="60" t="s">
        <v>527</v>
      </c>
      <c r="K37" s="63" t="s">
        <v>543</v>
      </c>
      <c r="L37" s="64" t="n">
        <v>45761</v>
      </c>
      <c r="M37" s="62" t="n">
        <v>3871</v>
      </c>
      <c r="N37" s="62" t="n">
        <v>4941</v>
      </c>
      <c r="O37" s="62" t="n">
        <v>1070</v>
      </c>
      <c r="P37" s="62" t="n">
        <v>1038</v>
      </c>
      <c r="Q37" s="62" t="n">
        <f aca="false">ROUND(SUM(P33:P37),2)</f>
        <v>13547</v>
      </c>
      <c r="R37" s="65" t="n">
        <f aca="false">合約與計費!$D$4</f>
        <v>0.296</v>
      </c>
      <c r="S37" s="66" t="n">
        <f aca="false">ROUND(P37*R37,0)</f>
        <v>307</v>
      </c>
      <c r="T37" s="79" t="n">
        <f aca="false">ROUND(SUM(S33:S37),2)</f>
        <v>4011</v>
      </c>
      <c r="U37" s="62"/>
      <c r="V37" s="62"/>
      <c r="W37" s="67"/>
      <c r="X37" s="62"/>
      <c r="Y37" s="62" t="n">
        <f aca="false">ROUND(SUM(X33:X37),2)</f>
        <v>204</v>
      </c>
      <c r="Z37" s="68"/>
      <c r="AA37" s="77"/>
      <c r="AB37" s="78" t="n">
        <f aca="false">ROUND(SUM(AA33:AA37),2)</f>
        <v>571</v>
      </c>
      <c r="AC37" s="69"/>
      <c r="AD37" s="42"/>
      <c r="AE37" s="43"/>
    </row>
    <row r="38" customFormat="false" ht="16.5" hidden="false" customHeight="true" outlineLevel="0" collapsed="false">
      <c r="A38" s="27" t="n">
        <f aca="false">ROW(A36)</f>
        <v>36</v>
      </c>
      <c r="B38" s="27" t="s">
        <v>455</v>
      </c>
      <c r="C38" s="31" t="n">
        <v>1</v>
      </c>
      <c r="D38" s="29" t="n">
        <v>11</v>
      </c>
      <c r="E38" s="28" t="s">
        <v>544</v>
      </c>
      <c r="F38" s="30" t="s">
        <v>545</v>
      </c>
      <c r="G38" s="31" t="s">
        <v>458</v>
      </c>
      <c r="H38" s="31" t="s">
        <v>459</v>
      </c>
      <c r="I38" s="31" t="s">
        <v>325</v>
      </c>
      <c r="J38" s="28" t="s">
        <v>460</v>
      </c>
      <c r="K38" s="80" t="s">
        <v>546</v>
      </c>
      <c r="L38" s="34" t="n">
        <v>45744</v>
      </c>
      <c r="M38" s="31" t="n">
        <v>128</v>
      </c>
      <c r="N38" s="31" t="n">
        <v>155</v>
      </c>
      <c r="O38" s="31" t="n">
        <v>27</v>
      </c>
      <c r="P38" s="31" t="n">
        <v>26</v>
      </c>
      <c r="Q38" s="31"/>
      <c r="R38" s="35" t="n">
        <f aca="false">合約與計費!$D$4</f>
        <v>0.296</v>
      </c>
      <c r="S38" s="36" t="n">
        <f aca="false">ROUND(P38*R38,0)</f>
        <v>8</v>
      </c>
      <c r="T38" s="37"/>
      <c r="U38" s="31" t="n">
        <v>164</v>
      </c>
      <c r="V38" s="31" t="n">
        <v>196</v>
      </c>
      <c r="W38" s="31" t="n">
        <v>32</v>
      </c>
      <c r="X38" s="31" t="n">
        <v>31</v>
      </c>
      <c r="Y38" s="31"/>
      <c r="Z38" s="38" t="n">
        <f aca="false">合約與計費!$E$4</f>
        <v>2.8</v>
      </c>
      <c r="AA38" s="39" t="n">
        <f aca="false">ROUND(X38*Z38,0)</f>
        <v>87</v>
      </c>
      <c r="AB38" s="40"/>
      <c r="AC38" s="41"/>
      <c r="AD38" s="42"/>
      <c r="AE38" s="43"/>
    </row>
    <row r="39" customFormat="false" ht="16.5" hidden="false" customHeight="true" outlineLevel="0" collapsed="false">
      <c r="A39" s="44" t="n">
        <f aca="false">ROW(A37)</f>
        <v>37</v>
      </c>
      <c r="B39" s="44" t="s">
        <v>462</v>
      </c>
      <c r="C39" s="47" t="n">
        <v>1</v>
      </c>
      <c r="D39" s="29"/>
      <c r="E39" s="45" t="s">
        <v>547</v>
      </c>
      <c r="F39" s="46" t="s">
        <v>545</v>
      </c>
      <c r="G39" s="47" t="s">
        <v>458</v>
      </c>
      <c r="H39" s="47" t="s">
        <v>459</v>
      </c>
      <c r="I39" s="47" t="s">
        <v>325</v>
      </c>
      <c r="J39" s="45" t="s">
        <v>464</v>
      </c>
      <c r="K39" s="48" t="s">
        <v>548</v>
      </c>
      <c r="L39" s="49" t="n">
        <v>45744</v>
      </c>
      <c r="M39" s="47" t="n">
        <v>470</v>
      </c>
      <c r="N39" s="47" t="n">
        <v>492</v>
      </c>
      <c r="O39" s="47" t="n">
        <v>22</v>
      </c>
      <c r="P39" s="47" t="n">
        <v>21</v>
      </c>
      <c r="Q39" s="47"/>
      <c r="R39" s="50" t="n">
        <f aca="false">合約與計費!$D$4</f>
        <v>0.296</v>
      </c>
      <c r="S39" s="51" t="n">
        <f aca="false">ROUND(P39*R39,0)</f>
        <v>6</v>
      </c>
      <c r="T39" s="52"/>
      <c r="U39" s="47"/>
      <c r="V39" s="47"/>
      <c r="W39" s="53"/>
      <c r="X39" s="47"/>
      <c r="Y39" s="47"/>
      <c r="Z39" s="54"/>
      <c r="AA39" s="55"/>
      <c r="AB39" s="56"/>
      <c r="AC39" s="57"/>
      <c r="AD39" s="42" t="n">
        <v>0.0692</v>
      </c>
      <c r="AE39" s="43" t="n">
        <v>0.8</v>
      </c>
    </row>
    <row r="40" customFormat="false" ht="16.5" hidden="false" customHeight="true" outlineLevel="0" collapsed="false">
      <c r="A40" s="44" t="n">
        <f aca="false">ROW(A38)</f>
        <v>38</v>
      </c>
      <c r="B40" s="44" t="s">
        <v>466</v>
      </c>
      <c r="C40" s="47" t="n">
        <v>1</v>
      </c>
      <c r="D40" s="29"/>
      <c r="E40" s="45" t="s">
        <v>549</v>
      </c>
      <c r="F40" s="46" t="s">
        <v>545</v>
      </c>
      <c r="G40" s="47" t="s">
        <v>458</v>
      </c>
      <c r="H40" s="47" t="s">
        <v>459</v>
      </c>
      <c r="I40" s="47" t="s">
        <v>325</v>
      </c>
      <c r="J40" s="45" t="s">
        <v>527</v>
      </c>
      <c r="K40" s="48" t="s">
        <v>550</v>
      </c>
      <c r="L40" s="49" t="n">
        <v>45744</v>
      </c>
      <c r="M40" s="47" t="n">
        <v>1222</v>
      </c>
      <c r="N40" s="47" t="n">
        <v>1341</v>
      </c>
      <c r="O40" s="47" t="n">
        <v>119</v>
      </c>
      <c r="P40" s="47" t="n">
        <v>115</v>
      </c>
      <c r="Q40" s="47"/>
      <c r="R40" s="50" t="n">
        <f aca="false">合約與計費!$D$4</f>
        <v>0.296</v>
      </c>
      <c r="S40" s="51" t="n">
        <f aca="false">ROUND(P40*R40,0)</f>
        <v>34</v>
      </c>
      <c r="T40" s="52"/>
      <c r="U40" s="47"/>
      <c r="V40" s="47"/>
      <c r="W40" s="53"/>
      <c r="X40" s="47"/>
      <c r="Y40" s="47"/>
      <c r="Z40" s="54"/>
      <c r="AA40" s="55"/>
      <c r="AB40" s="56"/>
      <c r="AC40" s="57"/>
      <c r="AD40" s="42"/>
      <c r="AE40" s="43"/>
    </row>
    <row r="41" customFormat="false" ht="16.5" hidden="false" customHeight="true" outlineLevel="0" collapsed="false">
      <c r="A41" s="44" t="n">
        <f aca="false">ROW(A39)</f>
        <v>39</v>
      </c>
      <c r="B41" s="44" t="s">
        <v>469</v>
      </c>
      <c r="C41" s="47" t="n">
        <v>1</v>
      </c>
      <c r="D41" s="29"/>
      <c r="E41" s="45" t="s">
        <v>551</v>
      </c>
      <c r="F41" s="46" t="s">
        <v>545</v>
      </c>
      <c r="G41" s="47" t="s">
        <v>458</v>
      </c>
      <c r="H41" s="47" t="s">
        <v>459</v>
      </c>
      <c r="I41" s="47" t="s">
        <v>325</v>
      </c>
      <c r="J41" s="45" t="s">
        <v>527</v>
      </c>
      <c r="K41" s="48" t="s">
        <v>552</v>
      </c>
      <c r="L41" s="49" t="n">
        <v>45744</v>
      </c>
      <c r="M41" s="47" t="n">
        <v>2596</v>
      </c>
      <c r="N41" s="47" t="n">
        <v>2987</v>
      </c>
      <c r="O41" s="47" t="n">
        <v>391</v>
      </c>
      <c r="P41" s="47" t="n">
        <v>379</v>
      </c>
      <c r="Q41" s="47"/>
      <c r="R41" s="50" t="n">
        <f aca="false">合約與計費!$D$4</f>
        <v>0.296</v>
      </c>
      <c r="S41" s="51" t="n">
        <f aca="false">ROUND(P41*R41,0)</f>
        <v>112</v>
      </c>
      <c r="T41" s="52"/>
      <c r="U41" s="47"/>
      <c r="V41" s="47"/>
      <c r="W41" s="53"/>
      <c r="X41" s="47"/>
      <c r="Y41" s="47"/>
      <c r="Z41" s="54"/>
      <c r="AA41" s="55"/>
      <c r="AB41" s="56"/>
      <c r="AC41" s="57"/>
      <c r="AD41" s="42"/>
      <c r="AE41" s="43"/>
    </row>
    <row r="42" customFormat="false" ht="16.5" hidden="false" customHeight="true" outlineLevel="0" collapsed="false">
      <c r="A42" s="44" t="n">
        <f aca="false">ROW(A40)</f>
        <v>40</v>
      </c>
      <c r="B42" s="44" t="s">
        <v>473</v>
      </c>
      <c r="C42" s="47" t="n">
        <v>1</v>
      </c>
      <c r="D42" s="29"/>
      <c r="E42" s="45" t="s">
        <v>553</v>
      </c>
      <c r="F42" s="46" t="s">
        <v>545</v>
      </c>
      <c r="G42" s="47" t="s">
        <v>458</v>
      </c>
      <c r="H42" s="47" t="s">
        <v>459</v>
      </c>
      <c r="I42" s="47" t="s">
        <v>325</v>
      </c>
      <c r="J42" s="45" t="s">
        <v>527</v>
      </c>
      <c r="K42" s="48" t="s">
        <v>554</v>
      </c>
      <c r="L42" s="49" t="n">
        <v>45744</v>
      </c>
      <c r="M42" s="47" t="n">
        <v>10709</v>
      </c>
      <c r="N42" s="47" t="n">
        <v>12122</v>
      </c>
      <c r="O42" s="47" t="n">
        <v>1413</v>
      </c>
      <c r="P42" s="47" t="n">
        <v>1371</v>
      </c>
      <c r="Q42" s="47"/>
      <c r="R42" s="50" t="n">
        <f aca="false">合約與計費!$D$4</f>
        <v>0.296</v>
      </c>
      <c r="S42" s="51" t="n">
        <f aca="false">ROUND(P42*R42,0)</f>
        <v>406</v>
      </c>
      <c r="T42" s="52"/>
      <c r="U42" s="47"/>
      <c r="V42" s="47"/>
      <c r="W42" s="53"/>
      <c r="X42" s="47"/>
      <c r="Y42" s="47"/>
      <c r="Z42" s="54"/>
      <c r="AA42" s="55"/>
      <c r="AB42" s="56"/>
      <c r="AC42" s="57"/>
      <c r="AD42" s="42"/>
      <c r="AE42" s="43"/>
    </row>
    <row r="43" customFormat="false" ht="16.5" hidden="false" customHeight="true" outlineLevel="0" collapsed="false">
      <c r="A43" s="59" t="n">
        <f aca="false">ROW(A41)</f>
        <v>41</v>
      </c>
      <c r="B43" s="59" t="s">
        <v>476</v>
      </c>
      <c r="C43" s="62" t="n">
        <v>1</v>
      </c>
      <c r="D43" s="29"/>
      <c r="E43" s="60" t="s">
        <v>555</v>
      </c>
      <c r="F43" s="61" t="s">
        <v>545</v>
      </c>
      <c r="G43" s="62" t="s">
        <v>458</v>
      </c>
      <c r="H43" s="62" t="s">
        <v>459</v>
      </c>
      <c r="I43" s="62" t="s">
        <v>325</v>
      </c>
      <c r="J43" s="45" t="s">
        <v>527</v>
      </c>
      <c r="K43" s="48" t="s">
        <v>556</v>
      </c>
      <c r="L43" s="49" t="n">
        <v>45744</v>
      </c>
      <c r="M43" s="47" t="n">
        <v>14900</v>
      </c>
      <c r="N43" s="47" t="n">
        <v>17269</v>
      </c>
      <c r="O43" s="47" t="n">
        <v>2369</v>
      </c>
      <c r="P43" s="47" t="n">
        <v>2298</v>
      </c>
      <c r="Q43" s="47" t="n">
        <f aca="false">ROUND(SUM(P38:P43),2)</f>
        <v>4210</v>
      </c>
      <c r="R43" s="50" t="n">
        <f aca="false">合約與計費!$D$4</f>
        <v>0.296</v>
      </c>
      <c r="S43" s="51" t="n">
        <f aca="false">ROUND(P43*R43,0)</f>
        <v>680</v>
      </c>
      <c r="T43" s="52" t="n">
        <f aca="false">ROUND(SUM(S38:S43),2)</f>
        <v>1246</v>
      </c>
      <c r="U43" s="47"/>
      <c r="V43" s="47"/>
      <c r="W43" s="53"/>
      <c r="X43" s="47"/>
      <c r="Y43" s="47" t="n">
        <f aca="false">ROUND(SUM(X38:X43),2)</f>
        <v>31</v>
      </c>
      <c r="Z43" s="54"/>
      <c r="AA43" s="55"/>
      <c r="AB43" s="56" t="n">
        <f aca="false">ROUND(SUM(AA38:AA43),2)</f>
        <v>87</v>
      </c>
      <c r="AC43" s="57"/>
      <c r="AD43" s="42"/>
      <c r="AE43" s="43"/>
    </row>
    <row r="44" customFormat="false" ht="16.5" hidden="false" customHeight="true" outlineLevel="0" collapsed="false">
      <c r="A44" s="27" t="n">
        <f aca="false">ROW(A42)</f>
        <v>42</v>
      </c>
      <c r="B44" s="27" t="s">
        <v>455</v>
      </c>
      <c r="C44" s="31" t="n">
        <v>1</v>
      </c>
      <c r="D44" s="29" t="n">
        <v>14</v>
      </c>
      <c r="E44" s="28" t="s">
        <v>557</v>
      </c>
      <c r="F44" s="30" t="s">
        <v>558</v>
      </c>
      <c r="G44" s="31" t="s">
        <v>458</v>
      </c>
      <c r="H44" s="31" t="s">
        <v>459</v>
      </c>
      <c r="I44" s="31" t="s">
        <v>115</v>
      </c>
      <c r="J44" s="28" t="s">
        <v>460</v>
      </c>
      <c r="K44" s="80" t="s">
        <v>559</v>
      </c>
      <c r="L44" s="34" t="n">
        <v>45741</v>
      </c>
      <c r="M44" s="31" t="n">
        <v>91</v>
      </c>
      <c r="N44" s="31" t="n">
        <v>110</v>
      </c>
      <c r="O44" s="31" t="n">
        <v>19</v>
      </c>
      <c r="P44" s="31" t="n">
        <v>18</v>
      </c>
      <c r="Q44" s="31"/>
      <c r="R44" s="35" t="n">
        <f aca="false">合約與計費!$D$4</f>
        <v>0.296</v>
      </c>
      <c r="S44" s="36" t="n">
        <f aca="false">ROUND(P44*R44,0)</f>
        <v>5</v>
      </c>
      <c r="T44" s="37"/>
      <c r="U44" s="31" t="n">
        <v>340</v>
      </c>
      <c r="V44" s="31" t="n">
        <v>399</v>
      </c>
      <c r="W44" s="31" t="n">
        <v>59</v>
      </c>
      <c r="X44" s="31" t="n">
        <v>57</v>
      </c>
      <c r="Y44" s="31"/>
      <c r="Z44" s="38" t="n">
        <f aca="false">合約與計費!$E$4</f>
        <v>2.8</v>
      </c>
      <c r="AA44" s="39" t="n">
        <f aca="false">ROUND(X44*Z44,0)</f>
        <v>160</v>
      </c>
      <c r="AB44" s="40"/>
      <c r="AC44" s="41"/>
      <c r="AD44" s="42"/>
      <c r="AE44" s="43"/>
    </row>
    <row r="45" customFormat="false" ht="16.5" hidden="false" customHeight="true" outlineLevel="0" collapsed="false">
      <c r="A45" s="44" t="n">
        <f aca="false">ROW(A43)</f>
        <v>43</v>
      </c>
      <c r="B45" s="44" t="s">
        <v>462</v>
      </c>
      <c r="C45" s="47" t="n">
        <v>1</v>
      </c>
      <c r="D45" s="29"/>
      <c r="E45" s="45" t="s">
        <v>560</v>
      </c>
      <c r="F45" s="46" t="s">
        <v>558</v>
      </c>
      <c r="G45" s="47" t="s">
        <v>458</v>
      </c>
      <c r="H45" s="47" t="s">
        <v>459</v>
      </c>
      <c r="I45" s="47" t="s">
        <v>115</v>
      </c>
      <c r="J45" s="45" t="s">
        <v>464</v>
      </c>
      <c r="K45" s="48" t="s">
        <v>561</v>
      </c>
      <c r="L45" s="49" t="n">
        <v>45741</v>
      </c>
      <c r="M45" s="47" t="n">
        <v>1397</v>
      </c>
      <c r="N45" s="47" t="n">
        <v>1671</v>
      </c>
      <c r="O45" s="47" t="n">
        <v>274</v>
      </c>
      <c r="P45" s="47" t="n">
        <v>266</v>
      </c>
      <c r="Q45" s="47"/>
      <c r="R45" s="50" t="n">
        <f aca="false">合約與計費!$D$4</f>
        <v>0.296</v>
      </c>
      <c r="S45" s="51" t="n">
        <f aca="false">ROUND(P45*R45,0)</f>
        <v>79</v>
      </c>
      <c r="T45" s="52"/>
      <c r="U45" s="47"/>
      <c r="V45" s="47"/>
      <c r="W45" s="53"/>
      <c r="X45" s="47"/>
      <c r="Y45" s="47"/>
      <c r="Z45" s="54"/>
      <c r="AA45" s="55"/>
      <c r="AB45" s="56"/>
      <c r="AC45" s="57"/>
      <c r="AD45" s="42" t="n">
        <v>0.0595</v>
      </c>
      <c r="AE45" s="43" t="n">
        <v>0.2</v>
      </c>
    </row>
    <row r="46" customFormat="false" ht="16.5" hidden="false" customHeight="true" outlineLevel="0" collapsed="false">
      <c r="A46" s="44" t="n">
        <f aca="false">ROW(A44)</f>
        <v>44</v>
      </c>
      <c r="B46" s="44" t="s">
        <v>466</v>
      </c>
      <c r="C46" s="47" t="n">
        <v>1</v>
      </c>
      <c r="D46" s="29"/>
      <c r="E46" s="45" t="s">
        <v>562</v>
      </c>
      <c r="F46" s="46" t="s">
        <v>558</v>
      </c>
      <c r="G46" s="47" t="s">
        <v>458</v>
      </c>
      <c r="H46" s="47" t="s">
        <v>459</v>
      </c>
      <c r="I46" s="47" t="s">
        <v>115</v>
      </c>
      <c r="J46" s="45" t="s">
        <v>471</v>
      </c>
      <c r="K46" s="48" t="s">
        <v>563</v>
      </c>
      <c r="L46" s="49" t="n">
        <v>45741</v>
      </c>
      <c r="M46" s="47" t="n">
        <v>22318</v>
      </c>
      <c r="N46" s="47" t="n">
        <v>26346</v>
      </c>
      <c r="O46" s="47" t="n">
        <v>4028</v>
      </c>
      <c r="P46" s="47" t="n">
        <v>3907</v>
      </c>
      <c r="Q46" s="47"/>
      <c r="R46" s="50" t="n">
        <f aca="false">合約與計費!$D$4</f>
        <v>0.296</v>
      </c>
      <c r="S46" s="51" t="n">
        <f aca="false">ROUND(P46*R46,0)</f>
        <v>1156</v>
      </c>
      <c r="T46" s="52"/>
      <c r="U46" s="47"/>
      <c r="V46" s="47"/>
      <c r="W46" s="53"/>
      <c r="X46" s="47"/>
      <c r="Y46" s="47"/>
      <c r="Z46" s="54"/>
      <c r="AA46" s="55"/>
      <c r="AB46" s="56"/>
      <c r="AC46" s="57"/>
      <c r="AD46" s="42" t="n">
        <v>0.1287</v>
      </c>
      <c r="AE46" s="43" t="n">
        <v>0.8</v>
      </c>
    </row>
    <row r="47" customFormat="false" ht="16.5" hidden="false" customHeight="true" outlineLevel="0" collapsed="false">
      <c r="A47" s="44" t="n">
        <f aca="false">ROW(A45)</f>
        <v>45</v>
      </c>
      <c r="B47" s="44" t="s">
        <v>469</v>
      </c>
      <c r="C47" s="47" t="n">
        <v>1</v>
      </c>
      <c r="D47" s="29"/>
      <c r="E47" s="45" t="s">
        <v>564</v>
      </c>
      <c r="F47" s="46" t="s">
        <v>558</v>
      </c>
      <c r="G47" s="47" t="s">
        <v>458</v>
      </c>
      <c r="H47" s="47" t="s">
        <v>459</v>
      </c>
      <c r="I47" s="47" t="s">
        <v>115</v>
      </c>
      <c r="J47" s="45" t="s">
        <v>471</v>
      </c>
      <c r="K47" s="48" t="s">
        <v>565</v>
      </c>
      <c r="L47" s="49" t="n">
        <v>45741</v>
      </c>
      <c r="M47" s="47" t="n">
        <v>18814</v>
      </c>
      <c r="N47" s="47" t="n">
        <v>23178</v>
      </c>
      <c r="O47" s="47" t="n">
        <v>4364</v>
      </c>
      <c r="P47" s="47" t="n">
        <v>4233</v>
      </c>
      <c r="Q47" s="47"/>
      <c r="R47" s="50" t="n">
        <f aca="false">合約與計費!$D$4</f>
        <v>0.296</v>
      </c>
      <c r="S47" s="51" t="n">
        <f aca="false">ROUND(P47*R47,0)</f>
        <v>1253</v>
      </c>
      <c r="T47" s="52"/>
      <c r="U47" s="47"/>
      <c r="V47" s="47"/>
      <c r="W47" s="53"/>
      <c r="X47" s="47"/>
      <c r="Y47" s="47"/>
      <c r="Z47" s="54"/>
      <c r="AA47" s="55"/>
      <c r="AB47" s="56"/>
      <c r="AC47" s="57"/>
      <c r="AD47" s="42" t="n">
        <v>0.1275</v>
      </c>
      <c r="AE47" s="43" t="n">
        <v>0.3</v>
      </c>
    </row>
    <row r="48" customFormat="false" ht="16.5" hidden="false" customHeight="true" outlineLevel="0" collapsed="false">
      <c r="A48" s="44" t="n">
        <f aca="false">ROW(A46)</f>
        <v>46</v>
      </c>
      <c r="B48" s="44" t="s">
        <v>473</v>
      </c>
      <c r="C48" s="47" t="n">
        <v>1</v>
      </c>
      <c r="D48" s="29"/>
      <c r="E48" s="45" t="s">
        <v>566</v>
      </c>
      <c r="F48" s="46" t="s">
        <v>558</v>
      </c>
      <c r="G48" s="47" t="s">
        <v>458</v>
      </c>
      <c r="H48" s="47" t="s">
        <v>459</v>
      </c>
      <c r="I48" s="47" t="s">
        <v>115</v>
      </c>
      <c r="J48" s="45" t="s">
        <v>471</v>
      </c>
      <c r="K48" s="48" t="s">
        <v>567</v>
      </c>
      <c r="L48" s="49" t="n">
        <v>45741</v>
      </c>
      <c r="M48" s="47" t="n">
        <v>9467</v>
      </c>
      <c r="N48" s="47" t="n">
        <v>12067</v>
      </c>
      <c r="O48" s="47" t="n">
        <v>2600</v>
      </c>
      <c r="P48" s="47" t="n">
        <v>2522</v>
      </c>
      <c r="Q48" s="47"/>
      <c r="R48" s="50" t="n">
        <f aca="false">合約與計費!$D$4</f>
        <v>0.296</v>
      </c>
      <c r="S48" s="51" t="n">
        <f aca="false">ROUND(P48*R48,0)</f>
        <v>747</v>
      </c>
      <c r="T48" s="52"/>
      <c r="U48" s="47"/>
      <c r="V48" s="47"/>
      <c r="W48" s="53"/>
      <c r="X48" s="47"/>
      <c r="Y48" s="47"/>
      <c r="Z48" s="54"/>
      <c r="AA48" s="55"/>
      <c r="AB48" s="56"/>
      <c r="AC48" s="57"/>
      <c r="AD48" s="42" t="n">
        <v>0.0774</v>
      </c>
      <c r="AE48" s="43" t="n">
        <v>0.1</v>
      </c>
    </row>
    <row r="49" customFormat="false" ht="16.5" hidden="false" customHeight="true" outlineLevel="0" collapsed="false">
      <c r="A49" s="44" t="n">
        <f aca="false">ROW(A47)</f>
        <v>47</v>
      </c>
      <c r="B49" s="44" t="s">
        <v>476</v>
      </c>
      <c r="C49" s="47" t="n">
        <v>1</v>
      </c>
      <c r="D49" s="29"/>
      <c r="E49" s="45" t="s">
        <v>568</v>
      </c>
      <c r="F49" s="46" t="s">
        <v>558</v>
      </c>
      <c r="G49" s="47" t="s">
        <v>458</v>
      </c>
      <c r="H49" s="47" t="s">
        <v>459</v>
      </c>
      <c r="I49" s="47" t="s">
        <v>115</v>
      </c>
      <c r="J49" s="45" t="s">
        <v>471</v>
      </c>
      <c r="K49" s="48" t="s">
        <v>569</v>
      </c>
      <c r="L49" s="49" t="n">
        <v>45741</v>
      </c>
      <c r="M49" s="47" t="n">
        <v>11154</v>
      </c>
      <c r="N49" s="47" t="n">
        <v>13888</v>
      </c>
      <c r="O49" s="47" t="n">
        <v>2734</v>
      </c>
      <c r="P49" s="47" t="n">
        <v>2652</v>
      </c>
      <c r="Q49" s="47"/>
      <c r="R49" s="50" t="n">
        <f aca="false">合約與計費!$D$4</f>
        <v>0.296</v>
      </c>
      <c r="S49" s="51" t="n">
        <f aca="false">ROUND(P49*R49,0)</f>
        <v>785</v>
      </c>
      <c r="T49" s="52"/>
      <c r="U49" s="47"/>
      <c r="V49" s="47"/>
      <c r="W49" s="53"/>
      <c r="X49" s="47"/>
      <c r="Y49" s="47"/>
      <c r="Z49" s="54"/>
      <c r="AA49" s="55"/>
      <c r="AB49" s="56"/>
      <c r="AC49" s="57"/>
      <c r="AD49" s="42" t="n">
        <v>0.1467</v>
      </c>
      <c r="AE49" s="43" t="n">
        <v>0.3</v>
      </c>
    </row>
    <row r="50" customFormat="false" ht="16.5" hidden="false" customHeight="true" outlineLevel="0" collapsed="false">
      <c r="A50" s="59" t="n">
        <f aca="false">ROW(A48)</f>
        <v>48</v>
      </c>
      <c r="B50" s="59" t="s">
        <v>479</v>
      </c>
      <c r="C50" s="62" t="n">
        <v>1</v>
      </c>
      <c r="D50" s="29"/>
      <c r="E50" s="60" t="s">
        <v>570</v>
      </c>
      <c r="F50" s="61" t="s">
        <v>558</v>
      </c>
      <c r="G50" s="62" t="s">
        <v>458</v>
      </c>
      <c r="H50" s="62" t="s">
        <v>459</v>
      </c>
      <c r="I50" s="62" t="s">
        <v>115</v>
      </c>
      <c r="J50" s="60" t="s">
        <v>471</v>
      </c>
      <c r="K50" s="63" t="s">
        <v>571</v>
      </c>
      <c r="L50" s="64" t="n">
        <v>45741</v>
      </c>
      <c r="M50" s="62" t="n">
        <v>3054</v>
      </c>
      <c r="N50" s="62" t="n">
        <v>3675</v>
      </c>
      <c r="O50" s="62" t="n">
        <v>621</v>
      </c>
      <c r="P50" s="62" t="n">
        <v>602</v>
      </c>
      <c r="Q50" s="62" t="n">
        <f aca="false">ROUND(SUM(P44:P50),2)</f>
        <v>14200</v>
      </c>
      <c r="R50" s="65" t="n">
        <f aca="false">合約與計費!$D$4</f>
        <v>0.296</v>
      </c>
      <c r="S50" s="66" t="n">
        <f aca="false">ROUND(P50*R50,0)</f>
        <v>178</v>
      </c>
      <c r="T50" s="79" t="n">
        <f aca="false">ROUND(SUM(S44:S50),2)</f>
        <v>4203</v>
      </c>
      <c r="U50" s="62"/>
      <c r="V50" s="62"/>
      <c r="W50" s="67"/>
      <c r="X50" s="62"/>
      <c r="Y50" s="62" t="n">
        <f aca="false">ROUND(SUM(X44:X50),2)</f>
        <v>57</v>
      </c>
      <c r="Z50" s="68"/>
      <c r="AA50" s="77"/>
      <c r="AB50" s="78" t="n">
        <f aca="false">ROUND(SUM(AA44:AA50),2)</f>
        <v>160</v>
      </c>
      <c r="AC50" s="69"/>
      <c r="AD50" s="42" t="n">
        <v>0.0651</v>
      </c>
      <c r="AE50" s="43" t="n">
        <v>0.8</v>
      </c>
    </row>
    <row r="51" customFormat="false" ht="16.5" hidden="false" customHeight="true" outlineLevel="0" collapsed="false">
      <c r="A51" s="27" t="n">
        <f aca="false">ROW(A49)</f>
        <v>49</v>
      </c>
      <c r="B51" s="27" t="s">
        <v>455</v>
      </c>
      <c r="C51" s="31" t="n">
        <v>1</v>
      </c>
      <c r="D51" s="29" t="n">
        <v>16</v>
      </c>
      <c r="E51" s="28" t="s">
        <v>572</v>
      </c>
      <c r="F51" s="30" t="s">
        <v>573</v>
      </c>
      <c r="G51" s="31" t="s">
        <v>458</v>
      </c>
      <c r="H51" s="31" t="s">
        <v>459</v>
      </c>
      <c r="I51" s="31" t="s">
        <v>127</v>
      </c>
      <c r="J51" s="28" t="s">
        <v>460</v>
      </c>
      <c r="K51" s="80" t="s">
        <v>574</v>
      </c>
      <c r="L51" s="34" t="n">
        <v>45730</v>
      </c>
      <c r="M51" s="31" t="n">
        <v>831</v>
      </c>
      <c r="N51" s="31" t="n">
        <v>1140</v>
      </c>
      <c r="O51" s="31" t="n">
        <v>309</v>
      </c>
      <c r="P51" s="31" t="n">
        <v>300</v>
      </c>
      <c r="Q51" s="31"/>
      <c r="R51" s="35" t="n">
        <f aca="false">合約與計費!$D$4</f>
        <v>0.296</v>
      </c>
      <c r="S51" s="36" t="n">
        <f aca="false">ROUND(P51*R51,0)</f>
        <v>89</v>
      </c>
      <c r="T51" s="37"/>
      <c r="U51" s="31" t="n">
        <v>919</v>
      </c>
      <c r="V51" s="31" t="n">
        <v>1054</v>
      </c>
      <c r="W51" s="31" t="n">
        <v>135</v>
      </c>
      <c r="X51" s="31" t="n">
        <v>131</v>
      </c>
      <c r="Y51" s="31"/>
      <c r="Z51" s="38" t="n">
        <f aca="false">合約與計費!$E$4</f>
        <v>2.8</v>
      </c>
      <c r="AA51" s="39" t="n">
        <f aca="false">ROUND(X51*Z51,0)</f>
        <v>367</v>
      </c>
      <c r="AB51" s="40"/>
      <c r="AC51" s="41"/>
      <c r="AD51" s="42"/>
      <c r="AE51" s="43"/>
    </row>
    <row r="52" customFormat="false" ht="16.5" hidden="false" customHeight="true" outlineLevel="0" collapsed="false">
      <c r="A52" s="44" t="n">
        <f aca="false">ROW(A50)</f>
        <v>50</v>
      </c>
      <c r="B52" s="44" t="s">
        <v>462</v>
      </c>
      <c r="C52" s="47" t="n">
        <v>1</v>
      </c>
      <c r="D52" s="29"/>
      <c r="E52" s="45" t="s">
        <v>575</v>
      </c>
      <c r="F52" s="46" t="s">
        <v>573</v>
      </c>
      <c r="G52" s="47" t="s">
        <v>458</v>
      </c>
      <c r="H52" s="47" t="s">
        <v>459</v>
      </c>
      <c r="I52" s="47" t="s">
        <v>127</v>
      </c>
      <c r="J52" s="45" t="s">
        <v>464</v>
      </c>
      <c r="K52" s="48" t="s">
        <v>576</v>
      </c>
      <c r="L52" s="49" t="n">
        <v>45730</v>
      </c>
      <c r="M52" s="47" t="n">
        <v>867</v>
      </c>
      <c r="N52" s="47" t="n">
        <v>1152</v>
      </c>
      <c r="O52" s="47" t="n">
        <v>285</v>
      </c>
      <c r="P52" s="47" t="n">
        <v>276</v>
      </c>
      <c r="Q52" s="47"/>
      <c r="R52" s="50" t="n">
        <f aca="false">合約與計費!$D$4</f>
        <v>0.296</v>
      </c>
      <c r="S52" s="51" t="n">
        <f aca="false">ROUND(P52*R52,0)</f>
        <v>82</v>
      </c>
      <c r="T52" s="52"/>
      <c r="U52" s="47"/>
      <c r="V52" s="47"/>
      <c r="W52" s="53"/>
      <c r="X52" s="47"/>
      <c r="Y52" s="47"/>
      <c r="Z52" s="54"/>
      <c r="AA52" s="55"/>
      <c r="AB52" s="56"/>
      <c r="AC52" s="57"/>
      <c r="AD52" s="42" t="n">
        <v>0.0638</v>
      </c>
      <c r="AE52" s="43" t="n">
        <v>0.5</v>
      </c>
    </row>
    <row r="53" customFormat="false" ht="16.5" hidden="false" customHeight="true" outlineLevel="0" collapsed="false">
      <c r="A53" s="44" t="n">
        <f aca="false">ROW(A51)</f>
        <v>51</v>
      </c>
      <c r="B53" s="44" t="s">
        <v>466</v>
      </c>
      <c r="C53" s="47" t="n">
        <v>1</v>
      </c>
      <c r="D53" s="29"/>
      <c r="E53" s="45" t="s">
        <v>577</v>
      </c>
      <c r="F53" s="46" t="s">
        <v>573</v>
      </c>
      <c r="G53" s="47" t="s">
        <v>458</v>
      </c>
      <c r="H53" s="47" t="s">
        <v>459</v>
      </c>
      <c r="I53" s="47" t="s">
        <v>127</v>
      </c>
      <c r="J53" s="45" t="s">
        <v>471</v>
      </c>
      <c r="K53" s="48" t="s">
        <v>578</v>
      </c>
      <c r="L53" s="49" t="n">
        <v>45730</v>
      </c>
      <c r="M53" s="47" t="n">
        <v>561</v>
      </c>
      <c r="N53" s="47" t="n">
        <v>777</v>
      </c>
      <c r="O53" s="47" t="n">
        <v>216</v>
      </c>
      <c r="P53" s="47" t="n">
        <v>210</v>
      </c>
      <c r="Q53" s="47"/>
      <c r="R53" s="50" t="n">
        <f aca="false">合約與計費!$D$4</f>
        <v>0.296</v>
      </c>
      <c r="S53" s="51" t="n">
        <f aca="false">ROUND(P53*R53,0)</f>
        <v>62</v>
      </c>
      <c r="T53" s="52"/>
      <c r="U53" s="47"/>
      <c r="V53" s="47"/>
      <c r="W53" s="53"/>
      <c r="X53" s="47"/>
      <c r="Y53" s="47"/>
      <c r="Z53" s="54"/>
      <c r="AA53" s="55"/>
      <c r="AB53" s="56"/>
      <c r="AC53" s="57"/>
      <c r="AD53" s="42" t="n">
        <v>0.0885</v>
      </c>
      <c r="AE53" s="43" t="n">
        <v>1</v>
      </c>
    </row>
    <row r="54" customFormat="false" ht="16.5" hidden="false" customHeight="true" outlineLevel="0" collapsed="false">
      <c r="A54" s="44" t="n">
        <f aca="false">ROW(A52)</f>
        <v>52</v>
      </c>
      <c r="B54" s="44" t="s">
        <v>469</v>
      </c>
      <c r="C54" s="47" t="n">
        <v>1</v>
      </c>
      <c r="D54" s="29"/>
      <c r="E54" s="45" t="s">
        <v>579</v>
      </c>
      <c r="F54" s="46" t="s">
        <v>573</v>
      </c>
      <c r="G54" s="47" t="s">
        <v>458</v>
      </c>
      <c r="H54" s="47" t="s">
        <v>459</v>
      </c>
      <c r="I54" s="47" t="s">
        <v>127</v>
      </c>
      <c r="J54" s="45" t="s">
        <v>471</v>
      </c>
      <c r="K54" s="48" t="s">
        <v>580</v>
      </c>
      <c r="L54" s="49" t="n">
        <v>45730</v>
      </c>
      <c r="M54" s="47" t="n">
        <v>36</v>
      </c>
      <c r="N54" s="47" t="n">
        <v>40</v>
      </c>
      <c r="O54" s="47" t="n">
        <v>4</v>
      </c>
      <c r="P54" s="47" t="n">
        <v>4</v>
      </c>
      <c r="Q54" s="47"/>
      <c r="R54" s="50" t="n">
        <f aca="false">合約與計費!$D$4</f>
        <v>0.296</v>
      </c>
      <c r="S54" s="51" t="n">
        <f aca="false">ROUND(P54*R54,0)</f>
        <v>1</v>
      </c>
      <c r="T54" s="52"/>
      <c r="U54" s="47"/>
      <c r="V54" s="47"/>
      <c r="W54" s="53"/>
      <c r="X54" s="47"/>
      <c r="Y54" s="47"/>
      <c r="Z54" s="54"/>
      <c r="AA54" s="55"/>
      <c r="AB54" s="56"/>
      <c r="AC54" s="57"/>
      <c r="AD54" s="42" t="n">
        <v>0.0298</v>
      </c>
      <c r="AE54" s="43" t="n">
        <v>1</v>
      </c>
    </row>
    <row r="55" customFormat="false" ht="16.5" hidden="false" customHeight="true" outlineLevel="0" collapsed="false">
      <c r="A55" s="44" t="n">
        <f aca="false">ROW(A53)</f>
        <v>53</v>
      </c>
      <c r="B55" s="44" t="s">
        <v>473</v>
      </c>
      <c r="C55" s="47" t="n">
        <v>1</v>
      </c>
      <c r="D55" s="29"/>
      <c r="E55" s="45" t="s">
        <v>581</v>
      </c>
      <c r="F55" s="46" t="s">
        <v>573</v>
      </c>
      <c r="G55" s="47" t="s">
        <v>458</v>
      </c>
      <c r="H55" s="47" t="s">
        <v>459</v>
      </c>
      <c r="I55" s="47" t="s">
        <v>127</v>
      </c>
      <c r="J55" s="45" t="s">
        <v>471</v>
      </c>
      <c r="K55" s="48" t="s">
        <v>582</v>
      </c>
      <c r="L55" s="49" t="n">
        <v>45730</v>
      </c>
      <c r="M55" s="47" t="n">
        <v>25</v>
      </c>
      <c r="N55" s="47" t="n">
        <v>29</v>
      </c>
      <c r="O55" s="47" t="n">
        <v>4</v>
      </c>
      <c r="P55" s="47" t="n">
        <v>4</v>
      </c>
      <c r="Q55" s="47"/>
      <c r="R55" s="50" t="n">
        <f aca="false">合約與計費!$D$4</f>
        <v>0.296</v>
      </c>
      <c r="S55" s="51" t="n">
        <f aca="false">ROUND(P55*R55,0)</f>
        <v>1</v>
      </c>
      <c r="T55" s="52"/>
      <c r="U55" s="47"/>
      <c r="V55" s="47"/>
      <c r="W55" s="53"/>
      <c r="X55" s="47"/>
      <c r="Y55" s="47"/>
      <c r="Z55" s="54"/>
      <c r="AA55" s="55"/>
      <c r="AB55" s="56"/>
      <c r="AC55" s="57"/>
      <c r="AD55" s="42" t="n">
        <v>0.0328</v>
      </c>
      <c r="AE55" s="43" t="n">
        <v>1</v>
      </c>
    </row>
    <row r="56" customFormat="false" ht="16.5" hidden="false" customHeight="true" outlineLevel="0" collapsed="false">
      <c r="A56" s="44" t="n">
        <f aca="false">ROW(A54)</f>
        <v>54</v>
      </c>
      <c r="B56" s="44" t="s">
        <v>476</v>
      </c>
      <c r="C56" s="47" t="n">
        <v>1</v>
      </c>
      <c r="D56" s="29"/>
      <c r="E56" s="45" t="s">
        <v>583</v>
      </c>
      <c r="F56" s="46" t="s">
        <v>573</v>
      </c>
      <c r="G56" s="47" t="s">
        <v>458</v>
      </c>
      <c r="H56" s="47" t="s">
        <v>459</v>
      </c>
      <c r="I56" s="47" t="s">
        <v>127</v>
      </c>
      <c r="J56" s="45" t="s">
        <v>471</v>
      </c>
      <c r="K56" s="48" t="s">
        <v>584</v>
      </c>
      <c r="L56" s="49" t="n">
        <v>45730</v>
      </c>
      <c r="M56" s="47" t="n">
        <v>734</v>
      </c>
      <c r="N56" s="47" t="n">
        <v>846</v>
      </c>
      <c r="O56" s="47" t="n">
        <v>112</v>
      </c>
      <c r="P56" s="47" t="n">
        <v>109</v>
      </c>
      <c r="Q56" s="47"/>
      <c r="R56" s="50" t="n">
        <f aca="false">合約與計費!$D$4</f>
        <v>0.296</v>
      </c>
      <c r="S56" s="51" t="n">
        <f aca="false">ROUND(P56*R56,0)</f>
        <v>32</v>
      </c>
      <c r="T56" s="52"/>
      <c r="U56" s="47"/>
      <c r="V56" s="47"/>
      <c r="W56" s="53"/>
      <c r="X56" s="47"/>
      <c r="Y56" s="47"/>
      <c r="Z56" s="54"/>
      <c r="AA56" s="55"/>
      <c r="AB56" s="56"/>
      <c r="AC56" s="57"/>
      <c r="AD56" s="42" t="n">
        <v>0.025</v>
      </c>
      <c r="AE56" s="43" t="n">
        <v>0.7</v>
      </c>
    </row>
    <row r="57" customFormat="false" ht="16.5" hidden="false" customHeight="true" outlineLevel="0" collapsed="false">
      <c r="A57" s="44" t="n">
        <f aca="false">ROW(A55)</f>
        <v>55</v>
      </c>
      <c r="B57" s="44" t="s">
        <v>479</v>
      </c>
      <c r="C57" s="47" t="n">
        <v>1</v>
      </c>
      <c r="D57" s="29"/>
      <c r="E57" s="45" t="s">
        <v>585</v>
      </c>
      <c r="F57" s="46" t="s">
        <v>573</v>
      </c>
      <c r="G57" s="47" t="s">
        <v>458</v>
      </c>
      <c r="H57" s="47" t="s">
        <v>459</v>
      </c>
      <c r="I57" s="47" t="s">
        <v>127</v>
      </c>
      <c r="J57" s="45" t="s">
        <v>471</v>
      </c>
      <c r="K57" s="48" t="s">
        <v>586</v>
      </c>
      <c r="L57" s="49" t="n">
        <v>45730</v>
      </c>
      <c r="M57" s="47" t="n">
        <v>7836</v>
      </c>
      <c r="N57" s="47" t="n">
        <v>9182</v>
      </c>
      <c r="O57" s="47" t="n">
        <v>1346</v>
      </c>
      <c r="P57" s="47" t="n">
        <v>1306</v>
      </c>
      <c r="Q57" s="47"/>
      <c r="R57" s="50" t="n">
        <f aca="false">合約與計費!$D$4</f>
        <v>0.296</v>
      </c>
      <c r="S57" s="51" t="n">
        <f aca="false">ROUND(P57*R57,0)</f>
        <v>387</v>
      </c>
      <c r="T57" s="52"/>
      <c r="U57" s="47"/>
      <c r="V57" s="47"/>
      <c r="W57" s="53"/>
      <c r="X57" s="47"/>
      <c r="Y57" s="47"/>
      <c r="Z57" s="54"/>
      <c r="AA57" s="55"/>
      <c r="AB57" s="56"/>
      <c r="AC57" s="57"/>
      <c r="AD57" s="42" t="n">
        <v>0.0965</v>
      </c>
      <c r="AE57" s="43" t="n">
        <v>0.1</v>
      </c>
    </row>
    <row r="58" customFormat="false" ht="16.5" hidden="false" customHeight="true" outlineLevel="0" collapsed="false">
      <c r="A58" s="44" t="n">
        <f aca="false">ROW(A56)</f>
        <v>56</v>
      </c>
      <c r="B58" s="44" t="s">
        <v>482</v>
      </c>
      <c r="C58" s="47" t="n">
        <v>1</v>
      </c>
      <c r="D58" s="29"/>
      <c r="E58" s="45" t="s">
        <v>587</v>
      </c>
      <c r="F58" s="46" t="s">
        <v>573</v>
      </c>
      <c r="G58" s="47" t="s">
        <v>458</v>
      </c>
      <c r="H58" s="47" t="s">
        <v>459</v>
      </c>
      <c r="I58" s="47" t="s">
        <v>127</v>
      </c>
      <c r="J58" s="45" t="s">
        <v>471</v>
      </c>
      <c r="K58" s="48" t="s">
        <v>588</v>
      </c>
      <c r="L58" s="49" t="n">
        <v>45730</v>
      </c>
      <c r="M58" s="47" t="n">
        <v>5332</v>
      </c>
      <c r="N58" s="47" t="n">
        <v>6654</v>
      </c>
      <c r="O58" s="47" t="n">
        <v>1322</v>
      </c>
      <c r="P58" s="47" t="n">
        <v>1282</v>
      </c>
      <c r="Q58" s="47"/>
      <c r="R58" s="50" t="n">
        <f aca="false">合約與計費!$D$4</f>
        <v>0.296</v>
      </c>
      <c r="S58" s="51" t="n">
        <f aca="false">ROUND(P58*R58,0)</f>
        <v>379</v>
      </c>
      <c r="T58" s="52"/>
      <c r="U58" s="47"/>
      <c r="V58" s="47"/>
      <c r="W58" s="53"/>
      <c r="X58" s="47"/>
      <c r="Y58" s="47"/>
      <c r="Z58" s="54"/>
      <c r="AA58" s="55"/>
      <c r="AB58" s="56"/>
      <c r="AC58" s="57"/>
      <c r="AD58" s="42" t="n">
        <v>0.0523</v>
      </c>
      <c r="AE58" s="43" t="n">
        <v>0.8</v>
      </c>
    </row>
    <row r="59" customFormat="false" ht="16.5" hidden="false" customHeight="true" outlineLevel="0" collapsed="false">
      <c r="A59" s="44" t="n">
        <f aca="false">ROW(A57)</f>
        <v>57</v>
      </c>
      <c r="B59" s="44" t="s">
        <v>485</v>
      </c>
      <c r="C59" s="47" t="n">
        <v>1</v>
      </c>
      <c r="D59" s="29"/>
      <c r="E59" s="45" t="s">
        <v>589</v>
      </c>
      <c r="F59" s="46" t="s">
        <v>573</v>
      </c>
      <c r="G59" s="47" t="s">
        <v>458</v>
      </c>
      <c r="H59" s="47" t="s">
        <v>459</v>
      </c>
      <c r="I59" s="47" t="s">
        <v>127</v>
      </c>
      <c r="J59" s="45" t="s">
        <v>471</v>
      </c>
      <c r="K59" s="48" t="s">
        <v>590</v>
      </c>
      <c r="L59" s="49" t="n">
        <v>45730</v>
      </c>
      <c r="M59" s="47" t="n">
        <v>9630</v>
      </c>
      <c r="N59" s="47" t="n">
        <v>11174</v>
      </c>
      <c r="O59" s="47" t="n">
        <v>1544</v>
      </c>
      <c r="P59" s="47" t="n">
        <v>1498</v>
      </c>
      <c r="Q59" s="47"/>
      <c r="R59" s="50" t="n">
        <f aca="false">合約與計費!$D$4</f>
        <v>0.296</v>
      </c>
      <c r="S59" s="51" t="n">
        <f aca="false">ROUND(P59*R59,0)</f>
        <v>443</v>
      </c>
      <c r="T59" s="52"/>
      <c r="U59" s="47"/>
      <c r="V59" s="47"/>
      <c r="W59" s="53"/>
      <c r="X59" s="47"/>
      <c r="Y59" s="47"/>
      <c r="Z59" s="54"/>
      <c r="AA59" s="55"/>
      <c r="AB59" s="56"/>
      <c r="AC59" s="57"/>
      <c r="AD59" s="42" t="n">
        <v>0.1659</v>
      </c>
      <c r="AE59" s="43" t="n">
        <v>0.9</v>
      </c>
    </row>
    <row r="60" customFormat="false" ht="16.5" hidden="false" customHeight="true" outlineLevel="0" collapsed="false">
      <c r="A60" s="44" t="n">
        <f aca="false">ROW(A58)</f>
        <v>58</v>
      </c>
      <c r="B60" s="44" t="n">
        <v>10</v>
      </c>
      <c r="C60" s="47" t="n">
        <v>1</v>
      </c>
      <c r="D60" s="29"/>
      <c r="E60" s="45" t="s">
        <v>591</v>
      </c>
      <c r="F60" s="46" t="s">
        <v>573</v>
      </c>
      <c r="G60" s="47" t="s">
        <v>458</v>
      </c>
      <c r="H60" s="47" t="s">
        <v>459</v>
      </c>
      <c r="I60" s="47" t="s">
        <v>127</v>
      </c>
      <c r="J60" s="45" t="s">
        <v>471</v>
      </c>
      <c r="K60" s="48" t="s">
        <v>592</v>
      </c>
      <c r="L60" s="49" t="n">
        <v>45730</v>
      </c>
      <c r="M60" s="47" t="n">
        <v>25</v>
      </c>
      <c r="N60" s="47" t="n">
        <v>29</v>
      </c>
      <c r="O60" s="47" t="n">
        <v>4</v>
      </c>
      <c r="P60" s="47" t="n">
        <v>4</v>
      </c>
      <c r="Q60" s="47"/>
      <c r="R60" s="50" t="n">
        <f aca="false">合約與計費!$D$4</f>
        <v>0.296</v>
      </c>
      <c r="S60" s="51" t="n">
        <f aca="false">ROUND(P60*R60,0)</f>
        <v>1</v>
      </c>
      <c r="T60" s="52"/>
      <c r="U60" s="47"/>
      <c r="V60" s="47"/>
      <c r="W60" s="53"/>
      <c r="X60" s="47"/>
      <c r="Y60" s="47"/>
      <c r="Z60" s="54"/>
      <c r="AA60" s="55"/>
      <c r="AB60" s="56"/>
      <c r="AC60" s="57"/>
      <c r="AD60" s="42" t="n">
        <v>0.0379</v>
      </c>
      <c r="AE60" s="43" t="n">
        <v>1</v>
      </c>
    </row>
    <row r="61" customFormat="false" ht="16.5" hidden="false" customHeight="true" outlineLevel="0" collapsed="false">
      <c r="A61" s="44" t="n">
        <f aca="false">ROW(A59)</f>
        <v>59</v>
      </c>
      <c r="B61" s="44" t="n">
        <v>11</v>
      </c>
      <c r="C61" s="47" t="n">
        <v>1</v>
      </c>
      <c r="D61" s="29"/>
      <c r="E61" s="45" t="s">
        <v>593</v>
      </c>
      <c r="F61" s="46" t="s">
        <v>573</v>
      </c>
      <c r="G61" s="47" t="s">
        <v>458</v>
      </c>
      <c r="H61" s="47" t="s">
        <v>459</v>
      </c>
      <c r="I61" s="47" t="s">
        <v>127</v>
      </c>
      <c r="J61" s="45" t="s">
        <v>471</v>
      </c>
      <c r="K61" s="48" t="s">
        <v>594</v>
      </c>
      <c r="L61" s="49" t="n">
        <v>45730</v>
      </c>
      <c r="M61" s="47" t="n">
        <v>9851</v>
      </c>
      <c r="N61" s="47" t="n">
        <v>11531</v>
      </c>
      <c r="O61" s="47" t="n">
        <v>1680</v>
      </c>
      <c r="P61" s="47" t="n">
        <v>1630</v>
      </c>
      <c r="Q61" s="47"/>
      <c r="R61" s="50" t="n">
        <f aca="false">合約與計費!$D$4</f>
        <v>0.296</v>
      </c>
      <c r="S61" s="51" t="n">
        <f aca="false">ROUND(P61*R61,0)</f>
        <v>482</v>
      </c>
      <c r="T61" s="52"/>
      <c r="U61" s="47"/>
      <c r="V61" s="47"/>
      <c r="W61" s="53"/>
      <c r="X61" s="47"/>
      <c r="Y61" s="47"/>
      <c r="Z61" s="54"/>
      <c r="AA61" s="55"/>
      <c r="AB61" s="56"/>
      <c r="AC61" s="57"/>
      <c r="AD61" s="42" t="n">
        <v>0.1022</v>
      </c>
      <c r="AE61" s="43" t="n">
        <v>1</v>
      </c>
    </row>
    <row r="62" customFormat="false" ht="16.5" hidden="false" customHeight="true" outlineLevel="0" collapsed="false">
      <c r="A62" s="44" t="n">
        <f aca="false">ROW(A60)</f>
        <v>60</v>
      </c>
      <c r="B62" s="44" t="n">
        <v>12</v>
      </c>
      <c r="C62" s="47" t="n">
        <v>1</v>
      </c>
      <c r="D62" s="29"/>
      <c r="E62" s="45" t="s">
        <v>595</v>
      </c>
      <c r="F62" s="46" t="s">
        <v>573</v>
      </c>
      <c r="G62" s="47" t="s">
        <v>458</v>
      </c>
      <c r="H62" s="47" t="s">
        <v>459</v>
      </c>
      <c r="I62" s="47" t="s">
        <v>127</v>
      </c>
      <c r="J62" s="45" t="s">
        <v>471</v>
      </c>
      <c r="K62" s="48" t="s">
        <v>596</v>
      </c>
      <c r="L62" s="49" t="n">
        <v>45730</v>
      </c>
      <c r="M62" s="47" t="n">
        <v>2578</v>
      </c>
      <c r="N62" s="47" t="n">
        <v>3286</v>
      </c>
      <c r="O62" s="47" t="n">
        <v>708</v>
      </c>
      <c r="P62" s="47" t="n">
        <v>687</v>
      </c>
      <c r="Q62" s="47"/>
      <c r="R62" s="50" t="n">
        <f aca="false">合約與計費!$D$4</f>
        <v>0.296</v>
      </c>
      <c r="S62" s="51" t="n">
        <f aca="false">ROUND(P62*R62,0)</f>
        <v>203</v>
      </c>
      <c r="T62" s="52"/>
      <c r="U62" s="47"/>
      <c r="V62" s="47"/>
      <c r="W62" s="53"/>
      <c r="X62" s="47"/>
      <c r="Y62" s="47"/>
      <c r="Z62" s="54"/>
      <c r="AA62" s="55"/>
      <c r="AB62" s="56"/>
      <c r="AC62" s="57"/>
      <c r="AD62" s="42" t="n">
        <v>0.0828</v>
      </c>
      <c r="AE62" s="43" t="n">
        <v>0.7</v>
      </c>
    </row>
    <row r="63" customFormat="false" ht="16.5" hidden="false" customHeight="true" outlineLevel="0" collapsed="false">
      <c r="A63" s="44" t="n">
        <f aca="false">ROW(A61)</f>
        <v>61</v>
      </c>
      <c r="B63" s="44" t="n">
        <v>13</v>
      </c>
      <c r="C63" s="47" t="n">
        <v>1</v>
      </c>
      <c r="D63" s="29"/>
      <c r="E63" s="45" t="s">
        <v>597</v>
      </c>
      <c r="F63" s="46" t="s">
        <v>573</v>
      </c>
      <c r="G63" s="47" t="s">
        <v>458</v>
      </c>
      <c r="H63" s="47" t="s">
        <v>459</v>
      </c>
      <c r="I63" s="47" t="s">
        <v>127</v>
      </c>
      <c r="J63" s="45" t="s">
        <v>471</v>
      </c>
      <c r="K63" s="48" t="s">
        <v>598</v>
      </c>
      <c r="L63" s="49" t="n">
        <v>45730</v>
      </c>
      <c r="M63" s="47" t="n">
        <v>2763</v>
      </c>
      <c r="N63" s="47" t="n">
        <v>3141</v>
      </c>
      <c r="O63" s="47" t="n">
        <v>378</v>
      </c>
      <c r="P63" s="47" t="n">
        <v>367</v>
      </c>
      <c r="Q63" s="47"/>
      <c r="R63" s="50" t="n">
        <f aca="false">合約與計費!$D$4</f>
        <v>0.296</v>
      </c>
      <c r="S63" s="51" t="n">
        <f aca="false">ROUND(P63*R63,0)</f>
        <v>109</v>
      </c>
      <c r="T63" s="52"/>
      <c r="U63" s="47"/>
      <c r="V63" s="47"/>
      <c r="W63" s="53"/>
      <c r="X63" s="47"/>
      <c r="Y63" s="47"/>
      <c r="Z63" s="54"/>
      <c r="AA63" s="55"/>
      <c r="AB63" s="56"/>
      <c r="AC63" s="57"/>
      <c r="AD63" s="42" t="n">
        <v>0.0667</v>
      </c>
      <c r="AE63" s="43" t="n">
        <v>0.3</v>
      </c>
    </row>
    <row r="64" customFormat="false" ht="16.5" hidden="false" customHeight="true" outlineLevel="0" collapsed="false">
      <c r="A64" s="44" t="n">
        <f aca="false">ROW(A62)</f>
        <v>62</v>
      </c>
      <c r="B64" s="44" t="n">
        <v>14</v>
      </c>
      <c r="C64" s="47" t="n">
        <v>1</v>
      </c>
      <c r="D64" s="29"/>
      <c r="E64" s="45" t="s">
        <v>599</v>
      </c>
      <c r="F64" s="46" t="s">
        <v>573</v>
      </c>
      <c r="G64" s="47" t="s">
        <v>458</v>
      </c>
      <c r="H64" s="47" t="s">
        <v>459</v>
      </c>
      <c r="I64" s="47" t="s">
        <v>127</v>
      </c>
      <c r="J64" s="45" t="s">
        <v>471</v>
      </c>
      <c r="K64" s="48" t="s">
        <v>600</v>
      </c>
      <c r="L64" s="49" t="n">
        <v>45730</v>
      </c>
      <c r="M64" s="47" t="n">
        <v>5801</v>
      </c>
      <c r="N64" s="47" t="n">
        <v>7235</v>
      </c>
      <c r="O64" s="47" t="n">
        <v>1434</v>
      </c>
      <c r="P64" s="47" t="n">
        <v>1391</v>
      </c>
      <c r="Q64" s="47"/>
      <c r="R64" s="50" t="n">
        <f aca="false">合約與計費!$D$4</f>
        <v>0.296</v>
      </c>
      <c r="S64" s="51" t="n">
        <f aca="false">ROUND(P64*R64,0)</f>
        <v>412</v>
      </c>
      <c r="T64" s="52"/>
      <c r="U64" s="47"/>
      <c r="V64" s="47"/>
      <c r="W64" s="53"/>
      <c r="X64" s="47"/>
      <c r="Y64" s="47"/>
      <c r="Z64" s="54"/>
      <c r="AA64" s="55"/>
      <c r="AB64" s="56"/>
      <c r="AC64" s="57"/>
      <c r="AD64" s="42" t="n">
        <v>0.0866</v>
      </c>
      <c r="AE64" s="43" t="n">
        <v>0.4</v>
      </c>
    </row>
    <row r="65" customFormat="false" ht="16.5" hidden="false" customHeight="true" outlineLevel="0" collapsed="false">
      <c r="A65" s="44" t="n">
        <f aca="false">ROW(A63)</f>
        <v>63</v>
      </c>
      <c r="B65" s="44" t="n">
        <v>15</v>
      </c>
      <c r="C65" s="47" t="n">
        <v>1</v>
      </c>
      <c r="D65" s="29"/>
      <c r="E65" s="45" t="s">
        <v>601</v>
      </c>
      <c r="F65" s="46" t="s">
        <v>573</v>
      </c>
      <c r="G65" s="47" t="s">
        <v>458</v>
      </c>
      <c r="H65" s="47" t="s">
        <v>459</v>
      </c>
      <c r="I65" s="47" t="s">
        <v>127</v>
      </c>
      <c r="J65" s="45" t="s">
        <v>471</v>
      </c>
      <c r="K65" s="48" t="s">
        <v>602</v>
      </c>
      <c r="L65" s="49" t="n">
        <v>45730</v>
      </c>
      <c r="M65" s="47" t="n">
        <v>53</v>
      </c>
      <c r="N65" s="47" t="n">
        <v>57</v>
      </c>
      <c r="O65" s="47" t="n">
        <v>4</v>
      </c>
      <c r="P65" s="47" t="n">
        <v>4</v>
      </c>
      <c r="Q65" s="47"/>
      <c r="R65" s="50" t="n">
        <f aca="false">合約與計費!$D$4</f>
        <v>0.296</v>
      </c>
      <c r="S65" s="51" t="n">
        <f aca="false">ROUND(P65*R65,0)</f>
        <v>1</v>
      </c>
      <c r="T65" s="52"/>
      <c r="U65" s="47"/>
      <c r="V65" s="47"/>
      <c r="W65" s="53"/>
      <c r="X65" s="47"/>
      <c r="Y65" s="47"/>
      <c r="Z65" s="54"/>
      <c r="AA65" s="55"/>
      <c r="AB65" s="56"/>
      <c r="AC65" s="57"/>
      <c r="AD65" s="42" t="n">
        <v>0.0452</v>
      </c>
      <c r="AE65" s="43" t="n">
        <v>1</v>
      </c>
    </row>
    <row r="66" customFormat="false" ht="16.5" hidden="false" customHeight="true" outlineLevel="0" collapsed="false">
      <c r="A66" s="44" t="n">
        <f aca="false">ROW(A64)</f>
        <v>64</v>
      </c>
      <c r="B66" s="44" t="n">
        <v>16</v>
      </c>
      <c r="C66" s="47" t="n">
        <v>1</v>
      </c>
      <c r="D66" s="29"/>
      <c r="E66" s="45" t="s">
        <v>603</v>
      </c>
      <c r="F66" s="46" t="s">
        <v>573</v>
      </c>
      <c r="G66" s="47" t="s">
        <v>458</v>
      </c>
      <c r="H66" s="47" t="s">
        <v>459</v>
      </c>
      <c r="I66" s="47" t="s">
        <v>127</v>
      </c>
      <c r="J66" s="45" t="s">
        <v>471</v>
      </c>
      <c r="K66" s="48" t="s">
        <v>604</v>
      </c>
      <c r="L66" s="49" t="n">
        <v>45730</v>
      </c>
      <c r="M66" s="47" t="n">
        <v>10703</v>
      </c>
      <c r="N66" s="47" t="n">
        <v>12752</v>
      </c>
      <c r="O66" s="47" t="n">
        <v>2049</v>
      </c>
      <c r="P66" s="47" t="n">
        <v>1988</v>
      </c>
      <c r="Q66" s="47"/>
      <c r="R66" s="50" t="n">
        <f aca="false">合約與計費!$D$4</f>
        <v>0.296</v>
      </c>
      <c r="S66" s="51" t="n">
        <f aca="false">ROUND(P66*R66,0)</f>
        <v>588</v>
      </c>
      <c r="T66" s="52"/>
      <c r="U66" s="47"/>
      <c r="V66" s="47"/>
      <c r="W66" s="53"/>
      <c r="X66" s="47"/>
      <c r="Y66" s="47"/>
      <c r="Z66" s="54"/>
      <c r="AA66" s="55"/>
      <c r="AB66" s="56"/>
      <c r="AC66" s="57"/>
      <c r="AD66" s="42" t="n">
        <v>0.0988</v>
      </c>
      <c r="AE66" s="43" t="n">
        <v>0.7</v>
      </c>
    </row>
    <row r="67" customFormat="false" ht="16.5" hidden="false" customHeight="true" outlineLevel="0" collapsed="false">
      <c r="A67" s="44" t="n">
        <f aca="false">ROW(A65)</f>
        <v>65</v>
      </c>
      <c r="B67" s="44" t="n">
        <v>17</v>
      </c>
      <c r="C67" s="47" t="n">
        <v>1</v>
      </c>
      <c r="D67" s="29"/>
      <c r="E67" s="45" t="s">
        <v>605</v>
      </c>
      <c r="F67" s="46" t="s">
        <v>573</v>
      </c>
      <c r="G67" s="47" t="s">
        <v>458</v>
      </c>
      <c r="H67" s="47" t="s">
        <v>459</v>
      </c>
      <c r="I67" s="47" t="s">
        <v>127</v>
      </c>
      <c r="J67" s="45" t="s">
        <v>471</v>
      </c>
      <c r="K67" s="48" t="s">
        <v>606</v>
      </c>
      <c r="L67" s="49" t="n">
        <v>45730</v>
      </c>
      <c r="M67" s="47" t="n">
        <v>7533</v>
      </c>
      <c r="N67" s="47" t="n">
        <v>9082</v>
      </c>
      <c r="O67" s="47" t="n">
        <v>1549</v>
      </c>
      <c r="P67" s="47" t="n">
        <v>1503</v>
      </c>
      <c r="Q67" s="47"/>
      <c r="R67" s="50" t="n">
        <f aca="false">合約與計費!$D$4</f>
        <v>0.296</v>
      </c>
      <c r="S67" s="51" t="n">
        <f aca="false">ROUND(P67*R67,0)</f>
        <v>445</v>
      </c>
      <c r="T67" s="52"/>
      <c r="U67" s="47"/>
      <c r="V67" s="47"/>
      <c r="W67" s="53"/>
      <c r="X67" s="47"/>
      <c r="Y67" s="47"/>
      <c r="Z67" s="54"/>
      <c r="AA67" s="55"/>
      <c r="AB67" s="56"/>
      <c r="AC67" s="57"/>
      <c r="AD67" s="42" t="n">
        <v>0.1936</v>
      </c>
      <c r="AE67" s="43" t="n">
        <v>0.8</v>
      </c>
    </row>
    <row r="68" customFormat="false" ht="16.5" hidden="false" customHeight="true" outlineLevel="0" collapsed="false">
      <c r="A68" s="59" t="n">
        <f aca="false">ROW(A66)</f>
        <v>66</v>
      </c>
      <c r="B68" s="59" t="n">
        <v>18</v>
      </c>
      <c r="C68" s="62" t="n">
        <v>1</v>
      </c>
      <c r="D68" s="29"/>
      <c r="E68" s="60" t="s">
        <v>607</v>
      </c>
      <c r="F68" s="61" t="s">
        <v>573</v>
      </c>
      <c r="G68" s="62" t="s">
        <v>458</v>
      </c>
      <c r="H68" s="62" t="s">
        <v>459</v>
      </c>
      <c r="I68" s="62" t="s">
        <v>127</v>
      </c>
      <c r="J68" s="60" t="s">
        <v>471</v>
      </c>
      <c r="K68" s="63" t="s">
        <v>608</v>
      </c>
      <c r="L68" s="64" t="n">
        <v>45730</v>
      </c>
      <c r="M68" s="62" t="n">
        <v>3915</v>
      </c>
      <c r="N68" s="62" t="n">
        <v>4630</v>
      </c>
      <c r="O68" s="62" t="n">
        <v>715</v>
      </c>
      <c r="P68" s="62" t="n">
        <v>694</v>
      </c>
      <c r="Q68" s="62" t="n">
        <f aca="false">ROUND(SUM(P51:P68),2)</f>
        <v>13257</v>
      </c>
      <c r="R68" s="65" t="n">
        <f aca="false">合約與計費!$D$4</f>
        <v>0.296</v>
      </c>
      <c r="S68" s="66" t="n">
        <f aca="false">ROUND(P68*R68,0)</f>
        <v>205</v>
      </c>
      <c r="T68" s="79" t="n">
        <f aca="false">ROUND(SUM(S51:S68),2)</f>
        <v>3922</v>
      </c>
      <c r="U68" s="62"/>
      <c r="V68" s="62"/>
      <c r="W68" s="67"/>
      <c r="X68" s="62"/>
      <c r="Y68" s="62" t="n">
        <f aca="false">ROUND(SUM(X51:X68),2)</f>
        <v>131</v>
      </c>
      <c r="Z68" s="68"/>
      <c r="AA68" s="77"/>
      <c r="AB68" s="78" t="n">
        <f aca="false">ROUND(SUM(AA51:AA68),2)</f>
        <v>367</v>
      </c>
      <c r="AC68" s="69"/>
      <c r="AD68" s="42" t="n">
        <v>0.0762</v>
      </c>
      <c r="AE68" s="43" t="n">
        <v>0.8</v>
      </c>
    </row>
    <row r="69" customFormat="false" ht="16.5" hidden="false" customHeight="true" outlineLevel="0" collapsed="false">
      <c r="A69" s="27" t="n">
        <f aca="false">ROW(A67)</f>
        <v>67</v>
      </c>
      <c r="B69" s="27" t="s">
        <v>455</v>
      </c>
      <c r="C69" s="31" t="n">
        <v>1</v>
      </c>
      <c r="D69" s="29" t="n">
        <v>294</v>
      </c>
      <c r="E69" s="28" t="s">
        <v>609</v>
      </c>
      <c r="F69" s="30" t="s">
        <v>610</v>
      </c>
      <c r="G69" s="31" t="s">
        <v>458</v>
      </c>
      <c r="H69" s="31" t="s">
        <v>459</v>
      </c>
      <c r="I69" s="71" t="s">
        <v>93</v>
      </c>
      <c r="J69" s="28" t="s">
        <v>460</v>
      </c>
      <c r="K69" s="80" t="s">
        <v>611</v>
      </c>
      <c r="L69" s="34" t="n">
        <v>45744</v>
      </c>
      <c r="M69" s="31" t="n">
        <v>93</v>
      </c>
      <c r="N69" s="31" t="n">
        <v>121</v>
      </c>
      <c r="O69" s="31" t="n">
        <v>28</v>
      </c>
      <c r="P69" s="31" t="n">
        <v>27</v>
      </c>
      <c r="Q69" s="31"/>
      <c r="R69" s="35" t="n">
        <f aca="false">合約與計費!$D$4</f>
        <v>0.296</v>
      </c>
      <c r="S69" s="36" t="n">
        <f aca="false">ROUND(P69*R69,0)</f>
        <v>8</v>
      </c>
      <c r="T69" s="37"/>
      <c r="U69" s="31" t="n">
        <v>598</v>
      </c>
      <c r="V69" s="31" t="n">
        <v>675</v>
      </c>
      <c r="W69" s="31" t="n">
        <v>77</v>
      </c>
      <c r="X69" s="31" t="n">
        <v>75</v>
      </c>
      <c r="Y69" s="31"/>
      <c r="Z69" s="38" t="n">
        <f aca="false">合約與計費!$E$4</f>
        <v>2.8</v>
      </c>
      <c r="AA69" s="39" t="n">
        <f aca="false">ROUND(X69*Z69,0)</f>
        <v>210</v>
      </c>
      <c r="AB69" s="40"/>
      <c r="AC69" s="41"/>
      <c r="AD69" s="42"/>
      <c r="AE69" s="43"/>
    </row>
    <row r="70" customFormat="false" ht="16.5" hidden="false" customHeight="true" outlineLevel="0" collapsed="false">
      <c r="A70" s="44" t="n">
        <f aca="false">ROW(A68)</f>
        <v>68</v>
      </c>
      <c r="B70" s="44" t="s">
        <v>462</v>
      </c>
      <c r="C70" s="47" t="n">
        <v>1</v>
      </c>
      <c r="D70" s="29"/>
      <c r="E70" s="45" t="s">
        <v>612</v>
      </c>
      <c r="F70" s="46" t="s">
        <v>610</v>
      </c>
      <c r="G70" s="47" t="s">
        <v>458</v>
      </c>
      <c r="H70" s="47" t="s">
        <v>459</v>
      </c>
      <c r="I70" s="73" t="s">
        <v>93</v>
      </c>
      <c r="J70" s="45" t="s">
        <v>464</v>
      </c>
      <c r="K70" s="48" t="s">
        <v>613</v>
      </c>
      <c r="L70" s="49" t="n">
        <v>45744</v>
      </c>
      <c r="M70" s="47" t="n">
        <v>4487</v>
      </c>
      <c r="N70" s="47" t="n">
        <v>5242</v>
      </c>
      <c r="O70" s="47" t="n">
        <v>755</v>
      </c>
      <c r="P70" s="47" t="n">
        <v>732</v>
      </c>
      <c r="Q70" s="47"/>
      <c r="R70" s="50" t="n">
        <f aca="false">合約與計費!$D$4</f>
        <v>0.296</v>
      </c>
      <c r="S70" s="51" t="n">
        <f aca="false">ROUND(P70*R70,0)</f>
        <v>217</v>
      </c>
      <c r="T70" s="52"/>
      <c r="U70" s="47"/>
      <c r="V70" s="47"/>
      <c r="W70" s="53"/>
      <c r="X70" s="47"/>
      <c r="Y70" s="47"/>
      <c r="Z70" s="54"/>
      <c r="AA70" s="55"/>
      <c r="AB70" s="56"/>
      <c r="AC70" s="57"/>
      <c r="AD70" s="42" t="n">
        <v>0.0708</v>
      </c>
      <c r="AE70" s="43" t="n">
        <v>0.7</v>
      </c>
    </row>
    <row r="71" customFormat="false" ht="16.5" hidden="false" customHeight="true" outlineLevel="0" collapsed="false">
      <c r="A71" s="59" t="n">
        <f aca="false">ROW(A69)</f>
        <v>69</v>
      </c>
      <c r="B71" s="59" t="s">
        <v>466</v>
      </c>
      <c r="C71" s="62" t="n">
        <v>1</v>
      </c>
      <c r="D71" s="29"/>
      <c r="E71" s="60" t="s">
        <v>614</v>
      </c>
      <c r="F71" s="61" t="s">
        <v>610</v>
      </c>
      <c r="G71" s="62" t="s">
        <v>458</v>
      </c>
      <c r="H71" s="62" t="s">
        <v>459</v>
      </c>
      <c r="I71" s="76" t="s">
        <v>93</v>
      </c>
      <c r="J71" s="60" t="s">
        <v>527</v>
      </c>
      <c r="K71" s="63" t="s">
        <v>615</v>
      </c>
      <c r="L71" s="64" t="n">
        <v>45744</v>
      </c>
      <c r="M71" s="62" t="n">
        <v>3260</v>
      </c>
      <c r="N71" s="62" t="n">
        <v>3720</v>
      </c>
      <c r="O71" s="62" t="n">
        <v>460</v>
      </c>
      <c r="P71" s="62" t="n">
        <v>446</v>
      </c>
      <c r="Q71" s="62" t="n">
        <f aca="false">ROUND(SUM(P69:P71),2)</f>
        <v>1205</v>
      </c>
      <c r="R71" s="65" t="n">
        <f aca="false">合約與計費!$D$4</f>
        <v>0.296</v>
      </c>
      <c r="S71" s="66" t="n">
        <f aca="false">ROUND(P71*R71,0)</f>
        <v>132</v>
      </c>
      <c r="T71" s="79" t="n">
        <f aca="false">ROUND(SUM(S69:S71),2)</f>
        <v>357</v>
      </c>
      <c r="U71" s="62"/>
      <c r="V71" s="62"/>
      <c r="W71" s="67"/>
      <c r="X71" s="62"/>
      <c r="Y71" s="62" t="n">
        <f aca="false">ROUND(SUM(X69:X71),2)</f>
        <v>75</v>
      </c>
      <c r="Z71" s="68"/>
      <c r="AA71" s="77"/>
      <c r="AB71" s="78" t="n">
        <f aca="false">ROUND(SUM(AA69:AA71),2)</f>
        <v>210</v>
      </c>
      <c r="AC71" s="69"/>
      <c r="AD71" s="42"/>
      <c r="AE71" s="43"/>
    </row>
    <row r="72" customFormat="false" ht="16.5" hidden="false" customHeight="true" outlineLevel="0" collapsed="false">
      <c r="A72" s="27" t="n">
        <f aca="false">ROW(A70)</f>
        <v>70</v>
      </c>
      <c r="B72" s="27" t="s">
        <v>455</v>
      </c>
      <c r="C72" s="31" t="n">
        <v>1</v>
      </c>
      <c r="D72" s="29" t="n">
        <v>307</v>
      </c>
      <c r="E72" s="70" t="s">
        <v>616</v>
      </c>
      <c r="F72" s="30" t="s">
        <v>617</v>
      </c>
      <c r="G72" s="31" t="s">
        <v>458</v>
      </c>
      <c r="H72" s="31" t="s">
        <v>459</v>
      </c>
      <c r="I72" s="71" t="s">
        <v>327</v>
      </c>
      <c r="J72" s="28" t="s">
        <v>460</v>
      </c>
      <c r="K72" s="33" t="s">
        <v>618</v>
      </c>
      <c r="L72" s="34" t="n">
        <v>45744</v>
      </c>
      <c r="M72" s="31" t="n">
        <v>39</v>
      </c>
      <c r="N72" s="31" t="n">
        <v>126</v>
      </c>
      <c r="O72" s="31" t="n">
        <v>87</v>
      </c>
      <c r="P72" s="31" t="n">
        <v>84</v>
      </c>
      <c r="Q72" s="31"/>
      <c r="R72" s="35" t="n">
        <f aca="false">合約與計費!$D$4</f>
        <v>0.296</v>
      </c>
      <c r="S72" s="36" t="n">
        <f aca="false">ROUND(P72*R72,0)</f>
        <v>25</v>
      </c>
      <c r="T72" s="37"/>
      <c r="U72" s="31" t="n">
        <v>371</v>
      </c>
      <c r="V72" s="31" t="n">
        <v>450</v>
      </c>
      <c r="W72" s="31" t="n">
        <v>79</v>
      </c>
      <c r="X72" s="31" t="n">
        <v>77</v>
      </c>
      <c r="Y72" s="31"/>
      <c r="Z72" s="38" t="n">
        <f aca="false">合約與計費!$E$4</f>
        <v>2.8</v>
      </c>
      <c r="AA72" s="39" t="n">
        <f aca="false">ROUND(X72*Z72,0)</f>
        <v>216</v>
      </c>
      <c r="AB72" s="40"/>
      <c r="AC72" s="81" t="s">
        <v>619</v>
      </c>
      <c r="AD72" s="42"/>
      <c r="AE72" s="43"/>
    </row>
    <row r="73" customFormat="false" ht="16.5" hidden="false" customHeight="true" outlineLevel="0" collapsed="false">
      <c r="A73" s="44" t="n">
        <f aca="false">ROW(A71)</f>
        <v>71</v>
      </c>
      <c r="B73" s="44" t="s">
        <v>462</v>
      </c>
      <c r="C73" s="47" t="n">
        <v>1</v>
      </c>
      <c r="D73" s="29"/>
      <c r="E73" s="72" t="s">
        <v>620</v>
      </c>
      <c r="F73" s="46" t="s">
        <v>617</v>
      </c>
      <c r="G73" s="47" t="s">
        <v>458</v>
      </c>
      <c r="H73" s="47" t="s">
        <v>459</v>
      </c>
      <c r="I73" s="73" t="s">
        <v>327</v>
      </c>
      <c r="J73" s="45" t="s">
        <v>464</v>
      </c>
      <c r="K73" s="74" t="s">
        <v>621</v>
      </c>
      <c r="L73" s="49" t="n">
        <v>45744</v>
      </c>
      <c r="M73" s="47" t="n">
        <v>1670</v>
      </c>
      <c r="N73" s="47" t="n">
        <v>2054</v>
      </c>
      <c r="O73" s="47" t="n">
        <v>384</v>
      </c>
      <c r="P73" s="47" t="n">
        <v>372</v>
      </c>
      <c r="Q73" s="47"/>
      <c r="R73" s="50" t="n">
        <f aca="false">合約與計費!$D$4</f>
        <v>0.296</v>
      </c>
      <c r="S73" s="51" t="n">
        <f aca="false">ROUND(P73*R73,0)</f>
        <v>110</v>
      </c>
      <c r="T73" s="52"/>
      <c r="U73" s="47"/>
      <c r="V73" s="47"/>
      <c r="W73" s="53"/>
      <c r="X73" s="47"/>
      <c r="Y73" s="47"/>
      <c r="Z73" s="54"/>
      <c r="AA73" s="55"/>
      <c r="AB73" s="56"/>
      <c r="AC73" s="81"/>
      <c r="AD73" s="42" t="n">
        <v>0.0605</v>
      </c>
      <c r="AE73" s="43" t="n">
        <v>0.1</v>
      </c>
    </row>
    <row r="74" customFormat="false" ht="16.5" hidden="false" customHeight="true" outlineLevel="0" collapsed="false">
      <c r="A74" s="44" t="n">
        <f aca="false">ROW(A72)</f>
        <v>72</v>
      </c>
      <c r="B74" s="44" t="s">
        <v>466</v>
      </c>
      <c r="C74" s="47" t="n">
        <v>1</v>
      </c>
      <c r="D74" s="29"/>
      <c r="E74" s="72" t="s">
        <v>622</v>
      </c>
      <c r="F74" s="46" t="s">
        <v>617</v>
      </c>
      <c r="G74" s="47" t="s">
        <v>458</v>
      </c>
      <c r="H74" s="47" t="s">
        <v>459</v>
      </c>
      <c r="I74" s="73" t="s">
        <v>327</v>
      </c>
      <c r="J74" s="45" t="s">
        <v>527</v>
      </c>
      <c r="K74" s="48" t="s">
        <v>623</v>
      </c>
      <c r="L74" s="49" t="n">
        <v>45744</v>
      </c>
      <c r="M74" s="47" t="n">
        <v>3122</v>
      </c>
      <c r="N74" s="47" t="n">
        <v>4433</v>
      </c>
      <c r="O74" s="47" t="n">
        <v>1311</v>
      </c>
      <c r="P74" s="47" t="n">
        <v>1272</v>
      </c>
      <c r="Q74" s="47"/>
      <c r="R74" s="50" t="n">
        <f aca="false">合約與計費!$D$4</f>
        <v>0.296</v>
      </c>
      <c r="S74" s="51" t="n">
        <f aca="false">ROUND(P74*R74,0)</f>
        <v>377</v>
      </c>
      <c r="T74" s="52"/>
      <c r="U74" s="47"/>
      <c r="V74" s="47"/>
      <c r="W74" s="53"/>
      <c r="X74" s="47"/>
      <c r="Y74" s="47"/>
      <c r="Z74" s="54"/>
      <c r="AA74" s="55"/>
      <c r="AB74" s="56"/>
      <c r="AC74" s="81"/>
      <c r="AD74" s="42"/>
      <c r="AE74" s="43"/>
    </row>
    <row r="75" customFormat="false" ht="16.5" hidden="false" customHeight="true" outlineLevel="0" collapsed="false">
      <c r="A75" s="44" t="n">
        <f aca="false">ROW(A73)</f>
        <v>73</v>
      </c>
      <c r="B75" s="44" t="s">
        <v>469</v>
      </c>
      <c r="C75" s="47" t="n">
        <v>1</v>
      </c>
      <c r="D75" s="29"/>
      <c r="E75" s="72" t="s">
        <v>624</v>
      </c>
      <c r="F75" s="46" t="s">
        <v>617</v>
      </c>
      <c r="G75" s="47" t="s">
        <v>458</v>
      </c>
      <c r="H75" s="47" t="s">
        <v>459</v>
      </c>
      <c r="I75" s="73" t="s">
        <v>327</v>
      </c>
      <c r="J75" s="45" t="s">
        <v>527</v>
      </c>
      <c r="K75" s="48" t="s">
        <v>625</v>
      </c>
      <c r="L75" s="49" t="n">
        <v>45744</v>
      </c>
      <c r="M75" s="47" t="n">
        <v>5541</v>
      </c>
      <c r="N75" s="47" t="n">
        <v>5773</v>
      </c>
      <c r="O75" s="47" t="n">
        <v>232</v>
      </c>
      <c r="P75" s="47" t="n">
        <v>225</v>
      </c>
      <c r="Q75" s="47"/>
      <c r="R75" s="50" t="n">
        <f aca="false">合約與計費!$D$4</f>
        <v>0.296</v>
      </c>
      <c r="S75" s="51" t="n">
        <f aca="false">ROUND(P75*R75,0)</f>
        <v>67</v>
      </c>
      <c r="T75" s="52"/>
      <c r="U75" s="47"/>
      <c r="V75" s="47"/>
      <c r="W75" s="53"/>
      <c r="X75" s="47"/>
      <c r="Y75" s="47"/>
      <c r="Z75" s="54"/>
      <c r="AA75" s="55"/>
      <c r="AB75" s="56"/>
      <c r="AC75" s="81"/>
      <c r="AD75" s="42"/>
      <c r="AE75" s="43"/>
    </row>
    <row r="76" customFormat="false" ht="16.5" hidden="false" customHeight="true" outlineLevel="0" collapsed="false">
      <c r="A76" s="44" t="n">
        <f aca="false">ROW(A74)</f>
        <v>74</v>
      </c>
      <c r="B76" s="44" t="s">
        <v>473</v>
      </c>
      <c r="C76" s="47" t="n">
        <v>1</v>
      </c>
      <c r="D76" s="29"/>
      <c r="E76" s="72" t="s">
        <v>626</v>
      </c>
      <c r="F76" s="46" t="s">
        <v>617</v>
      </c>
      <c r="G76" s="47" t="s">
        <v>458</v>
      </c>
      <c r="H76" s="47" t="s">
        <v>459</v>
      </c>
      <c r="I76" s="73" t="s">
        <v>327</v>
      </c>
      <c r="J76" s="45" t="s">
        <v>527</v>
      </c>
      <c r="K76" s="48" t="s">
        <v>627</v>
      </c>
      <c r="L76" s="49" t="n">
        <v>45744</v>
      </c>
      <c r="M76" s="47" t="n">
        <v>2835</v>
      </c>
      <c r="N76" s="47" t="n">
        <v>3161</v>
      </c>
      <c r="O76" s="47" t="n">
        <v>326</v>
      </c>
      <c r="P76" s="47" t="n">
        <v>316</v>
      </c>
      <c r="Q76" s="47"/>
      <c r="R76" s="50" t="n">
        <f aca="false">合約與計費!$D$4</f>
        <v>0.296</v>
      </c>
      <c r="S76" s="51" t="n">
        <f aca="false">ROUND(P76*R76,0)</f>
        <v>94</v>
      </c>
      <c r="T76" s="52"/>
      <c r="U76" s="47"/>
      <c r="V76" s="47"/>
      <c r="W76" s="53"/>
      <c r="X76" s="47"/>
      <c r="Y76" s="47"/>
      <c r="Z76" s="54"/>
      <c r="AA76" s="55"/>
      <c r="AB76" s="56"/>
      <c r="AC76" s="81"/>
      <c r="AD76" s="42"/>
      <c r="AE76" s="43"/>
    </row>
    <row r="77" customFormat="false" ht="16.5" hidden="false" customHeight="true" outlineLevel="0" collapsed="false">
      <c r="A77" s="59" t="n">
        <f aca="false">ROW(A75)</f>
        <v>75</v>
      </c>
      <c r="B77" s="59" t="s">
        <v>476</v>
      </c>
      <c r="C77" s="62" t="n">
        <v>1</v>
      </c>
      <c r="D77" s="29"/>
      <c r="E77" s="75" t="s">
        <v>628</v>
      </c>
      <c r="F77" s="61" t="s">
        <v>617</v>
      </c>
      <c r="G77" s="62" t="s">
        <v>458</v>
      </c>
      <c r="H77" s="62" t="s">
        <v>459</v>
      </c>
      <c r="I77" s="76" t="s">
        <v>327</v>
      </c>
      <c r="J77" s="45" t="s">
        <v>527</v>
      </c>
      <c r="K77" s="48" t="s">
        <v>629</v>
      </c>
      <c r="L77" s="49" t="n">
        <v>45744</v>
      </c>
      <c r="M77" s="47" t="n">
        <v>3589</v>
      </c>
      <c r="N77" s="47" t="n">
        <v>4984</v>
      </c>
      <c r="O77" s="47" t="n">
        <v>1395</v>
      </c>
      <c r="P77" s="47" t="n">
        <v>1353</v>
      </c>
      <c r="Q77" s="62" t="n">
        <f aca="false">ROUND(SUM(P72:P77),2)</f>
        <v>3622</v>
      </c>
      <c r="R77" s="50" t="n">
        <f aca="false">合約與計費!$D$4</f>
        <v>0.296</v>
      </c>
      <c r="S77" s="51" t="n">
        <f aca="false">ROUND(P77*R77,0)</f>
        <v>400</v>
      </c>
      <c r="T77" s="79" t="n">
        <f aca="false">ROUND(SUM(S72:S77),2)</f>
        <v>1073</v>
      </c>
      <c r="U77" s="47"/>
      <c r="V77" s="47"/>
      <c r="W77" s="53"/>
      <c r="X77" s="47"/>
      <c r="Y77" s="62" t="n">
        <f aca="false">ROUND(SUM(X72:X77),2)</f>
        <v>77</v>
      </c>
      <c r="Z77" s="54"/>
      <c r="AA77" s="55"/>
      <c r="AB77" s="56" t="n">
        <f aca="false">ROUND(SUM(AA72:AA77),2)</f>
        <v>216</v>
      </c>
      <c r="AC77" s="81"/>
      <c r="AD77" s="42"/>
      <c r="AE77" s="43"/>
    </row>
    <row r="78" customFormat="false" ht="16.5" hidden="false" customHeight="true" outlineLevel="0" collapsed="false">
      <c r="A78" s="27" t="n">
        <f aca="false">ROW(A76)</f>
        <v>76</v>
      </c>
      <c r="B78" s="27" t="s">
        <v>455</v>
      </c>
      <c r="C78" s="31" t="n">
        <v>1</v>
      </c>
      <c r="D78" s="29" t="n">
        <v>308</v>
      </c>
      <c r="E78" s="70" t="s">
        <v>630</v>
      </c>
      <c r="F78" s="30" t="s">
        <v>631</v>
      </c>
      <c r="G78" s="31" t="s">
        <v>458</v>
      </c>
      <c r="H78" s="31" t="s">
        <v>459</v>
      </c>
      <c r="I78" s="71" t="s">
        <v>309</v>
      </c>
      <c r="J78" s="28" t="s">
        <v>460</v>
      </c>
      <c r="K78" s="80" t="s">
        <v>632</v>
      </c>
      <c r="L78" s="34" t="n">
        <v>45782</v>
      </c>
      <c r="M78" s="31" t="n">
        <v>14</v>
      </c>
      <c r="N78" s="31" t="n">
        <v>24</v>
      </c>
      <c r="O78" s="31" t="n">
        <v>10</v>
      </c>
      <c r="P78" s="31" t="n">
        <v>10</v>
      </c>
      <c r="Q78" s="31"/>
      <c r="R78" s="35" t="n">
        <f aca="false">合約與計費!$D$4</f>
        <v>0.296</v>
      </c>
      <c r="S78" s="36" t="n">
        <f aca="false">ROUND(P78*R78,0)</f>
        <v>3</v>
      </c>
      <c r="T78" s="37"/>
      <c r="U78" s="31" t="n">
        <v>27</v>
      </c>
      <c r="V78" s="31" t="n">
        <v>32</v>
      </c>
      <c r="W78" s="31" t="n">
        <v>5</v>
      </c>
      <c r="X78" s="31" t="n">
        <v>5</v>
      </c>
      <c r="Y78" s="31"/>
      <c r="Z78" s="38" t="n">
        <f aca="false">合約與計費!$E$4</f>
        <v>2.8</v>
      </c>
      <c r="AA78" s="39" t="n">
        <f aca="false">ROUND(X78*Z78,0)</f>
        <v>14</v>
      </c>
      <c r="AB78" s="40"/>
      <c r="AC78" s="41"/>
      <c r="AD78" s="42"/>
      <c r="AE78" s="43"/>
    </row>
    <row r="79" customFormat="false" ht="16.5" hidden="false" customHeight="true" outlineLevel="0" collapsed="false">
      <c r="A79" s="44" t="n">
        <f aca="false">ROW(A77)</f>
        <v>77</v>
      </c>
      <c r="B79" s="44" t="s">
        <v>462</v>
      </c>
      <c r="C79" s="47" t="n">
        <v>1</v>
      </c>
      <c r="D79" s="29"/>
      <c r="E79" s="72" t="s">
        <v>633</v>
      </c>
      <c r="F79" s="46" t="s">
        <v>631</v>
      </c>
      <c r="G79" s="47" t="s">
        <v>458</v>
      </c>
      <c r="H79" s="47" t="s">
        <v>459</v>
      </c>
      <c r="I79" s="73" t="s">
        <v>309</v>
      </c>
      <c r="J79" s="45" t="s">
        <v>464</v>
      </c>
      <c r="K79" s="48" t="s">
        <v>634</v>
      </c>
      <c r="L79" s="49" t="n">
        <v>45782</v>
      </c>
      <c r="M79" s="47" t="n">
        <v>1085</v>
      </c>
      <c r="N79" s="47" t="n">
        <v>1296</v>
      </c>
      <c r="O79" s="47" t="n">
        <v>211</v>
      </c>
      <c r="P79" s="47" t="n">
        <v>205</v>
      </c>
      <c r="Q79" s="47"/>
      <c r="R79" s="50" t="n">
        <f aca="false">合約與計費!$D$4</f>
        <v>0.296</v>
      </c>
      <c r="S79" s="51" t="n">
        <f aca="false">ROUND(P79*R79,0)</f>
        <v>61</v>
      </c>
      <c r="T79" s="52"/>
      <c r="U79" s="47"/>
      <c r="V79" s="47"/>
      <c r="W79" s="53"/>
      <c r="X79" s="47"/>
      <c r="Y79" s="47"/>
      <c r="Z79" s="54"/>
      <c r="AA79" s="55"/>
      <c r="AB79" s="56"/>
      <c r="AC79" s="57"/>
      <c r="AD79" s="42" t="n">
        <v>0.0762</v>
      </c>
      <c r="AE79" s="43" t="n">
        <v>0.2</v>
      </c>
    </row>
    <row r="80" customFormat="false" ht="16.5" hidden="false" customHeight="true" outlineLevel="0" collapsed="false">
      <c r="A80" s="44" t="n">
        <f aca="false">ROW(A78)</f>
        <v>78</v>
      </c>
      <c r="B80" s="44" t="s">
        <v>466</v>
      </c>
      <c r="C80" s="47" t="n">
        <v>1</v>
      </c>
      <c r="D80" s="29"/>
      <c r="E80" s="72" t="s">
        <v>635</v>
      </c>
      <c r="F80" s="46" t="s">
        <v>631</v>
      </c>
      <c r="G80" s="47" t="s">
        <v>458</v>
      </c>
      <c r="H80" s="47" t="s">
        <v>459</v>
      </c>
      <c r="I80" s="73" t="s">
        <v>309</v>
      </c>
      <c r="J80" s="45" t="s">
        <v>471</v>
      </c>
      <c r="K80" s="48" t="s">
        <v>636</v>
      </c>
      <c r="L80" s="49" t="n">
        <v>45782</v>
      </c>
      <c r="M80" s="47" t="n">
        <v>6739</v>
      </c>
      <c r="N80" s="47" t="n">
        <v>7890</v>
      </c>
      <c r="O80" s="47" t="n">
        <v>1151</v>
      </c>
      <c r="P80" s="47" t="n">
        <v>1116</v>
      </c>
      <c r="Q80" s="47"/>
      <c r="R80" s="50" t="n">
        <f aca="false">合約與計費!$D$4</f>
        <v>0.296</v>
      </c>
      <c r="S80" s="51" t="n">
        <f aca="false">ROUND(P80*R80,0)</f>
        <v>330</v>
      </c>
      <c r="T80" s="52"/>
      <c r="U80" s="47"/>
      <c r="V80" s="47"/>
      <c r="W80" s="53"/>
      <c r="X80" s="47"/>
      <c r="Y80" s="47"/>
      <c r="Z80" s="54"/>
      <c r="AA80" s="55"/>
      <c r="AB80" s="56"/>
      <c r="AC80" s="57"/>
      <c r="AD80" s="42" t="n">
        <v>0.11</v>
      </c>
      <c r="AE80" s="43" t="n">
        <v>0.1</v>
      </c>
    </row>
    <row r="81" customFormat="false" ht="16.5" hidden="false" customHeight="true" outlineLevel="0" collapsed="false">
      <c r="A81" s="44" t="n">
        <f aca="false">ROW(A79)</f>
        <v>79</v>
      </c>
      <c r="B81" s="44" t="s">
        <v>469</v>
      </c>
      <c r="C81" s="47" t="n">
        <v>1</v>
      </c>
      <c r="D81" s="29"/>
      <c r="E81" s="72" t="s">
        <v>637</v>
      </c>
      <c r="F81" s="46" t="s">
        <v>631</v>
      </c>
      <c r="G81" s="47" t="s">
        <v>458</v>
      </c>
      <c r="H81" s="47" t="s">
        <v>459</v>
      </c>
      <c r="I81" s="73" t="s">
        <v>309</v>
      </c>
      <c r="J81" s="45" t="s">
        <v>471</v>
      </c>
      <c r="K81" s="48" t="s">
        <v>638</v>
      </c>
      <c r="L81" s="49" t="n">
        <v>45782</v>
      </c>
      <c r="M81" s="47" t="n">
        <v>4370</v>
      </c>
      <c r="N81" s="47" t="n">
        <v>5242</v>
      </c>
      <c r="O81" s="47" t="n">
        <v>872</v>
      </c>
      <c r="P81" s="47" t="n">
        <v>846</v>
      </c>
      <c r="Q81" s="47"/>
      <c r="R81" s="50" t="n">
        <f aca="false">合約與計費!$D$4</f>
        <v>0.296</v>
      </c>
      <c r="S81" s="51" t="n">
        <f aca="false">ROUND(P81*R81,0)</f>
        <v>250</v>
      </c>
      <c r="T81" s="52"/>
      <c r="U81" s="47"/>
      <c r="V81" s="47"/>
      <c r="W81" s="53"/>
      <c r="X81" s="47"/>
      <c r="Y81" s="47"/>
      <c r="Z81" s="54"/>
      <c r="AA81" s="55"/>
      <c r="AB81" s="56"/>
      <c r="AC81" s="57"/>
      <c r="AD81" s="42" t="n">
        <v>0.0803</v>
      </c>
      <c r="AE81" s="43" t="n">
        <v>0.7</v>
      </c>
    </row>
    <row r="82" customFormat="false" ht="16.5" hidden="false" customHeight="true" outlineLevel="0" collapsed="false">
      <c r="A82" s="59" t="n">
        <f aca="false">ROW(A80)</f>
        <v>80</v>
      </c>
      <c r="B82" s="59" t="s">
        <v>473</v>
      </c>
      <c r="C82" s="62" t="n">
        <v>1</v>
      </c>
      <c r="D82" s="29"/>
      <c r="E82" s="75" t="s">
        <v>639</v>
      </c>
      <c r="F82" s="61" t="s">
        <v>631</v>
      </c>
      <c r="G82" s="62" t="s">
        <v>458</v>
      </c>
      <c r="H82" s="62" t="s">
        <v>459</v>
      </c>
      <c r="I82" s="76" t="s">
        <v>309</v>
      </c>
      <c r="J82" s="60" t="s">
        <v>471</v>
      </c>
      <c r="K82" s="63" t="s">
        <v>640</v>
      </c>
      <c r="L82" s="64" t="n">
        <v>45782</v>
      </c>
      <c r="M82" s="62" t="n">
        <v>1185</v>
      </c>
      <c r="N82" s="62" t="n">
        <v>1402</v>
      </c>
      <c r="O82" s="62" t="n">
        <v>217</v>
      </c>
      <c r="P82" s="62" t="n">
        <v>210</v>
      </c>
      <c r="Q82" s="62" t="n">
        <f aca="false">ROUND(SUM(P78:P82),2)</f>
        <v>2387</v>
      </c>
      <c r="R82" s="65" t="n">
        <f aca="false">合約與計費!$D$4</f>
        <v>0.296</v>
      </c>
      <c r="S82" s="66" t="n">
        <f aca="false">ROUND(P82*R82,0)</f>
        <v>62</v>
      </c>
      <c r="T82" s="79" t="n">
        <f aca="false">ROUND(SUM(S78:S82),2)</f>
        <v>706</v>
      </c>
      <c r="U82" s="62"/>
      <c r="V82" s="62"/>
      <c r="W82" s="67"/>
      <c r="X82" s="62"/>
      <c r="Y82" s="62" t="n">
        <f aca="false">ROUND(SUM(X78:X82),2)</f>
        <v>5</v>
      </c>
      <c r="Z82" s="68"/>
      <c r="AA82" s="77"/>
      <c r="AB82" s="78" t="n">
        <f aca="false">ROUND(SUM(AA78:AA82),2)</f>
        <v>14</v>
      </c>
      <c r="AC82" s="69"/>
      <c r="AD82" s="42" t="n">
        <v>0.0465</v>
      </c>
      <c r="AE82" s="43" t="n">
        <v>0.6</v>
      </c>
    </row>
    <row r="83" customFormat="false" ht="16.5" hidden="false" customHeight="true" outlineLevel="0" collapsed="false">
      <c r="A83" s="27" t="n">
        <f aca="false">ROW(A81)</f>
        <v>81</v>
      </c>
      <c r="B83" s="27" t="s">
        <v>455</v>
      </c>
      <c r="C83" s="31" t="n">
        <v>1</v>
      </c>
      <c r="D83" s="29" t="n">
        <v>7</v>
      </c>
      <c r="E83" s="28" t="s">
        <v>641</v>
      </c>
      <c r="F83" s="30" t="s">
        <v>642</v>
      </c>
      <c r="G83" s="31" t="s">
        <v>458</v>
      </c>
      <c r="H83" s="31" t="s">
        <v>643</v>
      </c>
      <c r="I83" s="31" t="s">
        <v>36</v>
      </c>
      <c r="J83" s="28" t="s">
        <v>460</v>
      </c>
      <c r="K83" s="33" t="s">
        <v>644</v>
      </c>
      <c r="L83" s="34" t="n">
        <v>45754</v>
      </c>
      <c r="M83" s="31" t="n">
        <v>1681</v>
      </c>
      <c r="N83" s="31" t="n">
        <v>2281</v>
      </c>
      <c r="O83" s="31" t="n">
        <v>600</v>
      </c>
      <c r="P83" s="31" t="n">
        <v>582</v>
      </c>
      <c r="Q83" s="31"/>
      <c r="R83" s="35" t="n">
        <f aca="false">合約與計費!$D$4</f>
        <v>0.296</v>
      </c>
      <c r="S83" s="36" t="n">
        <f aca="false">ROUND(P83*R83,0)</f>
        <v>172</v>
      </c>
      <c r="T83" s="37"/>
      <c r="U83" s="31" t="n">
        <v>127</v>
      </c>
      <c r="V83" s="31" t="n">
        <v>204</v>
      </c>
      <c r="W83" s="31" t="n">
        <v>77</v>
      </c>
      <c r="X83" s="31" t="n">
        <v>75</v>
      </c>
      <c r="Y83" s="31"/>
      <c r="Z83" s="38" t="n">
        <f aca="false">合約與計費!$E$4</f>
        <v>2.8</v>
      </c>
      <c r="AA83" s="39" t="n">
        <f aca="false">ROUND(X83*Z83,0)</f>
        <v>210</v>
      </c>
      <c r="AB83" s="40"/>
      <c r="AC83" s="41"/>
      <c r="AD83" s="42"/>
      <c r="AE83" s="43"/>
    </row>
    <row r="84" customFormat="false" ht="16.5" hidden="false" customHeight="true" outlineLevel="0" collapsed="false">
      <c r="A84" s="44" t="n">
        <f aca="false">ROW(A82)</f>
        <v>82</v>
      </c>
      <c r="B84" s="44" t="s">
        <v>462</v>
      </c>
      <c r="C84" s="47" t="n">
        <v>1</v>
      </c>
      <c r="D84" s="29"/>
      <c r="E84" s="45" t="s">
        <v>645</v>
      </c>
      <c r="F84" s="46" t="s">
        <v>642</v>
      </c>
      <c r="G84" s="47" t="s">
        <v>458</v>
      </c>
      <c r="H84" s="47" t="s">
        <v>643</v>
      </c>
      <c r="I84" s="47" t="s">
        <v>36</v>
      </c>
      <c r="J84" s="45" t="s">
        <v>464</v>
      </c>
      <c r="K84" s="48" t="s">
        <v>646</v>
      </c>
      <c r="L84" s="49" t="n">
        <v>45754</v>
      </c>
      <c r="M84" s="47" t="n">
        <v>3217</v>
      </c>
      <c r="N84" s="47" t="n">
        <v>4005</v>
      </c>
      <c r="O84" s="47" t="n">
        <v>788</v>
      </c>
      <c r="P84" s="47" t="n">
        <v>764</v>
      </c>
      <c r="Q84" s="47"/>
      <c r="R84" s="50" t="n">
        <f aca="false">合約與計費!$D$4</f>
        <v>0.296</v>
      </c>
      <c r="S84" s="51" t="n">
        <f aca="false">ROUND(P84*R84,0)</f>
        <v>226</v>
      </c>
      <c r="T84" s="52"/>
      <c r="U84" s="47"/>
      <c r="V84" s="47"/>
      <c r="W84" s="53"/>
      <c r="X84" s="47"/>
      <c r="Y84" s="47"/>
      <c r="Z84" s="54"/>
      <c r="AA84" s="55"/>
      <c r="AB84" s="56"/>
      <c r="AC84" s="57"/>
      <c r="AD84" s="42" t="n">
        <v>0.0648</v>
      </c>
      <c r="AE84" s="43" t="n">
        <v>0.9</v>
      </c>
    </row>
    <row r="85" customFormat="false" ht="16.5" hidden="false" customHeight="true" outlineLevel="0" collapsed="false">
      <c r="A85" s="44" t="n">
        <f aca="false">ROW(A83)</f>
        <v>83</v>
      </c>
      <c r="B85" s="44" t="s">
        <v>466</v>
      </c>
      <c r="C85" s="47" t="n">
        <v>1</v>
      </c>
      <c r="D85" s="29"/>
      <c r="E85" s="45" t="s">
        <v>647</v>
      </c>
      <c r="F85" s="46" t="s">
        <v>642</v>
      </c>
      <c r="G85" s="47" t="s">
        <v>458</v>
      </c>
      <c r="H85" s="47" t="s">
        <v>643</v>
      </c>
      <c r="I85" s="47" t="s">
        <v>36</v>
      </c>
      <c r="J85" s="45" t="s">
        <v>471</v>
      </c>
      <c r="K85" s="48" t="s">
        <v>648</v>
      </c>
      <c r="L85" s="49" t="n">
        <v>45754</v>
      </c>
      <c r="M85" s="47" t="n">
        <v>10838</v>
      </c>
      <c r="N85" s="47" t="n">
        <v>12644</v>
      </c>
      <c r="O85" s="47" t="n">
        <v>1806</v>
      </c>
      <c r="P85" s="47" t="n">
        <v>1752</v>
      </c>
      <c r="Q85" s="47"/>
      <c r="R85" s="50" t="n">
        <f aca="false">合約與計費!$D$4</f>
        <v>0.296</v>
      </c>
      <c r="S85" s="51" t="n">
        <f aca="false">ROUND(P85*R85,0)</f>
        <v>519</v>
      </c>
      <c r="T85" s="52"/>
      <c r="U85" s="47"/>
      <c r="V85" s="47"/>
      <c r="W85" s="53"/>
      <c r="X85" s="47"/>
      <c r="Y85" s="47"/>
      <c r="Z85" s="54"/>
      <c r="AA85" s="55"/>
      <c r="AB85" s="56"/>
      <c r="AC85" s="57"/>
      <c r="AD85" s="42" t="n">
        <v>0.188</v>
      </c>
      <c r="AE85" s="43" t="n">
        <v>0.5</v>
      </c>
    </row>
    <row r="86" customFormat="false" ht="16.5" hidden="false" customHeight="true" outlineLevel="0" collapsed="false">
      <c r="A86" s="44" t="n">
        <f aca="false">ROW(A84)</f>
        <v>84</v>
      </c>
      <c r="B86" s="44" t="s">
        <v>469</v>
      </c>
      <c r="C86" s="47" t="n">
        <v>1</v>
      </c>
      <c r="D86" s="29"/>
      <c r="E86" s="45" t="s">
        <v>649</v>
      </c>
      <c r="F86" s="46" t="s">
        <v>642</v>
      </c>
      <c r="G86" s="47" t="s">
        <v>458</v>
      </c>
      <c r="H86" s="47" t="s">
        <v>643</v>
      </c>
      <c r="I86" s="47" t="s">
        <v>36</v>
      </c>
      <c r="J86" s="45" t="s">
        <v>471</v>
      </c>
      <c r="K86" s="48" t="s">
        <v>650</v>
      </c>
      <c r="L86" s="49" t="n">
        <v>45754</v>
      </c>
      <c r="M86" s="47" t="n">
        <v>17186</v>
      </c>
      <c r="N86" s="47" t="n">
        <v>19538</v>
      </c>
      <c r="O86" s="47" t="n">
        <v>2352</v>
      </c>
      <c r="P86" s="47" t="n">
        <v>2281</v>
      </c>
      <c r="Q86" s="47"/>
      <c r="R86" s="50" t="n">
        <f aca="false">合約與計費!$D$4</f>
        <v>0.296</v>
      </c>
      <c r="S86" s="51" t="n">
        <f aca="false">ROUND(P86*R86,0)</f>
        <v>675</v>
      </c>
      <c r="T86" s="52"/>
      <c r="U86" s="47"/>
      <c r="V86" s="47"/>
      <c r="W86" s="53"/>
      <c r="X86" s="47"/>
      <c r="Y86" s="47"/>
      <c r="Z86" s="54"/>
      <c r="AA86" s="55"/>
      <c r="AB86" s="56"/>
      <c r="AC86" s="57"/>
      <c r="AD86" s="42" t="n">
        <v>0.0974</v>
      </c>
      <c r="AE86" s="43" t="n">
        <v>0.2</v>
      </c>
    </row>
    <row r="87" customFormat="false" ht="16.5" hidden="false" customHeight="true" outlineLevel="0" collapsed="false">
      <c r="A87" s="44" t="n">
        <f aca="false">ROW(A85)</f>
        <v>85</v>
      </c>
      <c r="B87" s="44" t="s">
        <v>473</v>
      </c>
      <c r="C87" s="47" t="n">
        <v>1</v>
      </c>
      <c r="D87" s="29"/>
      <c r="E87" s="45" t="s">
        <v>651</v>
      </c>
      <c r="F87" s="46" t="s">
        <v>642</v>
      </c>
      <c r="G87" s="47" t="s">
        <v>458</v>
      </c>
      <c r="H87" s="47" t="s">
        <v>643</v>
      </c>
      <c r="I87" s="47" t="s">
        <v>36</v>
      </c>
      <c r="J87" s="45" t="s">
        <v>471</v>
      </c>
      <c r="K87" s="48" t="s">
        <v>652</v>
      </c>
      <c r="L87" s="49" t="n">
        <v>45754</v>
      </c>
      <c r="M87" s="47" t="n">
        <v>3282</v>
      </c>
      <c r="N87" s="47" t="n">
        <v>3752</v>
      </c>
      <c r="O87" s="47" t="n">
        <v>470</v>
      </c>
      <c r="P87" s="47" t="n">
        <v>456</v>
      </c>
      <c r="Q87" s="47"/>
      <c r="R87" s="50" t="n">
        <f aca="false">合約與計費!$D$4</f>
        <v>0.296</v>
      </c>
      <c r="S87" s="51" t="n">
        <f aca="false">ROUND(P87*R87,0)</f>
        <v>135</v>
      </c>
      <c r="T87" s="52"/>
      <c r="U87" s="47"/>
      <c r="V87" s="47"/>
      <c r="W87" s="53"/>
      <c r="X87" s="47"/>
      <c r="Y87" s="47"/>
      <c r="Z87" s="54"/>
      <c r="AA87" s="55"/>
      <c r="AB87" s="56"/>
      <c r="AC87" s="57"/>
      <c r="AD87" s="42" t="n">
        <v>0.2411</v>
      </c>
      <c r="AE87" s="43" t="n">
        <v>0.6</v>
      </c>
    </row>
    <row r="88" customFormat="false" ht="16.5" hidden="false" customHeight="true" outlineLevel="0" collapsed="false">
      <c r="A88" s="59" t="n">
        <f aca="false">ROW(A86)</f>
        <v>86</v>
      </c>
      <c r="B88" s="59" t="s">
        <v>476</v>
      </c>
      <c r="C88" s="62" t="n">
        <v>1</v>
      </c>
      <c r="D88" s="29"/>
      <c r="E88" s="60" t="s">
        <v>653</v>
      </c>
      <c r="F88" s="61" t="s">
        <v>642</v>
      </c>
      <c r="G88" s="62" t="s">
        <v>458</v>
      </c>
      <c r="H88" s="62" t="s">
        <v>643</v>
      </c>
      <c r="I88" s="62" t="s">
        <v>36</v>
      </c>
      <c r="J88" s="60" t="s">
        <v>471</v>
      </c>
      <c r="K88" s="63" t="s">
        <v>654</v>
      </c>
      <c r="L88" s="64" t="n">
        <v>45754</v>
      </c>
      <c r="M88" s="62" t="n">
        <v>10416</v>
      </c>
      <c r="N88" s="62" t="n">
        <v>12386</v>
      </c>
      <c r="O88" s="62" t="n">
        <v>1970</v>
      </c>
      <c r="P88" s="62" t="n">
        <v>1911</v>
      </c>
      <c r="Q88" s="62" t="n">
        <f aca="false">ROUND(SUM(P83:P88),2)</f>
        <v>7746</v>
      </c>
      <c r="R88" s="65" t="n">
        <f aca="false">合約與計費!$D$4</f>
        <v>0.296</v>
      </c>
      <c r="S88" s="66" t="n">
        <f aca="false">ROUND(P88*R88,0)</f>
        <v>566</v>
      </c>
      <c r="T88" s="79" t="n">
        <f aca="false">ROUND(SUM(S83:S88),2)</f>
        <v>2293</v>
      </c>
      <c r="U88" s="62"/>
      <c r="V88" s="62"/>
      <c r="W88" s="67"/>
      <c r="X88" s="62"/>
      <c r="Y88" s="62" t="n">
        <f aca="false">ROUND(SUM(X83:X88),2)</f>
        <v>75</v>
      </c>
      <c r="Z88" s="68"/>
      <c r="AA88" s="77"/>
      <c r="AB88" s="78" t="n">
        <f aca="false">ROUND(SUM(AA83:AA88),2)</f>
        <v>210</v>
      </c>
      <c r="AC88" s="69"/>
      <c r="AD88" s="42" t="n">
        <v>0.1051</v>
      </c>
      <c r="AE88" s="43" t="n">
        <v>0.6</v>
      </c>
    </row>
    <row r="89" customFormat="false" ht="16.5" hidden="false" customHeight="true" outlineLevel="0" collapsed="false">
      <c r="A89" s="27" t="n">
        <f aca="false">ROW(A87)</f>
        <v>87</v>
      </c>
      <c r="B89" s="27" t="s">
        <v>455</v>
      </c>
      <c r="C89" s="31" t="n">
        <v>1</v>
      </c>
      <c r="D89" s="29" t="n">
        <v>12</v>
      </c>
      <c r="E89" s="28" t="s">
        <v>655</v>
      </c>
      <c r="F89" s="30" t="s">
        <v>656</v>
      </c>
      <c r="G89" s="31" t="s">
        <v>458</v>
      </c>
      <c r="H89" s="31" t="s">
        <v>643</v>
      </c>
      <c r="I89" s="31" t="s">
        <v>344</v>
      </c>
      <c r="J89" s="28" t="s">
        <v>460</v>
      </c>
      <c r="K89" s="80" t="s">
        <v>657</v>
      </c>
      <c r="L89" s="34" t="n">
        <v>45770</v>
      </c>
      <c r="M89" s="31" t="n">
        <v>1083</v>
      </c>
      <c r="N89" s="31" t="n">
        <v>1159</v>
      </c>
      <c r="O89" s="31" t="n">
        <v>76</v>
      </c>
      <c r="P89" s="31" t="n">
        <v>74</v>
      </c>
      <c r="Q89" s="31"/>
      <c r="R89" s="35" t="n">
        <f aca="false">合約與計費!$D$4</f>
        <v>0.296</v>
      </c>
      <c r="S89" s="36" t="n">
        <f aca="false">ROUND(P89*R89,0)</f>
        <v>22</v>
      </c>
      <c r="T89" s="37"/>
      <c r="U89" s="31" t="n">
        <v>650</v>
      </c>
      <c r="V89" s="31" t="n">
        <v>912</v>
      </c>
      <c r="W89" s="31" t="n">
        <v>262</v>
      </c>
      <c r="X89" s="31" t="n">
        <v>254</v>
      </c>
      <c r="Y89" s="31"/>
      <c r="Z89" s="38" t="n">
        <f aca="false">合約與計費!$E$4</f>
        <v>2.8</v>
      </c>
      <c r="AA89" s="39" t="n">
        <f aca="false">ROUND(X89*Z89,0)</f>
        <v>711</v>
      </c>
      <c r="AB89" s="40"/>
      <c r="AC89" s="41"/>
      <c r="AD89" s="42"/>
      <c r="AE89" s="43"/>
    </row>
    <row r="90" customFormat="false" ht="16.5" hidden="false" customHeight="true" outlineLevel="0" collapsed="false">
      <c r="A90" s="44" t="n">
        <f aca="false">ROW(A88)</f>
        <v>88</v>
      </c>
      <c r="B90" s="44" t="s">
        <v>462</v>
      </c>
      <c r="C90" s="47" t="n">
        <v>1</v>
      </c>
      <c r="D90" s="29"/>
      <c r="E90" s="45" t="s">
        <v>658</v>
      </c>
      <c r="F90" s="46" t="s">
        <v>656</v>
      </c>
      <c r="G90" s="47" t="s">
        <v>458</v>
      </c>
      <c r="H90" s="47" t="s">
        <v>643</v>
      </c>
      <c r="I90" s="47" t="s">
        <v>344</v>
      </c>
      <c r="J90" s="45" t="s">
        <v>464</v>
      </c>
      <c r="K90" s="48" t="s">
        <v>659</v>
      </c>
      <c r="L90" s="49" t="n">
        <v>45770</v>
      </c>
      <c r="M90" s="47" t="n">
        <v>3047</v>
      </c>
      <c r="N90" s="47" t="n">
        <v>4949</v>
      </c>
      <c r="O90" s="47" t="n">
        <v>1902</v>
      </c>
      <c r="P90" s="47" t="n">
        <v>1845</v>
      </c>
      <c r="Q90" s="47"/>
      <c r="R90" s="50" t="n">
        <f aca="false">合約與計費!$D$4</f>
        <v>0.296</v>
      </c>
      <c r="S90" s="51" t="n">
        <f aca="false">ROUND(P90*R90,0)</f>
        <v>546</v>
      </c>
      <c r="T90" s="52"/>
      <c r="U90" s="47"/>
      <c r="V90" s="47"/>
      <c r="W90" s="53"/>
      <c r="X90" s="47"/>
      <c r="Y90" s="47"/>
      <c r="Z90" s="54"/>
      <c r="AA90" s="55"/>
      <c r="AB90" s="56"/>
      <c r="AC90" s="57"/>
      <c r="AD90" s="42" t="n">
        <v>0.0997</v>
      </c>
      <c r="AE90" s="43" t="n">
        <v>0.7</v>
      </c>
    </row>
    <row r="91" customFormat="false" ht="16.5" hidden="false" customHeight="true" outlineLevel="0" collapsed="false">
      <c r="A91" s="44" t="n">
        <f aca="false">ROW(A89)</f>
        <v>89</v>
      </c>
      <c r="B91" s="44" t="s">
        <v>466</v>
      </c>
      <c r="C91" s="47" t="n">
        <v>1</v>
      </c>
      <c r="D91" s="29"/>
      <c r="E91" s="45" t="s">
        <v>660</v>
      </c>
      <c r="F91" s="46" t="s">
        <v>656</v>
      </c>
      <c r="G91" s="47" t="s">
        <v>458</v>
      </c>
      <c r="H91" s="47" t="s">
        <v>643</v>
      </c>
      <c r="I91" s="47" t="s">
        <v>344</v>
      </c>
      <c r="J91" s="45" t="s">
        <v>471</v>
      </c>
      <c r="K91" s="48" t="s">
        <v>661</v>
      </c>
      <c r="L91" s="49" t="n">
        <v>45770</v>
      </c>
      <c r="M91" s="47" t="n">
        <v>2522</v>
      </c>
      <c r="N91" s="47" t="n">
        <v>2990</v>
      </c>
      <c r="O91" s="47" t="n">
        <v>468</v>
      </c>
      <c r="P91" s="47" t="n">
        <v>454</v>
      </c>
      <c r="Q91" s="47"/>
      <c r="R91" s="50" t="n">
        <f aca="false">合約與計費!$D$4</f>
        <v>0.296</v>
      </c>
      <c r="S91" s="51" t="n">
        <f aca="false">ROUND(P91*R91,0)</f>
        <v>134</v>
      </c>
      <c r="T91" s="52"/>
      <c r="U91" s="47"/>
      <c r="V91" s="47"/>
      <c r="W91" s="53"/>
      <c r="X91" s="47"/>
      <c r="Y91" s="47"/>
      <c r="Z91" s="54"/>
      <c r="AA91" s="55"/>
      <c r="AB91" s="56"/>
      <c r="AC91" s="57"/>
      <c r="AD91" s="42" t="n">
        <v>0.0484</v>
      </c>
      <c r="AE91" s="43" t="n">
        <v>1</v>
      </c>
    </row>
    <row r="92" customFormat="false" ht="16.5" hidden="false" customHeight="true" outlineLevel="0" collapsed="false">
      <c r="A92" s="44" t="n">
        <f aca="false">ROW(A90)</f>
        <v>90</v>
      </c>
      <c r="B92" s="44" t="s">
        <v>469</v>
      </c>
      <c r="C92" s="47" t="n">
        <v>1</v>
      </c>
      <c r="D92" s="29"/>
      <c r="E92" s="45" t="s">
        <v>662</v>
      </c>
      <c r="F92" s="46" t="s">
        <v>656</v>
      </c>
      <c r="G92" s="47" t="s">
        <v>458</v>
      </c>
      <c r="H92" s="47" t="s">
        <v>643</v>
      </c>
      <c r="I92" s="47" t="s">
        <v>344</v>
      </c>
      <c r="J92" s="45" t="s">
        <v>471</v>
      </c>
      <c r="K92" s="48" t="s">
        <v>663</v>
      </c>
      <c r="L92" s="49" t="n">
        <v>45770</v>
      </c>
      <c r="M92" s="47" t="n">
        <v>4425</v>
      </c>
      <c r="N92" s="47" t="n">
        <v>5193</v>
      </c>
      <c r="O92" s="47" t="n">
        <v>768</v>
      </c>
      <c r="P92" s="47" t="n">
        <v>745</v>
      </c>
      <c r="Q92" s="47"/>
      <c r="R92" s="50" t="n">
        <f aca="false">合約與計費!$D$4</f>
        <v>0.296</v>
      </c>
      <c r="S92" s="51" t="n">
        <f aca="false">ROUND(P92*R92,0)</f>
        <v>221</v>
      </c>
      <c r="T92" s="52"/>
      <c r="U92" s="47"/>
      <c r="V92" s="47"/>
      <c r="W92" s="53"/>
      <c r="X92" s="47"/>
      <c r="Y92" s="47"/>
      <c r="Z92" s="54"/>
      <c r="AA92" s="55"/>
      <c r="AB92" s="56"/>
      <c r="AC92" s="57"/>
      <c r="AD92" s="42" t="n">
        <v>0.1492</v>
      </c>
      <c r="AE92" s="43" t="n">
        <v>0.5</v>
      </c>
    </row>
    <row r="93" customFormat="false" ht="16.5" hidden="false" customHeight="true" outlineLevel="0" collapsed="false">
      <c r="A93" s="44" t="n">
        <f aca="false">ROW(A91)</f>
        <v>91</v>
      </c>
      <c r="B93" s="44" t="s">
        <v>473</v>
      </c>
      <c r="C93" s="47" t="n">
        <v>1</v>
      </c>
      <c r="D93" s="29"/>
      <c r="E93" s="45" t="s">
        <v>664</v>
      </c>
      <c r="F93" s="46" t="s">
        <v>656</v>
      </c>
      <c r="G93" s="47" t="s">
        <v>458</v>
      </c>
      <c r="H93" s="47" t="s">
        <v>643</v>
      </c>
      <c r="I93" s="47" t="s">
        <v>344</v>
      </c>
      <c r="J93" s="45" t="s">
        <v>471</v>
      </c>
      <c r="K93" s="48" t="s">
        <v>665</v>
      </c>
      <c r="L93" s="49" t="n">
        <v>45770</v>
      </c>
      <c r="M93" s="47" t="n">
        <v>5323</v>
      </c>
      <c r="N93" s="47" t="n">
        <v>6023</v>
      </c>
      <c r="O93" s="47" t="n">
        <v>700</v>
      </c>
      <c r="P93" s="47" t="n">
        <v>679</v>
      </c>
      <c r="Q93" s="47"/>
      <c r="R93" s="50" t="n">
        <f aca="false">合約與計費!$D$4</f>
        <v>0.296</v>
      </c>
      <c r="S93" s="51" t="n">
        <f aca="false">ROUND(P93*R93,0)</f>
        <v>201</v>
      </c>
      <c r="T93" s="52"/>
      <c r="U93" s="47"/>
      <c r="V93" s="47"/>
      <c r="W93" s="53"/>
      <c r="X93" s="47"/>
      <c r="Y93" s="47"/>
      <c r="Z93" s="54"/>
      <c r="AA93" s="55"/>
      <c r="AB93" s="56"/>
      <c r="AC93" s="57"/>
      <c r="AD93" s="42" t="n">
        <v>0.0938</v>
      </c>
      <c r="AE93" s="43" t="n">
        <v>0.3</v>
      </c>
    </row>
    <row r="94" customFormat="false" ht="16.5" hidden="false" customHeight="true" outlineLevel="0" collapsed="false">
      <c r="A94" s="44" t="n">
        <f aca="false">ROW(A92)</f>
        <v>92</v>
      </c>
      <c r="B94" s="44" t="s">
        <v>476</v>
      </c>
      <c r="C94" s="47" t="n">
        <v>1</v>
      </c>
      <c r="D94" s="29"/>
      <c r="E94" s="45" t="s">
        <v>666</v>
      </c>
      <c r="F94" s="46" t="s">
        <v>656</v>
      </c>
      <c r="G94" s="47" t="s">
        <v>458</v>
      </c>
      <c r="H94" s="47" t="s">
        <v>643</v>
      </c>
      <c r="I94" s="47" t="s">
        <v>344</v>
      </c>
      <c r="J94" s="45" t="s">
        <v>471</v>
      </c>
      <c r="K94" s="48" t="s">
        <v>667</v>
      </c>
      <c r="L94" s="49" t="n">
        <v>45770</v>
      </c>
      <c r="M94" s="47" t="n">
        <v>5774</v>
      </c>
      <c r="N94" s="47" t="n">
        <v>7063</v>
      </c>
      <c r="O94" s="47" t="n">
        <v>1289</v>
      </c>
      <c r="P94" s="47" t="n">
        <v>1250</v>
      </c>
      <c r="Q94" s="47"/>
      <c r="R94" s="50" t="n">
        <f aca="false">合約與計費!$D$4</f>
        <v>0.296</v>
      </c>
      <c r="S94" s="51" t="n">
        <f aca="false">ROUND(P94*R94,0)</f>
        <v>370</v>
      </c>
      <c r="T94" s="52"/>
      <c r="U94" s="47"/>
      <c r="V94" s="47"/>
      <c r="W94" s="53"/>
      <c r="X94" s="47"/>
      <c r="Y94" s="47"/>
      <c r="Z94" s="54"/>
      <c r="AA94" s="55"/>
      <c r="AB94" s="56"/>
      <c r="AC94" s="57"/>
      <c r="AD94" s="42" t="n">
        <v>0.3135</v>
      </c>
      <c r="AE94" s="43" t="n">
        <v>0.3</v>
      </c>
    </row>
    <row r="95" customFormat="false" ht="16.5" hidden="false" customHeight="true" outlineLevel="0" collapsed="false">
      <c r="A95" s="44" t="n">
        <f aca="false">ROW(A93)</f>
        <v>93</v>
      </c>
      <c r="B95" s="44" t="s">
        <v>479</v>
      </c>
      <c r="C95" s="47" t="n">
        <v>1</v>
      </c>
      <c r="D95" s="29"/>
      <c r="E95" s="45" t="s">
        <v>668</v>
      </c>
      <c r="F95" s="46" t="s">
        <v>656</v>
      </c>
      <c r="G95" s="47" t="s">
        <v>458</v>
      </c>
      <c r="H95" s="47" t="s">
        <v>643</v>
      </c>
      <c r="I95" s="47" t="s">
        <v>344</v>
      </c>
      <c r="J95" s="45" t="s">
        <v>471</v>
      </c>
      <c r="K95" s="48" t="s">
        <v>669</v>
      </c>
      <c r="L95" s="49" t="n">
        <v>45770</v>
      </c>
      <c r="M95" s="47" t="n">
        <v>5096</v>
      </c>
      <c r="N95" s="47" t="n">
        <v>5954</v>
      </c>
      <c r="O95" s="47" t="n">
        <v>858</v>
      </c>
      <c r="P95" s="47" t="n">
        <v>832</v>
      </c>
      <c r="Q95" s="47"/>
      <c r="R95" s="50" t="n">
        <f aca="false">合約與計費!$D$4</f>
        <v>0.296</v>
      </c>
      <c r="S95" s="51" t="n">
        <f aca="false">ROUND(P95*R95,0)</f>
        <v>246</v>
      </c>
      <c r="T95" s="52"/>
      <c r="U95" s="47"/>
      <c r="V95" s="47"/>
      <c r="W95" s="53"/>
      <c r="X95" s="47"/>
      <c r="Y95" s="47"/>
      <c r="Z95" s="54"/>
      <c r="AA95" s="55"/>
      <c r="AB95" s="56"/>
      <c r="AC95" s="57"/>
      <c r="AD95" s="42" t="n">
        <v>0.1156</v>
      </c>
      <c r="AE95" s="43" t="n">
        <v>0.3</v>
      </c>
    </row>
    <row r="96" customFormat="false" ht="16.5" hidden="false" customHeight="true" outlineLevel="0" collapsed="false">
      <c r="A96" s="44" t="n">
        <f aca="false">ROW(A94)</f>
        <v>94</v>
      </c>
      <c r="B96" s="44" t="s">
        <v>482</v>
      </c>
      <c r="C96" s="47" t="n">
        <v>1</v>
      </c>
      <c r="D96" s="29"/>
      <c r="E96" s="45" t="s">
        <v>670</v>
      </c>
      <c r="F96" s="46" t="s">
        <v>656</v>
      </c>
      <c r="G96" s="47" t="s">
        <v>458</v>
      </c>
      <c r="H96" s="47" t="s">
        <v>643</v>
      </c>
      <c r="I96" s="47" t="s">
        <v>344</v>
      </c>
      <c r="J96" s="45" t="s">
        <v>471</v>
      </c>
      <c r="K96" s="48" t="s">
        <v>671</v>
      </c>
      <c r="L96" s="49" t="n">
        <v>45770</v>
      </c>
      <c r="M96" s="47" t="n">
        <v>4192</v>
      </c>
      <c r="N96" s="47" t="n">
        <v>5303</v>
      </c>
      <c r="O96" s="47" t="n">
        <v>1111</v>
      </c>
      <c r="P96" s="47" t="n">
        <v>1078</v>
      </c>
      <c r="Q96" s="47"/>
      <c r="R96" s="50" t="n">
        <f aca="false">合約與計費!$D$4</f>
        <v>0.296</v>
      </c>
      <c r="S96" s="51" t="n">
        <f aca="false">ROUND(P96*R96,0)</f>
        <v>319</v>
      </c>
      <c r="T96" s="52"/>
      <c r="U96" s="47"/>
      <c r="V96" s="47"/>
      <c r="W96" s="53"/>
      <c r="X96" s="47"/>
      <c r="Y96" s="47"/>
      <c r="Z96" s="54"/>
      <c r="AA96" s="55"/>
      <c r="AB96" s="56"/>
      <c r="AC96" s="57"/>
      <c r="AD96" s="42" t="n">
        <v>0.1735</v>
      </c>
      <c r="AE96" s="43" t="n">
        <v>0.3</v>
      </c>
    </row>
    <row r="97" customFormat="false" ht="16.5" hidden="false" customHeight="true" outlineLevel="0" collapsed="false">
      <c r="A97" s="44" t="n">
        <f aca="false">ROW(A95)</f>
        <v>95</v>
      </c>
      <c r="B97" s="44" t="s">
        <v>485</v>
      </c>
      <c r="C97" s="47" t="n">
        <v>1</v>
      </c>
      <c r="D97" s="29"/>
      <c r="E97" s="45" t="s">
        <v>672</v>
      </c>
      <c r="F97" s="46" t="s">
        <v>656</v>
      </c>
      <c r="G97" s="47" t="s">
        <v>458</v>
      </c>
      <c r="H97" s="47" t="s">
        <v>643</v>
      </c>
      <c r="I97" s="47" t="s">
        <v>344</v>
      </c>
      <c r="J97" s="45" t="s">
        <v>471</v>
      </c>
      <c r="K97" s="48" t="s">
        <v>673</v>
      </c>
      <c r="L97" s="49" t="n">
        <v>45770</v>
      </c>
      <c r="M97" s="47" t="n">
        <v>4862</v>
      </c>
      <c r="N97" s="47" t="n">
        <v>5863</v>
      </c>
      <c r="O97" s="47" t="n">
        <v>1001</v>
      </c>
      <c r="P97" s="47" t="n">
        <v>971</v>
      </c>
      <c r="Q97" s="47"/>
      <c r="R97" s="50" t="n">
        <f aca="false">合約與計費!$D$4</f>
        <v>0.296</v>
      </c>
      <c r="S97" s="51" t="n">
        <f aca="false">ROUND(P97*R97,0)</f>
        <v>287</v>
      </c>
      <c r="T97" s="52"/>
      <c r="U97" s="47"/>
      <c r="V97" s="47"/>
      <c r="W97" s="53"/>
      <c r="X97" s="47"/>
      <c r="Y97" s="47"/>
      <c r="Z97" s="54"/>
      <c r="AA97" s="55"/>
      <c r="AB97" s="56"/>
      <c r="AC97" s="57"/>
      <c r="AD97" s="42" t="n">
        <v>0.2416</v>
      </c>
      <c r="AE97" s="43" t="n">
        <v>0.5</v>
      </c>
    </row>
    <row r="98" customFormat="false" ht="16.5" hidden="false" customHeight="true" outlineLevel="0" collapsed="false">
      <c r="A98" s="44" t="n">
        <f aca="false">ROW(A96)</f>
        <v>96</v>
      </c>
      <c r="B98" s="44" t="n">
        <v>10</v>
      </c>
      <c r="C98" s="47" t="n">
        <v>1</v>
      </c>
      <c r="D98" s="29"/>
      <c r="E98" s="45" t="s">
        <v>674</v>
      </c>
      <c r="F98" s="46" t="s">
        <v>656</v>
      </c>
      <c r="G98" s="47" t="s">
        <v>458</v>
      </c>
      <c r="H98" s="47" t="s">
        <v>643</v>
      </c>
      <c r="I98" s="47" t="s">
        <v>344</v>
      </c>
      <c r="J98" s="45" t="s">
        <v>471</v>
      </c>
      <c r="K98" s="48" t="s">
        <v>675</v>
      </c>
      <c r="L98" s="49" t="n">
        <v>45770</v>
      </c>
      <c r="M98" s="47" t="n">
        <v>5602</v>
      </c>
      <c r="N98" s="47" t="n">
        <v>6350</v>
      </c>
      <c r="O98" s="47" t="n">
        <v>748</v>
      </c>
      <c r="P98" s="47" t="n">
        <v>726</v>
      </c>
      <c r="Q98" s="47"/>
      <c r="R98" s="50" t="n">
        <f aca="false">合約與計費!$D$4</f>
        <v>0.296</v>
      </c>
      <c r="S98" s="51" t="n">
        <f aca="false">ROUND(P98*R98,0)</f>
        <v>215</v>
      </c>
      <c r="T98" s="52"/>
      <c r="U98" s="47"/>
      <c r="V98" s="47"/>
      <c r="W98" s="53"/>
      <c r="X98" s="47"/>
      <c r="Y98" s="47"/>
      <c r="Z98" s="54"/>
      <c r="AA98" s="55"/>
      <c r="AB98" s="56"/>
      <c r="AC98" s="57"/>
      <c r="AD98" s="42" t="n">
        <v>0.1221</v>
      </c>
      <c r="AE98" s="43" t="n">
        <v>0.2</v>
      </c>
    </row>
    <row r="99" customFormat="false" ht="16.5" hidden="false" customHeight="true" outlineLevel="0" collapsed="false">
      <c r="A99" s="44" t="n">
        <f aca="false">ROW(A97)</f>
        <v>97</v>
      </c>
      <c r="B99" s="44" t="n">
        <v>11</v>
      </c>
      <c r="C99" s="47" t="n">
        <v>1</v>
      </c>
      <c r="D99" s="29"/>
      <c r="E99" s="45" t="s">
        <v>676</v>
      </c>
      <c r="F99" s="46" t="s">
        <v>656</v>
      </c>
      <c r="G99" s="47" t="s">
        <v>458</v>
      </c>
      <c r="H99" s="47" t="s">
        <v>643</v>
      </c>
      <c r="I99" s="47" t="s">
        <v>344</v>
      </c>
      <c r="J99" s="45" t="s">
        <v>471</v>
      </c>
      <c r="K99" s="48" t="s">
        <v>677</v>
      </c>
      <c r="L99" s="49" t="n">
        <v>45770</v>
      </c>
      <c r="M99" s="47" t="n">
        <v>6658</v>
      </c>
      <c r="N99" s="47" t="n">
        <v>7538</v>
      </c>
      <c r="O99" s="47" t="n">
        <v>880</v>
      </c>
      <c r="P99" s="47" t="n">
        <v>854</v>
      </c>
      <c r="Q99" s="47"/>
      <c r="R99" s="50" t="n">
        <f aca="false">合約與計費!$D$4</f>
        <v>0.296</v>
      </c>
      <c r="S99" s="51" t="n">
        <f aca="false">ROUND(P99*R99,0)</f>
        <v>253</v>
      </c>
      <c r="T99" s="52"/>
      <c r="U99" s="47"/>
      <c r="V99" s="47"/>
      <c r="W99" s="53"/>
      <c r="X99" s="47"/>
      <c r="Y99" s="47"/>
      <c r="Z99" s="54"/>
      <c r="AA99" s="55"/>
      <c r="AB99" s="56"/>
      <c r="AC99" s="57"/>
      <c r="AD99" s="42" t="n">
        <v>0.121</v>
      </c>
      <c r="AE99" s="43" t="n">
        <v>0.2</v>
      </c>
    </row>
    <row r="100" customFormat="false" ht="16.5" hidden="false" customHeight="true" outlineLevel="0" collapsed="false">
      <c r="A100" s="44" t="n">
        <f aca="false">ROW(A98)</f>
        <v>98</v>
      </c>
      <c r="B100" s="44" t="n">
        <v>12</v>
      </c>
      <c r="C100" s="47" t="n">
        <v>1</v>
      </c>
      <c r="D100" s="29"/>
      <c r="E100" s="45" t="s">
        <v>678</v>
      </c>
      <c r="F100" s="46" t="s">
        <v>656</v>
      </c>
      <c r="G100" s="47" t="s">
        <v>458</v>
      </c>
      <c r="H100" s="47" t="s">
        <v>643</v>
      </c>
      <c r="I100" s="47" t="s">
        <v>344</v>
      </c>
      <c r="J100" s="45" t="s">
        <v>471</v>
      </c>
      <c r="K100" s="48" t="s">
        <v>679</v>
      </c>
      <c r="L100" s="49" t="n">
        <v>45770</v>
      </c>
      <c r="M100" s="47" t="n">
        <v>4500</v>
      </c>
      <c r="N100" s="47" t="n">
        <v>5432</v>
      </c>
      <c r="O100" s="47" t="n">
        <v>932</v>
      </c>
      <c r="P100" s="47" t="n">
        <v>904</v>
      </c>
      <c r="Q100" s="47"/>
      <c r="R100" s="50" t="n">
        <f aca="false">合約與計費!$D$4</f>
        <v>0.296</v>
      </c>
      <c r="S100" s="51" t="n">
        <f aca="false">ROUND(P100*R100,0)</f>
        <v>268</v>
      </c>
      <c r="T100" s="52"/>
      <c r="U100" s="47"/>
      <c r="V100" s="47"/>
      <c r="W100" s="53"/>
      <c r="X100" s="47"/>
      <c r="Y100" s="47"/>
      <c r="Z100" s="54"/>
      <c r="AA100" s="55"/>
      <c r="AB100" s="56"/>
      <c r="AC100" s="57"/>
      <c r="AD100" s="42" t="n">
        <v>0.1189</v>
      </c>
      <c r="AE100" s="43" t="n">
        <v>0.5</v>
      </c>
    </row>
    <row r="101" customFormat="false" ht="16.5" hidden="false" customHeight="true" outlineLevel="0" collapsed="false">
      <c r="A101" s="44" t="n">
        <f aca="false">ROW(A99)</f>
        <v>99</v>
      </c>
      <c r="B101" s="44" t="n">
        <v>13</v>
      </c>
      <c r="C101" s="47" t="n">
        <v>1</v>
      </c>
      <c r="D101" s="29"/>
      <c r="E101" s="45" t="s">
        <v>680</v>
      </c>
      <c r="F101" s="46" t="s">
        <v>656</v>
      </c>
      <c r="G101" s="47" t="s">
        <v>458</v>
      </c>
      <c r="H101" s="47" t="s">
        <v>643</v>
      </c>
      <c r="I101" s="47" t="s">
        <v>344</v>
      </c>
      <c r="J101" s="45" t="s">
        <v>471</v>
      </c>
      <c r="K101" s="48" t="s">
        <v>681</v>
      </c>
      <c r="L101" s="49" t="n">
        <v>45770</v>
      </c>
      <c r="M101" s="47" t="n">
        <v>6298</v>
      </c>
      <c r="N101" s="47" t="n">
        <v>7740</v>
      </c>
      <c r="O101" s="47" t="n">
        <v>1442</v>
      </c>
      <c r="P101" s="47" t="n">
        <v>1399</v>
      </c>
      <c r="Q101" s="47"/>
      <c r="R101" s="50" t="n">
        <f aca="false">合約與計費!$D$4</f>
        <v>0.296</v>
      </c>
      <c r="S101" s="51" t="n">
        <f aca="false">ROUND(P101*R101,0)</f>
        <v>414</v>
      </c>
      <c r="T101" s="52"/>
      <c r="U101" s="47"/>
      <c r="V101" s="47"/>
      <c r="W101" s="53"/>
      <c r="X101" s="47"/>
      <c r="Y101" s="47"/>
      <c r="Z101" s="54"/>
      <c r="AA101" s="55"/>
      <c r="AB101" s="56"/>
      <c r="AC101" s="57"/>
      <c r="AD101" s="42" t="n">
        <v>0.1237</v>
      </c>
      <c r="AE101" s="43" t="n">
        <v>0.1</v>
      </c>
    </row>
    <row r="102" customFormat="false" ht="16.5" hidden="false" customHeight="true" outlineLevel="0" collapsed="false">
      <c r="A102" s="59" t="n">
        <f aca="false">ROW(A100)</f>
        <v>100</v>
      </c>
      <c r="B102" s="59" t="n">
        <v>14</v>
      </c>
      <c r="C102" s="62" t="n">
        <v>1</v>
      </c>
      <c r="D102" s="29"/>
      <c r="E102" s="60" t="s">
        <v>682</v>
      </c>
      <c r="F102" s="61" t="s">
        <v>656</v>
      </c>
      <c r="G102" s="62" t="s">
        <v>458</v>
      </c>
      <c r="H102" s="62" t="s">
        <v>643</v>
      </c>
      <c r="I102" s="62" t="s">
        <v>344</v>
      </c>
      <c r="J102" s="60" t="s">
        <v>471</v>
      </c>
      <c r="K102" s="63" t="s">
        <v>683</v>
      </c>
      <c r="L102" s="64" t="n">
        <v>45770</v>
      </c>
      <c r="M102" s="62" t="n">
        <v>5607</v>
      </c>
      <c r="N102" s="62" t="n">
        <v>6324</v>
      </c>
      <c r="O102" s="62" t="n">
        <v>717</v>
      </c>
      <c r="P102" s="62" t="n">
        <v>695</v>
      </c>
      <c r="Q102" s="62" t="n">
        <f aca="false">ROUND(SUM(P89:P102),2)</f>
        <v>12506</v>
      </c>
      <c r="R102" s="65" t="n">
        <f aca="false">合約與計費!$D$4</f>
        <v>0.296</v>
      </c>
      <c r="S102" s="66" t="n">
        <f aca="false">ROUND(P102*R102,0)</f>
        <v>206</v>
      </c>
      <c r="T102" s="79" t="n">
        <f aca="false">ROUND(SUM(S89:S102),2)</f>
        <v>3702</v>
      </c>
      <c r="U102" s="62"/>
      <c r="V102" s="62"/>
      <c r="W102" s="67"/>
      <c r="X102" s="62"/>
      <c r="Y102" s="62" t="n">
        <f aca="false">ROUND(SUM(X89:X102),2)</f>
        <v>254</v>
      </c>
      <c r="Z102" s="68"/>
      <c r="AA102" s="77"/>
      <c r="AB102" s="78" t="n">
        <f aca="false">ROUND(SUM(AA89:AA102),2)</f>
        <v>711</v>
      </c>
      <c r="AC102" s="69"/>
      <c r="AD102" s="42" t="n">
        <v>0.0932</v>
      </c>
      <c r="AE102" s="43" t="n">
        <v>0.3</v>
      </c>
    </row>
    <row r="103" customFormat="false" ht="16.5" hidden="false" customHeight="true" outlineLevel="0" collapsed="false">
      <c r="A103" s="27" t="n">
        <f aca="false">ROW(A101)</f>
        <v>101</v>
      </c>
      <c r="B103" s="27" t="s">
        <v>455</v>
      </c>
      <c r="C103" s="31" t="n">
        <v>1</v>
      </c>
      <c r="D103" s="29" t="n">
        <v>13</v>
      </c>
      <c r="E103" s="28" t="s">
        <v>684</v>
      </c>
      <c r="F103" s="30" t="s">
        <v>685</v>
      </c>
      <c r="G103" s="31" t="s">
        <v>458</v>
      </c>
      <c r="H103" s="31" t="s">
        <v>643</v>
      </c>
      <c r="I103" s="31" t="s">
        <v>31</v>
      </c>
      <c r="J103" s="28" t="s">
        <v>460</v>
      </c>
      <c r="K103" s="80" t="s">
        <v>686</v>
      </c>
      <c r="L103" s="34" t="n">
        <v>45762</v>
      </c>
      <c r="M103" s="31" t="n">
        <v>784</v>
      </c>
      <c r="N103" s="31" t="n">
        <v>869</v>
      </c>
      <c r="O103" s="31" t="n">
        <v>85</v>
      </c>
      <c r="P103" s="31" t="n">
        <v>82</v>
      </c>
      <c r="Q103" s="31"/>
      <c r="R103" s="35" t="n">
        <f aca="false">合約與計費!$D$4</f>
        <v>0.296</v>
      </c>
      <c r="S103" s="36" t="n">
        <f aca="false">ROUND(P103*R103,0)</f>
        <v>24</v>
      </c>
      <c r="T103" s="37"/>
      <c r="U103" s="31" t="n">
        <v>261</v>
      </c>
      <c r="V103" s="31" t="n">
        <v>283</v>
      </c>
      <c r="W103" s="31" t="n">
        <v>22</v>
      </c>
      <c r="X103" s="31" t="n">
        <v>21</v>
      </c>
      <c r="Y103" s="31"/>
      <c r="Z103" s="38" t="n">
        <f aca="false">合約與計費!$E$4</f>
        <v>2.8</v>
      </c>
      <c r="AA103" s="39" t="n">
        <f aca="false">ROUND(X103*Z103,0)</f>
        <v>59</v>
      </c>
      <c r="AB103" s="40"/>
      <c r="AC103" s="41"/>
      <c r="AD103" s="42"/>
      <c r="AE103" s="43"/>
    </row>
    <row r="104" customFormat="false" ht="16.5" hidden="false" customHeight="true" outlineLevel="0" collapsed="false">
      <c r="A104" s="44" t="n">
        <f aca="false">ROW(A102)</f>
        <v>102</v>
      </c>
      <c r="B104" s="44" t="s">
        <v>462</v>
      </c>
      <c r="C104" s="47" t="n">
        <v>1</v>
      </c>
      <c r="D104" s="29"/>
      <c r="E104" s="45" t="s">
        <v>687</v>
      </c>
      <c r="F104" s="46" t="s">
        <v>685</v>
      </c>
      <c r="G104" s="47" t="s">
        <v>458</v>
      </c>
      <c r="H104" s="47" t="s">
        <v>643</v>
      </c>
      <c r="I104" s="47" t="s">
        <v>31</v>
      </c>
      <c r="J104" s="45" t="s">
        <v>464</v>
      </c>
      <c r="K104" s="48" t="s">
        <v>688</v>
      </c>
      <c r="L104" s="49" t="n">
        <v>45762</v>
      </c>
      <c r="M104" s="47" t="n">
        <v>4300</v>
      </c>
      <c r="N104" s="47" t="n">
        <v>5180</v>
      </c>
      <c r="O104" s="47" t="n">
        <v>880</v>
      </c>
      <c r="P104" s="47" t="n">
        <v>854</v>
      </c>
      <c r="Q104" s="47"/>
      <c r="R104" s="50" t="n">
        <f aca="false">合約與計費!$D$4</f>
        <v>0.296</v>
      </c>
      <c r="S104" s="51" t="n">
        <f aca="false">ROUND(P104*R104,0)</f>
        <v>253</v>
      </c>
      <c r="T104" s="52"/>
      <c r="U104" s="47"/>
      <c r="V104" s="47"/>
      <c r="W104" s="53"/>
      <c r="X104" s="47"/>
      <c r="Y104" s="47"/>
      <c r="Z104" s="54"/>
      <c r="AA104" s="55"/>
      <c r="AB104" s="56"/>
      <c r="AC104" s="57"/>
      <c r="AD104" s="42" t="n">
        <v>0.0722</v>
      </c>
      <c r="AE104" s="43" t="n">
        <v>0.8</v>
      </c>
    </row>
    <row r="105" customFormat="false" ht="16.5" hidden="false" customHeight="true" outlineLevel="0" collapsed="false">
      <c r="A105" s="44" t="n">
        <f aca="false">ROW(A103)</f>
        <v>103</v>
      </c>
      <c r="B105" s="44" t="s">
        <v>466</v>
      </c>
      <c r="C105" s="47" t="n">
        <v>1</v>
      </c>
      <c r="D105" s="29"/>
      <c r="E105" s="45" t="s">
        <v>689</v>
      </c>
      <c r="F105" s="46" t="s">
        <v>685</v>
      </c>
      <c r="G105" s="47" t="s">
        <v>458</v>
      </c>
      <c r="H105" s="47" t="s">
        <v>643</v>
      </c>
      <c r="I105" s="47" t="s">
        <v>31</v>
      </c>
      <c r="J105" s="45" t="s">
        <v>464</v>
      </c>
      <c r="K105" s="48" t="s">
        <v>690</v>
      </c>
      <c r="L105" s="49" t="n">
        <v>45762</v>
      </c>
      <c r="M105" s="47" t="n">
        <v>933</v>
      </c>
      <c r="N105" s="47" t="n">
        <v>1234</v>
      </c>
      <c r="O105" s="47" t="n">
        <v>301</v>
      </c>
      <c r="P105" s="47" t="n">
        <v>292</v>
      </c>
      <c r="Q105" s="47"/>
      <c r="R105" s="50" t="n">
        <f aca="false">合約與計費!$D$4</f>
        <v>0.296</v>
      </c>
      <c r="S105" s="51" t="n">
        <f aca="false">ROUND(P105*R105,0)</f>
        <v>86</v>
      </c>
      <c r="T105" s="52"/>
      <c r="U105" s="47"/>
      <c r="V105" s="47"/>
      <c r="W105" s="53"/>
      <c r="X105" s="47"/>
      <c r="Y105" s="47"/>
      <c r="Z105" s="54"/>
      <c r="AA105" s="55"/>
      <c r="AB105" s="56"/>
      <c r="AC105" s="57"/>
      <c r="AD105" s="42" t="n">
        <v>0.0721</v>
      </c>
      <c r="AE105" s="43" t="n">
        <v>0.3</v>
      </c>
    </row>
    <row r="106" customFormat="false" ht="16.5" hidden="false" customHeight="true" outlineLevel="0" collapsed="false">
      <c r="A106" s="44" t="n">
        <f aca="false">ROW(A104)</f>
        <v>104</v>
      </c>
      <c r="B106" s="44" t="s">
        <v>469</v>
      </c>
      <c r="C106" s="47" t="n">
        <v>1</v>
      </c>
      <c r="D106" s="29"/>
      <c r="E106" s="45" t="s">
        <v>691</v>
      </c>
      <c r="F106" s="46" t="s">
        <v>685</v>
      </c>
      <c r="G106" s="47" t="s">
        <v>458</v>
      </c>
      <c r="H106" s="47" t="s">
        <v>643</v>
      </c>
      <c r="I106" s="47" t="s">
        <v>31</v>
      </c>
      <c r="J106" s="45" t="s">
        <v>527</v>
      </c>
      <c r="K106" s="48" t="s">
        <v>692</v>
      </c>
      <c r="L106" s="49" t="n">
        <v>45762</v>
      </c>
      <c r="M106" s="47" t="n">
        <v>5664</v>
      </c>
      <c r="N106" s="47" t="n">
        <v>6013</v>
      </c>
      <c r="O106" s="47" t="n">
        <v>349</v>
      </c>
      <c r="P106" s="47" t="n">
        <v>339</v>
      </c>
      <c r="Q106" s="47"/>
      <c r="R106" s="50" t="n">
        <f aca="false">合約與計費!$D$4</f>
        <v>0.296</v>
      </c>
      <c r="S106" s="51" t="n">
        <f aca="false">ROUND(P106*R106,0)</f>
        <v>100</v>
      </c>
      <c r="T106" s="52"/>
      <c r="U106" s="47"/>
      <c r="V106" s="47"/>
      <c r="W106" s="53"/>
      <c r="X106" s="47"/>
      <c r="Y106" s="47"/>
      <c r="Z106" s="54"/>
      <c r="AA106" s="55"/>
      <c r="AB106" s="56"/>
      <c r="AC106" s="57"/>
      <c r="AD106" s="42"/>
      <c r="AE106" s="43"/>
    </row>
    <row r="107" customFormat="false" ht="16.5" hidden="false" customHeight="true" outlineLevel="0" collapsed="false">
      <c r="A107" s="44" t="n">
        <f aca="false">ROW(A105)</f>
        <v>105</v>
      </c>
      <c r="B107" s="44" t="s">
        <v>473</v>
      </c>
      <c r="C107" s="47" t="n">
        <v>1</v>
      </c>
      <c r="D107" s="29"/>
      <c r="E107" s="45" t="s">
        <v>693</v>
      </c>
      <c r="F107" s="46" t="s">
        <v>685</v>
      </c>
      <c r="G107" s="47" t="s">
        <v>458</v>
      </c>
      <c r="H107" s="47" t="s">
        <v>643</v>
      </c>
      <c r="I107" s="47" t="s">
        <v>31</v>
      </c>
      <c r="J107" s="45" t="s">
        <v>527</v>
      </c>
      <c r="K107" s="48" t="s">
        <v>694</v>
      </c>
      <c r="L107" s="49" t="n">
        <v>45762</v>
      </c>
      <c r="M107" s="47" t="n">
        <v>5056</v>
      </c>
      <c r="N107" s="47" t="n">
        <v>6037</v>
      </c>
      <c r="O107" s="47" t="n">
        <v>981</v>
      </c>
      <c r="P107" s="47" t="n">
        <v>952</v>
      </c>
      <c r="Q107" s="47"/>
      <c r="R107" s="50" t="n">
        <f aca="false">合約與計費!$D$4</f>
        <v>0.296</v>
      </c>
      <c r="S107" s="51" t="n">
        <f aca="false">ROUND(P107*R107,0)</f>
        <v>282</v>
      </c>
      <c r="T107" s="52"/>
      <c r="U107" s="47"/>
      <c r="V107" s="47"/>
      <c r="W107" s="53"/>
      <c r="X107" s="47"/>
      <c r="Y107" s="47"/>
      <c r="Z107" s="54"/>
      <c r="AA107" s="55"/>
      <c r="AB107" s="56"/>
      <c r="AC107" s="57"/>
      <c r="AD107" s="42"/>
      <c r="AE107" s="43"/>
    </row>
    <row r="108" customFormat="false" ht="16.5" hidden="false" customHeight="true" outlineLevel="0" collapsed="false">
      <c r="A108" s="44" t="n">
        <f aca="false">ROW(A106)</f>
        <v>106</v>
      </c>
      <c r="B108" s="44" t="s">
        <v>476</v>
      </c>
      <c r="C108" s="47" t="n">
        <v>1</v>
      </c>
      <c r="D108" s="29"/>
      <c r="E108" s="45" t="s">
        <v>695</v>
      </c>
      <c r="F108" s="46" t="s">
        <v>685</v>
      </c>
      <c r="G108" s="47" t="s">
        <v>458</v>
      </c>
      <c r="H108" s="47" t="s">
        <v>643</v>
      </c>
      <c r="I108" s="47" t="s">
        <v>31</v>
      </c>
      <c r="J108" s="45" t="s">
        <v>527</v>
      </c>
      <c r="K108" s="48" t="s">
        <v>696</v>
      </c>
      <c r="L108" s="49" t="n">
        <v>45762</v>
      </c>
      <c r="M108" s="47" t="n">
        <v>5966</v>
      </c>
      <c r="N108" s="47" t="n">
        <v>7033</v>
      </c>
      <c r="O108" s="47" t="n">
        <v>1067</v>
      </c>
      <c r="P108" s="47" t="n">
        <v>1035</v>
      </c>
      <c r="Q108" s="47"/>
      <c r="R108" s="50" t="n">
        <f aca="false">合約與計費!$D$4</f>
        <v>0.296</v>
      </c>
      <c r="S108" s="51" t="n">
        <f aca="false">ROUND(P108*R108,0)</f>
        <v>306</v>
      </c>
      <c r="T108" s="52"/>
      <c r="U108" s="47"/>
      <c r="V108" s="47"/>
      <c r="W108" s="53"/>
      <c r="X108" s="47"/>
      <c r="Y108" s="47"/>
      <c r="Z108" s="54"/>
      <c r="AA108" s="55"/>
      <c r="AB108" s="56"/>
      <c r="AC108" s="57"/>
      <c r="AD108" s="42"/>
      <c r="AE108" s="43"/>
    </row>
    <row r="109" customFormat="false" ht="16.5" hidden="false" customHeight="true" outlineLevel="0" collapsed="false">
      <c r="A109" s="44" t="n">
        <f aca="false">ROW(A107)</f>
        <v>107</v>
      </c>
      <c r="B109" s="44" t="s">
        <v>479</v>
      </c>
      <c r="C109" s="47" t="n">
        <v>1</v>
      </c>
      <c r="D109" s="29"/>
      <c r="E109" s="45" t="s">
        <v>697</v>
      </c>
      <c r="F109" s="46" t="s">
        <v>685</v>
      </c>
      <c r="G109" s="47" t="s">
        <v>458</v>
      </c>
      <c r="H109" s="47" t="s">
        <v>643</v>
      </c>
      <c r="I109" s="47" t="s">
        <v>31</v>
      </c>
      <c r="J109" s="45" t="s">
        <v>527</v>
      </c>
      <c r="K109" s="48" t="s">
        <v>698</v>
      </c>
      <c r="L109" s="49" t="n">
        <v>45762</v>
      </c>
      <c r="M109" s="47" t="n">
        <v>4227</v>
      </c>
      <c r="N109" s="47" t="n">
        <v>4970</v>
      </c>
      <c r="O109" s="47" t="n">
        <v>743</v>
      </c>
      <c r="P109" s="47" t="n">
        <v>721</v>
      </c>
      <c r="Q109" s="47"/>
      <c r="R109" s="50" t="n">
        <f aca="false">合約與計費!$D$4</f>
        <v>0.296</v>
      </c>
      <c r="S109" s="51" t="n">
        <f aca="false">ROUND(P109*R109,0)</f>
        <v>213</v>
      </c>
      <c r="T109" s="52"/>
      <c r="U109" s="47"/>
      <c r="V109" s="47"/>
      <c r="W109" s="53"/>
      <c r="X109" s="47"/>
      <c r="Y109" s="47"/>
      <c r="Z109" s="54"/>
      <c r="AA109" s="55"/>
      <c r="AB109" s="56"/>
      <c r="AC109" s="57"/>
      <c r="AD109" s="42"/>
      <c r="AE109" s="43"/>
    </row>
    <row r="110" customFormat="false" ht="16.5" hidden="false" customHeight="true" outlineLevel="0" collapsed="false">
      <c r="A110" s="44" t="n">
        <f aca="false">ROW(A108)</f>
        <v>108</v>
      </c>
      <c r="B110" s="44" t="s">
        <v>482</v>
      </c>
      <c r="C110" s="47" t="n">
        <v>1</v>
      </c>
      <c r="D110" s="29"/>
      <c r="E110" s="45" t="s">
        <v>699</v>
      </c>
      <c r="F110" s="46" t="s">
        <v>685</v>
      </c>
      <c r="G110" s="47" t="s">
        <v>458</v>
      </c>
      <c r="H110" s="47" t="s">
        <v>643</v>
      </c>
      <c r="I110" s="47" t="s">
        <v>31</v>
      </c>
      <c r="J110" s="45" t="s">
        <v>527</v>
      </c>
      <c r="K110" s="48" t="s">
        <v>700</v>
      </c>
      <c r="L110" s="49" t="n">
        <v>45762</v>
      </c>
      <c r="M110" s="47" t="n">
        <v>6727</v>
      </c>
      <c r="N110" s="47" t="n">
        <v>7909</v>
      </c>
      <c r="O110" s="47" t="n">
        <v>1182</v>
      </c>
      <c r="P110" s="47" t="n">
        <v>1147</v>
      </c>
      <c r="Q110" s="47"/>
      <c r="R110" s="50" t="n">
        <f aca="false">合約與計費!$D$4</f>
        <v>0.296</v>
      </c>
      <c r="S110" s="51" t="n">
        <f aca="false">ROUND(P110*R110,0)</f>
        <v>340</v>
      </c>
      <c r="T110" s="52"/>
      <c r="U110" s="47"/>
      <c r="V110" s="47"/>
      <c r="W110" s="53"/>
      <c r="X110" s="47"/>
      <c r="Y110" s="47"/>
      <c r="Z110" s="54"/>
      <c r="AA110" s="55"/>
      <c r="AB110" s="56"/>
      <c r="AC110" s="57"/>
      <c r="AD110" s="42"/>
      <c r="AE110" s="43"/>
    </row>
    <row r="111" customFormat="false" ht="16.5" hidden="false" customHeight="true" outlineLevel="0" collapsed="false">
      <c r="A111" s="44" t="n">
        <f aca="false">ROW(A109)</f>
        <v>109</v>
      </c>
      <c r="B111" s="44" t="s">
        <v>485</v>
      </c>
      <c r="C111" s="47" t="n">
        <v>1</v>
      </c>
      <c r="D111" s="29"/>
      <c r="E111" s="45" t="s">
        <v>701</v>
      </c>
      <c r="F111" s="46" t="s">
        <v>685</v>
      </c>
      <c r="G111" s="47" t="s">
        <v>458</v>
      </c>
      <c r="H111" s="47" t="s">
        <v>643</v>
      </c>
      <c r="I111" s="47" t="s">
        <v>31</v>
      </c>
      <c r="J111" s="45" t="s">
        <v>527</v>
      </c>
      <c r="K111" s="48" t="s">
        <v>702</v>
      </c>
      <c r="L111" s="49" t="n">
        <v>45762</v>
      </c>
      <c r="M111" s="47" t="n">
        <v>7104</v>
      </c>
      <c r="N111" s="47" t="n">
        <v>8812</v>
      </c>
      <c r="O111" s="47" t="n">
        <v>1708</v>
      </c>
      <c r="P111" s="47" t="n">
        <v>1657</v>
      </c>
      <c r="Q111" s="47"/>
      <c r="R111" s="50" t="n">
        <f aca="false">合約與計費!$D$4</f>
        <v>0.296</v>
      </c>
      <c r="S111" s="51" t="n">
        <f aca="false">ROUND(P111*R111,0)</f>
        <v>490</v>
      </c>
      <c r="T111" s="52"/>
      <c r="U111" s="47"/>
      <c r="V111" s="47"/>
      <c r="W111" s="53"/>
      <c r="X111" s="47"/>
      <c r="Y111" s="47"/>
      <c r="Z111" s="54"/>
      <c r="AA111" s="55"/>
      <c r="AB111" s="56"/>
      <c r="AC111" s="57"/>
      <c r="AD111" s="42"/>
      <c r="AE111" s="43"/>
    </row>
    <row r="112" customFormat="false" ht="16.5" hidden="false" customHeight="true" outlineLevel="0" collapsed="false">
      <c r="A112" s="44" t="n">
        <f aca="false">ROW(A110)</f>
        <v>110</v>
      </c>
      <c r="B112" s="44" t="n">
        <v>10</v>
      </c>
      <c r="C112" s="47" t="n">
        <v>1</v>
      </c>
      <c r="D112" s="29"/>
      <c r="E112" s="45" t="s">
        <v>703</v>
      </c>
      <c r="F112" s="46" t="s">
        <v>685</v>
      </c>
      <c r="G112" s="47" t="s">
        <v>458</v>
      </c>
      <c r="H112" s="47" t="s">
        <v>643</v>
      </c>
      <c r="I112" s="47" t="s">
        <v>31</v>
      </c>
      <c r="J112" s="45" t="s">
        <v>527</v>
      </c>
      <c r="K112" s="48" t="s">
        <v>704</v>
      </c>
      <c r="L112" s="49" t="n">
        <v>45762</v>
      </c>
      <c r="M112" s="47" t="n">
        <v>7361</v>
      </c>
      <c r="N112" s="47" t="n">
        <v>8783</v>
      </c>
      <c r="O112" s="47" t="n">
        <v>1422</v>
      </c>
      <c r="P112" s="47" t="n">
        <v>1379</v>
      </c>
      <c r="Q112" s="47"/>
      <c r="R112" s="50" t="n">
        <f aca="false">合約與計費!$D$4</f>
        <v>0.296</v>
      </c>
      <c r="S112" s="51" t="n">
        <f aca="false">ROUND(P112*R112,0)</f>
        <v>408</v>
      </c>
      <c r="T112" s="52"/>
      <c r="U112" s="47"/>
      <c r="V112" s="47"/>
      <c r="W112" s="53"/>
      <c r="X112" s="47"/>
      <c r="Y112" s="47"/>
      <c r="Z112" s="54"/>
      <c r="AA112" s="55"/>
      <c r="AB112" s="56"/>
      <c r="AC112" s="57"/>
      <c r="AD112" s="42"/>
      <c r="AE112" s="43"/>
    </row>
    <row r="113" customFormat="false" ht="16.5" hidden="false" customHeight="true" outlineLevel="0" collapsed="false">
      <c r="A113" s="59" t="n">
        <f aca="false">ROW(A111)</f>
        <v>111</v>
      </c>
      <c r="B113" s="59" t="n">
        <v>11</v>
      </c>
      <c r="C113" s="62" t="n">
        <v>1</v>
      </c>
      <c r="D113" s="29"/>
      <c r="E113" s="60" t="s">
        <v>705</v>
      </c>
      <c r="F113" s="61" t="s">
        <v>685</v>
      </c>
      <c r="G113" s="62" t="s">
        <v>458</v>
      </c>
      <c r="H113" s="62" t="s">
        <v>643</v>
      </c>
      <c r="I113" s="62" t="s">
        <v>31</v>
      </c>
      <c r="J113" s="45" t="s">
        <v>527</v>
      </c>
      <c r="K113" s="48" t="s">
        <v>706</v>
      </c>
      <c r="L113" s="49" t="n">
        <v>45762</v>
      </c>
      <c r="M113" s="47" t="n">
        <v>5016</v>
      </c>
      <c r="N113" s="47" t="n">
        <v>5667</v>
      </c>
      <c r="O113" s="47" t="n">
        <v>651</v>
      </c>
      <c r="P113" s="47" t="n">
        <v>631</v>
      </c>
      <c r="Q113" s="47" t="n">
        <f aca="false">ROUND(SUM(P103:P113),2)</f>
        <v>9089</v>
      </c>
      <c r="R113" s="50" t="n">
        <f aca="false">合約與計費!$D$4</f>
        <v>0.296</v>
      </c>
      <c r="S113" s="51" t="n">
        <f aca="false">ROUND(P113*R113,0)</f>
        <v>187</v>
      </c>
      <c r="T113" s="52" t="n">
        <f aca="false">ROUND(SUM(S103:S113),2)</f>
        <v>2689</v>
      </c>
      <c r="U113" s="47"/>
      <c r="V113" s="47"/>
      <c r="W113" s="53"/>
      <c r="X113" s="47"/>
      <c r="Y113" s="47" t="n">
        <f aca="false">ROUND(SUM(X103:X113),2)</f>
        <v>21</v>
      </c>
      <c r="Z113" s="54"/>
      <c r="AA113" s="55"/>
      <c r="AB113" s="56" t="n">
        <f aca="false">ROUND(SUM(AA103:AA113),2)</f>
        <v>59</v>
      </c>
      <c r="AC113" s="57"/>
      <c r="AD113" s="42"/>
      <c r="AE113" s="43"/>
    </row>
    <row r="114" customFormat="false" ht="16.5" hidden="false" customHeight="true" outlineLevel="0" collapsed="false">
      <c r="A114" s="27" t="n">
        <f aca="false">ROW(A112)</f>
        <v>112</v>
      </c>
      <c r="B114" s="27" t="s">
        <v>455</v>
      </c>
      <c r="C114" s="31" t="n">
        <v>1</v>
      </c>
      <c r="D114" s="29" t="n">
        <v>15</v>
      </c>
      <c r="E114" s="28" t="s">
        <v>707</v>
      </c>
      <c r="F114" s="30" t="s">
        <v>708</v>
      </c>
      <c r="G114" s="31" t="s">
        <v>458</v>
      </c>
      <c r="H114" s="31" t="s">
        <v>643</v>
      </c>
      <c r="I114" s="31" t="s">
        <v>116</v>
      </c>
      <c r="J114" s="28" t="s">
        <v>460</v>
      </c>
      <c r="K114" s="80" t="s">
        <v>709</v>
      </c>
      <c r="L114" s="34" t="n">
        <v>45723</v>
      </c>
      <c r="M114" s="31" t="n">
        <v>617</v>
      </c>
      <c r="N114" s="31" t="n">
        <v>763</v>
      </c>
      <c r="O114" s="31" t="n">
        <v>146</v>
      </c>
      <c r="P114" s="31" t="n">
        <v>142</v>
      </c>
      <c r="Q114" s="31"/>
      <c r="R114" s="35" t="n">
        <f aca="false">合約與計費!$D$4</f>
        <v>0.296</v>
      </c>
      <c r="S114" s="36" t="n">
        <f aca="false">ROUND(P114*R114,0)</f>
        <v>42</v>
      </c>
      <c r="T114" s="37"/>
      <c r="U114" s="31" t="n">
        <v>273</v>
      </c>
      <c r="V114" s="31" t="n">
        <v>317</v>
      </c>
      <c r="W114" s="31" t="n">
        <v>44</v>
      </c>
      <c r="X114" s="31" t="n">
        <v>43</v>
      </c>
      <c r="Y114" s="31"/>
      <c r="Z114" s="38" t="n">
        <f aca="false">合約與計費!$E$4</f>
        <v>2.8</v>
      </c>
      <c r="AA114" s="39" t="n">
        <f aca="false">ROUND(X114*Z114,0)</f>
        <v>120</v>
      </c>
      <c r="AB114" s="40"/>
      <c r="AC114" s="41"/>
      <c r="AD114" s="42"/>
      <c r="AE114" s="43"/>
    </row>
    <row r="115" customFormat="false" ht="16.5" hidden="false" customHeight="true" outlineLevel="0" collapsed="false">
      <c r="A115" s="44" t="n">
        <f aca="false">ROW(A113)</f>
        <v>113</v>
      </c>
      <c r="B115" s="44" t="s">
        <v>462</v>
      </c>
      <c r="C115" s="47" t="n">
        <v>1</v>
      </c>
      <c r="D115" s="29"/>
      <c r="E115" s="45" t="s">
        <v>710</v>
      </c>
      <c r="F115" s="46" t="s">
        <v>708</v>
      </c>
      <c r="G115" s="47" t="s">
        <v>458</v>
      </c>
      <c r="H115" s="47" t="s">
        <v>643</v>
      </c>
      <c r="I115" s="47" t="s">
        <v>116</v>
      </c>
      <c r="J115" s="45" t="s">
        <v>464</v>
      </c>
      <c r="K115" s="48" t="s">
        <v>711</v>
      </c>
      <c r="L115" s="49" t="n">
        <v>45680</v>
      </c>
      <c r="M115" s="47" t="n">
        <v>10406</v>
      </c>
      <c r="N115" s="47" t="n">
        <v>10457</v>
      </c>
      <c r="O115" s="47" t="n">
        <v>51</v>
      </c>
      <c r="P115" s="47" t="n">
        <v>49</v>
      </c>
      <c r="Q115" s="47"/>
      <c r="R115" s="50" t="n">
        <f aca="false">合約與計費!$D$4</f>
        <v>0.296</v>
      </c>
      <c r="S115" s="51" t="n">
        <f aca="false">ROUND(P115*R115,0)</f>
        <v>15</v>
      </c>
      <c r="T115" s="52"/>
      <c r="U115" s="47"/>
      <c r="V115" s="47"/>
      <c r="W115" s="53"/>
      <c r="X115" s="47"/>
      <c r="Y115" s="47"/>
      <c r="Z115" s="54"/>
      <c r="AA115" s="55"/>
      <c r="AB115" s="56"/>
      <c r="AC115" s="57"/>
      <c r="AD115" s="42" t="n">
        <v>0.0579</v>
      </c>
      <c r="AE115" s="43" t="n">
        <v>0.5</v>
      </c>
    </row>
    <row r="116" customFormat="false" ht="16.5" hidden="false" customHeight="true" outlineLevel="0" collapsed="false">
      <c r="A116" s="44" t="n">
        <f aca="false">ROW(A114)</f>
        <v>114</v>
      </c>
      <c r="B116" s="44" t="s">
        <v>466</v>
      </c>
      <c r="C116" s="47" t="n">
        <v>1</v>
      </c>
      <c r="D116" s="29"/>
      <c r="E116" s="45" t="s">
        <v>712</v>
      </c>
      <c r="F116" s="46" t="s">
        <v>708</v>
      </c>
      <c r="G116" s="47" t="s">
        <v>458</v>
      </c>
      <c r="H116" s="47" t="s">
        <v>643</v>
      </c>
      <c r="I116" s="47" t="s">
        <v>116</v>
      </c>
      <c r="J116" s="45" t="s">
        <v>527</v>
      </c>
      <c r="K116" s="48" t="s">
        <v>713</v>
      </c>
      <c r="L116" s="49" t="n">
        <v>45680</v>
      </c>
      <c r="M116" s="47" t="n">
        <v>40100</v>
      </c>
      <c r="N116" s="47" t="n">
        <v>46934</v>
      </c>
      <c r="O116" s="47" t="n">
        <v>6834</v>
      </c>
      <c r="P116" s="47" t="n">
        <v>6629</v>
      </c>
      <c r="Q116" s="47"/>
      <c r="R116" s="50" t="n">
        <f aca="false">合約與計費!$D$4</f>
        <v>0.296</v>
      </c>
      <c r="S116" s="51" t="n">
        <f aca="false">ROUND(P116*R116,0)</f>
        <v>1962</v>
      </c>
      <c r="T116" s="52"/>
      <c r="U116" s="47"/>
      <c r="V116" s="47"/>
      <c r="W116" s="53"/>
      <c r="X116" s="47"/>
      <c r="Y116" s="47"/>
      <c r="Z116" s="54"/>
      <c r="AA116" s="55"/>
      <c r="AB116" s="56"/>
      <c r="AC116" s="57"/>
      <c r="AD116" s="42"/>
      <c r="AE116" s="43"/>
    </row>
    <row r="117" customFormat="false" ht="16.5" hidden="false" customHeight="true" outlineLevel="0" collapsed="false">
      <c r="A117" s="44" t="n">
        <f aca="false">ROW(A115)</f>
        <v>115</v>
      </c>
      <c r="B117" s="44" t="s">
        <v>469</v>
      </c>
      <c r="C117" s="47" t="n">
        <v>1</v>
      </c>
      <c r="D117" s="29"/>
      <c r="E117" s="45" t="s">
        <v>714</v>
      </c>
      <c r="F117" s="46" t="s">
        <v>708</v>
      </c>
      <c r="G117" s="47" t="s">
        <v>458</v>
      </c>
      <c r="H117" s="47" t="s">
        <v>643</v>
      </c>
      <c r="I117" s="47" t="s">
        <v>116</v>
      </c>
      <c r="J117" s="45" t="s">
        <v>527</v>
      </c>
      <c r="K117" s="48" t="s">
        <v>715</v>
      </c>
      <c r="L117" s="49" t="n">
        <v>45723</v>
      </c>
      <c r="M117" s="47" t="n">
        <v>15422</v>
      </c>
      <c r="N117" s="47" t="n">
        <v>18663</v>
      </c>
      <c r="O117" s="47" t="n">
        <v>3241</v>
      </c>
      <c r="P117" s="47" t="n">
        <v>3144</v>
      </c>
      <c r="Q117" s="47"/>
      <c r="R117" s="50" t="n">
        <f aca="false">合約與計費!$D$4</f>
        <v>0.296</v>
      </c>
      <c r="S117" s="51" t="n">
        <f aca="false">ROUND(P117*R117,0)</f>
        <v>931</v>
      </c>
      <c r="T117" s="52"/>
      <c r="U117" s="47"/>
      <c r="V117" s="47"/>
      <c r="W117" s="53"/>
      <c r="X117" s="47"/>
      <c r="Y117" s="47"/>
      <c r="Z117" s="54"/>
      <c r="AA117" s="55"/>
      <c r="AB117" s="56"/>
      <c r="AC117" s="57"/>
      <c r="AD117" s="42"/>
      <c r="AE117" s="43"/>
    </row>
    <row r="118" customFormat="false" ht="16.5" hidden="false" customHeight="true" outlineLevel="0" collapsed="false">
      <c r="A118" s="44" t="n">
        <f aca="false">ROW(A116)</f>
        <v>116</v>
      </c>
      <c r="B118" s="44" t="s">
        <v>473</v>
      </c>
      <c r="C118" s="47" t="n">
        <v>1</v>
      </c>
      <c r="D118" s="29"/>
      <c r="E118" s="45" t="s">
        <v>716</v>
      </c>
      <c r="F118" s="46" t="s">
        <v>708</v>
      </c>
      <c r="G118" s="47" t="s">
        <v>458</v>
      </c>
      <c r="H118" s="47" t="s">
        <v>643</v>
      </c>
      <c r="I118" s="47" t="s">
        <v>116</v>
      </c>
      <c r="J118" s="45" t="s">
        <v>527</v>
      </c>
      <c r="K118" s="48" t="s">
        <v>717</v>
      </c>
      <c r="L118" s="49" t="n">
        <v>45723</v>
      </c>
      <c r="M118" s="47" t="n">
        <v>14970</v>
      </c>
      <c r="N118" s="47" t="n">
        <v>18770</v>
      </c>
      <c r="O118" s="47" t="n">
        <v>3800</v>
      </c>
      <c r="P118" s="47" t="n">
        <v>3686</v>
      </c>
      <c r="Q118" s="47"/>
      <c r="R118" s="50" t="n">
        <f aca="false">合約與計費!$D$4</f>
        <v>0.296</v>
      </c>
      <c r="S118" s="51" t="n">
        <f aca="false">ROUND(P118*R118,0)</f>
        <v>1091</v>
      </c>
      <c r="T118" s="52"/>
      <c r="U118" s="47"/>
      <c r="V118" s="47"/>
      <c r="W118" s="53"/>
      <c r="X118" s="47"/>
      <c r="Y118" s="47"/>
      <c r="Z118" s="54"/>
      <c r="AA118" s="55"/>
      <c r="AB118" s="56"/>
      <c r="AC118" s="57"/>
      <c r="AD118" s="42"/>
      <c r="AE118" s="43"/>
    </row>
    <row r="119" customFormat="false" ht="16.5" hidden="false" customHeight="true" outlineLevel="0" collapsed="false">
      <c r="A119" s="59" t="n">
        <f aca="false">ROW(A117)</f>
        <v>117</v>
      </c>
      <c r="B119" s="59" t="s">
        <v>476</v>
      </c>
      <c r="C119" s="62" t="n">
        <v>1</v>
      </c>
      <c r="D119" s="29"/>
      <c r="E119" s="60" t="s">
        <v>718</v>
      </c>
      <c r="F119" s="61" t="s">
        <v>708</v>
      </c>
      <c r="G119" s="62" t="s">
        <v>458</v>
      </c>
      <c r="H119" s="62" t="s">
        <v>643</v>
      </c>
      <c r="I119" s="62" t="s">
        <v>116</v>
      </c>
      <c r="J119" s="60" t="s">
        <v>527</v>
      </c>
      <c r="K119" s="63" t="s">
        <v>719</v>
      </c>
      <c r="L119" s="64" t="n">
        <v>45723</v>
      </c>
      <c r="M119" s="62" t="n">
        <v>6720</v>
      </c>
      <c r="N119" s="62" t="n">
        <v>7891</v>
      </c>
      <c r="O119" s="62" t="n">
        <v>1171</v>
      </c>
      <c r="P119" s="62" t="n">
        <v>1136</v>
      </c>
      <c r="Q119" s="62" t="n">
        <f aca="false">ROUND(SUM(P114:P119),2)</f>
        <v>14786</v>
      </c>
      <c r="R119" s="65" t="n">
        <f aca="false">合約與計費!$D$4</f>
        <v>0.296</v>
      </c>
      <c r="S119" s="66" t="n">
        <f aca="false">ROUND(P119*R119,0)</f>
        <v>336</v>
      </c>
      <c r="T119" s="79" t="n">
        <f aca="false">ROUND(SUM(S114:S119),2)</f>
        <v>4377</v>
      </c>
      <c r="U119" s="62"/>
      <c r="V119" s="62"/>
      <c r="W119" s="67"/>
      <c r="X119" s="62"/>
      <c r="Y119" s="62" t="n">
        <f aca="false">ROUND(SUM(X114:X119),2)</f>
        <v>43</v>
      </c>
      <c r="Z119" s="68"/>
      <c r="AA119" s="77"/>
      <c r="AB119" s="78" t="n">
        <f aca="false">ROUND(SUM(AA114:AA119),2)</f>
        <v>120</v>
      </c>
      <c r="AC119" s="69"/>
      <c r="AD119" s="42"/>
      <c r="AE119" s="43"/>
    </row>
    <row r="120" customFormat="false" ht="16.5" hidden="false" customHeight="true" outlineLevel="0" collapsed="false">
      <c r="A120" s="27" t="n">
        <f aca="false">ROW(A118)</f>
        <v>118</v>
      </c>
      <c r="B120" s="27" t="s">
        <v>455</v>
      </c>
      <c r="C120" s="31" t="n">
        <v>1</v>
      </c>
      <c r="D120" s="29" t="n">
        <v>17</v>
      </c>
      <c r="E120" s="28" t="s">
        <v>720</v>
      </c>
      <c r="F120" s="30" t="s">
        <v>721</v>
      </c>
      <c r="G120" s="31" t="s">
        <v>458</v>
      </c>
      <c r="H120" s="31" t="s">
        <v>643</v>
      </c>
      <c r="I120" s="31" t="s">
        <v>129</v>
      </c>
      <c r="J120" s="28" t="s">
        <v>460</v>
      </c>
      <c r="K120" s="80" t="s">
        <v>722</v>
      </c>
      <c r="L120" s="34" t="n">
        <v>45747</v>
      </c>
      <c r="M120" s="31" t="n">
        <v>63</v>
      </c>
      <c r="N120" s="31" t="n">
        <v>84</v>
      </c>
      <c r="O120" s="31" t="n">
        <v>21</v>
      </c>
      <c r="P120" s="31" t="n">
        <v>20</v>
      </c>
      <c r="Q120" s="31"/>
      <c r="R120" s="35" t="n">
        <f aca="false">合約與計費!$D$4</f>
        <v>0.296</v>
      </c>
      <c r="S120" s="36" t="n">
        <f aca="false">ROUND(P120*R120,0)</f>
        <v>6</v>
      </c>
      <c r="T120" s="37"/>
      <c r="U120" s="31" t="n">
        <v>328</v>
      </c>
      <c r="V120" s="31" t="n">
        <v>387</v>
      </c>
      <c r="W120" s="31" t="n">
        <v>59</v>
      </c>
      <c r="X120" s="31" t="n">
        <v>57</v>
      </c>
      <c r="Y120" s="31"/>
      <c r="Z120" s="38" t="n">
        <f aca="false">合約與計費!$E$4</f>
        <v>2.8</v>
      </c>
      <c r="AA120" s="39" t="n">
        <f aca="false">ROUND(X120*Z120,0)</f>
        <v>160</v>
      </c>
      <c r="AB120" s="40"/>
      <c r="AC120" s="41"/>
      <c r="AD120" s="42"/>
      <c r="AE120" s="43"/>
    </row>
    <row r="121" customFormat="false" ht="16.5" hidden="false" customHeight="true" outlineLevel="0" collapsed="false">
      <c r="A121" s="44" t="n">
        <f aca="false">ROW(A119)</f>
        <v>119</v>
      </c>
      <c r="B121" s="44" t="s">
        <v>462</v>
      </c>
      <c r="C121" s="47" t="n">
        <v>1</v>
      </c>
      <c r="D121" s="29"/>
      <c r="E121" s="45" t="s">
        <v>723</v>
      </c>
      <c r="F121" s="46" t="s">
        <v>721</v>
      </c>
      <c r="G121" s="47" t="s">
        <v>458</v>
      </c>
      <c r="H121" s="47" t="s">
        <v>643</v>
      </c>
      <c r="I121" s="47" t="s">
        <v>129</v>
      </c>
      <c r="J121" s="45" t="s">
        <v>464</v>
      </c>
      <c r="K121" s="48" t="s">
        <v>724</v>
      </c>
      <c r="L121" s="49" t="n">
        <v>45747</v>
      </c>
      <c r="M121" s="47" t="n">
        <v>908</v>
      </c>
      <c r="N121" s="47" t="n">
        <v>963</v>
      </c>
      <c r="O121" s="47" t="n">
        <v>55</v>
      </c>
      <c r="P121" s="47" t="n">
        <v>53</v>
      </c>
      <c r="Q121" s="47"/>
      <c r="R121" s="50" t="n">
        <f aca="false">合約與計費!$D$4</f>
        <v>0.296</v>
      </c>
      <c r="S121" s="51" t="n">
        <f aca="false">ROUND(P121*R121,0)</f>
        <v>16</v>
      </c>
      <c r="T121" s="52"/>
      <c r="U121" s="47"/>
      <c r="V121" s="47"/>
      <c r="W121" s="53"/>
      <c r="X121" s="47"/>
      <c r="Y121" s="47"/>
      <c r="Z121" s="54"/>
      <c r="AA121" s="55"/>
      <c r="AB121" s="56"/>
      <c r="AC121" s="57"/>
      <c r="AD121" s="42" t="n">
        <v>0.0431</v>
      </c>
      <c r="AE121" s="43" t="n">
        <v>0.7</v>
      </c>
    </row>
    <row r="122" customFormat="false" ht="16.5" hidden="false" customHeight="true" outlineLevel="0" collapsed="false">
      <c r="A122" s="44" t="n">
        <f aca="false">ROW(A120)</f>
        <v>120</v>
      </c>
      <c r="B122" s="44" t="s">
        <v>466</v>
      </c>
      <c r="C122" s="47" t="n">
        <v>1</v>
      </c>
      <c r="D122" s="29"/>
      <c r="E122" s="45" t="s">
        <v>725</v>
      </c>
      <c r="F122" s="46" t="s">
        <v>721</v>
      </c>
      <c r="G122" s="47" t="s">
        <v>458</v>
      </c>
      <c r="H122" s="47" t="s">
        <v>643</v>
      </c>
      <c r="I122" s="47" t="s">
        <v>129</v>
      </c>
      <c r="J122" s="45" t="s">
        <v>471</v>
      </c>
      <c r="K122" s="48" t="s">
        <v>726</v>
      </c>
      <c r="L122" s="49" t="n">
        <v>45747</v>
      </c>
      <c r="M122" s="47" t="n">
        <v>14020</v>
      </c>
      <c r="N122" s="47" t="n">
        <v>16683</v>
      </c>
      <c r="O122" s="47" t="n">
        <v>2663</v>
      </c>
      <c r="P122" s="47" t="n">
        <v>2583</v>
      </c>
      <c r="Q122" s="47"/>
      <c r="R122" s="50" t="n">
        <f aca="false">合約與計費!$D$4</f>
        <v>0.296</v>
      </c>
      <c r="S122" s="51" t="n">
        <f aca="false">ROUND(P122*R122,0)</f>
        <v>765</v>
      </c>
      <c r="T122" s="52"/>
      <c r="U122" s="47"/>
      <c r="V122" s="47"/>
      <c r="W122" s="53"/>
      <c r="X122" s="47"/>
      <c r="Y122" s="47"/>
      <c r="Z122" s="54"/>
      <c r="AA122" s="55"/>
      <c r="AB122" s="56"/>
      <c r="AC122" s="57"/>
      <c r="AD122" s="42" t="n">
        <v>0.1063</v>
      </c>
      <c r="AE122" s="43" t="n">
        <v>0.5</v>
      </c>
    </row>
    <row r="123" customFormat="false" ht="16.5" hidden="false" customHeight="true" outlineLevel="0" collapsed="false">
      <c r="A123" s="44" t="n">
        <f aca="false">ROW(A121)</f>
        <v>121</v>
      </c>
      <c r="B123" s="44" t="s">
        <v>469</v>
      </c>
      <c r="C123" s="47" t="n">
        <v>1</v>
      </c>
      <c r="D123" s="29"/>
      <c r="E123" s="45" t="s">
        <v>727</v>
      </c>
      <c r="F123" s="46" t="s">
        <v>721</v>
      </c>
      <c r="G123" s="47" t="s">
        <v>458</v>
      </c>
      <c r="H123" s="47" t="s">
        <v>643</v>
      </c>
      <c r="I123" s="47" t="s">
        <v>129</v>
      </c>
      <c r="J123" s="45" t="s">
        <v>471</v>
      </c>
      <c r="K123" s="48" t="s">
        <v>728</v>
      </c>
      <c r="L123" s="49" t="n">
        <v>45747</v>
      </c>
      <c r="M123" s="47" t="n">
        <v>11159</v>
      </c>
      <c r="N123" s="47" t="n">
        <v>12874</v>
      </c>
      <c r="O123" s="47" t="n">
        <v>1715</v>
      </c>
      <c r="P123" s="47" t="n">
        <v>1664</v>
      </c>
      <c r="Q123" s="47"/>
      <c r="R123" s="50" t="n">
        <f aca="false">合約與計費!$D$4</f>
        <v>0.296</v>
      </c>
      <c r="S123" s="51" t="n">
        <f aca="false">ROUND(P123*R123,0)</f>
        <v>493</v>
      </c>
      <c r="T123" s="52"/>
      <c r="U123" s="47"/>
      <c r="V123" s="47"/>
      <c r="W123" s="53"/>
      <c r="X123" s="47"/>
      <c r="Y123" s="47"/>
      <c r="Z123" s="54"/>
      <c r="AA123" s="55"/>
      <c r="AB123" s="56"/>
      <c r="AC123" s="57"/>
      <c r="AD123" s="42" t="n">
        <v>0.1021</v>
      </c>
      <c r="AE123" s="43" t="n">
        <v>0.2</v>
      </c>
    </row>
    <row r="124" customFormat="false" ht="16.5" hidden="false" customHeight="true" outlineLevel="0" collapsed="false">
      <c r="A124" s="44" t="n">
        <f aca="false">ROW(A122)</f>
        <v>122</v>
      </c>
      <c r="B124" s="44" t="s">
        <v>473</v>
      </c>
      <c r="C124" s="47" t="n">
        <v>1</v>
      </c>
      <c r="D124" s="29"/>
      <c r="E124" s="45" t="s">
        <v>729</v>
      </c>
      <c r="F124" s="46" t="s">
        <v>721</v>
      </c>
      <c r="G124" s="47" t="s">
        <v>458</v>
      </c>
      <c r="H124" s="47" t="s">
        <v>643</v>
      </c>
      <c r="I124" s="47" t="s">
        <v>129</v>
      </c>
      <c r="J124" s="45" t="s">
        <v>471</v>
      </c>
      <c r="K124" s="48" t="s">
        <v>730</v>
      </c>
      <c r="L124" s="49" t="n">
        <v>45747</v>
      </c>
      <c r="M124" s="47" t="n">
        <v>3791</v>
      </c>
      <c r="N124" s="47" t="n">
        <v>4423</v>
      </c>
      <c r="O124" s="47" t="n">
        <v>632</v>
      </c>
      <c r="P124" s="47" t="n">
        <v>613</v>
      </c>
      <c r="Q124" s="47"/>
      <c r="R124" s="50" t="n">
        <f aca="false">合約與計費!$D$4</f>
        <v>0.296</v>
      </c>
      <c r="S124" s="51" t="n">
        <f aca="false">ROUND(P124*R124,0)</f>
        <v>181</v>
      </c>
      <c r="T124" s="52"/>
      <c r="U124" s="47"/>
      <c r="V124" s="47"/>
      <c r="W124" s="53"/>
      <c r="X124" s="47"/>
      <c r="Y124" s="47"/>
      <c r="Z124" s="54"/>
      <c r="AA124" s="55"/>
      <c r="AB124" s="56"/>
      <c r="AC124" s="57"/>
      <c r="AD124" s="42" t="n">
        <v>0.0458</v>
      </c>
      <c r="AE124" s="43" t="n">
        <v>0.8</v>
      </c>
    </row>
    <row r="125" customFormat="false" ht="16.5" hidden="false" customHeight="true" outlineLevel="0" collapsed="false">
      <c r="A125" s="59" t="n">
        <f aca="false">ROW(A123)</f>
        <v>123</v>
      </c>
      <c r="B125" s="59" t="s">
        <v>476</v>
      </c>
      <c r="C125" s="62" t="n">
        <v>1</v>
      </c>
      <c r="D125" s="29"/>
      <c r="E125" s="60" t="s">
        <v>731</v>
      </c>
      <c r="F125" s="61" t="s">
        <v>721</v>
      </c>
      <c r="G125" s="62" t="s">
        <v>458</v>
      </c>
      <c r="H125" s="62" t="s">
        <v>643</v>
      </c>
      <c r="I125" s="62" t="s">
        <v>129</v>
      </c>
      <c r="J125" s="60" t="s">
        <v>471</v>
      </c>
      <c r="K125" s="63" t="s">
        <v>732</v>
      </c>
      <c r="L125" s="64" t="n">
        <v>45747</v>
      </c>
      <c r="M125" s="62" t="n">
        <v>2385</v>
      </c>
      <c r="N125" s="62" t="n">
        <v>3288</v>
      </c>
      <c r="O125" s="62" t="n">
        <v>903</v>
      </c>
      <c r="P125" s="62" t="n">
        <v>876</v>
      </c>
      <c r="Q125" s="62" t="n">
        <f aca="false">ROUND(SUM(P120:P125),2)</f>
        <v>5809</v>
      </c>
      <c r="R125" s="65" t="n">
        <f aca="false">合約與計費!$D$4</f>
        <v>0.296</v>
      </c>
      <c r="S125" s="66" t="n">
        <f aca="false">ROUND(P125*R125,0)</f>
        <v>259</v>
      </c>
      <c r="T125" s="79" t="n">
        <f aca="false">ROUND(SUM(S120:S125),2)</f>
        <v>1720</v>
      </c>
      <c r="U125" s="62"/>
      <c r="V125" s="62"/>
      <c r="W125" s="67"/>
      <c r="X125" s="62"/>
      <c r="Y125" s="62" t="n">
        <f aca="false">ROUND(SUM(X120:X125),2)</f>
        <v>57</v>
      </c>
      <c r="Z125" s="68"/>
      <c r="AA125" s="77"/>
      <c r="AB125" s="78" t="n">
        <f aca="false">ROUND(SUM(AA120:AA125),2)</f>
        <v>160</v>
      </c>
      <c r="AC125" s="69"/>
      <c r="AD125" s="42" t="n">
        <v>0.0847</v>
      </c>
      <c r="AE125" s="43" t="n">
        <v>0.7</v>
      </c>
    </row>
    <row r="126" customFormat="false" ht="16.5" hidden="false" customHeight="true" outlineLevel="0" collapsed="false">
      <c r="A126" s="27" t="n">
        <f aca="false">ROW(A124)</f>
        <v>124</v>
      </c>
      <c r="B126" s="27" t="s">
        <v>455</v>
      </c>
      <c r="C126" s="31" t="n">
        <v>1</v>
      </c>
      <c r="D126" s="29" t="n">
        <v>18</v>
      </c>
      <c r="E126" s="28" t="s">
        <v>733</v>
      </c>
      <c r="F126" s="30" t="s">
        <v>734</v>
      </c>
      <c r="G126" s="31" t="s">
        <v>458</v>
      </c>
      <c r="H126" s="31" t="s">
        <v>643</v>
      </c>
      <c r="I126" s="31" t="s">
        <v>187</v>
      </c>
      <c r="J126" s="28" t="s">
        <v>460</v>
      </c>
      <c r="K126" s="80" t="s">
        <v>735</v>
      </c>
      <c r="L126" s="34" t="n">
        <v>45768</v>
      </c>
      <c r="M126" s="31" t="n">
        <v>58</v>
      </c>
      <c r="N126" s="31" t="n">
        <v>72</v>
      </c>
      <c r="O126" s="31" t="n">
        <v>14</v>
      </c>
      <c r="P126" s="31" t="n">
        <v>14</v>
      </c>
      <c r="Q126" s="31"/>
      <c r="R126" s="35" t="n">
        <f aca="false">合約與計費!$D$4</f>
        <v>0.296</v>
      </c>
      <c r="S126" s="36" t="n">
        <f aca="false">ROUND(P126*R126,0)</f>
        <v>4</v>
      </c>
      <c r="T126" s="37"/>
      <c r="U126" s="31" t="n">
        <v>209</v>
      </c>
      <c r="V126" s="31" t="n">
        <v>250</v>
      </c>
      <c r="W126" s="31" t="n">
        <v>41</v>
      </c>
      <c r="X126" s="31" t="n">
        <v>40</v>
      </c>
      <c r="Y126" s="31"/>
      <c r="Z126" s="38" t="n">
        <f aca="false">合約與計費!$E$4</f>
        <v>2.8</v>
      </c>
      <c r="AA126" s="39" t="n">
        <f aca="false">ROUND(X126*Z126,0)</f>
        <v>112</v>
      </c>
      <c r="AB126" s="40"/>
      <c r="AC126" s="41"/>
      <c r="AD126" s="42"/>
      <c r="AE126" s="43"/>
    </row>
    <row r="127" customFormat="false" ht="16.5" hidden="false" customHeight="true" outlineLevel="0" collapsed="false">
      <c r="A127" s="44" t="n">
        <f aca="false">ROW(A125)</f>
        <v>125</v>
      </c>
      <c r="B127" s="44" t="s">
        <v>462</v>
      </c>
      <c r="C127" s="47" t="n">
        <v>1</v>
      </c>
      <c r="D127" s="29"/>
      <c r="E127" s="45" t="s">
        <v>736</v>
      </c>
      <c r="F127" s="46" t="s">
        <v>734</v>
      </c>
      <c r="G127" s="47" t="s">
        <v>458</v>
      </c>
      <c r="H127" s="47" t="s">
        <v>643</v>
      </c>
      <c r="I127" s="47" t="s">
        <v>187</v>
      </c>
      <c r="J127" s="45" t="s">
        <v>464</v>
      </c>
      <c r="K127" s="48" t="s">
        <v>737</v>
      </c>
      <c r="L127" s="49" t="n">
        <v>45768</v>
      </c>
      <c r="M127" s="47" t="n">
        <v>689</v>
      </c>
      <c r="N127" s="47" t="n">
        <v>880</v>
      </c>
      <c r="O127" s="47" t="n">
        <v>191</v>
      </c>
      <c r="P127" s="47" t="n">
        <v>185</v>
      </c>
      <c r="Q127" s="47"/>
      <c r="R127" s="50" t="n">
        <f aca="false">合約與計費!$D$4</f>
        <v>0.296</v>
      </c>
      <c r="S127" s="51" t="n">
        <f aca="false">ROUND(P127*R127,0)</f>
        <v>55</v>
      </c>
      <c r="T127" s="52"/>
      <c r="U127" s="47"/>
      <c r="V127" s="47"/>
      <c r="W127" s="53"/>
      <c r="X127" s="47"/>
      <c r="Y127" s="47"/>
      <c r="Z127" s="54"/>
      <c r="AA127" s="55"/>
      <c r="AB127" s="56"/>
      <c r="AC127" s="57"/>
      <c r="AD127" s="42" t="n">
        <v>0.1041</v>
      </c>
      <c r="AE127" s="43" t="n">
        <v>0.5</v>
      </c>
    </row>
    <row r="128" customFormat="false" ht="16.5" hidden="false" customHeight="true" outlineLevel="0" collapsed="false">
      <c r="A128" s="44" t="n">
        <f aca="false">ROW(A126)</f>
        <v>126</v>
      </c>
      <c r="B128" s="44" t="s">
        <v>466</v>
      </c>
      <c r="C128" s="47" t="n">
        <v>1</v>
      </c>
      <c r="D128" s="29"/>
      <c r="E128" s="45" t="s">
        <v>738</v>
      </c>
      <c r="F128" s="46" t="s">
        <v>734</v>
      </c>
      <c r="G128" s="47" t="s">
        <v>458</v>
      </c>
      <c r="H128" s="47" t="s">
        <v>643</v>
      </c>
      <c r="I128" s="47" t="s">
        <v>187</v>
      </c>
      <c r="J128" s="45" t="s">
        <v>471</v>
      </c>
      <c r="K128" s="48" t="s">
        <v>739</v>
      </c>
      <c r="L128" s="49" t="n">
        <v>45768</v>
      </c>
      <c r="M128" s="47" t="n">
        <v>19494</v>
      </c>
      <c r="N128" s="47" t="n">
        <v>24485</v>
      </c>
      <c r="O128" s="47" t="n">
        <v>4991</v>
      </c>
      <c r="P128" s="47" t="n">
        <v>4841</v>
      </c>
      <c r="Q128" s="47"/>
      <c r="R128" s="50" t="n">
        <f aca="false">合約與計費!$D$4</f>
        <v>0.296</v>
      </c>
      <c r="S128" s="51" t="n">
        <f aca="false">ROUND(P128*R128,0)</f>
        <v>1433</v>
      </c>
      <c r="T128" s="52"/>
      <c r="U128" s="47"/>
      <c r="V128" s="47"/>
      <c r="W128" s="53"/>
      <c r="X128" s="47"/>
      <c r="Y128" s="47"/>
      <c r="Z128" s="54"/>
      <c r="AA128" s="55"/>
      <c r="AB128" s="56"/>
      <c r="AC128" s="57"/>
      <c r="AD128" s="42" t="n">
        <v>0.1129</v>
      </c>
      <c r="AE128" s="43" t="n">
        <v>0.1</v>
      </c>
    </row>
    <row r="129" customFormat="false" ht="16.5" hidden="false" customHeight="true" outlineLevel="0" collapsed="false">
      <c r="A129" s="44" t="n">
        <f aca="false">ROW(A127)</f>
        <v>127</v>
      </c>
      <c r="B129" s="44" t="s">
        <v>469</v>
      </c>
      <c r="C129" s="47" t="n">
        <v>1</v>
      </c>
      <c r="D129" s="29"/>
      <c r="E129" s="45" t="s">
        <v>740</v>
      </c>
      <c r="F129" s="46" t="s">
        <v>734</v>
      </c>
      <c r="G129" s="47" t="s">
        <v>458</v>
      </c>
      <c r="H129" s="47" t="s">
        <v>643</v>
      </c>
      <c r="I129" s="47" t="s">
        <v>187</v>
      </c>
      <c r="J129" s="45" t="s">
        <v>471</v>
      </c>
      <c r="K129" s="48" t="s">
        <v>741</v>
      </c>
      <c r="L129" s="49" t="n">
        <v>45768</v>
      </c>
      <c r="M129" s="47" t="n">
        <v>2732</v>
      </c>
      <c r="N129" s="47" t="n">
        <v>3395</v>
      </c>
      <c r="O129" s="47" t="n">
        <v>663</v>
      </c>
      <c r="P129" s="47" t="n">
        <v>643</v>
      </c>
      <c r="Q129" s="47"/>
      <c r="R129" s="50" t="n">
        <f aca="false">合約與計費!$D$4</f>
        <v>0.296</v>
      </c>
      <c r="S129" s="51" t="n">
        <f aca="false">ROUND(P129*R129,0)</f>
        <v>190</v>
      </c>
      <c r="T129" s="52"/>
      <c r="U129" s="47"/>
      <c r="V129" s="47"/>
      <c r="W129" s="53"/>
      <c r="X129" s="47"/>
      <c r="Y129" s="47"/>
      <c r="Z129" s="54"/>
      <c r="AA129" s="55"/>
      <c r="AB129" s="56"/>
      <c r="AC129" s="57"/>
      <c r="AD129" s="42" t="n">
        <v>0.0467</v>
      </c>
      <c r="AE129" s="43" t="n">
        <v>0.9</v>
      </c>
    </row>
    <row r="130" customFormat="false" ht="16.5" hidden="false" customHeight="true" outlineLevel="0" collapsed="false">
      <c r="A130" s="59" t="n">
        <f aca="false">ROW(A128)</f>
        <v>128</v>
      </c>
      <c r="B130" s="59" t="s">
        <v>473</v>
      </c>
      <c r="C130" s="62" t="n">
        <v>1</v>
      </c>
      <c r="D130" s="29"/>
      <c r="E130" s="60" t="s">
        <v>742</v>
      </c>
      <c r="F130" s="61" t="s">
        <v>734</v>
      </c>
      <c r="G130" s="62" t="s">
        <v>458</v>
      </c>
      <c r="H130" s="62" t="s">
        <v>643</v>
      </c>
      <c r="I130" s="62" t="s">
        <v>187</v>
      </c>
      <c r="J130" s="60" t="s">
        <v>471</v>
      </c>
      <c r="K130" s="63" t="s">
        <v>743</v>
      </c>
      <c r="L130" s="64" t="n">
        <v>45768</v>
      </c>
      <c r="M130" s="62" t="n">
        <v>21209</v>
      </c>
      <c r="N130" s="62" t="n">
        <v>26239</v>
      </c>
      <c r="O130" s="62" t="n">
        <v>5030</v>
      </c>
      <c r="P130" s="62" t="n">
        <v>4879</v>
      </c>
      <c r="Q130" s="62" t="n">
        <f aca="false">ROUND(SUM(P126:P130),2)</f>
        <v>10562</v>
      </c>
      <c r="R130" s="65" t="n">
        <f aca="false">合約與計費!$D$4</f>
        <v>0.296</v>
      </c>
      <c r="S130" s="66" t="n">
        <f aca="false">ROUND(P130*R130,0)</f>
        <v>1444</v>
      </c>
      <c r="T130" s="79" t="n">
        <f aca="false">ROUND(SUM(S126:S130),2)</f>
        <v>3126</v>
      </c>
      <c r="U130" s="62"/>
      <c r="V130" s="62"/>
      <c r="W130" s="67"/>
      <c r="X130" s="62"/>
      <c r="Y130" s="62" t="n">
        <f aca="false">ROUND(SUM(X126:X130),2)</f>
        <v>40</v>
      </c>
      <c r="Z130" s="68"/>
      <c r="AA130" s="77"/>
      <c r="AB130" s="78" t="n">
        <f aca="false">ROUND(SUM(AA126:AA130),2)</f>
        <v>112</v>
      </c>
      <c r="AC130" s="69"/>
      <c r="AD130" s="42" t="n">
        <v>0.0935</v>
      </c>
      <c r="AE130" s="43" t="n">
        <v>0.6</v>
      </c>
    </row>
    <row r="131" customFormat="false" ht="16.5" hidden="false" customHeight="true" outlineLevel="0" collapsed="false">
      <c r="A131" s="27" t="n">
        <f aca="false">ROW(A129)</f>
        <v>129</v>
      </c>
      <c r="B131" s="27" t="s">
        <v>455</v>
      </c>
      <c r="C131" s="31" t="n">
        <v>1</v>
      </c>
      <c r="D131" s="29" t="n">
        <v>318</v>
      </c>
      <c r="E131" s="70" t="s">
        <v>744</v>
      </c>
      <c r="F131" s="30" t="s">
        <v>745</v>
      </c>
      <c r="G131" s="31" t="s">
        <v>458</v>
      </c>
      <c r="H131" s="31" t="s">
        <v>643</v>
      </c>
      <c r="I131" s="71" t="s">
        <v>170</v>
      </c>
      <c r="J131" s="28" t="s">
        <v>460</v>
      </c>
      <c r="K131" s="80" t="s">
        <v>746</v>
      </c>
      <c r="L131" s="34" t="n">
        <v>45758</v>
      </c>
      <c r="M131" s="31" t="n">
        <v>39</v>
      </c>
      <c r="N131" s="31" t="n">
        <v>48</v>
      </c>
      <c r="O131" s="31" t="n">
        <v>9</v>
      </c>
      <c r="P131" s="31" t="n">
        <v>9</v>
      </c>
      <c r="Q131" s="31"/>
      <c r="R131" s="35" t="n">
        <f aca="false">合約與計費!$D$4</f>
        <v>0.296</v>
      </c>
      <c r="S131" s="36" t="n">
        <f aca="false">ROUND(P131*R131,0)</f>
        <v>3</v>
      </c>
      <c r="T131" s="37"/>
      <c r="U131" s="31" t="n">
        <v>138</v>
      </c>
      <c r="V131" s="31" t="n">
        <v>153</v>
      </c>
      <c r="W131" s="31" t="n">
        <v>15</v>
      </c>
      <c r="X131" s="31" t="n">
        <v>15</v>
      </c>
      <c r="Y131" s="31"/>
      <c r="Z131" s="38" t="n">
        <f aca="false">合約與計費!$E$4</f>
        <v>2.8</v>
      </c>
      <c r="AA131" s="39" t="n">
        <f aca="false">ROUND(X131*Z131,0)</f>
        <v>42</v>
      </c>
      <c r="AB131" s="40"/>
      <c r="AC131" s="41"/>
      <c r="AD131" s="42"/>
      <c r="AE131" s="43"/>
    </row>
    <row r="132" customFormat="false" ht="16.5" hidden="false" customHeight="true" outlineLevel="0" collapsed="false">
      <c r="A132" s="59" t="n">
        <f aca="false">ROW(A130)</f>
        <v>130</v>
      </c>
      <c r="B132" s="59" t="s">
        <v>462</v>
      </c>
      <c r="C132" s="62" t="n">
        <v>1</v>
      </c>
      <c r="D132" s="29"/>
      <c r="E132" s="75" t="s">
        <v>747</v>
      </c>
      <c r="F132" s="61" t="s">
        <v>745</v>
      </c>
      <c r="G132" s="62" t="s">
        <v>458</v>
      </c>
      <c r="H132" s="62" t="s">
        <v>643</v>
      </c>
      <c r="I132" s="76" t="s">
        <v>170</v>
      </c>
      <c r="J132" s="60" t="s">
        <v>464</v>
      </c>
      <c r="K132" s="63" t="s">
        <v>748</v>
      </c>
      <c r="L132" s="64" t="n">
        <v>45758</v>
      </c>
      <c r="M132" s="62" t="n">
        <v>498</v>
      </c>
      <c r="N132" s="62" t="n">
        <v>634</v>
      </c>
      <c r="O132" s="62" t="n">
        <v>136</v>
      </c>
      <c r="P132" s="62" t="n">
        <v>132</v>
      </c>
      <c r="Q132" s="62" t="n">
        <f aca="false">ROUND(SUM(P131:P132),2)</f>
        <v>141</v>
      </c>
      <c r="R132" s="65" t="n">
        <f aca="false">合約與計費!$D$4</f>
        <v>0.296</v>
      </c>
      <c r="S132" s="66" t="n">
        <f aca="false">ROUND(P132*R132,0)</f>
        <v>39</v>
      </c>
      <c r="T132" s="79" t="n">
        <f aca="false">ROUND(SUM(S131:S132),2)</f>
        <v>42</v>
      </c>
      <c r="U132" s="62"/>
      <c r="V132" s="62"/>
      <c r="W132" s="67"/>
      <c r="X132" s="62"/>
      <c r="Y132" s="62" t="n">
        <f aca="false">ROUND(SUM(X131:X132),2)</f>
        <v>15</v>
      </c>
      <c r="Z132" s="68"/>
      <c r="AA132" s="77"/>
      <c r="AB132" s="78" t="n">
        <f aca="false">ROUND(SUM(AA131:AA132),2)</f>
        <v>42</v>
      </c>
      <c r="AC132" s="69"/>
      <c r="AD132" s="42" t="n">
        <v>0.0625</v>
      </c>
      <c r="AE132" s="43" t="n">
        <v>0.8</v>
      </c>
    </row>
    <row r="133" customFormat="false" ht="16.5" hidden="false" customHeight="true" outlineLevel="0" collapsed="false">
      <c r="A133" s="27" t="n">
        <f aca="false">ROW(A131)</f>
        <v>131</v>
      </c>
      <c r="B133" s="27" t="s">
        <v>455</v>
      </c>
      <c r="C133" s="31" t="n">
        <v>1</v>
      </c>
      <c r="D133" s="29" t="n">
        <v>320</v>
      </c>
      <c r="E133" s="70" t="s">
        <v>749</v>
      </c>
      <c r="F133" s="30" t="s">
        <v>750</v>
      </c>
      <c r="G133" s="31" t="s">
        <v>458</v>
      </c>
      <c r="H133" s="31" t="s">
        <v>643</v>
      </c>
      <c r="I133" s="71" t="s">
        <v>324</v>
      </c>
      <c r="J133" s="28" t="s">
        <v>460</v>
      </c>
      <c r="K133" s="80" t="s">
        <v>751</v>
      </c>
      <c r="L133" s="34" t="n">
        <v>45740</v>
      </c>
      <c r="M133" s="31" t="n">
        <v>229</v>
      </c>
      <c r="N133" s="31" t="n">
        <v>254</v>
      </c>
      <c r="O133" s="31" t="n">
        <v>25</v>
      </c>
      <c r="P133" s="31" t="n">
        <v>24</v>
      </c>
      <c r="Q133" s="31"/>
      <c r="R133" s="35" t="n">
        <f aca="false">合約與計費!$D$4</f>
        <v>0.296</v>
      </c>
      <c r="S133" s="36" t="n">
        <f aca="false">ROUND(P133*R133,0)</f>
        <v>7</v>
      </c>
      <c r="T133" s="37"/>
      <c r="U133" s="31" t="n">
        <v>373</v>
      </c>
      <c r="V133" s="31" t="n">
        <v>440</v>
      </c>
      <c r="W133" s="31" t="n">
        <v>67</v>
      </c>
      <c r="X133" s="31" t="n">
        <v>65</v>
      </c>
      <c r="Y133" s="31"/>
      <c r="Z133" s="38" t="n">
        <f aca="false">合約與計費!$E$4</f>
        <v>2.8</v>
      </c>
      <c r="AA133" s="39" t="n">
        <f aca="false">ROUND(X133*Z133,0)</f>
        <v>182</v>
      </c>
      <c r="AB133" s="40"/>
      <c r="AC133" s="41"/>
      <c r="AD133" s="42"/>
      <c r="AE133" s="43"/>
    </row>
    <row r="134" customFormat="false" ht="16.5" hidden="false" customHeight="true" outlineLevel="0" collapsed="false">
      <c r="A134" s="44" t="n">
        <f aca="false">ROW(A132)</f>
        <v>132</v>
      </c>
      <c r="B134" s="44" t="s">
        <v>462</v>
      </c>
      <c r="C134" s="47" t="n">
        <v>1</v>
      </c>
      <c r="D134" s="29"/>
      <c r="E134" s="72" t="s">
        <v>752</v>
      </c>
      <c r="F134" s="46" t="s">
        <v>750</v>
      </c>
      <c r="G134" s="47" t="s">
        <v>458</v>
      </c>
      <c r="H134" s="47" t="s">
        <v>643</v>
      </c>
      <c r="I134" s="73" t="s">
        <v>324</v>
      </c>
      <c r="J134" s="45" t="s">
        <v>464</v>
      </c>
      <c r="K134" s="48" t="s">
        <v>753</v>
      </c>
      <c r="L134" s="49" t="n">
        <v>45740</v>
      </c>
      <c r="M134" s="47" t="n">
        <v>6687</v>
      </c>
      <c r="N134" s="47" t="n">
        <v>7296</v>
      </c>
      <c r="O134" s="47" t="n">
        <v>609</v>
      </c>
      <c r="P134" s="47" t="n">
        <v>591</v>
      </c>
      <c r="Q134" s="47"/>
      <c r="R134" s="50" t="n">
        <f aca="false">合約與計費!$D$4</f>
        <v>0.296</v>
      </c>
      <c r="S134" s="51" t="n">
        <f aca="false">ROUND(P134*R134,0)</f>
        <v>175</v>
      </c>
      <c r="T134" s="52"/>
      <c r="U134" s="47"/>
      <c r="V134" s="47"/>
      <c r="W134" s="53"/>
      <c r="X134" s="47"/>
      <c r="Y134" s="47"/>
      <c r="Z134" s="54"/>
      <c r="AA134" s="55"/>
      <c r="AB134" s="56"/>
      <c r="AC134" s="57"/>
      <c r="AD134" s="42" t="n">
        <v>0.0598</v>
      </c>
      <c r="AE134" s="43" t="n">
        <v>0.6</v>
      </c>
    </row>
    <row r="135" customFormat="false" ht="16.5" hidden="false" customHeight="true" outlineLevel="0" collapsed="false">
      <c r="A135" s="44" t="n">
        <f aca="false">ROW(A133)</f>
        <v>133</v>
      </c>
      <c r="B135" s="44" t="s">
        <v>466</v>
      </c>
      <c r="C135" s="47" t="n">
        <v>1</v>
      </c>
      <c r="D135" s="29"/>
      <c r="E135" s="72" t="s">
        <v>754</v>
      </c>
      <c r="F135" s="46" t="s">
        <v>750</v>
      </c>
      <c r="G135" s="47" t="s">
        <v>458</v>
      </c>
      <c r="H135" s="47" t="s">
        <v>643</v>
      </c>
      <c r="I135" s="73" t="s">
        <v>324</v>
      </c>
      <c r="J135" s="45" t="s">
        <v>471</v>
      </c>
      <c r="K135" s="48" t="s">
        <v>755</v>
      </c>
      <c r="L135" s="49" t="n">
        <v>45740</v>
      </c>
      <c r="M135" s="47" t="n">
        <v>6923</v>
      </c>
      <c r="N135" s="47" t="n">
        <v>7879</v>
      </c>
      <c r="O135" s="47" t="n">
        <v>956</v>
      </c>
      <c r="P135" s="47" t="n">
        <v>927</v>
      </c>
      <c r="Q135" s="47"/>
      <c r="R135" s="50" t="n">
        <f aca="false">合約與計費!$D$4</f>
        <v>0.296</v>
      </c>
      <c r="S135" s="51" t="n">
        <f aca="false">ROUND(P135*R135,0)</f>
        <v>274</v>
      </c>
      <c r="T135" s="52"/>
      <c r="U135" s="47"/>
      <c r="V135" s="47"/>
      <c r="W135" s="53"/>
      <c r="X135" s="47"/>
      <c r="Y135" s="47"/>
      <c r="Z135" s="54"/>
      <c r="AA135" s="55"/>
      <c r="AB135" s="56"/>
      <c r="AC135" s="57"/>
      <c r="AD135" s="42" t="n">
        <v>0.0969</v>
      </c>
      <c r="AE135" s="43" t="n">
        <v>0.2</v>
      </c>
    </row>
    <row r="136" customFormat="false" ht="16.5" hidden="false" customHeight="true" outlineLevel="0" collapsed="false">
      <c r="A136" s="44" t="n">
        <f aca="false">ROW(A134)</f>
        <v>134</v>
      </c>
      <c r="B136" s="44" t="s">
        <v>469</v>
      </c>
      <c r="C136" s="47" t="n">
        <v>1</v>
      </c>
      <c r="D136" s="29"/>
      <c r="E136" s="72" t="s">
        <v>756</v>
      </c>
      <c r="F136" s="46" t="s">
        <v>750</v>
      </c>
      <c r="G136" s="47" t="s">
        <v>458</v>
      </c>
      <c r="H136" s="47" t="s">
        <v>643</v>
      </c>
      <c r="I136" s="73" t="s">
        <v>324</v>
      </c>
      <c r="J136" s="45" t="s">
        <v>471</v>
      </c>
      <c r="K136" s="48" t="s">
        <v>757</v>
      </c>
      <c r="L136" s="49" t="n">
        <v>45740</v>
      </c>
      <c r="M136" s="47" t="n">
        <v>9994</v>
      </c>
      <c r="N136" s="47" t="n">
        <v>11439</v>
      </c>
      <c r="O136" s="47" t="n">
        <v>1445</v>
      </c>
      <c r="P136" s="47" t="n">
        <v>1402</v>
      </c>
      <c r="Q136" s="47"/>
      <c r="R136" s="50" t="n">
        <f aca="false">合約與計費!$D$4</f>
        <v>0.296</v>
      </c>
      <c r="S136" s="51" t="n">
        <f aca="false">ROUND(P136*R136,0)</f>
        <v>415</v>
      </c>
      <c r="T136" s="52"/>
      <c r="U136" s="47"/>
      <c r="V136" s="47"/>
      <c r="W136" s="53"/>
      <c r="X136" s="47"/>
      <c r="Y136" s="47"/>
      <c r="Z136" s="54"/>
      <c r="AA136" s="55"/>
      <c r="AB136" s="56"/>
      <c r="AC136" s="57"/>
      <c r="AD136" s="42" t="n">
        <v>0.0692</v>
      </c>
      <c r="AE136" s="43" t="n">
        <v>0.2</v>
      </c>
    </row>
    <row r="137" customFormat="false" ht="16.5" hidden="false" customHeight="true" outlineLevel="0" collapsed="false">
      <c r="A137" s="44" t="n">
        <f aca="false">ROW(A135)</f>
        <v>135</v>
      </c>
      <c r="B137" s="44" t="s">
        <v>473</v>
      </c>
      <c r="C137" s="47" t="n">
        <v>1</v>
      </c>
      <c r="D137" s="29"/>
      <c r="E137" s="72" t="s">
        <v>758</v>
      </c>
      <c r="F137" s="46" t="s">
        <v>750</v>
      </c>
      <c r="G137" s="47" t="s">
        <v>458</v>
      </c>
      <c r="H137" s="47" t="s">
        <v>643</v>
      </c>
      <c r="I137" s="73" t="s">
        <v>324</v>
      </c>
      <c r="J137" s="45" t="s">
        <v>471</v>
      </c>
      <c r="K137" s="48" t="s">
        <v>759</v>
      </c>
      <c r="L137" s="49" t="n">
        <v>45740</v>
      </c>
      <c r="M137" s="47" t="n">
        <v>6643</v>
      </c>
      <c r="N137" s="47" t="n">
        <v>7007</v>
      </c>
      <c r="O137" s="47" t="n">
        <v>364</v>
      </c>
      <c r="P137" s="47" t="n">
        <v>353</v>
      </c>
      <c r="Q137" s="47"/>
      <c r="R137" s="50" t="n">
        <f aca="false">合約與計費!$D$4</f>
        <v>0.296</v>
      </c>
      <c r="S137" s="51" t="n">
        <f aca="false">ROUND(P137*R137,0)</f>
        <v>104</v>
      </c>
      <c r="T137" s="52"/>
      <c r="U137" s="47"/>
      <c r="V137" s="47"/>
      <c r="W137" s="53"/>
      <c r="X137" s="47"/>
      <c r="Y137" s="47"/>
      <c r="Z137" s="54"/>
      <c r="AA137" s="55"/>
      <c r="AB137" s="56"/>
      <c r="AC137" s="57"/>
      <c r="AD137" s="42" t="n">
        <v>0.0891</v>
      </c>
      <c r="AE137" s="43" t="n">
        <v>0.3</v>
      </c>
    </row>
    <row r="138" customFormat="false" ht="16.5" hidden="false" customHeight="true" outlineLevel="0" collapsed="false">
      <c r="A138" s="59" t="n">
        <f aca="false">ROW(A136)</f>
        <v>136</v>
      </c>
      <c r="B138" s="59" t="s">
        <v>476</v>
      </c>
      <c r="C138" s="62" t="n">
        <v>1</v>
      </c>
      <c r="D138" s="29"/>
      <c r="E138" s="75" t="s">
        <v>760</v>
      </c>
      <c r="F138" s="61" t="s">
        <v>750</v>
      </c>
      <c r="G138" s="62" t="s">
        <v>458</v>
      </c>
      <c r="H138" s="62" t="s">
        <v>643</v>
      </c>
      <c r="I138" s="76" t="s">
        <v>324</v>
      </c>
      <c r="J138" s="60" t="s">
        <v>471</v>
      </c>
      <c r="K138" s="63" t="s">
        <v>761</v>
      </c>
      <c r="L138" s="64" t="n">
        <v>45740</v>
      </c>
      <c r="M138" s="62" t="n">
        <v>3591</v>
      </c>
      <c r="N138" s="62" t="n">
        <v>4133</v>
      </c>
      <c r="O138" s="62" t="n">
        <v>542</v>
      </c>
      <c r="P138" s="62" t="n">
        <v>526</v>
      </c>
      <c r="Q138" s="62" t="n">
        <f aca="false">ROUND(SUM(P133:P138),2)</f>
        <v>3823</v>
      </c>
      <c r="R138" s="65" t="n">
        <f aca="false">合約與計費!$D$4</f>
        <v>0.296</v>
      </c>
      <c r="S138" s="66" t="n">
        <f aca="false">ROUND(P138*R138,0)</f>
        <v>156</v>
      </c>
      <c r="T138" s="79" t="n">
        <f aca="false">ROUND(SUM(S133:S138),2)</f>
        <v>1131</v>
      </c>
      <c r="U138" s="62"/>
      <c r="V138" s="62"/>
      <c r="W138" s="67"/>
      <c r="X138" s="62"/>
      <c r="Y138" s="62" t="n">
        <f aca="false">ROUND(SUM(X133:X138),2)</f>
        <v>65</v>
      </c>
      <c r="Z138" s="68"/>
      <c r="AA138" s="77"/>
      <c r="AB138" s="78" t="n">
        <f aca="false">ROUND(SUM(AA133:AA138),2)</f>
        <v>182</v>
      </c>
      <c r="AC138" s="69"/>
      <c r="AD138" s="42" t="n">
        <v>0.0492</v>
      </c>
      <c r="AE138" s="43" t="n">
        <v>1</v>
      </c>
    </row>
    <row r="139" customFormat="false" ht="16.5" hidden="false" customHeight="true" outlineLevel="0" collapsed="false">
      <c r="A139" s="27" t="n">
        <f aca="false">ROW(A137)</f>
        <v>137</v>
      </c>
      <c r="B139" s="27" t="s">
        <v>455</v>
      </c>
      <c r="C139" s="31" t="n">
        <v>1</v>
      </c>
      <c r="D139" s="29" t="n">
        <v>321</v>
      </c>
      <c r="E139" s="70" t="s">
        <v>762</v>
      </c>
      <c r="F139" s="30" t="s">
        <v>763</v>
      </c>
      <c r="G139" s="31" t="s">
        <v>458</v>
      </c>
      <c r="H139" s="31" t="s">
        <v>643</v>
      </c>
      <c r="I139" s="71" t="s">
        <v>247</v>
      </c>
      <c r="J139" s="28" t="s">
        <v>460</v>
      </c>
      <c r="K139" s="80" t="s">
        <v>764</v>
      </c>
      <c r="L139" s="34" t="n">
        <v>45758</v>
      </c>
      <c r="M139" s="31" t="n">
        <v>20</v>
      </c>
      <c r="N139" s="31" t="n">
        <v>23</v>
      </c>
      <c r="O139" s="31" t="n">
        <v>3</v>
      </c>
      <c r="P139" s="31" t="n">
        <v>3</v>
      </c>
      <c r="Q139" s="31"/>
      <c r="R139" s="35" t="n">
        <f aca="false">合約與計費!$D$4</f>
        <v>0.296</v>
      </c>
      <c r="S139" s="36" t="n">
        <f aca="false">ROUND(P139*R139,0)</f>
        <v>1</v>
      </c>
      <c r="T139" s="37"/>
      <c r="U139" s="31" t="n">
        <v>109</v>
      </c>
      <c r="V139" s="31" t="n">
        <v>133</v>
      </c>
      <c r="W139" s="31" t="n">
        <v>24</v>
      </c>
      <c r="X139" s="31" t="n">
        <v>23</v>
      </c>
      <c r="Y139" s="31"/>
      <c r="Z139" s="38" t="n">
        <f aca="false">合約與計費!$E$4</f>
        <v>2.8</v>
      </c>
      <c r="AA139" s="39" t="n">
        <f aca="false">ROUND(X139*Z139,0)</f>
        <v>64</v>
      </c>
      <c r="AB139" s="40"/>
      <c r="AC139" s="41"/>
      <c r="AD139" s="42"/>
      <c r="AE139" s="43"/>
    </row>
    <row r="140" customFormat="false" ht="16.5" hidden="false" customHeight="true" outlineLevel="0" collapsed="false">
      <c r="A140" s="44" t="n">
        <f aca="false">ROW(A138)</f>
        <v>138</v>
      </c>
      <c r="B140" s="44" t="s">
        <v>462</v>
      </c>
      <c r="C140" s="47" t="n">
        <v>1</v>
      </c>
      <c r="D140" s="29"/>
      <c r="E140" s="72" t="s">
        <v>765</v>
      </c>
      <c r="F140" s="46" t="s">
        <v>763</v>
      </c>
      <c r="G140" s="47" t="s">
        <v>458</v>
      </c>
      <c r="H140" s="47" t="s">
        <v>643</v>
      </c>
      <c r="I140" s="73" t="s">
        <v>247</v>
      </c>
      <c r="J140" s="45" t="s">
        <v>464</v>
      </c>
      <c r="K140" s="48" t="s">
        <v>766</v>
      </c>
      <c r="L140" s="49" t="n">
        <v>45758</v>
      </c>
      <c r="M140" s="47" t="n">
        <v>2566</v>
      </c>
      <c r="N140" s="47" t="n">
        <v>3806</v>
      </c>
      <c r="O140" s="47" t="n">
        <v>1240</v>
      </c>
      <c r="P140" s="47" t="n">
        <v>1203</v>
      </c>
      <c r="Q140" s="47"/>
      <c r="R140" s="50" t="n">
        <f aca="false">合約與計費!$D$4</f>
        <v>0.296</v>
      </c>
      <c r="S140" s="51" t="n">
        <f aca="false">ROUND(P140*R140,0)</f>
        <v>356</v>
      </c>
      <c r="T140" s="52"/>
      <c r="U140" s="47"/>
      <c r="V140" s="47"/>
      <c r="W140" s="53"/>
      <c r="X140" s="47"/>
      <c r="Y140" s="47"/>
      <c r="Z140" s="54"/>
      <c r="AA140" s="55"/>
      <c r="AB140" s="56"/>
      <c r="AC140" s="57"/>
      <c r="AD140" s="42" t="n">
        <v>0.0708</v>
      </c>
      <c r="AE140" s="43" t="n">
        <v>0.9</v>
      </c>
    </row>
    <row r="141" customFormat="false" ht="16.5" hidden="false" customHeight="true" outlineLevel="0" collapsed="false">
      <c r="A141" s="59" t="n">
        <f aca="false">ROW(A139)</f>
        <v>139</v>
      </c>
      <c r="B141" s="59" t="s">
        <v>466</v>
      </c>
      <c r="C141" s="62" t="n">
        <v>1</v>
      </c>
      <c r="D141" s="29"/>
      <c r="E141" s="75" t="s">
        <v>767</v>
      </c>
      <c r="F141" s="61" t="s">
        <v>763</v>
      </c>
      <c r="G141" s="62" t="s">
        <v>458</v>
      </c>
      <c r="H141" s="62" t="s">
        <v>643</v>
      </c>
      <c r="I141" s="76" t="s">
        <v>247</v>
      </c>
      <c r="J141" s="60" t="s">
        <v>471</v>
      </c>
      <c r="K141" s="63" t="s">
        <v>768</v>
      </c>
      <c r="L141" s="64" t="n">
        <v>45758</v>
      </c>
      <c r="M141" s="62" t="n">
        <v>3838</v>
      </c>
      <c r="N141" s="62" t="n">
        <v>4935</v>
      </c>
      <c r="O141" s="62" t="n">
        <v>1097</v>
      </c>
      <c r="P141" s="62" t="n">
        <v>1064</v>
      </c>
      <c r="Q141" s="62" t="n">
        <f aca="false">ROUND(SUM(P139:P141),2)</f>
        <v>2270</v>
      </c>
      <c r="R141" s="65" t="n">
        <f aca="false">合約與計費!$D$4</f>
        <v>0.296</v>
      </c>
      <c r="S141" s="66" t="n">
        <f aca="false">ROUND(P141*R141,0)</f>
        <v>315</v>
      </c>
      <c r="T141" s="79" t="n">
        <f aca="false">ROUND(SUM(S139:S141),2)</f>
        <v>672</v>
      </c>
      <c r="U141" s="62"/>
      <c r="V141" s="62"/>
      <c r="W141" s="67"/>
      <c r="X141" s="62"/>
      <c r="Y141" s="62" t="n">
        <f aca="false">ROUND(SUM(X139:X141),2)</f>
        <v>23</v>
      </c>
      <c r="Z141" s="68"/>
      <c r="AA141" s="77"/>
      <c r="AB141" s="78" t="n">
        <f aca="false">ROUND(SUM(AA139:AA141),2)</f>
        <v>64</v>
      </c>
      <c r="AC141" s="69"/>
      <c r="AD141" s="42" t="n">
        <v>0.0453</v>
      </c>
      <c r="AE141" s="43" t="n">
        <v>0.9</v>
      </c>
    </row>
    <row r="142" customFormat="false" ht="16.5" hidden="false" customHeight="true" outlineLevel="0" collapsed="false">
      <c r="A142" s="27" t="n">
        <f aca="false">ROW(A140)</f>
        <v>140</v>
      </c>
      <c r="B142" s="27" t="s">
        <v>455</v>
      </c>
      <c r="C142" s="31" t="n">
        <v>1</v>
      </c>
      <c r="D142" s="29" t="n">
        <v>322</v>
      </c>
      <c r="E142" s="70" t="s">
        <v>769</v>
      </c>
      <c r="F142" s="30" t="s">
        <v>770</v>
      </c>
      <c r="G142" s="31" t="s">
        <v>458</v>
      </c>
      <c r="H142" s="31" t="s">
        <v>643</v>
      </c>
      <c r="I142" s="71" t="s">
        <v>161</v>
      </c>
      <c r="J142" s="28" t="s">
        <v>460</v>
      </c>
      <c r="K142" s="80" t="s">
        <v>771</v>
      </c>
      <c r="L142" s="34" t="n">
        <v>45740</v>
      </c>
      <c r="M142" s="31" t="n">
        <v>26</v>
      </c>
      <c r="N142" s="31" t="n">
        <v>29</v>
      </c>
      <c r="O142" s="31" t="n">
        <v>3</v>
      </c>
      <c r="P142" s="31" t="n">
        <v>3</v>
      </c>
      <c r="Q142" s="31"/>
      <c r="R142" s="35" t="n">
        <f aca="false">合約與計費!$D$4</f>
        <v>0.296</v>
      </c>
      <c r="S142" s="36" t="n">
        <f aca="false">ROUND(P142*R142,0)</f>
        <v>1</v>
      </c>
      <c r="T142" s="37"/>
      <c r="U142" s="31" t="n">
        <v>74</v>
      </c>
      <c r="V142" s="31" t="n">
        <v>78</v>
      </c>
      <c r="W142" s="31" t="n">
        <v>4</v>
      </c>
      <c r="X142" s="31" t="n">
        <v>4</v>
      </c>
      <c r="Y142" s="31"/>
      <c r="Z142" s="38" t="n">
        <f aca="false">合約與計費!$E$4</f>
        <v>2.8</v>
      </c>
      <c r="AA142" s="39" t="n">
        <f aca="false">ROUND(X142*Z142,0)</f>
        <v>11</v>
      </c>
      <c r="AB142" s="40"/>
      <c r="AC142" s="41"/>
      <c r="AD142" s="42"/>
      <c r="AE142" s="43"/>
    </row>
    <row r="143" customFormat="false" ht="16.5" hidden="false" customHeight="true" outlineLevel="0" collapsed="false">
      <c r="A143" s="59" t="n">
        <f aca="false">ROW(A141)</f>
        <v>141</v>
      </c>
      <c r="B143" s="59" t="s">
        <v>462</v>
      </c>
      <c r="C143" s="62" t="n">
        <v>1</v>
      </c>
      <c r="D143" s="29"/>
      <c r="E143" s="75" t="s">
        <v>772</v>
      </c>
      <c r="F143" s="61" t="s">
        <v>770</v>
      </c>
      <c r="G143" s="62" t="s">
        <v>458</v>
      </c>
      <c r="H143" s="62" t="s">
        <v>643</v>
      </c>
      <c r="I143" s="76" t="s">
        <v>161</v>
      </c>
      <c r="J143" s="60" t="s">
        <v>464</v>
      </c>
      <c r="K143" s="82" t="s">
        <v>773</v>
      </c>
      <c r="L143" s="64" t="n">
        <v>45740</v>
      </c>
      <c r="M143" s="62" t="n">
        <v>325</v>
      </c>
      <c r="N143" s="62" t="n">
        <v>402</v>
      </c>
      <c r="O143" s="62" t="n">
        <v>77</v>
      </c>
      <c r="P143" s="62" t="n">
        <v>75</v>
      </c>
      <c r="Q143" s="62" t="n">
        <f aca="false">ROUND(SUM(P142:P143),2)</f>
        <v>78</v>
      </c>
      <c r="R143" s="65" t="n">
        <f aca="false">合約與計費!$D$4</f>
        <v>0.296</v>
      </c>
      <c r="S143" s="66" t="n">
        <f aca="false">ROUND(P143*R143,0)</f>
        <v>22</v>
      </c>
      <c r="T143" s="79" t="n">
        <f aca="false">ROUND(SUM(S142:S143),2)</f>
        <v>23</v>
      </c>
      <c r="U143" s="62"/>
      <c r="V143" s="62"/>
      <c r="W143" s="67"/>
      <c r="X143" s="62"/>
      <c r="Y143" s="62" t="n">
        <f aca="false">ROUND(SUM(X142:X143),2)</f>
        <v>4</v>
      </c>
      <c r="Z143" s="68"/>
      <c r="AA143" s="77"/>
      <c r="AB143" s="78" t="n">
        <f aca="false">ROUND(SUM(AA142:AA143),2)</f>
        <v>11</v>
      </c>
      <c r="AC143" s="69"/>
      <c r="AD143" s="42" t="n">
        <v>0.0595</v>
      </c>
      <c r="AE143" s="43" t="n">
        <v>0.9</v>
      </c>
    </row>
    <row r="144" customFormat="false" ht="16.5" hidden="false" customHeight="true" outlineLevel="0" collapsed="false">
      <c r="A144" s="27" t="n">
        <f aca="false">ROW(A142)</f>
        <v>142</v>
      </c>
      <c r="B144" s="27" t="s">
        <v>455</v>
      </c>
      <c r="C144" s="31" t="n">
        <v>1</v>
      </c>
      <c r="D144" s="29" t="n">
        <v>323</v>
      </c>
      <c r="E144" s="70" t="s">
        <v>774</v>
      </c>
      <c r="F144" s="30" t="s">
        <v>775</v>
      </c>
      <c r="G144" s="31" t="s">
        <v>458</v>
      </c>
      <c r="H144" s="31" t="s">
        <v>643</v>
      </c>
      <c r="I144" s="71" t="s">
        <v>130</v>
      </c>
      <c r="J144" s="28" t="s">
        <v>460</v>
      </c>
      <c r="K144" s="80" t="s">
        <v>776</v>
      </c>
      <c r="L144" s="34" t="n">
        <v>45775</v>
      </c>
      <c r="M144" s="31" t="n">
        <v>158</v>
      </c>
      <c r="N144" s="31" t="n">
        <v>170</v>
      </c>
      <c r="O144" s="31" t="n">
        <v>12</v>
      </c>
      <c r="P144" s="31" t="n">
        <v>12</v>
      </c>
      <c r="Q144" s="31"/>
      <c r="R144" s="35" t="n">
        <f aca="false">合約與計費!$D$4</f>
        <v>0.296</v>
      </c>
      <c r="S144" s="36" t="n">
        <f aca="false">ROUND(P144*R144,0)</f>
        <v>4</v>
      </c>
      <c r="T144" s="37"/>
      <c r="U144" s="31" t="n">
        <v>326</v>
      </c>
      <c r="V144" s="31" t="n">
        <v>359</v>
      </c>
      <c r="W144" s="31" t="n">
        <v>33</v>
      </c>
      <c r="X144" s="31" t="n">
        <v>32</v>
      </c>
      <c r="Y144" s="31"/>
      <c r="Z144" s="38" t="n">
        <f aca="false">合約與計費!$E$4</f>
        <v>2.8</v>
      </c>
      <c r="AA144" s="39" t="n">
        <f aca="false">ROUND(X144*Z144,0)</f>
        <v>90</v>
      </c>
      <c r="AB144" s="40"/>
      <c r="AC144" s="41"/>
      <c r="AD144" s="42"/>
      <c r="AE144" s="43"/>
    </row>
    <row r="145" customFormat="false" ht="16.5" hidden="false" customHeight="true" outlineLevel="0" collapsed="false">
      <c r="A145" s="59" t="n">
        <f aca="false">ROW(A143)</f>
        <v>143</v>
      </c>
      <c r="B145" s="59" t="s">
        <v>462</v>
      </c>
      <c r="C145" s="62" t="n">
        <v>1</v>
      </c>
      <c r="D145" s="29"/>
      <c r="E145" s="75" t="s">
        <v>777</v>
      </c>
      <c r="F145" s="61" t="s">
        <v>775</v>
      </c>
      <c r="G145" s="62" t="s">
        <v>458</v>
      </c>
      <c r="H145" s="62" t="s">
        <v>643</v>
      </c>
      <c r="I145" s="76" t="s">
        <v>130</v>
      </c>
      <c r="J145" s="60" t="s">
        <v>464</v>
      </c>
      <c r="K145" s="63" t="s">
        <v>778</v>
      </c>
      <c r="L145" s="64" t="n">
        <v>45775</v>
      </c>
      <c r="M145" s="62" t="n">
        <v>3640</v>
      </c>
      <c r="N145" s="62" t="n">
        <v>4448</v>
      </c>
      <c r="O145" s="62" t="n">
        <v>808</v>
      </c>
      <c r="P145" s="62" t="n">
        <v>784</v>
      </c>
      <c r="Q145" s="62" t="n">
        <f aca="false">ROUND(SUM(P144:P145),2)</f>
        <v>796</v>
      </c>
      <c r="R145" s="65" t="n">
        <f aca="false">合約與計費!$D$4</f>
        <v>0.296</v>
      </c>
      <c r="S145" s="66" t="n">
        <f aca="false">ROUND(P145*R145,0)</f>
        <v>232</v>
      </c>
      <c r="T145" s="79" t="n">
        <f aca="false">ROUND(SUM(S144:S145),2)</f>
        <v>236</v>
      </c>
      <c r="U145" s="62"/>
      <c r="V145" s="62"/>
      <c r="W145" s="67"/>
      <c r="X145" s="62"/>
      <c r="Y145" s="62" t="n">
        <f aca="false">ROUND(SUM(X144:X145),2)</f>
        <v>32</v>
      </c>
      <c r="Z145" s="68"/>
      <c r="AA145" s="77"/>
      <c r="AB145" s="78" t="n">
        <f aca="false">ROUND(SUM(AA144:AA145),2)</f>
        <v>90</v>
      </c>
      <c r="AC145" s="69"/>
      <c r="AD145" s="42" t="n">
        <v>0.0609</v>
      </c>
      <c r="AE145" s="43" t="n">
        <v>0.9</v>
      </c>
    </row>
    <row r="146" customFormat="false" ht="16.5" hidden="false" customHeight="true" outlineLevel="0" collapsed="false">
      <c r="A146" s="27" t="n">
        <f aca="false">ROW(A144)</f>
        <v>144</v>
      </c>
      <c r="B146" s="27" t="s">
        <v>455</v>
      </c>
      <c r="C146" s="31" t="n">
        <v>1</v>
      </c>
      <c r="D146" s="29" t="n">
        <v>3</v>
      </c>
      <c r="E146" s="28" t="s">
        <v>779</v>
      </c>
      <c r="F146" s="30" t="s">
        <v>780</v>
      </c>
      <c r="G146" s="31" t="s">
        <v>458</v>
      </c>
      <c r="H146" s="31" t="s">
        <v>781</v>
      </c>
      <c r="I146" s="31" t="s">
        <v>124</v>
      </c>
      <c r="J146" s="28" t="s">
        <v>460</v>
      </c>
      <c r="K146" s="80" t="s">
        <v>782</v>
      </c>
      <c r="L146" s="34" t="n">
        <v>45734</v>
      </c>
      <c r="M146" s="31" t="n">
        <v>329</v>
      </c>
      <c r="N146" s="31" t="n">
        <v>335</v>
      </c>
      <c r="O146" s="31" t="n">
        <v>6</v>
      </c>
      <c r="P146" s="31" t="n">
        <v>6</v>
      </c>
      <c r="Q146" s="31"/>
      <c r="R146" s="35" t="n">
        <f aca="false">合約與計費!$D$4</f>
        <v>0.296</v>
      </c>
      <c r="S146" s="36" t="n">
        <f aca="false">ROUND(P146*R146,0)</f>
        <v>2</v>
      </c>
      <c r="T146" s="37"/>
      <c r="U146" s="31" t="n">
        <v>720</v>
      </c>
      <c r="V146" s="31" t="n">
        <v>799</v>
      </c>
      <c r="W146" s="31" t="n">
        <v>79</v>
      </c>
      <c r="X146" s="31" t="n">
        <v>77</v>
      </c>
      <c r="Y146" s="31"/>
      <c r="Z146" s="38" t="n">
        <f aca="false">合約與計費!$E$4</f>
        <v>2.8</v>
      </c>
      <c r="AA146" s="39" t="n">
        <f aca="false">ROUND(X146*Z146,0)</f>
        <v>216</v>
      </c>
      <c r="AB146" s="40"/>
      <c r="AC146" s="41"/>
      <c r="AD146" s="42"/>
      <c r="AE146" s="43"/>
    </row>
    <row r="147" customFormat="false" ht="16.5" hidden="false" customHeight="true" outlineLevel="0" collapsed="false">
      <c r="A147" s="44" t="n">
        <f aca="false">ROW(A145)</f>
        <v>145</v>
      </c>
      <c r="B147" s="44" t="s">
        <v>462</v>
      </c>
      <c r="C147" s="47" t="n">
        <v>1</v>
      </c>
      <c r="D147" s="29"/>
      <c r="E147" s="45" t="s">
        <v>783</v>
      </c>
      <c r="F147" s="46" t="s">
        <v>780</v>
      </c>
      <c r="G147" s="47" t="s">
        <v>458</v>
      </c>
      <c r="H147" s="47" t="s">
        <v>781</v>
      </c>
      <c r="I147" s="47" t="s">
        <v>124</v>
      </c>
      <c r="J147" s="45" t="s">
        <v>464</v>
      </c>
      <c r="K147" s="48" t="s">
        <v>784</v>
      </c>
      <c r="L147" s="49" t="n">
        <v>45734</v>
      </c>
      <c r="M147" s="47" t="n">
        <v>11803</v>
      </c>
      <c r="N147" s="47" t="n">
        <v>13677</v>
      </c>
      <c r="O147" s="47" t="n">
        <v>1874</v>
      </c>
      <c r="P147" s="47" t="n">
        <v>1818</v>
      </c>
      <c r="Q147" s="47"/>
      <c r="R147" s="50" t="n">
        <f aca="false">合約與計費!$D$4</f>
        <v>0.296</v>
      </c>
      <c r="S147" s="51" t="n">
        <f aca="false">ROUND(P147*R147,0)</f>
        <v>538</v>
      </c>
      <c r="T147" s="52"/>
      <c r="U147" s="47"/>
      <c r="V147" s="47"/>
      <c r="W147" s="53"/>
      <c r="X147" s="47"/>
      <c r="Y147" s="47"/>
      <c r="Z147" s="54"/>
      <c r="AA147" s="55"/>
      <c r="AB147" s="56"/>
      <c r="AC147" s="57"/>
      <c r="AD147" s="42" t="n">
        <v>0.0609</v>
      </c>
      <c r="AE147" s="43" t="n">
        <v>0.1</v>
      </c>
    </row>
    <row r="148" customFormat="false" ht="16.5" hidden="false" customHeight="true" outlineLevel="0" collapsed="false">
      <c r="A148" s="44" t="n">
        <f aca="false">ROW(A146)</f>
        <v>146</v>
      </c>
      <c r="B148" s="44" t="s">
        <v>466</v>
      </c>
      <c r="C148" s="47" t="n">
        <v>1</v>
      </c>
      <c r="D148" s="29"/>
      <c r="E148" s="45" t="s">
        <v>785</v>
      </c>
      <c r="F148" s="46" t="s">
        <v>780</v>
      </c>
      <c r="G148" s="47" t="s">
        <v>458</v>
      </c>
      <c r="H148" s="47" t="s">
        <v>781</v>
      </c>
      <c r="I148" s="47" t="s">
        <v>124</v>
      </c>
      <c r="J148" s="45" t="s">
        <v>527</v>
      </c>
      <c r="K148" s="48" t="s">
        <v>786</v>
      </c>
      <c r="L148" s="49" t="n">
        <v>45734</v>
      </c>
      <c r="M148" s="47" t="n">
        <v>7578</v>
      </c>
      <c r="N148" s="47" t="n">
        <v>8836</v>
      </c>
      <c r="O148" s="47" t="n">
        <v>1258</v>
      </c>
      <c r="P148" s="47" t="n">
        <v>1220</v>
      </c>
      <c r="Q148" s="47"/>
      <c r="R148" s="50" t="n">
        <f aca="false">合約與計費!$D$4</f>
        <v>0.296</v>
      </c>
      <c r="S148" s="51" t="n">
        <f aca="false">ROUND(P148*R148,0)</f>
        <v>361</v>
      </c>
      <c r="T148" s="52"/>
      <c r="U148" s="47"/>
      <c r="V148" s="47"/>
      <c r="W148" s="53"/>
      <c r="X148" s="47"/>
      <c r="Y148" s="47"/>
      <c r="Z148" s="54"/>
      <c r="AA148" s="55"/>
      <c r="AB148" s="56"/>
      <c r="AC148" s="57"/>
      <c r="AD148" s="42"/>
      <c r="AE148" s="43"/>
    </row>
    <row r="149" customFormat="false" ht="16.5" hidden="false" customHeight="true" outlineLevel="0" collapsed="false">
      <c r="A149" s="44" t="n">
        <f aca="false">ROW(A147)</f>
        <v>147</v>
      </c>
      <c r="B149" s="44" t="s">
        <v>469</v>
      </c>
      <c r="C149" s="47" t="n">
        <v>1</v>
      </c>
      <c r="D149" s="29"/>
      <c r="E149" s="45" t="s">
        <v>787</v>
      </c>
      <c r="F149" s="46" t="s">
        <v>780</v>
      </c>
      <c r="G149" s="47" t="s">
        <v>458</v>
      </c>
      <c r="H149" s="47" t="s">
        <v>781</v>
      </c>
      <c r="I149" s="47" t="s">
        <v>124</v>
      </c>
      <c r="J149" s="45" t="s">
        <v>527</v>
      </c>
      <c r="K149" s="48" t="s">
        <v>788</v>
      </c>
      <c r="L149" s="49" t="n">
        <v>45734</v>
      </c>
      <c r="M149" s="47" t="n">
        <v>10494</v>
      </c>
      <c r="N149" s="47" t="n">
        <v>13658</v>
      </c>
      <c r="O149" s="47" t="n">
        <v>3164</v>
      </c>
      <c r="P149" s="47" t="n">
        <v>3069</v>
      </c>
      <c r="Q149" s="47"/>
      <c r="R149" s="50" t="n">
        <f aca="false">合約與計費!$D$4</f>
        <v>0.296</v>
      </c>
      <c r="S149" s="51" t="n">
        <f aca="false">ROUND(P149*R149,0)</f>
        <v>908</v>
      </c>
      <c r="T149" s="52"/>
      <c r="U149" s="47"/>
      <c r="V149" s="47"/>
      <c r="W149" s="53"/>
      <c r="X149" s="47"/>
      <c r="Y149" s="47"/>
      <c r="Z149" s="54"/>
      <c r="AA149" s="55"/>
      <c r="AB149" s="56"/>
      <c r="AC149" s="57"/>
      <c r="AD149" s="42"/>
      <c r="AE149" s="43"/>
    </row>
    <row r="150" customFormat="false" ht="16.5" hidden="false" customHeight="true" outlineLevel="0" collapsed="false">
      <c r="A150" s="44" t="n">
        <f aca="false">ROW(A148)</f>
        <v>148</v>
      </c>
      <c r="B150" s="44" t="s">
        <v>473</v>
      </c>
      <c r="C150" s="47" t="n">
        <v>1</v>
      </c>
      <c r="D150" s="29"/>
      <c r="E150" s="45" t="s">
        <v>789</v>
      </c>
      <c r="F150" s="46" t="s">
        <v>780</v>
      </c>
      <c r="G150" s="47" t="s">
        <v>458</v>
      </c>
      <c r="H150" s="47" t="s">
        <v>781</v>
      </c>
      <c r="I150" s="47" t="s">
        <v>124</v>
      </c>
      <c r="J150" s="45" t="s">
        <v>527</v>
      </c>
      <c r="K150" s="48" t="s">
        <v>790</v>
      </c>
      <c r="L150" s="49" t="n">
        <v>45734</v>
      </c>
      <c r="M150" s="47" t="n">
        <v>33200</v>
      </c>
      <c r="N150" s="47" t="n">
        <v>37589</v>
      </c>
      <c r="O150" s="47" t="n">
        <v>4389</v>
      </c>
      <c r="P150" s="47" t="n">
        <v>4257</v>
      </c>
      <c r="Q150" s="47"/>
      <c r="R150" s="50" t="n">
        <f aca="false">合約與計費!$D$4</f>
        <v>0.296</v>
      </c>
      <c r="S150" s="51" t="n">
        <f aca="false">ROUND(P150*R150,0)</f>
        <v>1260</v>
      </c>
      <c r="T150" s="52"/>
      <c r="U150" s="47"/>
      <c r="V150" s="47"/>
      <c r="W150" s="53"/>
      <c r="X150" s="47"/>
      <c r="Y150" s="47"/>
      <c r="Z150" s="54"/>
      <c r="AA150" s="55"/>
      <c r="AB150" s="56"/>
      <c r="AC150" s="57"/>
      <c r="AD150" s="42"/>
      <c r="AE150" s="43"/>
    </row>
    <row r="151" customFormat="false" ht="16.5" hidden="false" customHeight="true" outlineLevel="0" collapsed="false">
      <c r="A151" s="44" t="n">
        <f aca="false">ROW(A149)</f>
        <v>149</v>
      </c>
      <c r="B151" s="44" t="s">
        <v>476</v>
      </c>
      <c r="C151" s="47" t="n">
        <v>1</v>
      </c>
      <c r="D151" s="29"/>
      <c r="E151" s="45" t="s">
        <v>791</v>
      </c>
      <c r="F151" s="46" t="s">
        <v>780</v>
      </c>
      <c r="G151" s="47" t="s">
        <v>458</v>
      </c>
      <c r="H151" s="47" t="s">
        <v>781</v>
      </c>
      <c r="I151" s="47" t="s">
        <v>124</v>
      </c>
      <c r="J151" s="45" t="s">
        <v>527</v>
      </c>
      <c r="K151" s="48" t="s">
        <v>792</v>
      </c>
      <c r="L151" s="49" t="n">
        <v>45734</v>
      </c>
      <c r="M151" s="47" t="n">
        <v>37367</v>
      </c>
      <c r="N151" s="47" t="n">
        <v>43299</v>
      </c>
      <c r="O151" s="47" t="n">
        <v>5932</v>
      </c>
      <c r="P151" s="47" t="n">
        <v>5754</v>
      </c>
      <c r="Q151" s="47"/>
      <c r="R151" s="50" t="n">
        <f aca="false">合約與計費!$D$4</f>
        <v>0.296</v>
      </c>
      <c r="S151" s="51" t="n">
        <f aca="false">ROUND(P151*R151,0)</f>
        <v>1703</v>
      </c>
      <c r="T151" s="52"/>
      <c r="U151" s="47"/>
      <c r="V151" s="47"/>
      <c r="W151" s="53"/>
      <c r="X151" s="47"/>
      <c r="Y151" s="47"/>
      <c r="Z151" s="54"/>
      <c r="AA151" s="55"/>
      <c r="AB151" s="56"/>
      <c r="AC151" s="57"/>
      <c r="AD151" s="42"/>
      <c r="AE151" s="43"/>
    </row>
    <row r="152" customFormat="false" ht="16.5" hidden="false" customHeight="true" outlineLevel="0" collapsed="false">
      <c r="A152" s="44" t="n">
        <f aca="false">ROW(A150)</f>
        <v>150</v>
      </c>
      <c r="B152" s="44" t="s">
        <v>479</v>
      </c>
      <c r="C152" s="47" t="n">
        <v>1</v>
      </c>
      <c r="D152" s="29"/>
      <c r="E152" s="45" t="s">
        <v>793</v>
      </c>
      <c r="F152" s="46" t="s">
        <v>780</v>
      </c>
      <c r="G152" s="47" t="s">
        <v>458</v>
      </c>
      <c r="H152" s="47" t="s">
        <v>781</v>
      </c>
      <c r="I152" s="47" t="s">
        <v>124</v>
      </c>
      <c r="J152" s="45" t="s">
        <v>527</v>
      </c>
      <c r="K152" s="48" t="s">
        <v>794</v>
      </c>
      <c r="L152" s="49" t="n">
        <v>45734</v>
      </c>
      <c r="M152" s="47" t="n">
        <v>7548</v>
      </c>
      <c r="N152" s="47" t="n">
        <v>8753</v>
      </c>
      <c r="O152" s="47" t="n">
        <v>1205</v>
      </c>
      <c r="P152" s="47" t="n">
        <v>1169</v>
      </c>
      <c r="Q152" s="47"/>
      <c r="R152" s="50" t="n">
        <f aca="false">合約與計費!$D$4</f>
        <v>0.296</v>
      </c>
      <c r="S152" s="51" t="n">
        <f aca="false">ROUND(P152*R152,0)</f>
        <v>346</v>
      </c>
      <c r="T152" s="52"/>
      <c r="U152" s="47"/>
      <c r="V152" s="47"/>
      <c r="W152" s="53"/>
      <c r="X152" s="47"/>
      <c r="Y152" s="47"/>
      <c r="Z152" s="54"/>
      <c r="AA152" s="55"/>
      <c r="AB152" s="56"/>
      <c r="AC152" s="57"/>
      <c r="AD152" s="42"/>
      <c r="AE152" s="43"/>
    </row>
    <row r="153" customFormat="false" ht="16.5" hidden="false" customHeight="true" outlineLevel="0" collapsed="false">
      <c r="A153" s="44" t="n">
        <f aca="false">ROW(A151)</f>
        <v>151</v>
      </c>
      <c r="B153" s="44" t="s">
        <v>482</v>
      </c>
      <c r="C153" s="47" t="n">
        <v>1</v>
      </c>
      <c r="D153" s="29"/>
      <c r="E153" s="45" t="s">
        <v>795</v>
      </c>
      <c r="F153" s="46" t="s">
        <v>780</v>
      </c>
      <c r="G153" s="47" t="s">
        <v>458</v>
      </c>
      <c r="H153" s="47" t="s">
        <v>781</v>
      </c>
      <c r="I153" s="47" t="s">
        <v>124</v>
      </c>
      <c r="J153" s="45" t="s">
        <v>527</v>
      </c>
      <c r="K153" s="48" t="s">
        <v>796</v>
      </c>
      <c r="L153" s="49" t="n">
        <v>45734</v>
      </c>
      <c r="M153" s="47" t="n">
        <v>34634</v>
      </c>
      <c r="N153" s="47" t="n">
        <v>39077</v>
      </c>
      <c r="O153" s="47" t="n">
        <v>4443</v>
      </c>
      <c r="P153" s="47" t="n">
        <v>4310</v>
      </c>
      <c r="Q153" s="47"/>
      <c r="R153" s="50" t="n">
        <f aca="false">合約與計費!$D$4</f>
        <v>0.296</v>
      </c>
      <c r="S153" s="51" t="n">
        <f aca="false">ROUND(P153*R153,0)</f>
        <v>1276</v>
      </c>
      <c r="T153" s="52"/>
      <c r="U153" s="47"/>
      <c r="V153" s="47"/>
      <c r="W153" s="53"/>
      <c r="X153" s="47"/>
      <c r="Y153" s="47"/>
      <c r="Z153" s="54"/>
      <c r="AA153" s="55"/>
      <c r="AB153" s="56"/>
      <c r="AC153" s="57"/>
      <c r="AD153" s="42"/>
      <c r="AE153" s="43"/>
    </row>
    <row r="154" customFormat="false" ht="16.5" hidden="false" customHeight="true" outlineLevel="0" collapsed="false">
      <c r="A154" s="44" t="n">
        <f aca="false">ROW(A152)</f>
        <v>152</v>
      </c>
      <c r="B154" s="44" t="s">
        <v>485</v>
      </c>
      <c r="C154" s="47" t="n">
        <v>1</v>
      </c>
      <c r="D154" s="29"/>
      <c r="E154" s="45" t="s">
        <v>797</v>
      </c>
      <c r="F154" s="46" t="s">
        <v>780</v>
      </c>
      <c r="G154" s="47" t="s">
        <v>458</v>
      </c>
      <c r="H154" s="47" t="s">
        <v>781</v>
      </c>
      <c r="I154" s="47" t="s">
        <v>124</v>
      </c>
      <c r="J154" s="45" t="s">
        <v>527</v>
      </c>
      <c r="K154" s="48" t="s">
        <v>798</v>
      </c>
      <c r="L154" s="49" t="n">
        <v>45734</v>
      </c>
      <c r="M154" s="47" t="n">
        <v>448</v>
      </c>
      <c r="N154" s="47" t="n">
        <v>449</v>
      </c>
      <c r="O154" s="47" t="n">
        <v>1</v>
      </c>
      <c r="P154" s="47" t="n">
        <v>1</v>
      </c>
      <c r="Q154" s="47"/>
      <c r="R154" s="50" t="n">
        <f aca="false">合約與計費!$D$4</f>
        <v>0.296</v>
      </c>
      <c r="S154" s="51" t="n">
        <f aca="false">ROUND(P154*R154,0)</f>
        <v>0</v>
      </c>
      <c r="T154" s="52"/>
      <c r="U154" s="47"/>
      <c r="V154" s="47"/>
      <c r="W154" s="53"/>
      <c r="X154" s="47"/>
      <c r="Y154" s="47"/>
      <c r="Z154" s="54"/>
      <c r="AA154" s="55"/>
      <c r="AB154" s="56"/>
      <c r="AC154" s="57"/>
      <c r="AD154" s="42"/>
      <c r="AE154" s="43"/>
    </row>
    <row r="155" customFormat="false" ht="16.5" hidden="false" customHeight="true" outlineLevel="0" collapsed="false">
      <c r="A155" s="44" t="n">
        <f aca="false">ROW(A153)</f>
        <v>153</v>
      </c>
      <c r="B155" s="44" t="n">
        <v>10</v>
      </c>
      <c r="C155" s="47" t="n">
        <v>1</v>
      </c>
      <c r="D155" s="29"/>
      <c r="E155" s="45" t="s">
        <v>799</v>
      </c>
      <c r="F155" s="46" t="s">
        <v>780</v>
      </c>
      <c r="G155" s="47" t="s">
        <v>458</v>
      </c>
      <c r="H155" s="47" t="s">
        <v>781</v>
      </c>
      <c r="I155" s="47" t="s">
        <v>124</v>
      </c>
      <c r="J155" s="45" t="s">
        <v>527</v>
      </c>
      <c r="K155" s="48" t="s">
        <v>800</v>
      </c>
      <c r="L155" s="49" t="n">
        <v>45734</v>
      </c>
      <c r="M155" s="47" t="n">
        <v>4669</v>
      </c>
      <c r="N155" s="47" t="n">
        <v>6326</v>
      </c>
      <c r="O155" s="47" t="n">
        <v>1657</v>
      </c>
      <c r="P155" s="47" t="n">
        <v>1607</v>
      </c>
      <c r="Q155" s="47"/>
      <c r="R155" s="50" t="n">
        <f aca="false">合約與計費!$D$4</f>
        <v>0.296</v>
      </c>
      <c r="S155" s="51" t="n">
        <f aca="false">ROUND(P155*R155,0)</f>
        <v>476</v>
      </c>
      <c r="T155" s="52"/>
      <c r="U155" s="47"/>
      <c r="V155" s="47"/>
      <c r="W155" s="53"/>
      <c r="X155" s="47"/>
      <c r="Y155" s="47"/>
      <c r="Z155" s="54"/>
      <c r="AA155" s="55"/>
      <c r="AB155" s="56"/>
      <c r="AC155" s="57"/>
      <c r="AD155" s="42"/>
      <c r="AE155" s="43"/>
    </row>
    <row r="156" customFormat="false" ht="16.5" hidden="false" customHeight="true" outlineLevel="0" collapsed="false">
      <c r="A156" s="59" t="n">
        <f aca="false">ROW(A154)</f>
        <v>154</v>
      </c>
      <c r="B156" s="59" t="n">
        <v>11</v>
      </c>
      <c r="C156" s="62" t="n">
        <v>1</v>
      </c>
      <c r="D156" s="29"/>
      <c r="E156" s="60" t="s">
        <v>801</v>
      </c>
      <c r="F156" s="61" t="s">
        <v>780</v>
      </c>
      <c r="G156" s="62" t="s">
        <v>458</v>
      </c>
      <c r="H156" s="62" t="s">
        <v>781</v>
      </c>
      <c r="I156" s="62" t="s">
        <v>124</v>
      </c>
      <c r="J156" s="60" t="s">
        <v>527</v>
      </c>
      <c r="K156" s="63" t="s">
        <v>802</v>
      </c>
      <c r="L156" s="64" t="n">
        <v>45734</v>
      </c>
      <c r="M156" s="62" t="n">
        <v>10175</v>
      </c>
      <c r="N156" s="62" t="n">
        <v>12031</v>
      </c>
      <c r="O156" s="62" t="n">
        <v>1856</v>
      </c>
      <c r="P156" s="62" t="n">
        <v>1800</v>
      </c>
      <c r="Q156" s="62" t="n">
        <f aca="false">ROUND(SUM(P146:P156),2)</f>
        <v>25011</v>
      </c>
      <c r="R156" s="65" t="n">
        <f aca="false">合約與計費!$D$4</f>
        <v>0.296</v>
      </c>
      <c r="S156" s="66" t="n">
        <f aca="false">ROUND(P156*R156,0)</f>
        <v>533</v>
      </c>
      <c r="T156" s="79" t="n">
        <f aca="false">ROUND(SUM(S146:S156),2)</f>
        <v>7403</v>
      </c>
      <c r="U156" s="62"/>
      <c r="V156" s="62"/>
      <c r="W156" s="67"/>
      <c r="X156" s="62"/>
      <c r="Y156" s="62" t="n">
        <f aca="false">ROUND(SUM(X146:X156),2)</f>
        <v>77</v>
      </c>
      <c r="Z156" s="68"/>
      <c r="AA156" s="77"/>
      <c r="AB156" s="78" t="n">
        <f aca="false">ROUND(SUM(AA146:AA156),2)</f>
        <v>216</v>
      </c>
      <c r="AC156" s="69"/>
      <c r="AD156" s="42"/>
      <c r="AE156" s="43"/>
    </row>
    <row r="157" customFormat="false" ht="16.5" hidden="false" customHeight="true" outlineLevel="0" collapsed="false">
      <c r="A157" s="27" t="n">
        <f aca="false">ROW(A155)</f>
        <v>155</v>
      </c>
      <c r="B157" s="27" t="s">
        <v>455</v>
      </c>
      <c r="C157" s="31" t="n">
        <v>1</v>
      </c>
      <c r="D157" s="29" t="n">
        <v>19</v>
      </c>
      <c r="E157" s="28" t="s">
        <v>803</v>
      </c>
      <c r="F157" s="30" t="s">
        <v>804</v>
      </c>
      <c r="G157" s="31" t="s">
        <v>458</v>
      </c>
      <c r="H157" s="31" t="s">
        <v>781</v>
      </c>
      <c r="I157" s="31" t="s">
        <v>63</v>
      </c>
      <c r="J157" s="28" t="s">
        <v>460</v>
      </c>
      <c r="K157" s="80" t="s">
        <v>805</v>
      </c>
      <c r="L157" s="34" t="n">
        <v>45735</v>
      </c>
      <c r="M157" s="31" t="n">
        <v>349</v>
      </c>
      <c r="N157" s="31" t="n">
        <v>410</v>
      </c>
      <c r="O157" s="31" t="n">
        <v>61</v>
      </c>
      <c r="P157" s="31" t="n">
        <v>59</v>
      </c>
      <c r="Q157" s="31"/>
      <c r="R157" s="35" t="n">
        <f aca="false">合約與計費!$D$4</f>
        <v>0.296</v>
      </c>
      <c r="S157" s="36" t="n">
        <f aca="false">ROUND(P157*R157,0)</f>
        <v>17</v>
      </c>
      <c r="T157" s="37"/>
      <c r="U157" s="31" t="n">
        <v>170</v>
      </c>
      <c r="V157" s="31" t="n">
        <v>233</v>
      </c>
      <c r="W157" s="31" t="n">
        <v>63</v>
      </c>
      <c r="X157" s="31" t="n">
        <v>61</v>
      </c>
      <c r="Y157" s="31"/>
      <c r="Z157" s="38" t="n">
        <f aca="false">合約與計費!$E$4</f>
        <v>2.8</v>
      </c>
      <c r="AA157" s="39" t="n">
        <f aca="false">ROUND(X157*Z157,0)</f>
        <v>171</v>
      </c>
      <c r="AB157" s="40"/>
      <c r="AC157" s="41"/>
      <c r="AD157" s="42"/>
      <c r="AE157" s="43"/>
    </row>
    <row r="158" customFormat="false" ht="16.5" hidden="false" customHeight="true" outlineLevel="0" collapsed="false">
      <c r="A158" s="44" t="n">
        <f aca="false">ROW(A156)</f>
        <v>156</v>
      </c>
      <c r="B158" s="44" t="s">
        <v>462</v>
      </c>
      <c r="C158" s="47" t="n">
        <v>1</v>
      </c>
      <c r="D158" s="29"/>
      <c r="E158" s="45" t="s">
        <v>806</v>
      </c>
      <c r="F158" s="46" t="s">
        <v>804</v>
      </c>
      <c r="G158" s="47" t="s">
        <v>458</v>
      </c>
      <c r="H158" s="47" t="s">
        <v>781</v>
      </c>
      <c r="I158" s="47" t="s">
        <v>63</v>
      </c>
      <c r="J158" s="45" t="s">
        <v>527</v>
      </c>
      <c r="K158" s="48" t="s">
        <v>807</v>
      </c>
      <c r="L158" s="49" t="n">
        <v>45735</v>
      </c>
      <c r="M158" s="47" t="n">
        <v>23194</v>
      </c>
      <c r="N158" s="47" t="n">
        <v>26453</v>
      </c>
      <c r="O158" s="47" t="n">
        <v>3259</v>
      </c>
      <c r="P158" s="47" t="n">
        <v>3161</v>
      </c>
      <c r="Q158" s="47"/>
      <c r="R158" s="50" t="n">
        <f aca="false">合約與計費!$D$4</f>
        <v>0.296</v>
      </c>
      <c r="S158" s="51" t="n">
        <f aca="false">ROUND(P158*R158,0)</f>
        <v>936</v>
      </c>
      <c r="T158" s="52"/>
      <c r="U158" s="47"/>
      <c r="V158" s="47"/>
      <c r="W158" s="53"/>
      <c r="X158" s="47"/>
      <c r="Y158" s="47"/>
      <c r="Z158" s="54"/>
      <c r="AA158" s="55"/>
      <c r="AB158" s="56"/>
      <c r="AC158" s="57"/>
      <c r="AD158" s="42"/>
      <c r="AE158" s="43"/>
    </row>
    <row r="159" customFormat="false" ht="16.5" hidden="false" customHeight="true" outlineLevel="0" collapsed="false">
      <c r="A159" s="44" t="n">
        <f aca="false">ROW(A157)</f>
        <v>157</v>
      </c>
      <c r="B159" s="44" t="s">
        <v>466</v>
      </c>
      <c r="C159" s="47" t="n">
        <v>1</v>
      </c>
      <c r="D159" s="29"/>
      <c r="E159" s="45" t="s">
        <v>808</v>
      </c>
      <c r="F159" s="46" t="s">
        <v>804</v>
      </c>
      <c r="G159" s="47" t="s">
        <v>458</v>
      </c>
      <c r="H159" s="47" t="s">
        <v>781</v>
      </c>
      <c r="I159" s="47" t="s">
        <v>63</v>
      </c>
      <c r="J159" s="45" t="s">
        <v>527</v>
      </c>
      <c r="K159" s="48" t="s">
        <v>809</v>
      </c>
      <c r="L159" s="49" t="n">
        <v>45735</v>
      </c>
      <c r="M159" s="47" t="n">
        <v>21384</v>
      </c>
      <c r="N159" s="47" t="n">
        <v>24905</v>
      </c>
      <c r="O159" s="47" t="n">
        <v>3521</v>
      </c>
      <c r="P159" s="47" t="n">
        <v>3415</v>
      </c>
      <c r="Q159" s="47"/>
      <c r="R159" s="50" t="n">
        <f aca="false">合約與計費!$D$4</f>
        <v>0.296</v>
      </c>
      <c r="S159" s="51" t="n">
        <f aca="false">ROUND(P159*R159,0)</f>
        <v>1011</v>
      </c>
      <c r="T159" s="52"/>
      <c r="U159" s="47"/>
      <c r="V159" s="47"/>
      <c r="W159" s="53"/>
      <c r="X159" s="47"/>
      <c r="Y159" s="47"/>
      <c r="Z159" s="54"/>
      <c r="AA159" s="55"/>
      <c r="AB159" s="56"/>
      <c r="AC159" s="57"/>
      <c r="AD159" s="42"/>
      <c r="AE159" s="43"/>
    </row>
    <row r="160" customFormat="false" ht="16.5" hidden="false" customHeight="true" outlineLevel="0" collapsed="false">
      <c r="A160" s="59" t="n">
        <f aca="false">ROW(A158)</f>
        <v>158</v>
      </c>
      <c r="B160" s="59" t="s">
        <v>469</v>
      </c>
      <c r="C160" s="62" t="n">
        <v>1</v>
      </c>
      <c r="D160" s="29"/>
      <c r="E160" s="60" t="s">
        <v>810</v>
      </c>
      <c r="F160" s="61" t="s">
        <v>804</v>
      </c>
      <c r="G160" s="62" t="s">
        <v>458</v>
      </c>
      <c r="H160" s="62" t="s">
        <v>781</v>
      </c>
      <c r="I160" s="62" t="s">
        <v>63</v>
      </c>
      <c r="J160" s="60" t="s">
        <v>527</v>
      </c>
      <c r="K160" s="63" t="s">
        <v>811</v>
      </c>
      <c r="L160" s="64" t="n">
        <v>45735</v>
      </c>
      <c r="M160" s="62" t="n">
        <v>19199</v>
      </c>
      <c r="N160" s="62" t="n">
        <v>22576</v>
      </c>
      <c r="O160" s="62" t="n">
        <v>3377</v>
      </c>
      <c r="P160" s="62" t="n">
        <v>3276</v>
      </c>
      <c r="Q160" s="62" t="n">
        <f aca="false">ROUND(SUM(P157:P160),2)</f>
        <v>9911</v>
      </c>
      <c r="R160" s="65" t="n">
        <f aca="false">合約與計費!$D$4</f>
        <v>0.296</v>
      </c>
      <c r="S160" s="66" t="n">
        <f aca="false">ROUND(P160*R160,0)</f>
        <v>970</v>
      </c>
      <c r="T160" s="79" t="n">
        <f aca="false">ROUND(SUM(S157:S160),2)</f>
        <v>2934</v>
      </c>
      <c r="U160" s="62"/>
      <c r="V160" s="62"/>
      <c r="W160" s="67"/>
      <c r="X160" s="62"/>
      <c r="Y160" s="62" t="n">
        <f aca="false">ROUND(SUM(X157:X160),2)</f>
        <v>61</v>
      </c>
      <c r="Z160" s="68"/>
      <c r="AA160" s="77"/>
      <c r="AB160" s="78" t="n">
        <f aca="false">ROUND(SUM(AA157:AA160),2)</f>
        <v>171</v>
      </c>
      <c r="AC160" s="69"/>
      <c r="AD160" s="42"/>
      <c r="AE160" s="43"/>
    </row>
    <row r="161" customFormat="false" ht="16.5" hidden="false" customHeight="true" outlineLevel="0" collapsed="false">
      <c r="A161" s="27" t="n">
        <f aca="false">ROW(A159)</f>
        <v>159</v>
      </c>
      <c r="B161" s="27" t="s">
        <v>455</v>
      </c>
      <c r="C161" s="31" t="n">
        <v>1</v>
      </c>
      <c r="D161" s="29" t="n">
        <v>20</v>
      </c>
      <c r="E161" s="28" t="s">
        <v>812</v>
      </c>
      <c r="F161" s="30" t="s">
        <v>813</v>
      </c>
      <c r="G161" s="31" t="s">
        <v>458</v>
      </c>
      <c r="H161" s="31" t="s">
        <v>781</v>
      </c>
      <c r="I161" s="31" t="s">
        <v>74</v>
      </c>
      <c r="J161" s="28" t="s">
        <v>460</v>
      </c>
      <c r="K161" s="80" t="s">
        <v>814</v>
      </c>
      <c r="L161" s="34" t="n">
        <v>45737</v>
      </c>
      <c r="M161" s="31" t="n">
        <v>643</v>
      </c>
      <c r="N161" s="31" t="n">
        <v>681</v>
      </c>
      <c r="O161" s="31" t="n">
        <v>38</v>
      </c>
      <c r="P161" s="31" t="n">
        <v>37</v>
      </c>
      <c r="Q161" s="31"/>
      <c r="R161" s="35" t="n">
        <f aca="false">合約與計費!$D$4</f>
        <v>0.296</v>
      </c>
      <c r="S161" s="36" t="n">
        <f aca="false">ROUND(P161*R161,0)</f>
        <v>11</v>
      </c>
      <c r="T161" s="37"/>
      <c r="U161" s="31" t="n">
        <v>287</v>
      </c>
      <c r="V161" s="31" t="n">
        <v>346</v>
      </c>
      <c r="W161" s="31" t="n">
        <v>59</v>
      </c>
      <c r="X161" s="31" t="n">
        <v>57</v>
      </c>
      <c r="Y161" s="31"/>
      <c r="Z161" s="38" t="n">
        <f aca="false">合約與計費!$E$4</f>
        <v>2.8</v>
      </c>
      <c r="AA161" s="39" t="n">
        <f aca="false">ROUND(X161*Z161,0)</f>
        <v>160</v>
      </c>
      <c r="AB161" s="40"/>
      <c r="AC161" s="41"/>
      <c r="AD161" s="42"/>
      <c r="AE161" s="43"/>
    </row>
    <row r="162" customFormat="false" ht="16.5" hidden="false" customHeight="true" outlineLevel="0" collapsed="false">
      <c r="A162" s="44" t="n">
        <f aca="false">ROW(A160)</f>
        <v>160</v>
      </c>
      <c r="B162" s="44" t="s">
        <v>462</v>
      </c>
      <c r="C162" s="47" t="n">
        <v>1</v>
      </c>
      <c r="D162" s="29"/>
      <c r="E162" s="45" t="s">
        <v>815</v>
      </c>
      <c r="F162" s="46" t="s">
        <v>813</v>
      </c>
      <c r="G162" s="47" t="s">
        <v>458</v>
      </c>
      <c r="H162" s="47" t="s">
        <v>781</v>
      </c>
      <c r="I162" s="47" t="s">
        <v>74</v>
      </c>
      <c r="J162" s="45" t="s">
        <v>464</v>
      </c>
      <c r="K162" s="48" t="s">
        <v>816</v>
      </c>
      <c r="L162" s="49" t="n">
        <v>45737</v>
      </c>
      <c r="M162" s="47" t="n">
        <v>690</v>
      </c>
      <c r="N162" s="47" t="n">
        <v>767</v>
      </c>
      <c r="O162" s="47" t="n">
        <v>77</v>
      </c>
      <c r="P162" s="47" t="n">
        <v>75</v>
      </c>
      <c r="Q162" s="47"/>
      <c r="R162" s="50" t="n">
        <f aca="false">合約與計費!$D$4</f>
        <v>0.296</v>
      </c>
      <c r="S162" s="51" t="n">
        <f aca="false">ROUND(P162*R162,0)</f>
        <v>22</v>
      </c>
      <c r="T162" s="52"/>
      <c r="U162" s="47"/>
      <c r="V162" s="47"/>
      <c r="W162" s="53"/>
      <c r="X162" s="47"/>
      <c r="Y162" s="47"/>
      <c r="Z162" s="54"/>
      <c r="AA162" s="55"/>
      <c r="AB162" s="56"/>
      <c r="AC162" s="57"/>
      <c r="AD162" s="42" t="n">
        <v>0.0703</v>
      </c>
      <c r="AE162" s="43" t="n">
        <v>0.6</v>
      </c>
    </row>
    <row r="163" customFormat="false" ht="16.5" hidden="false" customHeight="true" outlineLevel="0" collapsed="false">
      <c r="A163" s="44" t="n">
        <f aca="false">ROW(A161)</f>
        <v>161</v>
      </c>
      <c r="B163" s="44" t="s">
        <v>466</v>
      </c>
      <c r="C163" s="47" t="n">
        <v>1</v>
      </c>
      <c r="D163" s="29"/>
      <c r="E163" s="45" t="s">
        <v>817</v>
      </c>
      <c r="F163" s="46" t="s">
        <v>813</v>
      </c>
      <c r="G163" s="47" t="s">
        <v>458</v>
      </c>
      <c r="H163" s="47" t="s">
        <v>781</v>
      </c>
      <c r="I163" s="47" t="s">
        <v>74</v>
      </c>
      <c r="J163" s="45" t="s">
        <v>527</v>
      </c>
      <c r="K163" s="48" t="s">
        <v>818</v>
      </c>
      <c r="L163" s="49" t="n">
        <v>45737</v>
      </c>
      <c r="M163" s="47" t="n">
        <v>5994</v>
      </c>
      <c r="N163" s="47" t="n">
        <v>8229</v>
      </c>
      <c r="O163" s="47" t="n">
        <v>2235</v>
      </c>
      <c r="P163" s="47" t="n">
        <v>2168</v>
      </c>
      <c r="Q163" s="47"/>
      <c r="R163" s="50" t="n">
        <f aca="false">合約與計費!$D$4</f>
        <v>0.296</v>
      </c>
      <c r="S163" s="51" t="n">
        <f aca="false">ROUND(P163*R163,0)</f>
        <v>642</v>
      </c>
      <c r="T163" s="52"/>
      <c r="U163" s="47"/>
      <c r="V163" s="47"/>
      <c r="W163" s="53"/>
      <c r="X163" s="47"/>
      <c r="Y163" s="47"/>
      <c r="Z163" s="54"/>
      <c r="AA163" s="55"/>
      <c r="AB163" s="56"/>
      <c r="AC163" s="57"/>
      <c r="AD163" s="42"/>
      <c r="AE163" s="43"/>
    </row>
    <row r="164" customFormat="false" ht="16.5" hidden="false" customHeight="true" outlineLevel="0" collapsed="false">
      <c r="A164" s="44" t="n">
        <f aca="false">ROW(A162)</f>
        <v>162</v>
      </c>
      <c r="B164" s="44" t="s">
        <v>469</v>
      </c>
      <c r="C164" s="47" t="n">
        <v>1</v>
      </c>
      <c r="D164" s="29"/>
      <c r="E164" s="45" t="s">
        <v>819</v>
      </c>
      <c r="F164" s="46" t="s">
        <v>813</v>
      </c>
      <c r="G164" s="47" t="s">
        <v>458</v>
      </c>
      <c r="H164" s="47" t="s">
        <v>781</v>
      </c>
      <c r="I164" s="47" t="s">
        <v>74</v>
      </c>
      <c r="J164" s="45" t="s">
        <v>527</v>
      </c>
      <c r="K164" s="48" t="s">
        <v>820</v>
      </c>
      <c r="L164" s="49" t="n">
        <v>45737</v>
      </c>
      <c r="M164" s="47" t="n">
        <v>7239</v>
      </c>
      <c r="N164" s="47" t="n">
        <v>8580</v>
      </c>
      <c r="O164" s="47" t="n">
        <v>1341</v>
      </c>
      <c r="P164" s="47" t="n">
        <v>1301</v>
      </c>
      <c r="Q164" s="47"/>
      <c r="R164" s="50" t="n">
        <f aca="false">合約與計費!$D$4</f>
        <v>0.296</v>
      </c>
      <c r="S164" s="51" t="n">
        <f aca="false">ROUND(P164*R164,0)</f>
        <v>385</v>
      </c>
      <c r="T164" s="52"/>
      <c r="U164" s="47"/>
      <c r="V164" s="47"/>
      <c r="W164" s="53"/>
      <c r="X164" s="47"/>
      <c r="Y164" s="47"/>
      <c r="Z164" s="54"/>
      <c r="AA164" s="55"/>
      <c r="AB164" s="56"/>
      <c r="AC164" s="57"/>
      <c r="AD164" s="42"/>
      <c r="AE164" s="43"/>
    </row>
    <row r="165" customFormat="false" ht="16.5" hidden="false" customHeight="true" outlineLevel="0" collapsed="false">
      <c r="A165" s="44" t="n">
        <f aca="false">ROW(A163)</f>
        <v>163</v>
      </c>
      <c r="B165" s="44" t="s">
        <v>473</v>
      </c>
      <c r="C165" s="47" t="n">
        <v>1</v>
      </c>
      <c r="D165" s="29"/>
      <c r="E165" s="45" t="s">
        <v>821</v>
      </c>
      <c r="F165" s="46" t="s">
        <v>813</v>
      </c>
      <c r="G165" s="47" t="s">
        <v>458</v>
      </c>
      <c r="H165" s="47" t="s">
        <v>781</v>
      </c>
      <c r="I165" s="47" t="s">
        <v>74</v>
      </c>
      <c r="J165" s="45" t="s">
        <v>527</v>
      </c>
      <c r="K165" s="48" t="s">
        <v>822</v>
      </c>
      <c r="L165" s="49" t="n">
        <v>45737</v>
      </c>
      <c r="M165" s="47" t="n">
        <v>6827</v>
      </c>
      <c r="N165" s="47" t="n">
        <v>8208</v>
      </c>
      <c r="O165" s="47" t="n">
        <v>1381</v>
      </c>
      <c r="P165" s="47" t="n">
        <v>1340</v>
      </c>
      <c r="Q165" s="47"/>
      <c r="R165" s="50" t="n">
        <f aca="false">合約與計費!$D$4</f>
        <v>0.296</v>
      </c>
      <c r="S165" s="51" t="n">
        <f aca="false">ROUND(P165*R165,0)</f>
        <v>397</v>
      </c>
      <c r="T165" s="52"/>
      <c r="U165" s="47"/>
      <c r="V165" s="47"/>
      <c r="W165" s="53"/>
      <c r="X165" s="47"/>
      <c r="Y165" s="47"/>
      <c r="Z165" s="54"/>
      <c r="AA165" s="55"/>
      <c r="AB165" s="56"/>
      <c r="AC165" s="57"/>
      <c r="AD165" s="42"/>
      <c r="AE165" s="43"/>
    </row>
    <row r="166" customFormat="false" ht="16.5" hidden="false" customHeight="true" outlineLevel="0" collapsed="false">
      <c r="A166" s="44" t="n">
        <f aca="false">ROW(A164)</f>
        <v>164</v>
      </c>
      <c r="B166" s="44" t="s">
        <v>476</v>
      </c>
      <c r="C166" s="47" t="n">
        <v>1</v>
      </c>
      <c r="D166" s="29"/>
      <c r="E166" s="45" t="s">
        <v>823</v>
      </c>
      <c r="F166" s="46" t="s">
        <v>813</v>
      </c>
      <c r="G166" s="47" t="s">
        <v>458</v>
      </c>
      <c r="H166" s="47" t="s">
        <v>781</v>
      </c>
      <c r="I166" s="47" t="s">
        <v>74</v>
      </c>
      <c r="J166" s="45" t="s">
        <v>527</v>
      </c>
      <c r="K166" s="48" t="s">
        <v>824</v>
      </c>
      <c r="L166" s="49" t="n">
        <v>45737</v>
      </c>
      <c r="M166" s="47" t="n">
        <v>7299</v>
      </c>
      <c r="N166" s="47" t="n">
        <v>8906</v>
      </c>
      <c r="O166" s="47" t="n">
        <v>1607</v>
      </c>
      <c r="P166" s="47" t="n">
        <v>1559</v>
      </c>
      <c r="Q166" s="47"/>
      <c r="R166" s="50" t="n">
        <f aca="false">合約與計費!$D$4</f>
        <v>0.296</v>
      </c>
      <c r="S166" s="51" t="n">
        <f aca="false">ROUND(P166*R166,0)</f>
        <v>461</v>
      </c>
      <c r="T166" s="52"/>
      <c r="U166" s="47"/>
      <c r="V166" s="47"/>
      <c r="W166" s="53"/>
      <c r="X166" s="47"/>
      <c r="Y166" s="47"/>
      <c r="Z166" s="54"/>
      <c r="AA166" s="55"/>
      <c r="AB166" s="56"/>
      <c r="AC166" s="57"/>
      <c r="AD166" s="42"/>
      <c r="AE166" s="43"/>
    </row>
    <row r="167" customFormat="false" ht="16.5" hidden="false" customHeight="true" outlineLevel="0" collapsed="false">
      <c r="A167" s="44" t="n">
        <f aca="false">ROW(A165)</f>
        <v>165</v>
      </c>
      <c r="B167" s="44" t="s">
        <v>479</v>
      </c>
      <c r="C167" s="47" t="n">
        <v>1</v>
      </c>
      <c r="D167" s="29"/>
      <c r="E167" s="45" t="s">
        <v>825</v>
      </c>
      <c r="F167" s="46" t="s">
        <v>813</v>
      </c>
      <c r="G167" s="47" t="s">
        <v>458</v>
      </c>
      <c r="H167" s="47" t="s">
        <v>781</v>
      </c>
      <c r="I167" s="47" t="s">
        <v>74</v>
      </c>
      <c r="J167" s="45" t="s">
        <v>527</v>
      </c>
      <c r="K167" s="48" t="s">
        <v>826</v>
      </c>
      <c r="L167" s="49" t="n">
        <v>45737</v>
      </c>
      <c r="M167" s="47" t="n">
        <v>6798</v>
      </c>
      <c r="N167" s="47" t="n">
        <v>7928</v>
      </c>
      <c r="O167" s="47" t="n">
        <v>1130</v>
      </c>
      <c r="P167" s="47" t="n">
        <v>1096</v>
      </c>
      <c r="Q167" s="47"/>
      <c r="R167" s="50" t="n">
        <f aca="false">合約與計費!$D$4</f>
        <v>0.296</v>
      </c>
      <c r="S167" s="51" t="n">
        <f aca="false">ROUND(P167*R167,0)</f>
        <v>324</v>
      </c>
      <c r="T167" s="52"/>
      <c r="U167" s="47"/>
      <c r="V167" s="47"/>
      <c r="W167" s="53"/>
      <c r="X167" s="47"/>
      <c r="Y167" s="47"/>
      <c r="Z167" s="54"/>
      <c r="AA167" s="55"/>
      <c r="AB167" s="56"/>
      <c r="AC167" s="57"/>
      <c r="AD167" s="42"/>
      <c r="AE167" s="43"/>
    </row>
    <row r="168" customFormat="false" ht="16.5" hidden="false" customHeight="true" outlineLevel="0" collapsed="false">
      <c r="A168" s="44" t="n">
        <f aca="false">ROW(A166)</f>
        <v>166</v>
      </c>
      <c r="B168" s="44" t="s">
        <v>482</v>
      </c>
      <c r="C168" s="47" t="n">
        <v>1</v>
      </c>
      <c r="D168" s="29"/>
      <c r="E168" s="45" t="s">
        <v>827</v>
      </c>
      <c r="F168" s="46" t="s">
        <v>813</v>
      </c>
      <c r="G168" s="47" t="s">
        <v>458</v>
      </c>
      <c r="H168" s="47" t="s">
        <v>781</v>
      </c>
      <c r="I168" s="47" t="s">
        <v>74</v>
      </c>
      <c r="J168" s="45" t="s">
        <v>527</v>
      </c>
      <c r="K168" s="48" t="s">
        <v>828</v>
      </c>
      <c r="L168" s="49" t="n">
        <v>45737</v>
      </c>
      <c r="M168" s="47" t="n">
        <v>7454</v>
      </c>
      <c r="N168" s="47" t="n">
        <v>8626</v>
      </c>
      <c r="O168" s="47" t="n">
        <v>1172</v>
      </c>
      <c r="P168" s="47" t="n">
        <v>1137</v>
      </c>
      <c r="Q168" s="47"/>
      <c r="R168" s="50" t="n">
        <f aca="false">合約與計費!$D$4</f>
        <v>0.296</v>
      </c>
      <c r="S168" s="51" t="n">
        <f aca="false">ROUND(P168*R168,0)</f>
        <v>337</v>
      </c>
      <c r="T168" s="52"/>
      <c r="U168" s="47"/>
      <c r="V168" s="47"/>
      <c r="W168" s="53"/>
      <c r="X168" s="47"/>
      <c r="Y168" s="47"/>
      <c r="Z168" s="54"/>
      <c r="AA168" s="55"/>
      <c r="AB168" s="56"/>
      <c r="AC168" s="57"/>
      <c r="AD168" s="42"/>
      <c r="AE168" s="43"/>
    </row>
    <row r="169" customFormat="false" ht="16.5" hidden="false" customHeight="true" outlineLevel="0" collapsed="false">
      <c r="A169" s="44" t="n">
        <f aca="false">ROW(A167)</f>
        <v>167</v>
      </c>
      <c r="B169" s="44" t="s">
        <v>485</v>
      </c>
      <c r="C169" s="47" t="n">
        <v>1</v>
      </c>
      <c r="D169" s="29"/>
      <c r="E169" s="45" t="s">
        <v>829</v>
      </c>
      <c r="F169" s="46" t="s">
        <v>813</v>
      </c>
      <c r="G169" s="47" t="s">
        <v>458</v>
      </c>
      <c r="H169" s="47" t="s">
        <v>781</v>
      </c>
      <c r="I169" s="47" t="s">
        <v>74</v>
      </c>
      <c r="J169" s="45" t="s">
        <v>527</v>
      </c>
      <c r="K169" s="48" t="s">
        <v>830</v>
      </c>
      <c r="L169" s="49" t="n">
        <v>45737</v>
      </c>
      <c r="M169" s="47" t="n">
        <v>10921</v>
      </c>
      <c r="N169" s="47" t="n">
        <v>13315</v>
      </c>
      <c r="O169" s="47" t="n">
        <v>2394</v>
      </c>
      <c r="P169" s="47" t="n">
        <v>2322</v>
      </c>
      <c r="Q169" s="47"/>
      <c r="R169" s="50" t="n">
        <f aca="false">合約與計費!$D$4</f>
        <v>0.296</v>
      </c>
      <c r="S169" s="51" t="n">
        <f aca="false">ROUND(P169*R169,0)</f>
        <v>687</v>
      </c>
      <c r="T169" s="52"/>
      <c r="U169" s="47"/>
      <c r="V169" s="47"/>
      <c r="W169" s="53"/>
      <c r="X169" s="47"/>
      <c r="Y169" s="47"/>
      <c r="Z169" s="54"/>
      <c r="AA169" s="55"/>
      <c r="AB169" s="56"/>
      <c r="AC169" s="57"/>
      <c r="AD169" s="42"/>
      <c r="AE169" s="43"/>
    </row>
    <row r="170" customFormat="false" ht="16.5" hidden="false" customHeight="true" outlineLevel="0" collapsed="false">
      <c r="A170" s="44" t="n">
        <f aca="false">ROW(A168)</f>
        <v>168</v>
      </c>
      <c r="B170" s="44" t="n">
        <v>10</v>
      </c>
      <c r="C170" s="47" t="n">
        <v>1</v>
      </c>
      <c r="D170" s="29"/>
      <c r="E170" s="45" t="s">
        <v>831</v>
      </c>
      <c r="F170" s="46" t="s">
        <v>813</v>
      </c>
      <c r="G170" s="47" t="s">
        <v>458</v>
      </c>
      <c r="H170" s="47" t="s">
        <v>781</v>
      </c>
      <c r="I170" s="47" t="s">
        <v>74</v>
      </c>
      <c r="J170" s="45" t="s">
        <v>527</v>
      </c>
      <c r="K170" s="48" t="s">
        <v>832</v>
      </c>
      <c r="L170" s="49" t="n">
        <v>45737</v>
      </c>
      <c r="M170" s="47" t="n">
        <v>5785</v>
      </c>
      <c r="N170" s="47" t="n">
        <v>7161</v>
      </c>
      <c r="O170" s="47" t="n">
        <v>1376</v>
      </c>
      <c r="P170" s="47" t="n">
        <v>1335</v>
      </c>
      <c r="Q170" s="47"/>
      <c r="R170" s="50" t="n">
        <f aca="false">合約與計費!$D$4</f>
        <v>0.296</v>
      </c>
      <c r="S170" s="51" t="n">
        <f aca="false">ROUND(P170*R170,0)</f>
        <v>395</v>
      </c>
      <c r="T170" s="52"/>
      <c r="U170" s="47"/>
      <c r="V170" s="47"/>
      <c r="W170" s="53"/>
      <c r="X170" s="47"/>
      <c r="Y170" s="47"/>
      <c r="Z170" s="54"/>
      <c r="AA170" s="55"/>
      <c r="AB170" s="56"/>
      <c r="AC170" s="57"/>
      <c r="AD170" s="42"/>
      <c r="AE170" s="43"/>
    </row>
    <row r="171" customFormat="false" ht="16.5" hidden="false" customHeight="true" outlineLevel="0" collapsed="false">
      <c r="A171" s="44" t="n">
        <f aca="false">ROW(A169)</f>
        <v>169</v>
      </c>
      <c r="B171" s="44" t="n">
        <v>11</v>
      </c>
      <c r="C171" s="47" t="n">
        <v>1</v>
      </c>
      <c r="D171" s="29"/>
      <c r="E171" s="45" t="s">
        <v>833</v>
      </c>
      <c r="F171" s="46" t="s">
        <v>813</v>
      </c>
      <c r="G171" s="47" t="s">
        <v>458</v>
      </c>
      <c r="H171" s="47" t="s">
        <v>781</v>
      </c>
      <c r="I171" s="47" t="s">
        <v>74</v>
      </c>
      <c r="J171" s="45" t="s">
        <v>527</v>
      </c>
      <c r="K171" s="48" t="s">
        <v>834</v>
      </c>
      <c r="L171" s="49" t="n">
        <v>45737</v>
      </c>
      <c r="M171" s="47" t="n">
        <v>7201</v>
      </c>
      <c r="N171" s="47" t="n">
        <v>8932</v>
      </c>
      <c r="O171" s="47" t="n">
        <v>1731</v>
      </c>
      <c r="P171" s="47" t="n">
        <v>1679</v>
      </c>
      <c r="Q171" s="47"/>
      <c r="R171" s="50" t="n">
        <f aca="false">合約與計費!$D$4</f>
        <v>0.296</v>
      </c>
      <c r="S171" s="51" t="n">
        <f aca="false">ROUND(P171*R171,0)</f>
        <v>497</v>
      </c>
      <c r="T171" s="52"/>
      <c r="U171" s="47"/>
      <c r="V171" s="47"/>
      <c r="W171" s="53"/>
      <c r="X171" s="47"/>
      <c r="Y171" s="47"/>
      <c r="Z171" s="54"/>
      <c r="AA171" s="55"/>
      <c r="AB171" s="56"/>
      <c r="AC171" s="57"/>
      <c r="AD171" s="42"/>
      <c r="AE171" s="43"/>
    </row>
    <row r="172" customFormat="false" ht="16.5" hidden="false" customHeight="true" outlineLevel="0" collapsed="false">
      <c r="A172" s="59" t="n">
        <f aca="false">ROW(A170)</f>
        <v>170</v>
      </c>
      <c r="B172" s="59" t="n">
        <v>12</v>
      </c>
      <c r="C172" s="62" t="n">
        <v>1</v>
      </c>
      <c r="D172" s="29"/>
      <c r="E172" s="60" t="s">
        <v>835</v>
      </c>
      <c r="F172" s="61" t="s">
        <v>813</v>
      </c>
      <c r="G172" s="62" t="s">
        <v>458</v>
      </c>
      <c r="H172" s="62" t="s">
        <v>781</v>
      </c>
      <c r="I172" s="62" t="s">
        <v>74</v>
      </c>
      <c r="J172" s="45" t="s">
        <v>527</v>
      </c>
      <c r="K172" s="48" t="s">
        <v>836</v>
      </c>
      <c r="L172" s="49" t="n">
        <v>45737</v>
      </c>
      <c r="M172" s="47" t="n">
        <v>27</v>
      </c>
      <c r="N172" s="47" t="n">
        <v>28</v>
      </c>
      <c r="O172" s="47" t="n">
        <v>1</v>
      </c>
      <c r="P172" s="47" t="n">
        <v>1</v>
      </c>
      <c r="Q172" s="47" t="n">
        <f aca="false">ROUND(SUM(P161:P172),2)</f>
        <v>14050</v>
      </c>
      <c r="R172" s="50" t="n">
        <f aca="false">合約與計費!$D$4</f>
        <v>0.296</v>
      </c>
      <c r="S172" s="51" t="n">
        <f aca="false">ROUND(P172*R172,0)</f>
        <v>0</v>
      </c>
      <c r="T172" s="52" t="n">
        <f aca="false">ROUND(SUM(S161:S172),2)</f>
        <v>4158</v>
      </c>
      <c r="U172" s="47"/>
      <c r="V172" s="47"/>
      <c r="W172" s="53"/>
      <c r="X172" s="47"/>
      <c r="Y172" s="47" t="n">
        <f aca="false">ROUND(SUM(X161:X172),2)</f>
        <v>57</v>
      </c>
      <c r="Z172" s="54"/>
      <c r="AA172" s="55"/>
      <c r="AB172" s="56" t="n">
        <f aca="false">ROUND(SUM(AA161:AA172),2)</f>
        <v>160</v>
      </c>
      <c r="AC172" s="57"/>
      <c r="AD172" s="42"/>
      <c r="AE172" s="43"/>
    </row>
    <row r="173" customFormat="false" ht="16.5" hidden="false" customHeight="true" outlineLevel="0" collapsed="false">
      <c r="A173" s="27" t="n">
        <f aca="false">ROW(A171)</f>
        <v>171</v>
      </c>
      <c r="B173" s="27" t="s">
        <v>455</v>
      </c>
      <c r="C173" s="31" t="n">
        <v>1</v>
      </c>
      <c r="D173" s="29" t="n">
        <v>21</v>
      </c>
      <c r="E173" s="28" t="s">
        <v>837</v>
      </c>
      <c r="F173" s="30" t="s">
        <v>838</v>
      </c>
      <c r="G173" s="31" t="s">
        <v>458</v>
      </c>
      <c r="H173" s="31" t="s">
        <v>781</v>
      </c>
      <c r="I173" s="31" t="s">
        <v>75</v>
      </c>
      <c r="J173" s="28" t="s">
        <v>460</v>
      </c>
      <c r="K173" s="80" t="s">
        <v>839</v>
      </c>
      <c r="L173" s="34" t="n">
        <v>45737</v>
      </c>
      <c r="M173" s="31" t="n">
        <v>1534</v>
      </c>
      <c r="N173" s="31" t="n">
        <v>1878</v>
      </c>
      <c r="O173" s="31" t="n">
        <v>344</v>
      </c>
      <c r="P173" s="31" t="n">
        <v>334</v>
      </c>
      <c r="Q173" s="31"/>
      <c r="R173" s="35" t="n">
        <f aca="false">合約與計費!$D$4</f>
        <v>0.296</v>
      </c>
      <c r="S173" s="36" t="n">
        <f aca="false">ROUND(P173*R173,0)</f>
        <v>99</v>
      </c>
      <c r="T173" s="37"/>
      <c r="U173" s="31" t="n">
        <v>178</v>
      </c>
      <c r="V173" s="31" t="n">
        <v>243</v>
      </c>
      <c r="W173" s="31" t="n">
        <v>65</v>
      </c>
      <c r="X173" s="31" t="n">
        <v>63</v>
      </c>
      <c r="Y173" s="31"/>
      <c r="Z173" s="38" t="n">
        <f aca="false">合約與計費!$E$4</f>
        <v>2.8</v>
      </c>
      <c r="AA173" s="39" t="n">
        <f aca="false">ROUND(X173*Z173,0)</f>
        <v>176</v>
      </c>
      <c r="AB173" s="40"/>
      <c r="AC173" s="41"/>
      <c r="AD173" s="42"/>
      <c r="AE173" s="43"/>
    </row>
    <row r="174" customFormat="false" ht="16.5" hidden="false" customHeight="true" outlineLevel="0" collapsed="false">
      <c r="A174" s="44" t="n">
        <f aca="false">ROW(A172)</f>
        <v>172</v>
      </c>
      <c r="B174" s="44" t="s">
        <v>462</v>
      </c>
      <c r="C174" s="47" t="n">
        <v>1</v>
      </c>
      <c r="D174" s="29"/>
      <c r="E174" s="45" t="s">
        <v>840</v>
      </c>
      <c r="F174" s="46" t="s">
        <v>838</v>
      </c>
      <c r="G174" s="47" t="s">
        <v>458</v>
      </c>
      <c r="H174" s="47" t="s">
        <v>781</v>
      </c>
      <c r="I174" s="47" t="s">
        <v>75</v>
      </c>
      <c r="J174" s="45" t="s">
        <v>527</v>
      </c>
      <c r="K174" s="48" t="s">
        <v>841</v>
      </c>
      <c r="L174" s="49" t="n">
        <v>45737</v>
      </c>
      <c r="M174" s="47" t="n">
        <v>14317</v>
      </c>
      <c r="N174" s="47" t="n">
        <v>17675</v>
      </c>
      <c r="O174" s="47" t="n">
        <v>3358</v>
      </c>
      <c r="P174" s="47" t="n">
        <v>3257</v>
      </c>
      <c r="Q174" s="47"/>
      <c r="R174" s="50" t="n">
        <f aca="false">合約與計費!$D$4</f>
        <v>0.296</v>
      </c>
      <c r="S174" s="51" t="n">
        <f aca="false">ROUND(P174*R174,0)</f>
        <v>964</v>
      </c>
      <c r="T174" s="52"/>
      <c r="U174" s="47"/>
      <c r="V174" s="47"/>
      <c r="W174" s="53"/>
      <c r="X174" s="47"/>
      <c r="Y174" s="47"/>
      <c r="Z174" s="54"/>
      <c r="AA174" s="55"/>
      <c r="AB174" s="56"/>
      <c r="AC174" s="57"/>
      <c r="AD174" s="42"/>
      <c r="AE174" s="43"/>
    </row>
    <row r="175" customFormat="false" ht="16.5" hidden="false" customHeight="true" outlineLevel="0" collapsed="false">
      <c r="A175" s="44" t="n">
        <f aca="false">ROW(A173)</f>
        <v>173</v>
      </c>
      <c r="B175" s="44" t="s">
        <v>466</v>
      </c>
      <c r="C175" s="47" t="n">
        <v>1</v>
      </c>
      <c r="D175" s="29"/>
      <c r="E175" s="45" t="s">
        <v>842</v>
      </c>
      <c r="F175" s="46" t="s">
        <v>838</v>
      </c>
      <c r="G175" s="47" t="s">
        <v>458</v>
      </c>
      <c r="H175" s="47" t="s">
        <v>781</v>
      </c>
      <c r="I175" s="47" t="s">
        <v>75</v>
      </c>
      <c r="J175" s="45" t="s">
        <v>527</v>
      </c>
      <c r="K175" s="48" t="s">
        <v>843</v>
      </c>
      <c r="L175" s="49" t="n">
        <v>45737</v>
      </c>
      <c r="M175" s="47" t="n">
        <v>4538</v>
      </c>
      <c r="N175" s="47" t="n">
        <v>5528</v>
      </c>
      <c r="O175" s="47" t="n">
        <v>990</v>
      </c>
      <c r="P175" s="47" t="n">
        <v>960</v>
      </c>
      <c r="Q175" s="47"/>
      <c r="R175" s="50" t="n">
        <f aca="false">合約與計費!$D$4</f>
        <v>0.296</v>
      </c>
      <c r="S175" s="51" t="n">
        <f aca="false">ROUND(P175*R175,0)</f>
        <v>284</v>
      </c>
      <c r="T175" s="52"/>
      <c r="U175" s="47"/>
      <c r="V175" s="47"/>
      <c r="W175" s="53"/>
      <c r="X175" s="47"/>
      <c r="Y175" s="47"/>
      <c r="Z175" s="54"/>
      <c r="AA175" s="55"/>
      <c r="AB175" s="56"/>
      <c r="AC175" s="57"/>
      <c r="AD175" s="42"/>
      <c r="AE175" s="43"/>
    </row>
    <row r="176" customFormat="false" ht="16.5" hidden="false" customHeight="true" outlineLevel="0" collapsed="false">
      <c r="A176" s="59" t="n">
        <f aca="false">ROW(A174)</f>
        <v>174</v>
      </c>
      <c r="B176" s="59" t="s">
        <v>469</v>
      </c>
      <c r="C176" s="62" t="n">
        <v>1</v>
      </c>
      <c r="D176" s="29"/>
      <c r="E176" s="60" t="s">
        <v>844</v>
      </c>
      <c r="F176" s="61" t="s">
        <v>838</v>
      </c>
      <c r="G176" s="62" t="s">
        <v>458</v>
      </c>
      <c r="H176" s="62" t="s">
        <v>781</v>
      </c>
      <c r="I176" s="62" t="s">
        <v>75</v>
      </c>
      <c r="J176" s="60" t="s">
        <v>527</v>
      </c>
      <c r="K176" s="63" t="s">
        <v>845</v>
      </c>
      <c r="L176" s="64" t="n">
        <v>45737</v>
      </c>
      <c r="M176" s="62" t="n">
        <v>22294</v>
      </c>
      <c r="N176" s="62" t="n">
        <v>26263</v>
      </c>
      <c r="O176" s="62" t="n">
        <v>3969</v>
      </c>
      <c r="P176" s="62" t="n">
        <v>3850</v>
      </c>
      <c r="Q176" s="62" t="n">
        <f aca="false">ROUND(SUM(P173:P176),2)</f>
        <v>8401</v>
      </c>
      <c r="R176" s="65" t="n">
        <f aca="false">合約與計費!$D$4</f>
        <v>0.296</v>
      </c>
      <c r="S176" s="66" t="n">
        <f aca="false">ROUND(P176*R176,0)</f>
        <v>1140</v>
      </c>
      <c r="T176" s="79" t="n">
        <f aca="false">ROUND(SUM(S173:S176),2)</f>
        <v>2487</v>
      </c>
      <c r="U176" s="62"/>
      <c r="V176" s="62"/>
      <c r="W176" s="67"/>
      <c r="X176" s="62"/>
      <c r="Y176" s="62" t="n">
        <f aca="false">ROUND(SUM(X173:X176),2)</f>
        <v>63</v>
      </c>
      <c r="Z176" s="68"/>
      <c r="AA176" s="77"/>
      <c r="AB176" s="78" t="n">
        <f aca="false">ROUND(SUM(AA173:AA176),2)</f>
        <v>176</v>
      </c>
      <c r="AC176" s="69"/>
      <c r="AD176" s="42"/>
      <c r="AE176" s="43"/>
    </row>
    <row r="177" customFormat="false" ht="16.5" hidden="false" customHeight="true" outlineLevel="0" collapsed="false">
      <c r="A177" s="27" t="n">
        <f aca="false">ROW(A175)</f>
        <v>175</v>
      </c>
      <c r="B177" s="27" t="s">
        <v>455</v>
      </c>
      <c r="C177" s="31" t="n">
        <v>1</v>
      </c>
      <c r="D177" s="29" t="n">
        <v>22</v>
      </c>
      <c r="E177" s="28" t="s">
        <v>846</v>
      </c>
      <c r="F177" s="30" t="s">
        <v>847</v>
      </c>
      <c r="G177" s="31" t="s">
        <v>458</v>
      </c>
      <c r="H177" s="31" t="s">
        <v>781</v>
      </c>
      <c r="I177" s="31" t="s">
        <v>120</v>
      </c>
      <c r="J177" s="28" t="s">
        <v>460</v>
      </c>
      <c r="K177" s="80" t="s">
        <v>848</v>
      </c>
      <c r="L177" s="34" t="n">
        <v>45771</v>
      </c>
      <c r="M177" s="31" t="n">
        <v>149</v>
      </c>
      <c r="N177" s="31" t="n">
        <v>157</v>
      </c>
      <c r="O177" s="31" t="n">
        <v>8</v>
      </c>
      <c r="P177" s="31" t="n">
        <v>8</v>
      </c>
      <c r="Q177" s="31"/>
      <c r="R177" s="35" t="n">
        <f aca="false">合約與計費!$D$4</f>
        <v>0.296</v>
      </c>
      <c r="S177" s="36" t="n">
        <f aca="false">ROUND(P177*R177,0)</f>
        <v>2</v>
      </c>
      <c r="T177" s="37"/>
      <c r="U177" s="31" t="n">
        <v>126</v>
      </c>
      <c r="V177" s="31" t="n">
        <v>133</v>
      </c>
      <c r="W177" s="31" t="n">
        <v>7</v>
      </c>
      <c r="X177" s="31" t="n">
        <v>7</v>
      </c>
      <c r="Y177" s="31"/>
      <c r="Z177" s="38" t="n">
        <f aca="false">合約與計費!$E$4</f>
        <v>2.8</v>
      </c>
      <c r="AA177" s="39" t="n">
        <f aca="false">ROUND(X177*Z177,0)</f>
        <v>20</v>
      </c>
      <c r="AB177" s="40"/>
      <c r="AC177" s="41"/>
      <c r="AD177" s="42"/>
      <c r="AE177" s="43"/>
    </row>
    <row r="178" customFormat="false" ht="16.5" hidden="false" customHeight="true" outlineLevel="0" collapsed="false">
      <c r="A178" s="44" t="n">
        <f aca="false">ROW(A176)</f>
        <v>176</v>
      </c>
      <c r="B178" s="44" t="s">
        <v>462</v>
      </c>
      <c r="C178" s="47" t="n">
        <v>1</v>
      </c>
      <c r="D178" s="29"/>
      <c r="E178" s="45" t="s">
        <v>849</v>
      </c>
      <c r="F178" s="46" t="s">
        <v>847</v>
      </c>
      <c r="G178" s="47" t="s">
        <v>458</v>
      </c>
      <c r="H178" s="47" t="s">
        <v>781</v>
      </c>
      <c r="I178" s="47" t="s">
        <v>120</v>
      </c>
      <c r="J178" s="45" t="s">
        <v>471</v>
      </c>
      <c r="K178" s="48" t="s">
        <v>850</v>
      </c>
      <c r="L178" s="49" t="n">
        <v>45771</v>
      </c>
      <c r="M178" s="47" t="n">
        <v>14016</v>
      </c>
      <c r="N178" s="47" t="n">
        <v>16480</v>
      </c>
      <c r="O178" s="47" t="n">
        <v>2464</v>
      </c>
      <c r="P178" s="47" t="n">
        <v>2390</v>
      </c>
      <c r="Q178" s="47"/>
      <c r="R178" s="50" t="n">
        <f aca="false">合約與計費!$D$4</f>
        <v>0.296</v>
      </c>
      <c r="S178" s="51" t="n">
        <f aca="false">ROUND(P178*R178,0)</f>
        <v>707</v>
      </c>
      <c r="T178" s="52"/>
      <c r="U178" s="47"/>
      <c r="V178" s="47"/>
      <c r="W178" s="53"/>
      <c r="X178" s="47"/>
      <c r="Y178" s="47"/>
      <c r="Z178" s="54"/>
      <c r="AA178" s="55"/>
      <c r="AB178" s="56"/>
      <c r="AC178" s="57"/>
      <c r="AD178" s="42" t="n">
        <v>0.1075</v>
      </c>
      <c r="AE178" s="43" t="n">
        <v>0.6</v>
      </c>
    </row>
    <row r="179" customFormat="false" ht="16.5" hidden="false" customHeight="true" outlineLevel="0" collapsed="false">
      <c r="A179" s="44" t="n">
        <f aca="false">ROW(A177)</f>
        <v>177</v>
      </c>
      <c r="B179" s="44" t="s">
        <v>466</v>
      </c>
      <c r="C179" s="47" t="n">
        <v>1</v>
      </c>
      <c r="D179" s="29"/>
      <c r="E179" s="45" t="s">
        <v>851</v>
      </c>
      <c r="F179" s="46" t="s">
        <v>847</v>
      </c>
      <c r="G179" s="47" t="s">
        <v>458</v>
      </c>
      <c r="H179" s="47" t="s">
        <v>781</v>
      </c>
      <c r="I179" s="47" t="s">
        <v>120</v>
      </c>
      <c r="J179" s="45" t="s">
        <v>471</v>
      </c>
      <c r="K179" s="48" t="s">
        <v>852</v>
      </c>
      <c r="L179" s="49" t="n">
        <v>45771</v>
      </c>
      <c r="M179" s="47" t="n">
        <v>6445</v>
      </c>
      <c r="N179" s="47" t="n">
        <v>7888</v>
      </c>
      <c r="O179" s="47" t="n">
        <v>1443</v>
      </c>
      <c r="P179" s="47" t="n">
        <v>1400</v>
      </c>
      <c r="Q179" s="47"/>
      <c r="R179" s="50" t="n">
        <f aca="false">合約與計費!$D$4</f>
        <v>0.296</v>
      </c>
      <c r="S179" s="51" t="n">
        <f aca="false">ROUND(P179*R179,0)</f>
        <v>414</v>
      </c>
      <c r="T179" s="52"/>
      <c r="U179" s="47"/>
      <c r="V179" s="47"/>
      <c r="W179" s="53"/>
      <c r="X179" s="47"/>
      <c r="Y179" s="47"/>
      <c r="Z179" s="54"/>
      <c r="AA179" s="55"/>
      <c r="AB179" s="56"/>
      <c r="AC179" s="57"/>
      <c r="AD179" s="42" t="n">
        <v>0.1795</v>
      </c>
      <c r="AE179" s="43" t="n">
        <v>0.2</v>
      </c>
    </row>
    <row r="180" customFormat="false" ht="16.5" hidden="false" customHeight="true" outlineLevel="0" collapsed="false">
      <c r="A180" s="44" t="n">
        <f aca="false">ROW(A178)</f>
        <v>178</v>
      </c>
      <c r="B180" s="44" t="s">
        <v>469</v>
      </c>
      <c r="C180" s="47" t="n">
        <v>1</v>
      </c>
      <c r="D180" s="29"/>
      <c r="E180" s="45" t="s">
        <v>853</v>
      </c>
      <c r="F180" s="46" t="s">
        <v>847</v>
      </c>
      <c r="G180" s="47" t="s">
        <v>458</v>
      </c>
      <c r="H180" s="47" t="s">
        <v>781</v>
      </c>
      <c r="I180" s="47" t="s">
        <v>120</v>
      </c>
      <c r="J180" s="45" t="s">
        <v>471</v>
      </c>
      <c r="K180" s="48" t="s">
        <v>854</v>
      </c>
      <c r="L180" s="49" t="n">
        <v>45771</v>
      </c>
      <c r="M180" s="47" t="n">
        <v>5553</v>
      </c>
      <c r="N180" s="47" t="n">
        <v>6699</v>
      </c>
      <c r="O180" s="47" t="n">
        <v>1146</v>
      </c>
      <c r="P180" s="47" t="n">
        <v>1112</v>
      </c>
      <c r="Q180" s="47"/>
      <c r="R180" s="50" t="n">
        <f aca="false">合約與計費!$D$4</f>
        <v>0.296</v>
      </c>
      <c r="S180" s="51" t="n">
        <f aca="false">ROUND(P180*R180,0)</f>
        <v>329</v>
      </c>
      <c r="T180" s="52"/>
      <c r="U180" s="47"/>
      <c r="V180" s="47"/>
      <c r="W180" s="53"/>
      <c r="X180" s="47"/>
      <c r="Y180" s="47"/>
      <c r="Z180" s="54"/>
      <c r="AA180" s="55"/>
      <c r="AB180" s="56"/>
      <c r="AC180" s="57"/>
      <c r="AD180" s="42" t="n">
        <v>0.0407</v>
      </c>
      <c r="AE180" s="43" t="n">
        <v>0.9</v>
      </c>
    </row>
    <row r="181" customFormat="false" ht="16.5" hidden="false" customHeight="true" outlineLevel="0" collapsed="false">
      <c r="A181" s="44" t="n">
        <f aca="false">ROW(A179)</f>
        <v>179</v>
      </c>
      <c r="B181" s="44" t="s">
        <v>473</v>
      </c>
      <c r="C181" s="47" t="n">
        <v>1</v>
      </c>
      <c r="D181" s="29"/>
      <c r="E181" s="45" t="s">
        <v>855</v>
      </c>
      <c r="F181" s="46" t="s">
        <v>847</v>
      </c>
      <c r="G181" s="47" t="s">
        <v>458</v>
      </c>
      <c r="H181" s="47" t="s">
        <v>781</v>
      </c>
      <c r="I181" s="47" t="s">
        <v>120</v>
      </c>
      <c r="J181" s="45" t="s">
        <v>471</v>
      </c>
      <c r="K181" s="48" t="s">
        <v>856</v>
      </c>
      <c r="L181" s="49" t="n">
        <v>45771</v>
      </c>
      <c r="M181" s="47" t="n">
        <v>15162</v>
      </c>
      <c r="N181" s="47" t="n">
        <v>18768</v>
      </c>
      <c r="O181" s="47" t="n">
        <v>3606</v>
      </c>
      <c r="P181" s="47" t="n">
        <v>3498</v>
      </c>
      <c r="Q181" s="47"/>
      <c r="R181" s="50" t="n">
        <f aca="false">合約與計費!$D$4</f>
        <v>0.296</v>
      </c>
      <c r="S181" s="51" t="n">
        <f aca="false">ROUND(P181*R181,0)</f>
        <v>1035</v>
      </c>
      <c r="T181" s="52"/>
      <c r="U181" s="47"/>
      <c r="V181" s="47"/>
      <c r="W181" s="53"/>
      <c r="X181" s="47"/>
      <c r="Y181" s="47"/>
      <c r="Z181" s="54"/>
      <c r="AA181" s="55"/>
      <c r="AB181" s="56"/>
      <c r="AC181" s="57"/>
      <c r="AD181" s="42" t="n">
        <v>0.108</v>
      </c>
      <c r="AE181" s="43" t="n">
        <v>0.5</v>
      </c>
    </row>
    <row r="182" customFormat="false" ht="16.5" hidden="false" customHeight="true" outlineLevel="0" collapsed="false">
      <c r="A182" s="59" t="n">
        <f aca="false">ROW(A180)</f>
        <v>180</v>
      </c>
      <c r="B182" s="59" t="s">
        <v>476</v>
      </c>
      <c r="C182" s="62" t="n">
        <v>1</v>
      </c>
      <c r="D182" s="29"/>
      <c r="E182" s="60" t="s">
        <v>857</v>
      </c>
      <c r="F182" s="61" t="s">
        <v>847</v>
      </c>
      <c r="G182" s="62" t="s">
        <v>458</v>
      </c>
      <c r="H182" s="62" t="s">
        <v>781</v>
      </c>
      <c r="I182" s="62" t="s">
        <v>120</v>
      </c>
      <c r="J182" s="60" t="s">
        <v>471</v>
      </c>
      <c r="K182" s="63" t="s">
        <v>858</v>
      </c>
      <c r="L182" s="64" t="n">
        <v>45771</v>
      </c>
      <c r="M182" s="62" t="n">
        <v>846</v>
      </c>
      <c r="N182" s="62" t="n">
        <v>936</v>
      </c>
      <c r="O182" s="62" t="n">
        <v>90</v>
      </c>
      <c r="P182" s="62" t="n">
        <v>87</v>
      </c>
      <c r="Q182" s="62" t="n">
        <f aca="false">ROUND(SUM(P177:P182),2)</f>
        <v>8495</v>
      </c>
      <c r="R182" s="65" t="n">
        <f aca="false">合約與計費!$D$4</f>
        <v>0.296</v>
      </c>
      <c r="S182" s="66" t="n">
        <f aca="false">ROUND(P182*R182,0)</f>
        <v>26</v>
      </c>
      <c r="T182" s="79" t="n">
        <f aca="false">ROUND(SUM(S177:S182),2)</f>
        <v>2513</v>
      </c>
      <c r="U182" s="62"/>
      <c r="V182" s="62"/>
      <c r="W182" s="67"/>
      <c r="X182" s="62"/>
      <c r="Y182" s="62" t="n">
        <f aca="false">ROUND(SUM(X177:X182),2)</f>
        <v>7</v>
      </c>
      <c r="Z182" s="68"/>
      <c r="AA182" s="77"/>
      <c r="AB182" s="78" t="n">
        <f aca="false">ROUND(SUM(AA177:AA182),2)</f>
        <v>20</v>
      </c>
      <c r="AC182" s="69"/>
      <c r="AD182" s="42" t="n">
        <v>0.2688</v>
      </c>
      <c r="AE182" s="43" t="n">
        <v>0.5</v>
      </c>
    </row>
    <row r="183" customFormat="false" ht="16.5" hidden="false" customHeight="true" outlineLevel="0" collapsed="false">
      <c r="A183" s="27" t="n">
        <f aca="false">ROW(A181)</f>
        <v>181</v>
      </c>
      <c r="B183" s="27" t="s">
        <v>455</v>
      </c>
      <c r="C183" s="31" t="n">
        <v>1</v>
      </c>
      <c r="D183" s="29" t="n">
        <v>23</v>
      </c>
      <c r="E183" s="28" t="s">
        <v>859</v>
      </c>
      <c r="F183" s="30" t="s">
        <v>860</v>
      </c>
      <c r="G183" s="31" t="s">
        <v>458</v>
      </c>
      <c r="H183" s="31" t="s">
        <v>781</v>
      </c>
      <c r="I183" s="31" t="s">
        <v>121</v>
      </c>
      <c r="J183" s="28" t="s">
        <v>460</v>
      </c>
      <c r="K183" s="80" t="s">
        <v>861</v>
      </c>
      <c r="L183" s="34" t="n">
        <v>45734</v>
      </c>
      <c r="M183" s="31" t="n">
        <v>159</v>
      </c>
      <c r="N183" s="31" t="n">
        <v>165</v>
      </c>
      <c r="O183" s="31" t="n">
        <v>6</v>
      </c>
      <c r="P183" s="31" t="n">
        <v>6</v>
      </c>
      <c r="Q183" s="31"/>
      <c r="R183" s="35" t="n">
        <f aca="false">合約與計費!$D$4</f>
        <v>0.296</v>
      </c>
      <c r="S183" s="36" t="n">
        <f aca="false">ROUND(P183*R183,0)</f>
        <v>2</v>
      </c>
      <c r="T183" s="37"/>
      <c r="U183" s="31" t="n">
        <v>250</v>
      </c>
      <c r="V183" s="31" t="n">
        <v>279</v>
      </c>
      <c r="W183" s="31" t="n">
        <v>29</v>
      </c>
      <c r="X183" s="31" t="n">
        <v>28</v>
      </c>
      <c r="Y183" s="31"/>
      <c r="Z183" s="38" t="n">
        <f aca="false">合約與計費!$E$4</f>
        <v>2.8</v>
      </c>
      <c r="AA183" s="39" t="n">
        <f aca="false">ROUND(X183*Z183,0)</f>
        <v>78</v>
      </c>
      <c r="AB183" s="40"/>
      <c r="AC183" s="41"/>
      <c r="AD183" s="42"/>
      <c r="AE183" s="43"/>
    </row>
    <row r="184" customFormat="false" ht="16.5" hidden="false" customHeight="true" outlineLevel="0" collapsed="false">
      <c r="A184" s="44" t="n">
        <f aca="false">ROW(A182)</f>
        <v>182</v>
      </c>
      <c r="B184" s="44" t="s">
        <v>462</v>
      </c>
      <c r="C184" s="47" t="n">
        <v>1</v>
      </c>
      <c r="D184" s="29"/>
      <c r="E184" s="45" t="s">
        <v>862</v>
      </c>
      <c r="F184" s="46" t="s">
        <v>860</v>
      </c>
      <c r="G184" s="47" t="s">
        <v>458</v>
      </c>
      <c r="H184" s="47" t="s">
        <v>781</v>
      </c>
      <c r="I184" s="47" t="s">
        <v>121</v>
      </c>
      <c r="J184" s="45" t="s">
        <v>527</v>
      </c>
      <c r="K184" s="48" t="s">
        <v>863</v>
      </c>
      <c r="L184" s="49" t="n">
        <v>45734</v>
      </c>
      <c r="M184" s="47" t="n">
        <v>13225</v>
      </c>
      <c r="N184" s="47" t="n">
        <v>15643</v>
      </c>
      <c r="O184" s="47" t="n">
        <v>2418</v>
      </c>
      <c r="P184" s="47" t="n">
        <v>2345</v>
      </c>
      <c r="Q184" s="47"/>
      <c r="R184" s="50" t="n">
        <f aca="false">合約與計費!$D$4</f>
        <v>0.296</v>
      </c>
      <c r="S184" s="51" t="n">
        <f aca="false">ROUND(P184*R184,0)</f>
        <v>694</v>
      </c>
      <c r="T184" s="52"/>
      <c r="U184" s="47"/>
      <c r="V184" s="47"/>
      <c r="W184" s="53"/>
      <c r="X184" s="47"/>
      <c r="Y184" s="47"/>
      <c r="Z184" s="54"/>
      <c r="AA184" s="55"/>
      <c r="AB184" s="56"/>
      <c r="AC184" s="57"/>
      <c r="AD184" s="42"/>
      <c r="AE184" s="43"/>
    </row>
    <row r="185" customFormat="false" ht="16.5" hidden="false" customHeight="true" outlineLevel="0" collapsed="false">
      <c r="A185" s="44" t="n">
        <f aca="false">ROW(A183)</f>
        <v>183</v>
      </c>
      <c r="B185" s="44" t="s">
        <v>466</v>
      </c>
      <c r="C185" s="47" t="n">
        <v>1</v>
      </c>
      <c r="D185" s="29"/>
      <c r="E185" s="45" t="s">
        <v>864</v>
      </c>
      <c r="F185" s="46" t="s">
        <v>860</v>
      </c>
      <c r="G185" s="47" t="s">
        <v>458</v>
      </c>
      <c r="H185" s="47" t="s">
        <v>781</v>
      </c>
      <c r="I185" s="47" t="s">
        <v>121</v>
      </c>
      <c r="J185" s="45" t="s">
        <v>527</v>
      </c>
      <c r="K185" s="48" t="s">
        <v>865</v>
      </c>
      <c r="L185" s="49" t="n">
        <v>45734</v>
      </c>
      <c r="M185" s="47" t="n">
        <v>4744</v>
      </c>
      <c r="N185" s="47" t="n">
        <v>5449</v>
      </c>
      <c r="O185" s="47" t="n">
        <v>705</v>
      </c>
      <c r="P185" s="47" t="n">
        <v>684</v>
      </c>
      <c r="Q185" s="47"/>
      <c r="R185" s="50" t="n">
        <f aca="false">合約與計費!$D$4</f>
        <v>0.296</v>
      </c>
      <c r="S185" s="51" t="n">
        <f aca="false">ROUND(P185*R185,0)</f>
        <v>202</v>
      </c>
      <c r="T185" s="52"/>
      <c r="U185" s="47"/>
      <c r="V185" s="47"/>
      <c r="W185" s="53"/>
      <c r="X185" s="47"/>
      <c r="Y185" s="47"/>
      <c r="Z185" s="54"/>
      <c r="AA185" s="55"/>
      <c r="AB185" s="56"/>
      <c r="AC185" s="57"/>
      <c r="AD185" s="42"/>
      <c r="AE185" s="43"/>
    </row>
    <row r="186" customFormat="false" ht="16.5" hidden="false" customHeight="true" outlineLevel="0" collapsed="false">
      <c r="A186" s="44" t="n">
        <f aca="false">ROW(A184)</f>
        <v>184</v>
      </c>
      <c r="B186" s="44" t="s">
        <v>469</v>
      </c>
      <c r="C186" s="47" t="n">
        <v>1</v>
      </c>
      <c r="D186" s="29"/>
      <c r="E186" s="45" t="s">
        <v>866</v>
      </c>
      <c r="F186" s="46" t="s">
        <v>860</v>
      </c>
      <c r="G186" s="47" t="s">
        <v>458</v>
      </c>
      <c r="H186" s="47" t="s">
        <v>781</v>
      </c>
      <c r="I186" s="47" t="s">
        <v>121</v>
      </c>
      <c r="J186" s="45" t="s">
        <v>527</v>
      </c>
      <c r="K186" s="48" t="s">
        <v>867</v>
      </c>
      <c r="L186" s="49" t="n">
        <v>45734</v>
      </c>
      <c r="M186" s="47" t="n">
        <v>1234</v>
      </c>
      <c r="N186" s="47" t="n">
        <v>1481</v>
      </c>
      <c r="O186" s="47" t="n">
        <v>247</v>
      </c>
      <c r="P186" s="47" t="n">
        <v>240</v>
      </c>
      <c r="Q186" s="47"/>
      <c r="R186" s="50" t="n">
        <f aca="false">合約與計費!$D$4</f>
        <v>0.296</v>
      </c>
      <c r="S186" s="51" t="n">
        <f aca="false">ROUND(P186*R186,0)</f>
        <v>71</v>
      </c>
      <c r="T186" s="52"/>
      <c r="U186" s="47"/>
      <c r="V186" s="47"/>
      <c r="W186" s="53"/>
      <c r="X186" s="47"/>
      <c r="Y186" s="47"/>
      <c r="Z186" s="54"/>
      <c r="AA186" s="55"/>
      <c r="AB186" s="56"/>
      <c r="AC186" s="57"/>
      <c r="AD186" s="42"/>
      <c r="AE186" s="43"/>
    </row>
    <row r="187" customFormat="false" ht="16.5" hidden="false" customHeight="true" outlineLevel="0" collapsed="false">
      <c r="A187" s="59" t="n">
        <f aca="false">ROW(A185)</f>
        <v>185</v>
      </c>
      <c r="B187" s="59" t="s">
        <v>473</v>
      </c>
      <c r="C187" s="62" t="n">
        <v>1</v>
      </c>
      <c r="D187" s="29"/>
      <c r="E187" s="60" t="s">
        <v>868</v>
      </c>
      <c r="F187" s="61" t="s">
        <v>860</v>
      </c>
      <c r="G187" s="62" t="s">
        <v>458</v>
      </c>
      <c r="H187" s="62" t="s">
        <v>781</v>
      </c>
      <c r="I187" s="62" t="s">
        <v>121</v>
      </c>
      <c r="J187" s="60" t="s">
        <v>527</v>
      </c>
      <c r="K187" s="63" t="s">
        <v>869</v>
      </c>
      <c r="L187" s="64" t="n">
        <v>45734</v>
      </c>
      <c r="M187" s="62" t="n">
        <v>20451</v>
      </c>
      <c r="N187" s="62" t="n">
        <v>24081</v>
      </c>
      <c r="O187" s="62" t="n">
        <v>3630</v>
      </c>
      <c r="P187" s="62" t="n">
        <v>3521</v>
      </c>
      <c r="Q187" s="62" t="n">
        <f aca="false">ROUND(SUM(P183:P187),2)</f>
        <v>6796</v>
      </c>
      <c r="R187" s="65" t="n">
        <f aca="false">合約與計費!$D$4</f>
        <v>0.296</v>
      </c>
      <c r="S187" s="66" t="n">
        <f aca="false">ROUND(P187*R187,0)</f>
        <v>1042</v>
      </c>
      <c r="T187" s="79" t="n">
        <f aca="false">ROUND(SUM(S183:S187),2)</f>
        <v>2011</v>
      </c>
      <c r="U187" s="62"/>
      <c r="V187" s="62"/>
      <c r="W187" s="67"/>
      <c r="X187" s="62"/>
      <c r="Y187" s="62" t="n">
        <f aca="false">ROUND(SUM(X183:X187),2)</f>
        <v>28</v>
      </c>
      <c r="Z187" s="68"/>
      <c r="AA187" s="77"/>
      <c r="AB187" s="78" t="n">
        <f aca="false">ROUND(SUM(AA183:AA187),2)</f>
        <v>78</v>
      </c>
      <c r="AC187" s="69"/>
      <c r="AD187" s="42"/>
      <c r="AE187" s="43"/>
    </row>
    <row r="188" customFormat="false" ht="16.5" hidden="false" customHeight="true" outlineLevel="0" collapsed="false">
      <c r="A188" s="27" t="n">
        <f aca="false">ROW(A186)</f>
        <v>186</v>
      </c>
      <c r="B188" s="27" t="s">
        <v>455</v>
      </c>
      <c r="C188" s="31" t="n">
        <v>1</v>
      </c>
      <c r="D188" s="29" t="n">
        <v>24</v>
      </c>
      <c r="E188" s="28" t="s">
        <v>870</v>
      </c>
      <c r="F188" s="30" t="s">
        <v>871</v>
      </c>
      <c r="G188" s="31" t="s">
        <v>458</v>
      </c>
      <c r="H188" s="31" t="s">
        <v>781</v>
      </c>
      <c r="I188" s="31" t="s">
        <v>125</v>
      </c>
      <c r="J188" s="28" t="s">
        <v>460</v>
      </c>
      <c r="K188" s="80" t="s">
        <v>872</v>
      </c>
      <c r="L188" s="34" t="n">
        <v>45733</v>
      </c>
      <c r="M188" s="31" t="n">
        <v>372</v>
      </c>
      <c r="N188" s="31" t="n">
        <v>412</v>
      </c>
      <c r="O188" s="31" t="n">
        <v>40</v>
      </c>
      <c r="P188" s="31" t="n">
        <v>39</v>
      </c>
      <c r="Q188" s="31"/>
      <c r="R188" s="35" t="n">
        <f aca="false">合約與計費!$D$4</f>
        <v>0.296</v>
      </c>
      <c r="S188" s="36" t="n">
        <f aca="false">ROUND(P188*R188,0)</f>
        <v>12</v>
      </c>
      <c r="T188" s="37"/>
      <c r="U188" s="31" t="n">
        <v>77</v>
      </c>
      <c r="V188" s="31" t="n">
        <v>84</v>
      </c>
      <c r="W188" s="31" t="n">
        <v>7</v>
      </c>
      <c r="X188" s="31" t="n">
        <v>7</v>
      </c>
      <c r="Y188" s="31"/>
      <c r="Z188" s="38" t="n">
        <f aca="false">合約與計費!$E$4</f>
        <v>2.8</v>
      </c>
      <c r="AA188" s="39" t="n">
        <f aca="false">ROUND(X188*Z188,0)</f>
        <v>20</v>
      </c>
      <c r="AB188" s="40"/>
      <c r="AC188" s="41"/>
      <c r="AD188" s="42"/>
      <c r="AE188" s="43"/>
    </row>
    <row r="189" customFormat="false" ht="16.5" hidden="false" customHeight="true" outlineLevel="0" collapsed="false">
      <c r="A189" s="44" t="n">
        <f aca="false">ROW(A187)</f>
        <v>187</v>
      </c>
      <c r="B189" s="44" t="s">
        <v>462</v>
      </c>
      <c r="C189" s="47" t="n">
        <v>1</v>
      </c>
      <c r="D189" s="29"/>
      <c r="E189" s="45" t="s">
        <v>873</v>
      </c>
      <c r="F189" s="46" t="s">
        <v>871</v>
      </c>
      <c r="G189" s="47" t="s">
        <v>458</v>
      </c>
      <c r="H189" s="47" t="s">
        <v>781</v>
      </c>
      <c r="I189" s="47" t="s">
        <v>125</v>
      </c>
      <c r="J189" s="45" t="s">
        <v>527</v>
      </c>
      <c r="K189" s="48" t="s">
        <v>874</v>
      </c>
      <c r="L189" s="49" t="n">
        <v>45733</v>
      </c>
      <c r="M189" s="47" t="n">
        <v>11656</v>
      </c>
      <c r="N189" s="47" t="n">
        <v>13947</v>
      </c>
      <c r="O189" s="47" t="n">
        <v>2291</v>
      </c>
      <c r="P189" s="47" t="n">
        <v>2222</v>
      </c>
      <c r="Q189" s="47"/>
      <c r="R189" s="50" t="n">
        <f aca="false">合約與計費!$D$4</f>
        <v>0.296</v>
      </c>
      <c r="S189" s="51" t="n">
        <f aca="false">ROUND(P189*R189,0)</f>
        <v>658</v>
      </c>
      <c r="T189" s="52"/>
      <c r="U189" s="47"/>
      <c r="V189" s="47"/>
      <c r="W189" s="53"/>
      <c r="X189" s="47"/>
      <c r="Y189" s="47"/>
      <c r="Z189" s="54"/>
      <c r="AA189" s="55"/>
      <c r="AB189" s="56"/>
      <c r="AC189" s="57"/>
      <c r="AD189" s="42"/>
      <c r="AE189" s="43"/>
    </row>
    <row r="190" customFormat="false" ht="16.5" hidden="false" customHeight="true" outlineLevel="0" collapsed="false">
      <c r="A190" s="44" t="n">
        <f aca="false">ROW(A188)</f>
        <v>188</v>
      </c>
      <c r="B190" s="44" t="s">
        <v>466</v>
      </c>
      <c r="C190" s="47" t="n">
        <v>1</v>
      </c>
      <c r="D190" s="29"/>
      <c r="E190" s="45" t="s">
        <v>875</v>
      </c>
      <c r="F190" s="46" t="s">
        <v>871</v>
      </c>
      <c r="G190" s="47" t="s">
        <v>458</v>
      </c>
      <c r="H190" s="47" t="s">
        <v>781</v>
      </c>
      <c r="I190" s="47" t="s">
        <v>125</v>
      </c>
      <c r="J190" s="45" t="s">
        <v>527</v>
      </c>
      <c r="K190" s="48" t="s">
        <v>876</v>
      </c>
      <c r="L190" s="49" t="n">
        <v>45733</v>
      </c>
      <c r="M190" s="47" t="n">
        <v>6867</v>
      </c>
      <c r="N190" s="47" t="n">
        <v>7883</v>
      </c>
      <c r="O190" s="47" t="n">
        <v>1016</v>
      </c>
      <c r="P190" s="47" t="n">
        <v>986</v>
      </c>
      <c r="Q190" s="47"/>
      <c r="R190" s="50" t="n">
        <f aca="false">合約與計費!$D$4</f>
        <v>0.296</v>
      </c>
      <c r="S190" s="51" t="n">
        <f aca="false">ROUND(P190*R190,0)</f>
        <v>292</v>
      </c>
      <c r="T190" s="52"/>
      <c r="U190" s="47"/>
      <c r="V190" s="47"/>
      <c r="W190" s="53"/>
      <c r="X190" s="47"/>
      <c r="Y190" s="47"/>
      <c r="Z190" s="54"/>
      <c r="AA190" s="55"/>
      <c r="AB190" s="56"/>
      <c r="AC190" s="57"/>
      <c r="AD190" s="42"/>
      <c r="AE190" s="43"/>
    </row>
    <row r="191" customFormat="false" ht="16.5" hidden="false" customHeight="true" outlineLevel="0" collapsed="false">
      <c r="A191" s="44" t="n">
        <f aca="false">ROW(A189)</f>
        <v>189</v>
      </c>
      <c r="B191" s="44" t="s">
        <v>469</v>
      </c>
      <c r="C191" s="47" t="n">
        <v>1</v>
      </c>
      <c r="D191" s="29"/>
      <c r="E191" s="45" t="s">
        <v>877</v>
      </c>
      <c r="F191" s="46" t="s">
        <v>871</v>
      </c>
      <c r="G191" s="47" t="s">
        <v>458</v>
      </c>
      <c r="H191" s="47" t="s">
        <v>781</v>
      </c>
      <c r="I191" s="47" t="s">
        <v>125</v>
      </c>
      <c r="J191" s="45" t="s">
        <v>527</v>
      </c>
      <c r="K191" s="48" t="s">
        <v>878</v>
      </c>
      <c r="L191" s="49" t="n">
        <v>45733</v>
      </c>
      <c r="M191" s="47" t="n">
        <v>21081</v>
      </c>
      <c r="N191" s="47" t="n">
        <v>24792</v>
      </c>
      <c r="O191" s="47" t="n">
        <v>3711</v>
      </c>
      <c r="P191" s="47" t="n">
        <v>3600</v>
      </c>
      <c r="Q191" s="47"/>
      <c r="R191" s="50" t="n">
        <f aca="false">合約與計費!$D$4</f>
        <v>0.296</v>
      </c>
      <c r="S191" s="51" t="n">
        <f aca="false">ROUND(P191*R191,0)</f>
        <v>1066</v>
      </c>
      <c r="T191" s="52"/>
      <c r="U191" s="47"/>
      <c r="V191" s="47"/>
      <c r="W191" s="53"/>
      <c r="X191" s="47"/>
      <c r="Y191" s="47"/>
      <c r="Z191" s="54"/>
      <c r="AA191" s="55"/>
      <c r="AB191" s="56"/>
      <c r="AC191" s="57"/>
      <c r="AD191" s="42"/>
      <c r="AE191" s="43"/>
    </row>
    <row r="192" customFormat="false" ht="16.5" hidden="false" customHeight="true" outlineLevel="0" collapsed="false">
      <c r="A192" s="59" t="n">
        <f aca="false">ROW(A190)</f>
        <v>190</v>
      </c>
      <c r="B192" s="59" t="s">
        <v>473</v>
      </c>
      <c r="C192" s="62" t="n">
        <v>1</v>
      </c>
      <c r="D192" s="29"/>
      <c r="E192" s="60" t="s">
        <v>879</v>
      </c>
      <c r="F192" s="61" t="s">
        <v>871</v>
      </c>
      <c r="G192" s="62" t="s">
        <v>458</v>
      </c>
      <c r="H192" s="62" t="s">
        <v>781</v>
      </c>
      <c r="I192" s="62" t="s">
        <v>125</v>
      </c>
      <c r="J192" s="60" t="s">
        <v>527</v>
      </c>
      <c r="K192" s="63" t="s">
        <v>880</v>
      </c>
      <c r="L192" s="64" t="n">
        <v>45733</v>
      </c>
      <c r="M192" s="62" t="n">
        <v>1447</v>
      </c>
      <c r="N192" s="62" t="n">
        <v>1564</v>
      </c>
      <c r="O192" s="62" t="n">
        <v>117</v>
      </c>
      <c r="P192" s="62" t="n">
        <v>113</v>
      </c>
      <c r="Q192" s="62" t="n">
        <f aca="false">ROUND(SUM(P188:P192),2)</f>
        <v>6960</v>
      </c>
      <c r="R192" s="65" t="n">
        <f aca="false">合約與計費!$D$4</f>
        <v>0.296</v>
      </c>
      <c r="S192" s="66" t="n">
        <f aca="false">ROUND(P192*R192,0)</f>
        <v>33</v>
      </c>
      <c r="T192" s="79" t="n">
        <f aca="false">ROUND(SUM(S188:S192),2)</f>
        <v>2061</v>
      </c>
      <c r="U192" s="62"/>
      <c r="V192" s="62"/>
      <c r="W192" s="67"/>
      <c r="X192" s="62"/>
      <c r="Y192" s="62" t="n">
        <f aca="false">ROUND(SUM(X188:X192),2)</f>
        <v>7</v>
      </c>
      <c r="Z192" s="68"/>
      <c r="AA192" s="77"/>
      <c r="AB192" s="78" t="n">
        <f aca="false">ROUND(SUM(AA188:AA192),2)</f>
        <v>20</v>
      </c>
      <c r="AC192" s="69"/>
      <c r="AD192" s="42"/>
      <c r="AE192" s="43"/>
    </row>
    <row r="193" customFormat="false" ht="16.5" hidden="false" customHeight="true" outlineLevel="0" collapsed="false">
      <c r="A193" s="27" t="n">
        <f aca="false">ROW(A191)</f>
        <v>191</v>
      </c>
      <c r="B193" s="27" t="s">
        <v>455</v>
      </c>
      <c r="C193" s="31" t="n">
        <v>1</v>
      </c>
      <c r="D193" s="29" t="n">
        <v>25</v>
      </c>
      <c r="E193" s="28" t="s">
        <v>881</v>
      </c>
      <c r="F193" s="30" t="s">
        <v>882</v>
      </c>
      <c r="G193" s="31" t="s">
        <v>458</v>
      </c>
      <c r="H193" s="31" t="s">
        <v>781</v>
      </c>
      <c r="I193" s="31" t="s">
        <v>241</v>
      </c>
      <c r="J193" s="28" t="s">
        <v>460</v>
      </c>
      <c r="K193" s="80" t="s">
        <v>883</v>
      </c>
      <c r="L193" s="34" t="n">
        <v>45761</v>
      </c>
      <c r="M193" s="31" t="n">
        <v>664</v>
      </c>
      <c r="N193" s="31" t="n">
        <v>867</v>
      </c>
      <c r="O193" s="31" t="n">
        <v>203</v>
      </c>
      <c r="P193" s="31" t="n">
        <v>197</v>
      </c>
      <c r="Q193" s="31"/>
      <c r="R193" s="35" t="n">
        <f aca="false">合約與計費!$D$4</f>
        <v>0.296</v>
      </c>
      <c r="S193" s="36" t="n">
        <f aca="false">ROUND(P193*R193,0)</f>
        <v>58</v>
      </c>
      <c r="T193" s="37"/>
      <c r="U193" s="31" t="n">
        <v>462</v>
      </c>
      <c r="V193" s="31" t="n">
        <v>550</v>
      </c>
      <c r="W193" s="31" t="n">
        <v>88</v>
      </c>
      <c r="X193" s="31" t="n">
        <v>85</v>
      </c>
      <c r="Y193" s="31"/>
      <c r="Z193" s="38" t="n">
        <f aca="false">合約與計費!$E$4</f>
        <v>2.8</v>
      </c>
      <c r="AA193" s="39" t="n">
        <f aca="false">ROUND(X193*Z193,0)</f>
        <v>238</v>
      </c>
      <c r="AB193" s="40"/>
      <c r="AC193" s="41"/>
      <c r="AD193" s="42"/>
      <c r="AE193" s="43"/>
    </row>
    <row r="194" customFormat="false" ht="16.5" hidden="false" customHeight="true" outlineLevel="0" collapsed="false">
      <c r="A194" s="44" t="n">
        <f aca="false">ROW(A192)</f>
        <v>192</v>
      </c>
      <c r="B194" s="44" t="s">
        <v>462</v>
      </c>
      <c r="C194" s="47" t="n">
        <v>1</v>
      </c>
      <c r="D194" s="29"/>
      <c r="E194" s="45" t="s">
        <v>884</v>
      </c>
      <c r="F194" s="46" t="s">
        <v>882</v>
      </c>
      <c r="G194" s="47" t="s">
        <v>458</v>
      </c>
      <c r="H194" s="47" t="s">
        <v>781</v>
      </c>
      <c r="I194" s="47" t="s">
        <v>241</v>
      </c>
      <c r="J194" s="45" t="s">
        <v>527</v>
      </c>
      <c r="K194" s="48" t="s">
        <v>885</v>
      </c>
      <c r="L194" s="49" t="n">
        <v>45761</v>
      </c>
      <c r="M194" s="47" t="n">
        <v>25466</v>
      </c>
      <c r="N194" s="47" t="n">
        <v>30231</v>
      </c>
      <c r="O194" s="47" t="n">
        <v>4765</v>
      </c>
      <c r="P194" s="47" t="n">
        <v>4622</v>
      </c>
      <c r="Q194" s="47"/>
      <c r="R194" s="50" t="n">
        <f aca="false">合約與計費!$D$4</f>
        <v>0.296</v>
      </c>
      <c r="S194" s="51" t="n">
        <f aca="false">ROUND(P194*R194,0)</f>
        <v>1368</v>
      </c>
      <c r="T194" s="52"/>
      <c r="U194" s="47"/>
      <c r="V194" s="47"/>
      <c r="W194" s="53"/>
      <c r="X194" s="47"/>
      <c r="Y194" s="47"/>
      <c r="Z194" s="54"/>
      <c r="AA194" s="55"/>
      <c r="AB194" s="56"/>
      <c r="AC194" s="57"/>
      <c r="AD194" s="42"/>
      <c r="AE194" s="43"/>
    </row>
    <row r="195" customFormat="false" ht="16.5" hidden="false" customHeight="true" outlineLevel="0" collapsed="false">
      <c r="A195" s="44" t="n">
        <f aca="false">ROW(A193)</f>
        <v>193</v>
      </c>
      <c r="B195" s="44" t="s">
        <v>466</v>
      </c>
      <c r="C195" s="47" t="n">
        <v>1</v>
      </c>
      <c r="D195" s="29"/>
      <c r="E195" s="45" t="s">
        <v>886</v>
      </c>
      <c r="F195" s="46" t="s">
        <v>882</v>
      </c>
      <c r="G195" s="47" t="s">
        <v>458</v>
      </c>
      <c r="H195" s="47" t="s">
        <v>781</v>
      </c>
      <c r="I195" s="47" t="s">
        <v>241</v>
      </c>
      <c r="J195" s="45" t="s">
        <v>527</v>
      </c>
      <c r="K195" s="48" t="s">
        <v>887</v>
      </c>
      <c r="L195" s="49" t="n">
        <v>45761</v>
      </c>
      <c r="M195" s="47" t="n">
        <v>8558</v>
      </c>
      <c r="N195" s="47" t="n">
        <v>9897</v>
      </c>
      <c r="O195" s="47" t="n">
        <v>1339</v>
      </c>
      <c r="P195" s="47" t="n">
        <v>1299</v>
      </c>
      <c r="Q195" s="47"/>
      <c r="R195" s="50" t="n">
        <f aca="false">合約與計費!$D$4</f>
        <v>0.296</v>
      </c>
      <c r="S195" s="51" t="n">
        <f aca="false">ROUND(P195*R195,0)</f>
        <v>385</v>
      </c>
      <c r="T195" s="52"/>
      <c r="U195" s="47"/>
      <c r="V195" s="47"/>
      <c r="W195" s="53"/>
      <c r="X195" s="47"/>
      <c r="Y195" s="47"/>
      <c r="Z195" s="54"/>
      <c r="AA195" s="55"/>
      <c r="AB195" s="56"/>
      <c r="AC195" s="57"/>
      <c r="AD195" s="42"/>
      <c r="AE195" s="43"/>
    </row>
    <row r="196" customFormat="false" ht="16.5" hidden="false" customHeight="true" outlineLevel="0" collapsed="false">
      <c r="A196" s="59" t="n">
        <f aca="false">ROW(A194)</f>
        <v>194</v>
      </c>
      <c r="B196" s="59" t="s">
        <v>469</v>
      </c>
      <c r="C196" s="62" t="n">
        <v>1</v>
      </c>
      <c r="D196" s="29"/>
      <c r="E196" s="60" t="s">
        <v>888</v>
      </c>
      <c r="F196" s="61" t="s">
        <v>882</v>
      </c>
      <c r="G196" s="62" t="s">
        <v>458</v>
      </c>
      <c r="H196" s="62" t="s">
        <v>781</v>
      </c>
      <c r="I196" s="62" t="s">
        <v>241</v>
      </c>
      <c r="J196" s="60" t="s">
        <v>527</v>
      </c>
      <c r="K196" s="63" t="s">
        <v>889</v>
      </c>
      <c r="L196" s="64" t="n">
        <v>45761</v>
      </c>
      <c r="M196" s="62" t="n">
        <v>21114</v>
      </c>
      <c r="N196" s="62" t="n">
        <v>25230</v>
      </c>
      <c r="O196" s="62" t="n">
        <v>4116</v>
      </c>
      <c r="P196" s="62" t="n">
        <v>3993</v>
      </c>
      <c r="Q196" s="62" t="n">
        <f aca="false">ROUND(SUM(P193:P196),2)</f>
        <v>10111</v>
      </c>
      <c r="R196" s="65" t="n">
        <f aca="false">合約與計費!$D$4</f>
        <v>0.296</v>
      </c>
      <c r="S196" s="66" t="n">
        <f aca="false">ROUND(P196*R196,0)</f>
        <v>1182</v>
      </c>
      <c r="T196" s="79" t="n">
        <f aca="false">ROUND(SUM(S193:S196),2)</f>
        <v>2993</v>
      </c>
      <c r="U196" s="62"/>
      <c r="V196" s="62"/>
      <c r="W196" s="67"/>
      <c r="X196" s="62"/>
      <c r="Y196" s="62" t="n">
        <f aca="false">ROUND(SUM(X193:X196),2)</f>
        <v>85</v>
      </c>
      <c r="Z196" s="68"/>
      <c r="AA196" s="77"/>
      <c r="AB196" s="78" t="n">
        <f aca="false">ROUND(SUM(AA193:AA196),2)</f>
        <v>238</v>
      </c>
      <c r="AC196" s="69"/>
      <c r="AD196" s="42"/>
      <c r="AE196" s="43"/>
    </row>
    <row r="197" customFormat="false" ht="16.5" hidden="false" customHeight="true" outlineLevel="0" collapsed="false">
      <c r="A197" s="27" t="n">
        <f aca="false">ROW(A195)</f>
        <v>195</v>
      </c>
      <c r="B197" s="27" t="s">
        <v>455</v>
      </c>
      <c r="C197" s="31" t="n">
        <v>1</v>
      </c>
      <c r="D197" s="29" t="n">
        <v>317</v>
      </c>
      <c r="E197" s="70" t="s">
        <v>890</v>
      </c>
      <c r="F197" s="30" t="s">
        <v>891</v>
      </c>
      <c r="G197" s="31" t="s">
        <v>458</v>
      </c>
      <c r="H197" s="31" t="s">
        <v>781</v>
      </c>
      <c r="I197" s="71" t="s">
        <v>245</v>
      </c>
      <c r="J197" s="28" t="s">
        <v>460</v>
      </c>
      <c r="K197" s="80" t="s">
        <v>892</v>
      </c>
      <c r="L197" s="34" t="n">
        <v>45779</v>
      </c>
      <c r="M197" s="31" t="n">
        <v>117</v>
      </c>
      <c r="N197" s="31" t="n">
        <v>130</v>
      </c>
      <c r="O197" s="31" t="n">
        <v>13</v>
      </c>
      <c r="P197" s="31" t="n">
        <v>13</v>
      </c>
      <c r="Q197" s="31"/>
      <c r="R197" s="35" t="n">
        <f aca="false">合約與計費!$D$4</f>
        <v>0.296</v>
      </c>
      <c r="S197" s="36" t="n">
        <f aca="false">ROUND(P197*R197,0)</f>
        <v>4</v>
      </c>
      <c r="T197" s="37"/>
      <c r="U197" s="31" t="n">
        <v>120</v>
      </c>
      <c r="V197" s="31" t="n">
        <v>159</v>
      </c>
      <c r="W197" s="31" t="n">
        <v>39</v>
      </c>
      <c r="X197" s="31" t="n">
        <v>38</v>
      </c>
      <c r="Y197" s="31"/>
      <c r="Z197" s="38" t="n">
        <f aca="false">合約與計費!$E$4</f>
        <v>2.8</v>
      </c>
      <c r="AA197" s="39" t="n">
        <f aca="false">ROUND(X197*Z197,0)</f>
        <v>106</v>
      </c>
      <c r="AB197" s="40"/>
      <c r="AC197" s="41"/>
      <c r="AD197" s="42"/>
      <c r="AE197" s="43"/>
    </row>
    <row r="198" customFormat="false" ht="16.5" hidden="false" customHeight="true" outlineLevel="0" collapsed="false">
      <c r="A198" s="59" t="n">
        <f aca="false">ROW(A196)</f>
        <v>196</v>
      </c>
      <c r="B198" s="59" t="s">
        <v>462</v>
      </c>
      <c r="C198" s="62" t="n">
        <v>1</v>
      </c>
      <c r="D198" s="29"/>
      <c r="E198" s="75" t="s">
        <v>893</v>
      </c>
      <c r="F198" s="61" t="s">
        <v>891</v>
      </c>
      <c r="G198" s="62" t="s">
        <v>458</v>
      </c>
      <c r="H198" s="62" t="s">
        <v>781</v>
      </c>
      <c r="I198" s="76" t="s">
        <v>245</v>
      </c>
      <c r="J198" s="60" t="s">
        <v>464</v>
      </c>
      <c r="K198" s="63" t="s">
        <v>894</v>
      </c>
      <c r="L198" s="64" t="n">
        <v>45779</v>
      </c>
      <c r="M198" s="62" t="n">
        <v>4284</v>
      </c>
      <c r="N198" s="62" t="n">
        <v>5545</v>
      </c>
      <c r="O198" s="62" t="n">
        <v>1261</v>
      </c>
      <c r="P198" s="62" t="n">
        <v>1223</v>
      </c>
      <c r="Q198" s="62" t="n">
        <f aca="false">ROUND(SUM(P197:P198),2)</f>
        <v>1236</v>
      </c>
      <c r="R198" s="65" t="n">
        <f aca="false">合約與計費!$D$4</f>
        <v>0.296</v>
      </c>
      <c r="S198" s="66" t="n">
        <f aca="false">ROUND(P198*R198,0)</f>
        <v>362</v>
      </c>
      <c r="T198" s="79" t="n">
        <f aca="false">ROUND(SUM(S197:S198),2)</f>
        <v>366</v>
      </c>
      <c r="U198" s="62"/>
      <c r="V198" s="62"/>
      <c r="W198" s="67"/>
      <c r="X198" s="62"/>
      <c r="Y198" s="62" t="n">
        <f aca="false">ROUND(SUM(X197:X198),2)</f>
        <v>38</v>
      </c>
      <c r="Z198" s="68"/>
      <c r="AA198" s="77"/>
      <c r="AB198" s="78" t="n">
        <f aca="false">ROUND(SUM(AA197:AA198),2)</f>
        <v>106</v>
      </c>
      <c r="AC198" s="69"/>
      <c r="AD198" s="42" t="n">
        <v>0.0699</v>
      </c>
      <c r="AE198" s="43" t="n">
        <v>0.6</v>
      </c>
    </row>
    <row r="199" customFormat="false" ht="16.5" hidden="false" customHeight="true" outlineLevel="0" collapsed="false">
      <c r="A199" s="27" t="n">
        <f aca="false">ROW(A197)</f>
        <v>197</v>
      </c>
      <c r="B199" s="27" t="s">
        <v>455</v>
      </c>
      <c r="C199" s="31" t="n">
        <v>1</v>
      </c>
      <c r="D199" s="29" t="n">
        <v>319</v>
      </c>
      <c r="E199" s="70" t="s">
        <v>895</v>
      </c>
      <c r="F199" s="30" t="s">
        <v>896</v>
      </c>
      <c r="G199" s="31" t="s">
        <v>458</v>
      </c>
      <c r="H199" s="31" t="s">
        <v>781</v>
      </c>
      <c r="I199" s="71" t="s">
        <v>301</v>
      </c>
      <c r="J199" s="28" t="s">
        <v>460</v>
      </c>
      <c r="K199" s="80" t="s">
        <v>897</v>
      </c>
      <c r="L199" s="34" t="n">
        <v>45733</v>
      </c>
      <c r="M199" s="31" t="n">
        <v>259</v>
      </c>
      <c r="N199" s="31" t="n">
        <v>375</v>
      </c>
      <c r="O199" s="31" t="n">
        <v>116</v>
      </c>
      <c r="P199" s="31" t="n">
        <v>113</v>
      </c>
      <c r="Q199" s="31"/>
      <c r="R199" s="35" t="n">
        <f aca="false">合約與計費!$D$4</f>
        <v>0.296</v>
      </c>
      <c r="S199" s="36" t="n">
        <f aca="false">ROUND(P199*R199,0)</f>
        <v>33</v>
      </c>
      <c r="T199" s="37"/>
      <c r="U199" s="31" t="n">
        <v>199</v>
      </c>
      <c r="V199" s="31" t="n">
        <v>240</v>
      </c>
      <c r="W199" s="31" t="n">
        <v>41</v>
      </c>
      <c r="X199" s="31" t="n">
        <v>40</v>
      </c>
      <c r="Y199" s="31"/>
      <c r="Z199" s="38" t="n">
        <f aca="false">合約與計費!$E$4</f>
        <v>2.8</v>
      </c>
      <c r="AA199" s="39" t="n">
        <f aca="false">ROUND(X199*Z199,0)</f>
        <v>112</v>
      </c>
      <c r="AB199" s="40"/>
      <c r="AC199" s="41"/>
      <c r="AD199" s="42"/>
      <c r="AE199" s="43"/>
    </row>
    <row r="200" customFormat="false" ht="16.5" hidden="false" customHeight="true" outlineLevel="0" collapsed="false">
      <c r="A200" s="59" t="n">
        <f aca="false">ROW(A198)</f>
        <v>198</v>
      </c>
      <c r="B200" s="59" t="s">
        <v>462</v>
      </c>
      <c r="C200" s="62" t="n">
        <v>1</v>
      </c>
      <c r="D200" s="29"/>
      <c r="E200" s="75" t="s">
        <v>898</v>
      </c>
      <c r="F200" s="61" t="s">
        <v>896</v>
      </c>
      <c r="G200" s="62" t="s">
        <v>458</v>
      </c>
      <c r="H200" s="62" t="s">
        <v>781</v>
      </c>
      <c r="I200" s="76" t="s">
        <v>301</v>
      </c>
      <c r="J200" s="60" t="s">
        <v>464</v>
      </c>
      <c r="K200" s="63" t="s">
        <v>899</v>
      </c>
      <c r="L200" s="64" t="n">
        <v>45733</v>
      </c>
      <c r="M200" s="62" t="n">
        <v>2422</v>
      </c>
      <c r="N200" s="62" t="n">
        <v>3085</v>
      </c>
      <c r="O200" s="62" t="n">
        <v>663</v>
      </c>
      <c r="P200" s="62" t="n">
        <v>643</v>
      </c>
      <c r="Q200" s="62" t="n">
        <f aca="false">ROUND(SUM(P199:P200),2)</f>
        <v>756</v>
      </c>
      <c r="R200" s="65" t="n">
        <f aca="false">合約與計費!$D$4</f>
        <v>0.296</v>
      </c>
      <c r="S200" s="66" t="n">
        <f aca="false">ROUND(P200*R200,0)</f>
        <v>190</v>
      </c>
      <c r="T200" s="79" t="n">
        <f aca="false">ROUND(SUM(S199:S200),2)</f>
        <v>223</v>
      </c>
      <c r="U200" s="62"/>
      <c r="V200" s="62"/>
      <c r="W200" s="67"/>
      <c r="X200" s="62"/>
      <c r="Y200" s="62" t="n">
        <f aca="false">ROUND(SUM(X199:X200),2)</f>
        <v>40</v>
      </c>
      <c r="Z200" s="68"/>
      <c r="AA200" s="77"/>
      <c r="AB200" s="78" t="n">
        <f aca="false">ROUND(SUM(AA199:AA200),2)</f>
        <v>112</v>
      </c>
      <c r="AC200" s="69"/>
      <c r="AD200" s="42" t="n">
        <v>0.0758</v>
      </c>
      <c r="AE200" s="43" t="n">
        <v>0.9</v>
      </c>
    </row>
    <row r="201" customFormat="false" ht="16.5" hidden="false" customHeight="true" outlineLevel="0" collapsed="false">
      <c r="A201" s="27" t="n">
        <f aca="false">ROW(A199)</f>
        <v>199</v>
      </c>
      <c r="B201" s="27" t="s">
        <v>455</v>
      </c>
      <c r="C201" s="31" t="n">
        <v>1</v>
      </c>
      <c r="D201" s="29" t="n">
        <v>6</v>
      </c>
      <c r="E201" s="28" t="s">
        <v>900</v>
      </c>
      <c r="F201" s="30" t="s">
        <v>901</v>
      </c>
      <c r="G201" s="31" t="s">
        <v>458</v>
      </c>
      <c r="H201" s="31" t="s">
        <v>902</v>
      </c>
      <c r="I201" s="31" t="s">
        <v>235</v>
      </c>
      <c r="J201" s="28" t="s">
        <v>460</v>
      </c>
      <c r="K201" s="33" t="s">
        <v>903</v>
      </c>
      <c r="L201" s="34" t="n">
        <v>45748</v>
      </c>
      <c r="M201" s="31" t="n">
        <v>51</v>
      </c>
      <c r="N201" s="31" t="n">
        <v>75</v>
      </c>
      <c r="O201" s="31" t="n">
        <v>24</v>
      </c>
      <c r="P201" s="31" t="n">
        <v>23</v>
      </c>
      <c r="Q201" s="31"/>
      <c r="R201" s="35" t="n">
        <f aca="false">合約與計費!$D$4</f>
        <v>0.296</v>
      </c>
      <c r="S201" s="36" t="n">
        <f aca="false">ROUND(P201*R201,0)</f>
        <v>7</v>
      </c>
      <c r="T201" s="37"/>
      <c r="U201" s="31" t="n">
        <v>618</v>
      </c>
      <c r="V201" s="31" t="n">
        <v>809</v>
      </c>
      <c r="W201" s="31" t="n">
        <v>191</v>
      </c>
      <c r="X201" s="31" t="n">
        <v>185</v>
      </c>
      <c r="Y201" s="31"/>
      <c r="Z201" s="38" t="n">
        <f aca="false">合約與計費!$E$4</f>
        <v>2.8</v>
      </c>
      <c r="AA201" s="39" t="n">
        <f aca="false">ROUND(X201*Z201,0)</f>
        <v>518</v>
      </c>
      <c r="AB201" s="40"/>
      <c r="AC201" s="41"/>
      <c r="AD201" s="42"/>
      <c r="AE201" s="43"/>
    </row>
    <row r="202" customFormat="false" ht="16.5" hidden="false" customHeight="true" outlineLevel="0" collapsed="false">
      <c r="A202" s="44" t="n">
        <f aca="false">ROW(A200)</f>
        <v>200</v>
      </c>
      <c r="B202" s="44" t="s">
        <v>462</v>
      </c>
      <c r="C202" s="47" t="n">
        <v>1</v>
      </c>
      <c r="D202" s="29"/>
      <c r="E202" s="45" t="s">
        <v>904</v>
      </c>
      <c r="F202" s="46" t="s">
        <v>901</v>
      </c>
      <c r="G202" s="47" t="s">
        <v>458</v>
      </c>
      <c r="H202" s="47" t="s">
        <v>902</v>
      </c>
      <c r="I202" s="47" t="s">
        <v>235</v>
      </c>
      <c r="J202" s="45" t="s">
        <v>464</v>
      </c>
      <c r="K202" s="48" t="s">
        <v>905</v>
      </c>
      <c r="L202" s="49" t="n">
        <v>45748</v>
      </c>
      <c r="M202" s="47" t="n">
        <v>2382</v>
      </c>
      <c r="N202" s="47" t="n">
        <v>2868</v>
      </c>
      <c r="O202" s="47" t="n">
        <v>486</v>
      </c>
      <c r="P202" s="47" t="n">
        <v>471</v>
      </c>
      <c r="Q202" s="47"/>
      <c r="R202" s="50" t="n">
        <f aca="false">合約與計費!$D$4</f>
        <v>0.296</v>
      </c>
      <c r="S202" s="51" t="n">
        <f aca="false">ROUND(P202*R202,0)</f>
        <v>139</v>
      </c>
      <c r="T202" s="52"/>
      <c r="U202" s="47"/>
      <c r="V202" s="47"/>
      <c r="W202" s="53"/>
      <c r="X202" s="47"/>
      <c r="Y202" s="47"/>
      <c r="Z202" s="54"/>
      <c r="AA202" s="55"/>
      <c r="AB202" s="56"/>
      <c r="AC202" s="57"/>
      <c r="AD202" s="42" t="n">
        <v>0.0749</v>
      </c>
      <c r="AE202" s="43" t="n">
        <v>1</v>
      </c>
    </row>
    <row r="203" customFormat="false" ht="16.5" hidden="false" customHeight="true" outlineLevel="0" collapsed="false">
      <c r="A203" s="44" t="n">
        <f aca="false">ROW(A201)</f>
        <v>201</v>
      </c>
      <c r="B203" s="44" t="s">
        <v>466</v>
      </c>
      <c r="C203" s="47" t="n">
        <v>1</v>
      </c>
      <c r="D203" s="29"/>
      <c r="E203" s="45" t="s">
        <v>906</v>
      </c>
      <c r="F203" s="46" t="s">
        <v>901</v>
      </c>
      <c r="G203" s="47" t="s">
        <v>458</v>
      </c>
      <c r="H203" s="47" t="s">
        <v>902</v>
      </c>
      <c r="I203" s="47" t="s">
        <v>235</v>
      </c>
      <c r="J203" s="45" t="s">
        <v>471</v>
      </c>
      <c r="K203" s="48" t="s">
        <v>907</v>
      </c>
      <c r="L203" s="49" t="n">
        <v>45748</v>
      </c>
      <c r="M203" s="47" t="n">
        <v>6120</v>
      </c>
      <c r="N203" s="47" t="n">
        <v>7260</v>
      </c>
      <c r="O203" s="47" t="n">
        <v>1140</v>
      </c>
      <c r="P203" s="47" t="n">
        <v>1106</v>
      </c>
      <c r="Q203" s="47"/>
      <c r="R203" s="50" t="n">
        <f aca="false">合約與計費!$D$4</f>
        <v>0.296</v>
      </c>
      <c r="S203" s="51" t="n">
        <f aca="false">ROUND(P203*R203,0)</f>
        <v>327</v>
      </c>
      <c r="T203" s="52"/>
      <c r="U203" s="47"/>
      <c r="V203" s="47"/>
      <c r="W203" s="53"/>
      <c r="X203" s="47"/>
      <c r="Y203" s="47"/>
      <c r="Z203" s="54"/>
      <c r="AA203" s="55"/>
      <c r="AB203" s="56"/>
      <c r="AC203" s="57"/>
      <c r="AD203" s="42" t="n">
        <v>0.1023</v>
      </c>
      <c r="AE203" s="43" t="n">
        <v>0.2</v>
      </c>
    </row>
    <row r="204" customFormat="false" ht="16.5" hidden="false" customHeight="true" outlineLevel="0" collapsed="false">
      <c r="A204" s="44" t="n">
        <f aca="false">ROW(A202)</f>
        <v>202</v>
      </c>
      <c r="B204" s="44" t="s">
        <v>469</v>
      </c>
      <c r="C204" s="47" t="n">
        <v>1</v>
      </c>
      <c r="D204" s="29"/>
      <c r="E204" s="45" t="s">
        <v>908</v>
      </c>
      <c r="F204" s="46" t="s">
        <v>901</v>
      </c>
      <c r="G204" s="47" t="s">
        <v>458</v>
      </c>
      <c r="H204" s="47" t="s">
        <v>902</v>
      </c>
      <c r="I204" s="47" t="s">
        <v>235</v>
      </c>
      <c r="J204" s="45" t="s">
        <v>471</v>
      </c>
      <c r="K204" s="48" t="s">
        <v>909</v>
      </c>
      <c r="L204" s="49" t="n">
        <v>45748</v>
      </c>
      <c r="M204" s="47" t="n">
        <v>8756</v>
      </c>
      <c r="N204" s="47" t="n">
        <v>10419</v>
      </c>
      <c r="O204" s="47" t="n">
        <v>1663</v>
      </c>
      <c r="P204" s="47" t="n">
        <v>1613</v>
      </c>
      <c r="Q204" s="47"/>
      <c r="R204" s="50" t="n">
        <f aca="false">合約與計費!$D$4</f>
        <v>0.296</v>
      </c>
      <c r="S204" s="51" t="n">
        <f aca="false">ROUND(P204*R204,0)</f>
        <v>477</v>
      </c>
      <c r="T204" s="52"/>
      <c r="U204" s="47"/>
      <c r="V204" s="47"/>
      <c r="W204" s="53"/>
      <c r="X204" s="47"/>
      <c r="Y204" s="47"/>
      <c r="Z204" s="54"/>
      <c r="AA204" s="55"/>
      <c r="AB204" s="56"/>
      <c r="AC204" s="57"/>
      <c r="AD204" s="42" t="n">
        <v>0.0998</v>
      </c>
      <c r="AE204" s="43" t="n">
        <v>1</v>
      </c>
    </row>
    <row r="205" customFormat="false" ht="16.5" hidden="false" customHeight="true" outlineLevel="0" collapsed="false">
      <c r="A205" s="44" t="n">
        <f aca="false">ROW(A203)</f>
        <v>203</v>
      </c>
      <c r="B205" s="44" t="s">
        <v>473</v>
      </c>
      <c r="C205" s="47" t="n">
        <v>1</v>
      </c>
      <c r="D205" s="29"/>
      <c r="E205" s="45" t="s">
        <v>910</v>
      </c>
      <c r="F205" s="46" t="s">
        <v>901</v>
      </c>
      <c r="G205" s="47" t="s">
        <v>458</v>
      </c>
      <c r="H205" s="47" t="s">
        <v>902</v>
      </c>
      <c r="I205" s="47" t="s">
        <v>235</v>
      </c>
      <c r="J205" s="45" t="s">
        <v>471</v>
      </c>
      <c r="K205" s="48" t="s">
        <v>911</v>
      </c>
      <c r="L205" s="49" t="n">
        <v>45748</v>
      </c>
      <c r="M205" s="47" t="n">
        <v>7430</v>
      </c>
      <c r="N205" s="47" t="n">
        <v>8433</v>
      </c>
      <c r="O205" s="47" t="n">
        <v>1003</v>
      </c>
      <c r="P205" s="47" t="n">
        <v>973</v>
      </c>
      <c r="Q205" s="47"/>
      <c r="R205" s="50" t="n">
        <f aca="false">合約與計費!$D$4</f>
        <v>0.296</v>
      </c>
      <c r="S205" s="51" t="n">
        <f aca="false">ROUND(P205*R205,0)</f>
        <v>288</v>
      </c>
      <c r="T205" s="52"/>
      <c r="U205" s="47"/>
      <c r="V205" s="47"/>
      <c r="W205" s="53"/>
      <c r="X205" s="47"/>
      <c r="Y205" s="47"/>
      <c r="Z205" s="54"/>
      <c r="AA205" s="55"/>
      <c r="AB205" s="56"/>
      <c r="AC205" s="57"/>
      <c r="AD205" s="42" t="n">
        <v>0.1926</v>
      </c>
      <c r="AE205" s="43" t="n">
        <v>0.8</v>
      </c>
    </row>
    <row r="206" customFormat="false" ht="16.5" hidden="false" customHeight="true" outlineLevel="0" collapsed="false">
      <c r="A206" s="44" t="n">
        <f aca="false">ROW(A204)</f>
        <v>204</v>
      </c>
      <c r="B206" s="44" t="s">
        <v>476</v>
      </c>
      <c r="C206" s="47" t="n">
        <v>1</v>
      </c>
      <c r="D206" s="29"/>
      <c r="E206" s="45" t="s">
        <v>912</v>
      </c>
      <c r="F206" s="46" t="s">
        <v>901</v>
      </c>
      <c r="G206" s="47" t="s">
        <v>458</v>
      </c>
      <c r="H206" s="47" t="s">
        <v>902</v>
      </c>
      <c r="I206" s="47" t="s">
        <v>235</v>
      </c>
      <c r="J206" s="45" t="s">
        <v>471</v>
      </c>
      <c r="K206" s="48" t="s">
        <v>913</v>
      </c>
      <c r="L206" s="49" t="n">
        <v>45748</v>
      </c>
      <c r="M206" s="47" t="n">
        <v>7306</v>
      </c>
      <c r="N206" s="47" t="n">
        <v>7818</v>
      </c>
      <c r="O206" s="47" t="n">
        <v>512</v>
      </c>
      <c r="P206" s="47" t="n">
        <v>497</v>
      </c>
      <c r="Q206" s="47"/>
      <c r="R206" s="50" t="n">
        <f aca="false">合約與計費!$D$4</f>
        <v>0.296</v>
      </c>
      <c r="S206" s="51" t="n">
        <f aca="false">ROUND(P206*R206,0)</f>
        <v>147</v>
      </c>
      <c r="T206" s="52"/>
      <c r="U206" s="47"/>
      <c r="V206" s="47"/>
      <c r="W206" s="53"/>
      <c r="X206" s="47"/>
      <c r="Y206" s="47"/>
      <c r="Z206" s="54"/>
      <c r="AA206" s="55"/>
      <c r="AB206" s="56"/>
      <c r="AC206" s="57"/>
      <c r="AD206" s="42" t="n">
        <v>0.0976</v>
      </c>
      <c r="AE206" s="43" t="n">
        <v>0.6</v>
      </c>
    </row>
    <row r="207" customFormat="false" ht="16.5" hidden="false" customHeight="true" outlineLevel="0" collapsed="false">
      <c r="A207" s="44" t="n">
        <f aca="false">ROW(A205)</f>
        <v>205</v>
      </c>
      <c r="B207" s="44" t="s">
        <v>479</v>
      </c>
      <c r="C207" s="47" t="n">
        <v>1</v>
      </c>
      <c r="D207" s="29"/>
      <c r="E207" s="45" t="s">
        <v>914</v>
      </c>
      <c r="F207" s="46" t="s">
        <v>901</v>
      </c>
      <c r="G207" s="47" t="s">
        <v>458</v>
      </c>
      <c r="H207" s="47" t="s">
        <v>902</v>
      </c>
      <c r="I207" s="47" t="s">
        <v>235</v>
      </c>
      <c r="J207" s="45" t="s">
        <v>471</v>
      </c>
      <c r="K207" s="48" t="s">
        <v>915</v>
      </c>
      <c r="L207" s="49" t="n">
        <v>45748</v>
      </c>
      <c r="M207" s="47" t="n">
        <v>10444</v>
      </c>
      <c r="N207" s="47" t="n">
        <v>12927</v>
      </c>
      <c r="O207" s="47" t="n">
        <v>2483</v>
      </c>
      <c r="P207" s="47" t="n">
        <v>2409</v>
      </c>
      <c r="Q207" s="47"/>
      <c r="R207" s="50" t="n">
        <f aca="false">合約與計費!$D$4</f>
        <v>0.296</v>
      </c>
      <c r="S207" s="51" t="n">
        <f aca="false">ROUND(P207*R207,0)</f>
        <v>713</v>
      </c>
      <c r="T207" s="52"/>
      <c r="U207" s="47"/>
      <c r="V207" s="47"/>
      <c r="W207" s="53"/>
      <c r="X207" s="47"/>
      <c r="Y207" s="47"/>
      <c r="Z207" s="54"/>
      <c r="AA207" s="55"/>
      <c r="AB207" s="56"/>
      <c r="AC207" s="57"/>
      <c r="AD207" s="42" t="n">
        <v>0.1719</v>
      </c>
      <c r="AE207" s="43" t="n">
        <v>0.1</v>
      </c>
    </row>
    <row r="208" customFormat="false" ht="16.5" hidden="false" customHeight="true" outlineLevel="0" collapsed="false">
      <c r="A208" s="44" t="n">
        <f aca="false">ROW(A206)</f>
        <v>206</v>
      </c>
      <c r="B208" s="44" t="s">
        <v>482</v>
      </c>
      <c r="C208" s="47" t="n">
        <v>1</v>
      </c>
      <c r="D208" s="29"/>
      <c r="E208" s="45" t="s">
        <v>916</v>
      </c>
      <c r="F208" s="46" t="s">
        <v>901</v>
      </c>
      <c r="G208" s="47" t="s">
        <v>458</v>
      </c>
      <c r="H208" s="47" t="s">
        <v>902</v>
      </c>
      <c r="I208" s="47" t="s">
        <v>235</v>
      </c>
      <c r="J208" s="45" t="s">
        <v>471</v>
      </c>
      <c r="K208" s="48" t="s">
        <v>917</v>
      </c>
      <c r="L208" s="49" t="n">
        <v>45748</v>
      </c>
      <c r="M208" s="47" t="n">
        <v>10927</v>
      </c>
      <c r="N208" s="47" t="n">
        <v>12579</v>
      </c>
      <c r="O208" s="47" t="n">
        <v>1652</v>
      </c>
      <c r="P208" s="47" t="n">
        <v>1602</v>
      </c>
      <c r="Q208" s="47"/>
      <c r="R208" s="50" t="n">
        <f aca="false">合約與計費!$D$4</f>
        <v>0.296</v>
      </c>
      <c r="S208" s="51" t="n">
        <f aca="false">ROUND(P208*R208,0)</f>
        <v>474</v>
      </c>
      <c r="T208" s="52"/>
      <c r="U208" s="47"/>
      <c r="V208" s="47"/>
      <c r="W208" s="53"/>
      <c r="X208" s="47"/>
      <c r="Y208" s="47"/>
      <c r="Z208" s="54"/>
      <c r="AA208" s="55"/>
      <c r="AB208" s="56"/>
      <c r="AC208" s="57"/>
      <c r="AD208" s="42" t="n">
        <v>0.1046</v>
      </c>
      <c r="AE208" s="43" t="n">
        <v>0.1</v>
      </c>
    </row>
    <row r="209" customFormat="false" ht="16.5" hidden="false" customHeight="true" outlineLevel="0" collapsed="false">
      <c r="A209" s="44" t="n">
        <f aca="false">ROW(A207)</f>
        <v>207</v>
      </c>
      <c r="B209" s="44" t="s">
        <v>485</v>
      </c>
      <c r="C209" s="47" t="n">
        <v>1</v>
      </c>
      <c r="D209" s="29"/>
      <c r="E209" s="45" t="s">
        <v>918</v>
      </c>
      <c r="F209" s="46" t="s">
        <v>901</v>
      </c>
      <c r="G209" s="47" t="s">
        <v>458</v>
      </c>
      <c r="H209" s="47" t="s">
        <v>902</v>
      </c>
      <c r="I209" s="47" t="s">
        <v>235</v>
      </c>
      <c r="J209" s="45" t="s">
        <v>471</v>
      </c>
      <c r="K209" s="48" t="s">
        <v>919</v>
      </c>
      <c r="L209" s="49" t="n">
        <v>45748</v>
      </c>
      <c r="M209" s="47" t="n">
        <v>203</v>
      </c>
      <c r="N209" s="47" t="n">
        <v>767</v>
      </c>
      <c r="O209" s="47" t="n">
        <v>564</v>
      </c>
      <c r="P209" s="47" t="n">
        <v>547</v>
      </c>
      <c r="Q209" s="47"/>
      <c r="R209" s="50" t="n">
        <f aca="false">合約與計費!$D$4</f>
        <v>0.296</v>
      </c>
      <c r="S209" s="51" t="n">
        <f aca="false">ROUND(P209*R209,0)</f>
        <v>162</v>
      </c>
      <c r="T209" s="52"/>
      <c r="U209" s="47"/>
      <c r="V209" s="47"/>
      <c r="W209" s="53"/>
      <c r="X209" s="47"/>
      <c r="Y209" s="47"/>
      <c r="Z209" s="54"/>
      <c r="AA209" s="55"/>
      <c r="AB209" s="56"/>
      <c r="AC209" s="57"/>
      <c r="AD209" s="42" t="n">
        <v>0.1006</v>
      </c>
      <c r="AE209" s="43" t="n">
        <v>0.9</v>
      </c>
    </row>
    <row r="210" customFormat="false" ht="16.5" hidden="false" customHeight="true" outlineLevel="0" collapsed="false">
      <c r="A210" s="44" t="n">
        <f aca="false">ROW(A208)</f>
        <v>208</v>
      </c>
      <c r="B210" s="44" t="n">
        <v>10</v>
      </c>
      <c r="C210" s="47" t="n">
        <v>1</v>
      </c>
      <c r="D210" s="29"/>
      <c r="E210" s="45" t="s">
        <v>920</v>
      </c>
      <c r="F210" s="46" t="s">
        <v>901</v>
      </c>
      <c r="G210" s="47" t="s">
        <v>458</v>
      </c>
      <c r="H210" s="47" t="s">
        <v>902</v>
      </c>
      <c r="I210" s="47" t="s">
        <v>235</v>
      </c>
      <c r="J210" s="45" t="s">
        <v>471</v>
      </c>
      <c r="K210" s="48" t="s">
        <v>921</v>
      </c>
      <c r="L210" s="49" t="n">
        <v>45748</v>
      </c>
      <c r="M210" s="47" t="n">
        <v>5500</v>
      </c>
      <c r="N210" s="47" t="n">
        <v>6964</v>
      </c>
      <c r="O210" s="47" t="n">
        <v>1464</v>
      </c>
      <c r="P210" s="47" t="n">
        <v>1420</v>
      </c>
      <c r="Q210" s="47"/>
      <c r="R210" s="50" t="n">
        <f aca="false">合約與計費!$D$4</f>
        <v>0.296</v>
      </c>
      <c r="S210" s="51" t="n">
        <f aca="false">ROUND(P210*R210,0)</f>
        <v>420</v>
      </c>
      <c r="T210" s="52"/>
      <c r="U210" s="47"/>
      <c r="V210" s="47"/>
      <c r="W210" s="53"/>
      <c r="X210" s="47"/>
      <c r="Y210" s="47"/>
      <c r="Z210" s="54"/>
      <c r="AA210" s="55"/>
      <c r="AB210" s="56"/>
      <c r="AC210" s="57"/>
      <c r="AD210" s="42" t="n">
        <v>0.0777</v>
      </c>
      <c r="AE210" s="43" t="n">
        <v>0.5</v>
      </c>
    </row>
    <row r="211" customFormat="false" ht="16.5" hidden="false" customHeight="true" outlineLevel="0" collapsed="false">
      <c r="A211" s="44" t="n">
        <f aca="false">ROW(A209)</f>
        <v>209</v>
      </c>
      <c r="B211" s="44" t="n">
        <v>11</v>
      </c>
      <c r="C211" s="47" t="n">
        <v>1</v>
      </c>
      <c r="D211" s="29"/>
      <c r="E211" s="45" t="s">
        <v>922</v>
      </c>
      <c r="F211" s="46" t="s">
        <v>901</v>
      </c>
      <c r="G211" s="47" t="s">
        <v>458</v>
      </c>
      <c r="H211" s="47" t="s">
        <v>902</v>
      </c>
      <c r="I211" s="47" t="s">
        <v>235</v>
      </c>
      <c r="J211" s="45" t="s">
        <v>471</v>
      </c>
      <c r="K211" s="48" t="s">
        <v>923</v>
      </c>
      <c r="L211" s="49" t="n">
        <v>45748</v>
      </c>
      <c r="M211" s="47" t="n">
        <v>3277</v>
      </c>
      <c r="N211" s="47" t="n">
        <v>5391</v>
      </c>
      <c r="O211" s="47" t="n">
        <v>2114</v>
      </c>
      <c r="P211" s="47" t="n">
        <v>2051</v>
      </c>
      <c r="Q211" s="47"/>
      <c r="R211" s="50" t="n">
        <f aca="false">合約與計費!$D$4</f>
        <v>0.296</v>
      </c>
      <c r="S211" s="51" t="n">
        <f aca="false">ROUND(P211*R211,0)</f>
        <v>607</v>
      </c>
      <c r="T211" s="52"/>
      <c r="U211" s="47"/>
      <c r="V211" s="47"/>
      <c r="W211" s="53"/>
      <c r="X211" s="47"/>
      <c r="Y211" s="47"/>
      <c r="Z211" s="54"/>
      <c r="AA211" s="55"/>
      <c r="AB211" s="56"/>
      <c r="AC211" s="57"/>
      <c r="AD211" s="42" t="n">
        <v>0.0928</v>
      </c>
      <c r="AE211" s="43" t="n">
        <v>0.6</v>
      </c>
    </row>
    <row r="212" customFormat="false" ht="16.5" hidden="false" customHeight="true" outlineLevel="0" collapsed="false">
      <c r="A212" s="44" t="n">
        <f aca="false">ROW(A210)</f>
        <v>210</v>
      </c>
      <c r="B212" s="44" t="n">
        <v>12</v>
      </c>
      <c r="C212" s="47" t="n">
        <v>1</v>
      </c>
      <c r="D212" s="29"/>
      <c r="E212" s="45" t="s">
        <v>924</v>
      </c>
      <c r="F212" s="46" t="s">
        <v>901</v>
      </c>
      <c r="G212" s="47" t="s">
        <v>458</v>
      </c>
      <c r="H212" s="47" t="s">
        <v>902</v>
      </c>
      <c r="I212" s="47" t="s">
        <v>235</v>
      </c>
      <c r="J212" s="45" t="s">
        <v>471</v>
      </c>
      <c r="K212" s="48" t="s">
        <v>925</v>
      </c>
      <c r="L212" s="49" t="n">
        <v>45748</v>
      </c>
      <c r="M212" s="47" t="n">
        <v>11826</v>
      </c>
      <c r="N212" s="47" t="n">
        <v>14330</v>
      </c>
      <c r="O212" s="47" t="n">
        <v>2504</v>
      </c>
      <c r="P212" s="47" t="n">
        <v>2429</v>
      </c>
      <c r="Q212" s="47"/>
      <c r="R212" s="50" t="n">
        <f aca="false">合約與計費!$D$4</f>
        <v>0.296</v>
      </c>
      <c r="S212" s="51" t="n">
        <f aca="false">ROUND(P212*R212,0)</f>
        <v>719</v>
      </c>
      <c r="T212" s="52"/>
      <c r="U212" s="47"/>
      <c r="V212" s="47"/>
      <c r="W212" s="53"/>
      <c r="X212" s="47"/>
      <c r="Y212" s="47"/>
      <c r="Z212" s="54"/>
      <c r="AA212" s="55"/>
      <c r="AB212" s="56"/>
      <c r="AC212" s="57"/>
      <c r="AD212" s="42" t="n">
        <v>0.3245</v>
      </c>
      <c r="AE212" s="43" t="n">
        <v>0.2</v>
      </c>
    </row>
    <row r="213" customFormat="false" ht="16.5" hidden="false" customHeight="true" outlineLevel="0" collapsed="false">
      <c r="A213" s="44" t="n">
        <f aca="false">ROW(A211)</f>
        <v>211</v>
      </c>
      <c r="B213" s="44" t="n">
        <v>13</v>
      </c>
      <c r="C213" s="47" t="n">
        <v>1</v>
      </c>
      <c r="D213" s="29"/>
      <c r="E213" s="45" t="s">
        <v>926</v>
      </c>
      <c r="F213" s="46" t="s">
        <v>901</v>
      </c>
      <c r="G213" s="47" t="s">
        <v>458</v>
      </c>
      <c r="H213" s="47" t="s">
        <v>902</v>
      </c>
      <c r="I213" s="47" t="s">
        <v>235</v>
      </c>
      <c r="J213" s="45" t="s">
        <v>471</v>
      </c>
      <c r="K213" s="48" t="s">
        <v>927</v>
      </c>
      <c r="L213" s="49" t="n">
        <v>45748</v>
      </c>
      <c r="M213" s="47" t="n">
        <v>2836</v>
      </c>
      <c r="N213" s="47" t="n">
        <v>3515</v>
      </c>
      <c r="O213" s="47" t="n">
        <v>679</v>
      </c>
      <c r="P213" s="47" t="n">
        <v>659</v>
      </c>
      <c r="Q213" s="47"/>
      <c r="R213" s="50" t="n">
        <f aca="false">合約與計費!$D$4</f>
        <v>0.296</v>
      </c>
      <c r="S213" s="51" t="n">
        <f aca="false">ROUND(P213*R213,0)</f>
        <v>195</v>
      </c>
      <c r="T213" s="52"/>
      <c r="U213" s="47"/>
      <c r="V213" s="47"/>
      <c r="W213" s="53"/>
      <c r="X213" s="47"/>
      <c r="Y213" s="47"/>
      <c r="Z213" s="54"/>
      <c r="AA213" s="55"/>
      <c r="AB213" s="56"/>
      <c r="AC213" s="57"/>
      <c r="AD213" s="42" t="n">
        <v>0.0384</v>
      </c>
      <c r="AE213" s="43" t="n">
        <v>0.9</v>
      </c>
    </row>
    <row r="214" customFormat="false" ht="16.5" hidden="false" customHeight="true" outlineLevel="0" collapsed="false">
      <c r="A214" s="44" t="n">
        <f aca="false">ROW(A212)</f>
        <v>212</v>
      </c>
      <c r="B214" s="44" t="n">
        <v>14</v>
      </c>
      <c r="C214" s="47" t="n">
        <v>1</v>
      </c>
      <c r="D214" s="29"/>
      <c r="E214" s="45" t="s">
        <v>928</v>
      </c>
      <c r="F214" s="46" t="s">
        <v>901</v>
      </c>
      <c r="G214" s="47" t="s">
        <v>458</v>
      </c>
      <c r="H214" s="47" t="s">
        <v>902</v>
      </c>
      <c r="I214" s="47" t="s">
        <v>235</v>
      </c>
      <c r="J214" s="45" t="s">
        <v>471</v>
      </c>
      <c r="K214" s="48" t="s">
        <v>929</v>
      </c>
      <c r="L214" s="49" t="n">
        <v>45748</v>
      </c>
      <c r="M214" s="47" t="n">
        <v>5548</v>
      </c>
      <c r="N214" s="47" t="n">
        <v>6543</v>
      </c>
      <c r="O214" s="47" t="n">
        <v>995</v>
      </c>
      <c r="P214" s="47" t="n">
        <v>965</v>
      </c>
      <c r="Q214" s="47"/>
      <c r="R214" s="50" t="n">
        <f aca="false">合約與計費!$D$4</f>
        <v>0.296</v>
      </c>
      <c r="S214" s="51" t="n">
        <f aca="false">ROUND(P214*R214,0)</f>
        <v>286</v>
      </c>
      <c r="T214" s="52"/>
      <c r="U214" s="47"/>
      <c r="V214" s="47"/>
      <c r="W214" s="53"/>
      <c r="X214" s="47"/>
      <c r="Y214" s="47"/>
      <c r="Z214" s="54"/>
      <c r="AA214" s="55"/>
      <c r="AB214" s="56"/>
      <c r="AC214" s="57"/>
      <c r="AD214" s="42" t="n">
        <v>0.0502</v>
      </c>
      <c r="AE214" s="43" t="n">
        <v>0.8</v>
      </c>
    </row>
    <row r="215" customFormat="false" ht="16.5" hidden="false" customHeight="true" outlineLevel="0" collapsed="false">
      <c r="A215" s="44" t="n">
        <f aca="false">ROW(A213)</f>
        <v>213</v>
      </c>
      <c r="B215" s="44" t="n">
        <v>15</v>
      </c>
      <c r="C215" s="47" t="n">
        <v>1</v>
      </c>
      <c r="D215" s="29"/>
      <c r="E215" s="45" t="s">
        <v>930</v>
      </c>
      <c r="F215" s="46" t="s">
        <v>901</v>
      </c>
      <c r="G215" s="47" t="s">
        <v>458</v>
      </c>
      <c r="H215" s="47" t="s">
        <v>902</v>
      </c>
      <c r="I215" s="47" t="s">
        <v>235</v>
      </c>
      <c r="J215" s="45" t="s">
        <v>471</v>
      </c>
      <c r="K215" s="48" t="s">
        <v>931</v>
      </c>
      <c r="L215" s="49" t="n">
        <v>45748</v>
      </c>
      <c r="M215" s="47" t="n">
        <v>7999</v>
      </c>
      <c r="N215" s="47" t="n">
        <v>9367</v>
      </c>
      <c r="O215" s="47" t="n">
        <v>1368</v>
      </c>
      <c r="P215" s="47" t="n">
        <v>1327</v>
      </c>
      <c r="Q215" s="47"/>
      <c r="R215" s="50" t="n">
        <f aca="false">合約與計費!$D$4</f>
        <v>0.296</v>
      </c>
      <c r="S215" s="51" t="n">
        <f aca="false">ROUND(P215*R215,0)</f>
        <v>393</v>
      </c>
      <c r="T215" s="52"/>
      <c r="U215" s="47"/>
      <c r="V215" s="47"/>
      <c r="W215" s="53"/>
      <c r="X215" s="47"/>
      <c r="Y215" s="47"/>
      <c r="Z215" s="54"/>
      <c r="AA215" s="55"/>
      <c r="AB215" s="56"/>
      <c r="AC215" s="57"/>
      <c r="AD215" s="42" t="n">
        <v>0.0934</v>
      </c>
      <c r="AE215" s="43" t="n">
        <v>0.9</v>
      </c>
    </row>
    <row r="216" customFormat="false" ht="16.5" hidden="false" customHeight="true" outlineLevel="0" collapsed="false">
      <c r="A216" s="44" t="n">
        <f aca="false">ROW(A214)</f>
        <v>214</v>
      </c>
      <c r="B216" s="44" t="n">
        <v>16</v>
      </c>
      <c r="C216" s="47" t="n">
        <v>1</v>
      </c>
      <c r="D216" s="29"/>
      <c r="E216" s="45" t="s">
        <v>932</v>
      </c>
      <c r="F216" s="46" t="s">
        <v>901</v>
      </c>
      <c r="G216" s="47" t="s">
        <v>458</v>
      </c>
      <c r="H216" s="47" t="s">
        <v>902</v>
      </c>
      <c r="I216" s="47" t="s">
        <v>235</v>
      </c>
      <c r="J216" s="45" t="s">
        <v>471</v>
      </c>
      <c r="K216" s="48" t="s">
        <v>933</v>
      </c>
      <c r="L216" s="49" t="n">
        <v>45748</v>
      </c>
      <c r="M216" s="47" t="n">
        <v>5328</v>
      </c>
      <c r="N216" s="47" t="n">
        <v>6412</v>
      </c>
      <c r="O216" s="47" t="n">
        <v>1084</v>
      </c>
      <c r="P216" s="47" t="n">
        <v>1051</v>
      </c>
      <c r="Q216" s="47"/>
      <c r="R216" s="50" t="n">
        <f aca="false">合約與計費!$D$4</f>
        <v>0.296</v>
      </c>
      <c r="S216" s="51" t="n">
        <f aca="false">ROUND(P216*R216,0)</f>
        <v>311</v>
      </c>
      <c r="T216" s="52"/>
      <c r="U216" s="47"/>
      <c r="V216" s="47"/>
      <c r="W216" s="53"/>
      <c r="X216" s="47"/>
      <c r="Y216" s="47"/>
      <c r="Z216" s="54"/>
      <c r="AA216" s="55"/>
      <c r="AB216" s="56"/>
      <c r="AC216" s="57"/>
      <c r="AD216" s="42" t="n">
        <v>0.0707</v>
      </c>
      <c r="AE216" s="43" t="n">
        <v>0.7</v>
      </c>
    </row>
    <row r="217" customFormat="false" ht="16.5" hidden="false" customHeight="true" outlineLevel="0" collapsed="false">
      <c r="A217" s="44" t="n">
        <f aca="false">ROW(A215)</f>
        <v>215</v>
      </c>
      <c r="B217" s="44" t="n">
        <v>17</v>
      </c>
      <c r="C217" s="47" t="n">
        <v>1</v>
      </c>
      <c r="D217" s="29"/>
      <c r="E217" s="45" t="s">
        <v>934</v>
      </c>
      <c r="F217" s="46" t="s">
        <v>901</v>
      </c>
      <c r="G217" s="47" t="s">
        <v>458</v>
      </c>
      <c r="H217" s="47" t="s">
        <v>902</v>
      </c>
      <c r="I217" s="47" t="s">
        <v>235</v>
      </c>
      <c r="J217" s="45" t="s">
        <v>471</v>
      </c>
      <c r="K217" s="48" t="s">
        <v>935</v>
      </c>
      <c r="L217" s="49" t="n">
        <v>45748</v>
      </c>
      <c r="M217" s="47" t="n">
        <v>7251</v>
      </c>
      <c r="N217" s="47" t="n">
        <v>10257</v>
      </c>
      <c r="O217" s="47" t="n">
        <v>3006</v>
      </c>
      <c r="P217" s="47" t="n">
        <v>2916</v>
      </c>
      <c r="Q217" s="47"/>
      <c r="R217" s="50" t="n">
        <f aca="false">合約與計費!$D$4</f>
        <v>0.296</v>
      </c>
      <c r="S217" s="51" t="n">
        <f aca="false">ROUND(P217*R217,0)</f>
        <v>863</v>
      </c>
      <c r="T217" s="52"/>
      <c r="U217" s="47"/>
      <c r="V217" s="47"/>
      <c r="W217" s="53"/>
      <c r="X217" s="47"/>
      <c r="Y217" s="47"/>
      <c r="Z217" s="54"/>
      <c r="AA217" s="55"/>
      <c r="AB217" s="56"/>
      <c r="AC217" s="57"/>
      <c r="AD217" s="42" t="n">
        <v>0.0996</v>
      </c>
      <c r="AE217" s="43" t="n">
        <v>0.2</v>
      </c>
    </row>
    <row r="218" customFormat="false" ht="16.5" hidden="false" customHeight="true" outlineLevel="0" collapsed="false">
      <c r="A218" s="44" t="n">
        <f aca="false">ROW(A216)</f>
        <v>216</v>
      </c>
      <c r="B218" s="44" t="n">
        <v>18</v>
      </c>
      <c r="C218" s="47" t="n">
        <v>1</v>
      </c>
      <c r="D218" s="29"/>
      <c r="E218" s="45" t="s">
        <v>936</v>
      </c>
      <c r="F218" s="46" t="s">
        <v>901</v>
      </c>
      <c r="G218" s="47" t="s">
        <v>458</v>
      </c>
      <c r="H218" s="47" t="s">
        <v>902</v>
      </c>
      <c r="I218" s="47" t="s">
        <v>235</v>
      </c>
      <c r="J218" s="45" t="s">
        <v>471</v>
      </c>
      <c r="K218" s="48" t="s">
        <v>937</v>
      </c>
      <c r="L218" s="49" t="n">
        <v>45748</v>
      </c>
      <c r="M218" s="47" t="n">
        <v>2472</v>
      </c>
      <c r="N218" s="47" t="n">
        <v>3690</v>
      </c>
      <c r="O218" s="47" t="n">
        <v>1218</v>
      </c>
      <c r="P218" s="47" t="n">
        <v>1181</v>
      </c>
      <c r="Q218" s="47"/>
      <c r="R218" s="50" t="n">
        <f aca="false">合約與計費!$D$4</f>
        <v>0.296</v>
      </c>
      <c r="S218" s="51" t="n">
        <f aca="false">ROUND(P218*R218,0)</f>
        <v>350</v>
      </c>
      <c r="T218" s="52"/>
      <c r="U218" s="47"/>
      <c r="V218" s="47"/>
      <c r="W218" s="53"/>
      <c r="X218" s="47"/>
      <c r="Y218" s="47"/>
      <c r="Z218" s="54"/>
      <c r="AA218" s="55"/>
      <c r="AB218" s="56"/>
      <c r="AC218" s="57"/>
      <c r="AD218" s="42" t="n">
        <v>0.1134</v>
      </c>
      <c r="AE218" s="43" t="n">
        <v>0.7</v>
      </c>
    </row>
    <row r="219" customFormat="false" ht="16.5" hidden="false" customHeight="true" outlineLevel="0" collapsed="false">
      <c r="A219" s="59" t="n">
        <f aca="false">ROW(A217)</f>
        <v>217</v>
      </c>
      <c r="B219" s="59" t="n">
        <v>19</v>
      </c>
      <c r="C219" s="62" t="n">
        <v>1</v>
      </c>
      <c r="D219" s="29"/>
      <c r="E219" s="60" t="s">
        <v>938</v>
      </c>
      <c r="F219" s="61" t="s">
        <v>901</v>
      </c>
      <c r="G219" s="62" t="s">
        <v>458</v>
      </c>
      <c r="H219" s="62" t="s">
        <v>902</v>
      </c>
      <c r="I219" s="62" t="s">
        <v>235</v>
      </c>
      <c r="J219" s="60" t="s">
        <v>471</v>
      </c>
      <c r="K219" s="63" t="s">
        <v>939</v>
      </c>
      <c r="L219" s="64" t="n">
        <v>45748</v>
      </c>
      <c r="M219" s="62" t="n">
        <v>9326</v>
      </c>
      <c r="N219" s="62"/>
      <c r="O219" s="62"/>
      <c r="P219" s="62"/>
      <c r="Q219" s="62" t="n">
        <f aca="false">ROUND(SUM(P201:P219),2)</f>
        <v>23240</v>
      </c>
      <c r="R219" s="65" t="n">
        <f aca="false">合約與計費!$D$4</f>
        <v>0.296</v>
      </c>
      <c r="S219" s="66" t="n">
        <f aca="false">ROUND(P219*R219,0)</f>
        <v>0</v>
      </c>
      <c r="T219" s="79" t="n">
        <f aca="false">ROUND(SUM(S201:S219),2)</f>
        <v>6878</v>
      </c>
      <c r="U219" s="62"/>
      <c r="V219" s="62"/>
      <c r="W219" s="67"/>
      <c r="X219" s="62"/>
      <c r="Y219" s="62" t="n">
        <f aca="false">ROUND(SUM(X201:X219),2)</f>
        <v>185</v>
      </c>
      <c r="Z219" s="68"/>
      <c r="AA219" s="77"/>
      <c r="AB219" s="78" t="n">
        <f aca="false">ROUND(SUM(AA201:AA219),2)</f>
        <v>518</v>
      </c>
      <c r="AC219" s="69" t="s">
        <v>940</v>
      </c>
      <c r="AD219" s="42"/>
      <c r="AE219" s="43"/>
    </row>
    <row r="220" customFormat="false" ht="16.5" hidden="false" customHeight="true" outlineLevel="0" collapsed="false">
      <c r="A220" s="27" t="n">
        <f aca="false">ROW(A218)</f>
        <v>218</v>
      </c>
      <c r="B220" s="27" t="s">
        <v>455</v>
      </c>
      <c r="C220" s="31" t="n">
        <v>1</v>
      </c>
      <c r="D220" s="29" t="n">
        <v>26</v>
      </c>
      <c r="E220" s="28" t="s">
        <v>941</v>
      </c>
      <c r="F220" s="30" t="s">
        <v>942</v>
      </c>
      <c r="G220" s="31" t="s">
        <v>458</v>
      </c>
      <c r="H220" s="31" t="s">
        <v>902</v>
      </c>
      <c r="I220" s="31" t="s">
        <v>40</v>
      </c>
      <c r="J220" s="28" t="s">
        <v>460</v>
      </c>
      <c r="K220" s="80" t="s">
        <v>943</v>
      </c>
      <c r="L220" s="34" t="n">
        <v>45771</v>
      </c>
      <c r="M220" s="31" t="n">
        <v>2989</v>
      </c>
      <c r="N220" s="31" t="n">
        <v>3561</v>
      </c>
      <c r="O220" s="31" t="n">
        <v>572</v>
      </c>
      <c r="P220" s="31" t="n">
        <v>555</v>
      </c>
      <c r="Q220" s="31"/>
      <c r="R220" s="35" t="n">
        <f aca="false">合約與計費!$D$4</f>
        <v>0.296</v>
      </c>
      <c r="S220" s="36" t="n">
        <f aca="false">ROUND(P220*R220,0)</f>
        <v>164</v>
      </c>
      <c r="T220" s="37"/>
      <c r="U220" s="31" t="n">
        <v>769</v>
      </c>
      <c r="V220" s="31" t="n">
        <v>873</v>
      </c>
      <c r="W220" s="31" t="n">
        <v>104</v>
      </c>
      <c r="X220" s="31" t="n">
        <v>101</v>
      </c>
      <c r="Y220" s="31"/>
      <c r="Z220" s="38" t="n">
        <f aca="false">合約與計費!$E$4</f>
        <v>2.8</v>
      </c>
      <c r="AA220" s="39" t="n">
        <f aca="false">ROUND(X220*Z220,0)</f>
        <v>283</v>
      </c>
      <c r="AB220" s="40"/>
      <c r="AC220" s="41"/>
      <c r="AD220" s="42"/>
      <c r="AE220" s="43"/>
    </row>
    <row r="221" customFormat="false" ht="16.5" hidden="false" customHeight="true" outlineLevel="0" collapsed="false">
      <c r="A221" s="44" t="n">
        <f aca="false">ROW(A219)</f>
        <v>219</v>
      </c>
      <c r="B221" s="44" t="s">
        <v>462</v>
      </c>
      <c r="C221" s="47" t="n">
        <v>1</v>
      </c>
      <c r="D221" s="29"/>
      <c r="E221" s="45" t="s">
        <v>944</v>
      </c>
      <c r="F221" s="46" t="s">
        <v>942</v>
      </c>
      <c r="G221" s="47" t="s">
        <v>458</v>
      </c>
      <c r="H221" s="47" t="s">
        <v>902</v>
      </c>
      <c r="I221" s="47" t="s">
        <v>40</v>
      </c>
      <c r="J221" s="45" t="s">
        <v>464</v>
      </c>
      <c r="K221" s="48" t="s">
        <v>945</v>
      </c>
      <c r="L221" s="49" t="n">
        <v>45771</v>
      </c>
      <c r="M221" s="47" t="n">
        <v>815</v>
      </c>
      <c r="N221" s="47" t="n">
        <v>1454</v>
      </c>
      <c r="O221" s="47" t="n">
        <v>639</v>
      </c>
      <c r="P221" s="47" t="n">
        <v>620</v>
      </c>
      <c r="Q221" s="47"/>
      <c r="R221" s="50" t="n">
        <f aca="false">合約與計費!$D$4</f>
        <v>0.296</v>
      </c>
      <c r="S221" s="51" t="n">
        <f aca="false">ROUND(P221*R221,0)</f>
        <v>184</v>
      </c>
      <c r="T221" s="52"/>
      <c r="U221" s="47"/>
      <c r="V221" s="47"/>
      <c r="W221" s="53"/>
      <c r="X221" s="47"/>
      <c r="Y221" s="47"/>
      <c r="Z221" s="54"/>
      <c r="AA221" s="55"/>
      <c r="AB221" s="56"/>
      <c r="AC221" s="57"/>
      <c r="AD221" s="42"/>
      <c r="AE221" s="43"/>
    </row>
    <row r="222" customFormat="false" ht="16.5" hidden="false" customHeight="true" outlineLevel="0" collapsed="false">
      <c r="A222" s="44" t="n">
        <f aca="false">ROW(A220)</f>
        <v>220</v>
      </c>
      <c r="B222" s="44" t="s">
        <v>466</v>
      </c>
      <c r="C222" s="47" t="n">
        <v>1</v>
      </c>
      <c r="D222" s="29"/>
      <c r="E222" s="45" t="s">
        <v>946</v>
      </c>
      <c r="F222" s="46" t="s">
        <v>942</v>
      </c>
      <c r="G222" s="47" t="s">
        <v>458</v>
      </c>
      <c r="H222" s="47" t="s">
        <v>902</v>
      </c>
      <c r="I222" s="47" t="s">
        <v>40</v>
      </c>
      <c r="J222" s="45" t="s">
        <v>471</v>
      </c>
      <c r="K222" s="48" t="s">
        <v>947</v>
      </c>
      <c r="L222" s="49" t="n">
        <v>45771</v>
      </c>
      <c r="M222" s="47" t="n">
        <v>2138</v>
      </c>
      <c r="N222" s="47" t="n">
        <v>2790</v>
      </c>
      <c r="O222" s="47" t="n">
        <v>652</v>
      </c>
      <c r="P222" s="47" t="n">
        <v>632</v>
      </c>
      <c r="Q222" s="47"/>
      <c r="R222" s="50" t="n">
        <f aca="false">合約與計費!$D$4</f>
        <v>0.296</v>
      </c>
      <c r="S222" s="51" t="n">
        <f aca="false">ROUND(P222*R222,0)</f>
        <v>187</v>
      </c>
      <c r="T222" s="52"/>
      <c r="U222" s="47"/>
      <c r="V222" s="47"/>
      <c r="W222" s="53"/>
      <c r="X222" s="47"/>
      <c r="Y222" s="47"/>
      <c r="Z222" s="54"/>
      <c r="AA222" s="55"/>
      <c r="AB222" s="56"/>
      <c r="AC222" s="57"/>
      <c r="AD222" s="42"/>
      <c r="AE222" s="43"/>
    </row>
    <row r="223" customFormat="false" ht="16.5" hidden="false" customHeight="true" outlineLevel="0" collapsed="false">
      <c r="A223" s="44" t="n">
        <f aca="false">ROW(A221)</f>
        <v>221</v>
      </c>
      <c r="B223" s="44" t="s">
        <v>469</v>
      </c>
      <c r="C223" s="47" t="n">
        <v>1</v>
      </c>
      <c r="D223" s="29"/>
      <c r="E223" s="45" t="s">
        <v>948</v>
      </c>
      <c r="F223" s="46" t="s">
        <v>942</v>
      </c>
      <c r="G223" s="47" t="s">
        <v>458</v>
      </c>
      <c r="H223" s="47" t="s">
        <v>902</v>
      </c>
      <c r="I223" s="47" t="s">
        <v>40</v>
      </c>
      <c r="J223" s="45" t="s">
        <v>471</v>
      </c>
      <c r="K223" s="48" t="s">
        <v>949</v>
      </c>
      <c r="L223" s="49" t="n">
        <v>45771</v>
      </c>
      <c r="M223" s="47" t="n">
        <v>11603</v>
      </c>
      <c r="N223" s="47" t="n">
        <v>15169</v>
      </c>
      <c r="O223" s="47" t="n">
        <v>3566</v>
      </c>
      <c r="P223" s="47" t="n">
        <v>3459</v>
      </c>
      <c r="Q223" s="47"/>
      <c r="R223" s="50" t="n">
        <f aca="false">合約與計費!$D$4</f>
        <v>0.296</v>
      </c>
      <c r="S223" s="51" t="n">
        <f aca="false">ROUND(P223*R223,0)</f>
        <v>1024</v>
      </c>
      <c r="T223" s="52"/>
      <c r="U223" s="47"/>
      <c r="V223" s="47"/>
      <c r="W223" s="53"/>
      <c r="X223" s="47"/>
      <c r="Y223" s="47"/>
      <c r="Z223" s="54"/>
      <c r="AA223" s="55"/>
      <c r="AB223" s="56"/>
      <c r="AC223" s="57"/>
      <c r="AD223" s="42"/>
      <c r="AE223" s="43"/>
    </row>
    <row r="224" customFormat="false" ht="16.5" hidden="false" customHeight="true" outlineLevel="0" collapsed="false">
      <c r="A224" s="59" t="n">
        <f aca="false">ROW(A222)</f>
        <v>222</v>
      </c>
      <c r="B224" s="59" t="s">
        <v>473</v>
      </c>
      <c r="C224" s="62" t="n">
        <v>1</v>
      </c>
      <c r="D224" s="29"/>
      <c r="E224" s="60" t="s">
        <v>950</v>
      </c>
      <c r="F224" s="61" t="s">
        <v>942</v>
      </c>
      <c r="G224" s="62" t="s">
        <v>458</v>
      </c>
      <c r="H224" s="62" t="s">
        <v>902</v>
      </c>
      <c r="I224" s="62" t="s">
        <v>40</v>
      </c>
      <c r="J224" s="60" t="s">
        <v>471</v>
      </c>
      <c r="K224" s="63" t="s">
        <v>951</v>
      </c>
      <c r="L224" s="64" t="n">
        <v>45771</v>
      </c>
      <c r="M224" s="62" t="n">
        <v>10810</v>
      </c>
      <c r="N224" s="62" t="n">
        <v>13408</v>
      </c>
      <c r="O224" s="62" t="n">
        <v>2598</v>
      </c>
      <c r="P224" s="62" t="n">
        <v>2520</v>
      </c>
      <c r="Q224" s="62" t="n">
        <f aca="false">ROUND(SUM(P220:P224),2)</f>
        <v>7786</v>
      </c>
      <c r="R224" s="65" t="n">
        <f aca="false">合約與計費!$D$4</f>
        <v>0.296</v>
      </c>
      <c r="S224" s="66" t="n">
        <f aca="false">ROUND(P224*R224,0)</f>
        <v>746</v>
      </c>
      <c r="T224" s="79" t="n">
        <f aca="false">ROUND(SUM(S220:S224),2)</f>
        <v>2305</v>
      </c>
      <c r="U224" s="62"/>
      <c r="V224" s="62"/>
      <c r="W224" s="67"/>
      <c r="X224" s="62"/>
      <c r="Y224" s="62" t="n">
        <f aca="false">ROUND(SUM(X220:X224),2)</f>
        <v>101</v>
      </c>
      <c r="Z224" s="68"/>
      <c r="AA224" s="77"/>
      <c r="AB224" s="78" t="n">
        <f aca="false">ROUND(SUM(AA220:AA224),2)</f>
        <v>283</v>
      </c>
      <c r="AC224" s="69"/>
      <c r="AD224" s="42"/>
      <c r="AE224" s="43"/>
    </row>
    <row r="225" customFormat="false" ht="16.5" hidden="false" customHeight="true" outlineLevel="0" collapsed="false">
      <c r="A225" s="27" t="n">
        <f aca="false">ROW(A223)</f>
        <v>223</v>
      </c>
      <c r="B225" s="27" t="s">
        <v>455</v>
      </c>
      <c r="C225" s="31" t="n">
        <v>1</v>
      </c>
      <c r="D225" s="29" t="n">
        <v>27</v>
      </c>
      <c r="E225" s="28" t="s">
        <v>952</v>
      </c>
      <c r="F225" s="30" t="s">
        <v>953</v>
      </c>
      <c r="G225" s="31" t="s">
        <v>458</v>
      </c>
      <c r="H225" s="31" t="s">
        <v>902</v>
      </c>
      <c r="I225" s="31" t="s">
        <v>52</v>
      </c>
      <c r="J225" s="28" t="s">
        <v>460</v>
      </c>
      <c r="K225" s="80" t="s">
        <v>954</v>
      </c>
      <c r="L225" s="34" t="n">
        <v>45756</v>
      </c>
      <c r="M225" s="31" t="n">
        <v>1267</v>
      </c>
      <c r="N225" s="31" t="n">
        <v>1443</v>
      </c>
      <c r="O225" s="31" t="n">
        <v>176</v>
      </c>
      <c r="P225" s="31" t="n">
        <v>171</v>
      </c>
      <c r="Q225" s="31"/>
      <c r="R225" s="35" t="n">
        <f aca="false">合約與計費!$D$4</f>
        <v>0.296</v>
      </c>
      <c r="S225" s="36" t="n">
        <f aca="false">ROUND(P225*R225,0)</f>
        <v>51</v>
      </c>
      <c r="T225" s="37"/>
      <c r="U225" s="31" t="n">
        <v>203</v>
      </c>
      <c r="V225" s="31" t="n">
        <v>250</v>
      </c>
      <c r="W225" s="31" t="n">
        <v>47</v>
      </c>
      <c r="X225" s="31" t="n">
        <v>46</v>
      </c>
      <c r="Y225" s="31"/>
      <c r="Z225" s="38" t="n">
        <f aca="false">合約與計費!$E$4</f>
        <v>2.8</v>
      </c>
      <c r="AA225" s="39" t="n">
        <f aca="false">ROUND(X225*Z225,0)</f>
        <v>129</v>
      </c>
      <c r="AB225" s="40"/>
      <c r="AC225" s="41"/>
      <c r="AD225" s="42"/>
      <c r="AE225" s="43"/>
    </row>
    <row r="226" customFormat="false" ht="16.5" hidden="false" customHeight="true" outlineLevel="0" collapsed="false">
      <c r="A226" s="44" t="n">
        <f aca="false">ROW(A224)</f>
        <v>224</v>
      </c>
      <c r="B226" s="44" t="s">
        <v>462</v>
      </c>
      <c r="C226" s="47" t="n">
        <v>1</v>
      </c>
      <c r="D226" s="29"/>
      <c r="E226" s="45" t="s">
        <v>955</v>
      </c>
      <c r="F226" s="46" t="s">
        <v>953</v>
      </c>
      <c r="G226" s="47" t="s">
        <v>458</v>
      </c>
      <c r="H226" s="47" t="s">
        <v>902</v>
      </c>
      <c r="I226" s="47" t="s">
        <v>52</v>
      </c>
      <c r="J226" s="45" t="s">
        <v>471</v>
      </c>
      <c r="K226" s="48" t="s">
        <v>956</v>
      </c>
      <c r="L226" s="49" t="n">
        <v>45756</v>
      </c>
      <c r="M226" s="47" t="n">
        <v>23099</v>
      </c>
      <c r="N226" s="47" t="n">
        <v>27765</v>
      </c>
      <c r="O226" s="47" t="n">
        <v>4666</v>
      </c>
      <c r="P226" s="47" t="n">
        <v>4526</v>
      </c>
      <c r="Q226" s="47"/>
      <c r="R226" s="50" t="n">
        <f aca="false">合約與計費!$D$4</f>
        <v>0.296</v>
      </c>
      <c r="S226" s="51" t="n">
        <f aca="false">ROUND(P226*R226,0)</f>
        <v>1340</v>
      </c>
      <c r="T226" s="52"/>
      <c r="U226" s="47"/>
      <c r="V226" s="47"/>
      <c r="W226" s="53"/>
      <c r="X226" s="47"/>
      <c r="Y226" s="47"/>
      <c r="Z226" s="54"/>
      <c r="AA226" s="55"/>
      <c r="AB226" s="56"/>
      <c r="AC226" s="57"/>
      <c r="AD226" s="42" t="n">
        <v>0.111</v>
      </c>
      <c r="AE226" s="43" t="n">
        <v>0.8</v>
      </c>
    </row>
    <row r="227" customFormat="false" ht="16.5" hidden="false" customHeight="true" outlineLevel="0" collapsed="false">
      <c r="A227" s="44" t="n">
        <f aca="false">ROW(A225)</f>
        <v>225</v>
      </c>
      <c r="B227" s="44" t="s">
        <v>466</v>
      </c>
      <c r="C227" s="47" t="n">
        <v>1</v>
      </c>
      <c r="D227" s="29"/>
      <c r="E227" s="45" t="s">
        <v>957</v>
      </c>
      <c r="F227" s="46" t="s">
        <v>953</v>
      </c>
      <c r="G227" s="47" t="s">
        <v>458</v>
      </c>
      <c r="H227" s="47" t="s">
        <v>902</v>
      </c>
      <c r="I227" s="47" t="s">
        <v>52</v>
      </c>
      <c r="J227" s="45" t="s">
        <v>471</v>
      </c>
      <c r="K227" s="48" t="s">
        <v>958</v>
      </c>
      <c r="L227" s="49" t="n">
        <v>45756</v>
      </c>
      <c r="M227" s="47" t="n">
        <v>2958</v>
      </c>
      <c r="N227" s="47" t="n">
        <v>3489</v>
      </c>
      <c r="O227" s="47" t="n">
        <v>531</v>
      </c>
      <c r="P227" s="47" t="n">
        <v>515</v>
      </c>
      <c r="Q227" s="47"/>
      <c r="R227" s="50" t="n">
        <f aca="false">合約與計費!$D$4</f>
        <v>0.296</v>
      </c>
      <c r="S227" s="51" t="n">
        <f aca="false">ROUND(P227*R227,0)</f>
        <v>152</v>
      </c>
      <c r="T227" s="52"/>
      <c r="U227" s="47"/>
      <c r="V227" s="47"/>
      <c r="W227" s="53"/>
      <c r="X227" s="47"/>
      <c r="Y227" s="47"/>
      <c r="Z227" s="54"/>
      <c r="AA227" s="55"/>
      <c r="AB227" s="56"/>
      <c r="AC227" s="57"/>
      <c r="AD227" s="42" t="n">
        <v>0.0487</v>
      </c>
      <c r="AE227" s="43" t="n">
        <v>1</v>
      </c>
    </row>
    <row r="228" customFormat="false" ht="16.5" hidden="false" customHeight="true" outlineLevel="0" collapsed="false">
      <c r="A228" s="59" t="n">
        <f aca="false">ROW(A226)</f>
        <v>226</v>
      </c>
      <c r="B228" s="59" t="s">
        <v>469</v>
      </c>
      <c r="C228" s="62" t="n">
        <v>1</v>
      </c>
      <c r="D228" s="29"/>
      <c r="E228" s="60" t="s">
        <v>959</v>
      </c>
      <c r="F228" s="61" t="s">
        <v>953</v>
      </c>
      <c r="G228" s="62" t="s">
        <v>458</v>
      </c>
      <c r="H228" s="62" t="s">
        <v>902</v>
      </c>
      <c r="I228" s="62" t="s">
        <v>52</v>
      </c>
      <c r="J228" s="60" t="s">
        <v>471</v>
      </c>
      <c r="K228" s="63" t="s">
        <v>960</v>
      </c>
      <c r="L228" s="64" t="n">
        <v>45756</v>
      </c>
      <c r="M228" s="62" t="n">
        <v>18501</v>
      </c>
      <c r="N228" s="62" t="n">
        <v>22425</v>
      </c>
      <c r="O228" s="62" t="n">
        <v>3924</v>
      </c>
      <c r="P228" s="62" t="n">
        <v>3806</v>
      </c>
      <c r="Q228" s="62" t="n">
        <f aca="false">ROUND(SUM(P225:P228),2)</f>
        <v>9018</v>
      </c>
      <c r="R228" s="65" t="n">
        <f aca="false">合約與計費!$D$4</f>
        <v>0.296</v>
      </c>
      <c r="S228" s="66" t="n">
        <f aca="false">ROUND(P228*R228,0)</f>
        <v>1127</v>
      </c>
      <c r="T228" s="79" t="n">
        <f aca="false">ROUND(SUM(S225:S228),2)</f>
        <v>2670</v>
      </c>
      <c r="U228" s="62"/>
      <c r="V228" s="62"/>
      <c r="W228" s="67"/>
      <c r="X228" s="62"/>
      <c r="Y228" s="62" t="n">
        <f aca="false">ROUND(SUM(X225:X228),2)</f>
        <v>46</v>
      </c>
      <c r="Z228" s="68"/>
      <c r="AA228" s="77"/>
      <c r="AB228" s="78" t="n">
        <f aca="false">ROUND(SUM(AA225:AA228),2)</f>
        <v>129</v>
      </c>
      <c r="AC228" s="69"/>
      <c r="AD228" s="42" t="n">
        <v>0.1161</v>
      </c>
      <c r="AE228" s="43" t="n">
        <v>0.8</v>
      </c>
    </row>
    <row r="229" customFormat="false" ht="16.5" hidden="false" customHeight="true" outlineLevel="0" collapsed="false">
      <c r="A229" s="27" t="n">
        <f aca="false">ROW(A227)</f>
        <v>227</v>
      </c>
      <c r="B229" s="27" t="s">
        <v>455</v>
      </c>
      <c r="C229" s="31" t="n">
        <v>1</v>
      </c>
      <c r="D229" s="29" t="n">
        <v>28</v>
      </c>
      <c r="E229" s="28" t="s">
        <v>961</v>
      </c>
      <c r="F229" s="30" t="s">
        <v>962</v>
      </c>
      <c r="G229" s="31" t="s">
        <v>458</v>
      </c>
      <c r="H229" s="31" t="s">
        <v>902</v>
      </c>
      <c r="I229" s="31" t="s">
        <v>122</v>
      </c>
      <c r="J229" s="28" t="s">
        <v>460</v>
      </c>
      <c r="K229" s="80" t="s">
        <v>963</v>
      </c>
      <c r="L229" s="34" t="n">
        <v>45740</v>
      </c>
      <c r="M229" s="31" t="n">
        <v>1138</v>
      </c>
      <c r="N229" s="31" t="n">
        <v>1288</v>
      </c>
      <c r="O229" s="31" t="n">
        <v>150</v>
      </c>
      <c r="P229" s="31" t="n">
        <v>146</v>
      </c>
      <c r="Q229" s="31"/>
      <c r="R229" s="35" t="n">
        <f aca="false">合約與計費!$D$4</f>
        <v>0.296</v>
      </c>
      <c r="S229" s="36" t="n">
        <f aca="false">ROUND(P229*R229,0)</f>
        <v>43</v>
      </c>
      <c r="T229" s="37"/>
      <c r="U229" s="31" t="n">
        <v>237</v>
      </c>
      <c r="V229" s="31" t="n">
        <v>266</v>
      </c>
      <c r="W229" s="31" t="n">
        <v>29</v>
      </c>
      <c r="X229" s="31" t="n">
        <v>28</v>
      </c>
      <c r="Y229" s="31"/>
      <c r="Z229" s="38" t="n">
        <f aca="false">合約與計費!$E$4</f>
        <v>2.8</v>
      </c>
      <c r="AA229" s="39" t="n">
        <f aca="false">ROUND(X229*Z229,0)</f>
        <v>78</v>
      </c>
      <c r="AB229" s="40"/>
      <c r="AC229" s="41"/>
      <c r="AD229" s="42"/>
      <c r="AE229" s="43"/>
    </row>
    <row r="230" customFormat="false" ht="16.5" hidden="false" customHeight="true" outlineLevel="0" collapsed="false">
      <c r="A230" s="44" t="n">
        <f aca="false">ROW(A228)</f>
        <v>228</v>
      </c>
      <c r="B230" s="44" t="s">
        <v>462</v>
      </c>
      <c r="C230" s="47" t="n">
        <v>1</v>
      </c>
      <c r="D230" s="29"/>
      <c r="E230" s="45" t="s">
        <v>964</v>
      </c>
      <c r="F230" s="46" t="s">
        <v>962</v>
      </c>
      <c r="G230" s="47" t="s">
        <v>458</v>
      </c>
      <c r="H230" s="47" t="s">
        <v>902</v>
      </c>
      <c r="I230" s="47" t="s">
        <v>122</v>
      </c>
      <c r="J230" s="45" t="s">
        <v>471</v>
      </c>
      <c r="K230" s="48" t="s">
        <v>965</v>
      </c>
      <c r="L230" s="49" t="n">
        <v>45740</v>
      </c>
      <c r="M230" s="47" t="n">
        <v>2288</v>
      </c>
      <c r="N230" s="47" t="n">
        <v>2632</v>
      </c>
      <c r="O230" s="47" t="n">
        <v>344</v>
      </c>
      <c r="P230" s="47" t="n">
        <v>334</v>
      </c>
      <c r="Q230" s="47"/>
      <c r="R230" s="50" t="n">
        <f aca="false">合約與計費!$D$4</f>
        <v>0.296</v>
      </c>
      <c r="S230" s="51" t="n">
        <f aca="false">ROUND(P230*R230,0)</f>
        <v>99</v>
      </c>
      <c r="T230" s="52"/>
      <c r="U230" s="47"/>
      <c r="V230" s="47"/>
      <c r="W230" s="53"/>
      <c r="X230" s="47"/>
      <c r="Y230" s="47"/>
      <c r="Z230" s="54"/>
      <c r="AA230" s="55"/>
      <c r="AB230" s="56"/>
      <c r="AC230" s="57"/>
      <c r="AD230" s="42" t="n">
        <v>0.0475</v>
      </c>
      <c r="AE230" s="43" t="n">
        <v>0.1</v>
      </c>
    </row>
    <row r="231" customFormat="false" ht="16.5" hidden="false" customHeight="true" outlineLevel="0" collapsed="false">
      <c r="A231" s="44" t="n">
        <f aca="false">ROW(A229)</f>
        <v>229</v>
      </c>
      <c r="B231" s="44" t="s">
        <v>466</v>
      </c>
      <c r="C231" s="47" t="n">
        <v>1</v>
      </c>
      <c r="D231" s="29"/>
      <c r="E231" s="45" t="s">
        <v>966</v>
      </c>
      <c r="F231" s="46" t="s">
        <v>962</v>
      </c>
      <c r="G231" s="47" t="s">
        <v>458</v>
      </c>
      <c r="H231" s="47" t="s">
        <v>902</v>
      </c>
      <c r="I231" s="47" t="s">
        <v>122</v>
      </c>
      <c r="J231" s="45" t="s">
        <v>471</v>
      </c>
      <c r="K231" s="83" t="s">
        <v>967</v>
      </c>
      <c r="L231" s="49" t="n">
        <v>45740</v>
      </c>
      <c r="M231" s="47" t="n">
        <v>21066</v>
      </c>
      <c r="N231" s="47" t="n">
        <v>24702</v>
      </c>
      <c r="O231" s="47" t="n">
        <v>3636</v>
      </c>
      <c r="P231" s="47" t="n">
        <v>3527</v>
      </c>
      <c r="Q231" s="47"/>
      <c r="R231" s="50" t="n">
        <f aca="false">合約與計費!$D$4</f>
        <v>0.296</v>
      </c>
      <c r="S231" s="51" t="n">
        <f aca="false">ROUND(P231*R231,0)</f>
        <v>1044</v>
      </c>
      <c r="T231" s="52"/>
      <c r="U231" s="47"/>
      <c r="V231" s="47"/>
      <c r="W231" s="53"/>
      <c r="X231" s="47"/>
      <c r="Y231" s="47"/>
      <c r="Z231" s="54"/>
      <c r="AA231" s="55"/>
      <c r="AB231" s="56"/>
      <c r="AC231" s="57"/>
      <c r="AD231" s="42" t="n">
        <v>0.0973</v>
      </c>
      <c r="AE231" s="43" t="n">
        <v>0.8</v>
      </c>
    </row>
    <row r="232" customFormat="false" ht="16.5" hidden="false" customHeight="true" outlineLevel="0" collapsed="false">
      <c r="A232" s="44" t="n">
        <f aca="false">ROW(A230)</f>
        <v>230</v>
      </c>
      <c r="B232" s="44" t="s">
        <v>469</v>
      </c>
      <c r="C232" s="47" t="n">
        <v>1</v>
      </c>
      <c r="D232" s="29"/>
      <c r="E232" s="45" t="s">
        <v>968</v>
      </c>
      <c r="F232" s="46" t="s">
        <v>962</v>
      </c>
      <c r="G232" s="47" t="s">
        <v>458</v>
      </c>
      <c r="H232" s="47" t="s">
        <v>902</v>
      </c>
      <c r="I232" s="47" t="s">
        <v>122</v>
      </c>
      <c r="J232" s="45" t="s">
        <v>471</v>
      </c>
      <c r="K232" s="48" t="s">
        <v>969</v>
      </c>
      <c r="L232" s="49" t="n">
        <v>45740</v>
      </c>
      <c r="M232" s="47" t="n">
        <v>10906</v>
      </c>
      <c r="N232" s="47" t="n">
        <v>12552</v>
      </c>
      <c r="O232" s="47" t="n">
        <v>1646</v>
      </c>
      <c r="P232" s="47" t="n">
        <v>1597</v>
      </c>
      <c r="Q232" s="47"/>
      <c r="R232" s="50" t="n">
        <f aca="false">合約與計費!$D$4</f>
        <v>0.296</v>
      </c>
      <c r="S232" s="51" t="n">
        <f aca="false">ROUND(P232*R232,0)</f>
        <v>473</v>
      </c>
      <c r="T232" s="52"/>
      <c r="U232" s="47"/>
      <c r="V232" s="47"/>
      <c r="W232" s="53"/>
      <c r="X232" s="47"/>
      <c r="Y232" s="47"/>
      <c r="Z232" s="54"/>
      <c r="AA232" s="55"/>
      <c r="AB232" s="56"/>
      <c r="AC232" s="57"/>
      <c r="AD232" s="42" t="n">
        <v>0.1088</v>
      </c>
      <c r="AE232" s="43" t="n">
        <v>0.9</v>
      </c>
    </row>
    <row r="233" customFormat="false" ht="16.5" hidden="false" customHeight="true" outlineLevel="0" collapsed="false">
      <c r="A233" s="59" t="n">
        <f aca="false">ROW(A231)</f>
        <v>231</v>
      </c>
      <c r="B233" s="59" t="s">
        <v>473</v>
      </c>
      <c r="C233" s="62" t="n">
        <v>1</v>
      </c>
      <c r="D233" s="29"/>
      <c r="E233" s="60" t="s">
        <v>970</v>
      </c>
      <c r="F233" s="61" t="s">
        <v>962</v>
      </c>
      <c r="G233" s="62" t="s">
        <v>458</v>
      </c>
      <c r="H233" s="62" t="s">
        <v>902</v>
      </c>
      <c r="I233" s="62" t="s">
        <v>122</v>
      </c>
      <c r="J233" s="60" t="s">
        <v>471</v>
      </c>
      <c r="K233" s="63" t="s">
        <v>971</v>
      </c>
      <c r="L233" s="64" t="n">
        <v>45740</v>
      </c>
      <c r="M233" s="62" t="n">
        <v>2268</v>
      </c>
      <c r="N233" s="62" t="n">
        <v>2747</v>
      </c>
      <c r="O233" s="62" t="n">
        <v>479</v>
      </c>
      <c r="P233" s="62" t="n">
        <v>465</v>
      </c>
      <c r="Q233" s="62" t="n">
        <f aca="false">ROUND(SUM(P229:P233),2)</f>
        <v>6069</v>
      </c>
      <c r="R233" s="65" t="n">
        <f aca="false">合約與計費!$D$4</f>
        <v>0.296</v>
      </c>
      <c r="S233" s="66" t="n">
        <f aca="false">ROUND(P233*R233,0)</f>
        <v>138</v>
      </c>
      <c r="T233" s="79" t="n">
        <f aca="false">ROUND(SUM(S229:S233),2)</f>
        <v>1797</v>
      </c>
      <c r="U233" s="62"/>
      <c r="V233" s="62"/>
      <c r="W233" s="67"/>
      <c r="X233" s="62"/>
      <c r="Y233" s="62" t="n">
        <f aca="false">ROUND(SUM(X229:X233),2)</f>
        <v>28</v>
      </c>
      <c r="Z233" s="68"/>
      <c r="AA233" s="77"/>
      <c r="AB233" s="78" t="n">
        <f aca="false">ROUND(SUM(AA229:AA233),2)</f>
        <v>78</v>
      </c>
      <c r="AC233" s="69"/>
      <c r="AD233" s="42" t="n">
        <v>0.0605</v>
      </c>
      <c r="AE233" s="43" t="n">
        <v>0.9</v>
      </c>
    </row>
    <row r="234" customFormat="false" ht="16.5" hidden="false" customHeight="true" outlineLevel="0" collapsed="false">
      <c r="A234" s="27" t="n">
        <f aca="false">ROW(A232)</f>
        <v>232</v>
      </c>
      <c r="B234" s="27" t="s">
        <v>455</v>
      </c>
      <c r="C234" s="31" t="n">
        <v>1</v>
      </c>
      <c r="D234" s="29" t="n">
        <v>29</v>
      </c>
      <c r="E234" s="28" t="s">
        <v>972</v>
      </c>
      <c r="F234" s="30" t="s">
        <v>973</v>
      </c>
      <c r="G234" s="31" t="s">
        <v>458</v>
      </c>
      <c r="H234" s="31" t="s">
        <v>902</v>
      </c>
      <c r="I234" s="31" t="s">
        <v>126</v>
      </c>
      <c r="J234" s="28" t="s">
        <v>460</v>
      </c>
      <c r="K234" s="80" t="s">
        <v>974</v>
      </c>
      <c r="L234" s="34" t="n">
        <v>45748</v>
      </c>
      <c r="M234" s="31" t="n">
        <v>533</v>
      </c>
      <c r="N234" s="31" t="n">
        <v>601</v>
      </c>
      <c r="O234" s="31" t="n">
        <v>68</v>
      </c>
      <c r="P234" s="31" t="n">
        <v>66</v>
      </c>
      <c r="Q234" s="31"/>
      <c r="R234" s="35" t="n">
        <f aca="false">合約與計費!$D$4</f>
        <v>0.296</v>
      </c>
      <c r="S234" s="36" t="n">
        <f aca="false">ROUND(P234*R234,0)</f>
        <v>20</v>
      </c>
      <c r="T234" s="37"/>
      <c r="U234" s="31" t="n">
        <v>292</v>
      </c>
      <c r="V234" s="31" t="n">
        <v>393</v>
      </c>
      <c r="W234" s="31" t="n">
        <v>101</v>
      </c>
      <c r="X234" s="31" t="n">
        <v>98</v>
      </c>
      <c r="Y234" s="31"/>
      <c r="Z234" s="38" t="n">
        <f aca="false">合約與計費!$E$4</f>
        <v>2.8</v>
      </c>
      <c r="AA234" s="39" t="n">
        <f aca="false">ROUND(X234*Z234,0)</f>
        <v>274</v>
      </c>
      <c r="AB234" s="40"/>
      <c r="AC234" s="41"/>
      <c r="AD234" s="42"/>
      <c r="AE234" s="43"/>
    </row>
    <row r="235" customFormat="false" ht="16.5" hidden="false" customHeight="true" outlineLevel="0" collapsed="false">
      <c r="A235" s="44" t="n">
        <f aca="false">ROW(A233)</f>
        <v>233</v>
      </c>
      <c r="B235" s="44" t="s">
        <v>462</v>
      </c>
      <c r="C235" s="47" t="n">
        <v>1</v>
      </c>
      <c r="D235" s="29"/>
      <c r="E235" s="45" t="s">
        <v>975</v>
      </c>
      <c r="F235" s="46" t="s">
        <v>973</v>
      </c>
      <c r="G235" s="47" t="s">
        <v>458</v>
      </c>
      <c r="H235" s="47" t="s">
        <v>902</v>
      </c>
      <c r="I235" s="47" t="s">
        <v>126</v>
      </c>
      <c r="J235" s="45" t="s">
        <v>464</v>
      </c>
      <c r="K235" s="48" t="s">
        <v>976</v>
      </c>
      <c r="L235" s="49" t="n">
        <v>45748</v>
      </c>
      <c r="M235" s="47" t="n">
        <v>3613</v>
      </c>
      <c r="N235" s="47" t="n">
        <v>4206</v>
      </c>
      <c r="O235" s="47" t="n">
        <v>593</v>
      </c>
      <c r="P235" s="47" t="n">
        <v>575</v>
      </c>
      <c r="Q235" s="47"/>
      <c r="R235" s="50" t="n">
        <f aca="false">合約與計費!$D$4</f>
        <v>0.296</v>
      </c>
      <c r="S235" s="51" t="n">
        <f aca="false">ROUND(P235*R235,0)</f>
        <v>170</v>
      </c>
      <c r="T235" s="52"/>
      <c r="U235" s="47"/>
      <c r="V235" s="47"/>
      <c r="W235" s="53"/>
      <c r="X235" s="47"/>
      <c r="Y235" s="47"/>
      <c r="Z235" s="54"/>
      <c r="AA235" s="55"/>
      <c r="AB235" s="56"/>
      <c r="AC235" s="57"/>
      <c r="AD235" s="42" t="n">
        <v>0.0662</v>
      </c>
      <c r="AE235" s="43" t="n">
        <v>0.9</v>
      </c>
    </row>
    <row r="236" customFormat="false" ht="16.5" hidden="false" customHeight="true" outlineLevel="0" collapsed="false">
      <c r="A236" s="44" t="n">
        <f aca="false">ROW(A234)</f>
        <v>234</v>
      </c>
      <c r="B236" s="44" t="s">
        <v>466</v>
      </c>
      <c r="C236" s="47" t="n">
        <v>1</v>
      </c>
      <c r="D236" s="29"/>
      <c r="E236" s="45" t="s">
        <v>977</v>
      </c>
      <c r="F236" s="46" t="s">
        <v>973</v>
      </c>
      <c r="G236" s="47" t="s">
        <v>458</v>
      </c>
      <c r="H236" s="47" t="s">
        <v>902</v>
      </c>
      <c r="I236" s="47" t="s">
        <v>126</v>
      </c>
      <c r="J236" s="45" t="s">
        <v>471</v>
      </c>
      <c r="K236" s="48" t="s">
        <v>978</v>
      </c>
      <c r="L236" s="49" t="n">
        <v>45748</v>
      </c>
      <c r="M236" s="47" t="n">
        <v>21529</v>
      </c>
      <c r="N236" s="47" t="n">
        <v>24865</v>
      </c>
      <c r="O236" s="47" t="n">
        <v>3336</v>
      </c>
      <c r="P236" s="47" t="n">
        <v>3236</v>
      </c>
      <c r="Q236" s="47"/>
      <c r="R236" s="50" t="n">
        <f aca="false">合約與計費!$D$4</f>
        <v>0.296</v>
      </c>
      <c r="S236" s="51" t="n">
        <f aca="false">ROUND(P236*R236,0)</f>
        <v>958</v>
      </c>
      <c r="T236" s="52"/>
      <c r="U236" s="47"/>
      <c r="V236" s="47"/>
      <c r="W236" s="53"/>
      <c r="X236" s="47"/>
      <c r="Y236" s="47"/>
      <c r="Z236" s="54"/>
      <c r="AA236" s="55"/>
      <c r="AB236" s="56"/>
      <c r="AC236" s="57"/>
      <c r="AD236" s="42" t="n">
        <v>0.1056</v>
      </c>
      <c r="AE236" s="43" t="n">
        <v>0.2</v>
      </c>
    </row>
    <row r="237" customFormat="false" ht="16.5" hidden="false" customHeight="true" outlineLevel="0" collapsed="false">
      <c r="A237" s="44" t="n">
        <f aca="false">ROW(A235)</f>
        <v>235</v>
      </c>
      <c r="B237" s="44" t="s">
        <v>469</v>
      </c>
      <c r="C237" s="47" t="n">
        <v>1</v>
      </c>
      <c r="D237" s="29"/>
      <c r="E237" s="45" t="s">
        <v>979</v>
      </c>
      <c r="F237" s="46" t="s">
        <v>973</v>
      </c>
      <c r="G237" s="47" t="s">
        <v>458</v>
      </c>
      <c r="H237" s="47" t="s">
        <v>902</v>
      </c>
      <c r="I237" s="47" t="s">
        <v>126</v>
      </c>
      <c r="J237" s="45" t="s">
        <v>471</v>
      </c>
      <c r="K237" s="48" t="s">
        <v>980</v>
      </c>
      <c r="L237" s="49" t="n">
        <v>45748</v>
      </c>
      <c r="M237" s="47" t="n">
        <v>3490</v>
      </c>
      <c r="N237" s="47" t="n">
        <v>4410</v>
      </c>
      <c r="O237" s="47" t="n">
        <v>920</v>
      </c>
      <c r="P237" s="47" t="n">
        <v>892</v>
      </c>
      <c r="Q237" s="47"/>
      <c r="R237" s="50" t="n">
        <f aca="false">合約與計費!$D$4</f>
        <v>0.296</v>
      </c>
      <c r="S237" s="51" t="n">
        <f aca="false">ROUND(P237*R237,0)</f>
        <v>264</v>
      </c>
      <c r="T237" s="52"/>
      <c r="U237" s="47"/>
      <c r="V237" s="47"/>
      <c r="W237" s="53"/>
      <c r="X237" s="47"/>
      <c r="Y237" s="47"/>
      <c r="Z237" s="54"/>
      <c r="AA237" s="55"/>
      <c r="AB237" s="56"/>
      <c r="AC237" s="57"/>
      <c r="AD237" s="42" t="n">
        <v>0.0704</v>
      </c>
      <c r="AE237" s="43" t="n">
        <v>0.9</v>
      </c>
    </row>
    <row r="238" customFormat="false" ht="16.5" hidden="false" customHeight="true" outlineLevel="0" collapsed="false">
      <c r="A238" s="44" t="n">
        <f aca="false">ROW(A236)</f>
        <v>236</v>
      </c>
      <c r="B238" s="44" t="s">
        <v>473</v>
      </c>
      <c r="C238" s="47" t="n">
        <v>1</v>
      </c>
      <c r="D238" s="29"/>
      <c r="E238" s="45" t="s">
        <v>981</v>
      </c>
      <c r="F238" s="46" t="s">
        <v>973</v>
      </c>
      <c r="G238" s="47" t="s">
        <v>458</v>
      </c>
      <c r="H238" s="47" t="s">
        <v>902</v>
      </c>
      <c r="I238" s="47" t="s">
        <v>126</v>
      </c>
      <c r="J238" s="45" t="s">
        <v>471</v>
      </c>
      <c r="K238" s="48" t="s">
        <v>982</v>
      </c>
      <c r="L238" s="49" t="n">
        <v>45748</v>
      </c>
      <c r="M238" s="47" t="n">
        <v>23102</v>
      </c>
      <c r="N238" s="47" t="n">
        <v>25975</v>
      </c>
      <c r="O238" s="47" t="n">
        <v>2873</v>
      </c>
      <c r="P238" s="47" t="n">
        <v>2787</v>
      </c>
      <c r="Q238" s="47"/>
      <c r="R238" s="50" t="n">
        <f aca="false">合約與計費!$D$4</f>
        <v>0.296</v>
      </c>
      <c r="S238" s="51" t="n">
        <f aca="false">ROUND(P238*R238,0)</f>
        <v>825</v>
      </c>
      <c r="T238" s="52"/>
      <c r="U238" s="47"/>
      <c r="V238" s="47"/>
      <c r="W238" s="53"/>
      <c r="X238" s="47"/>
      <c r="Y238" s="47"/>
      <c r="Z238" s="54"/>
      <c r="AA238" s="55"/>
      <c r="AB238" s="56"/>
      <c r="AC238" s="57"/>
      <c r="AD238" s="42" t="n">
        <v>0.1311</v>
      </c>
      <c r="AE238" s="43" t="n">
        <v>0.1</v>
      </c>
    </row>
    <row r="239" customFormat="false" ht="16.5" hidden="false" customHeight="true" outlineLevel="0" collapsed="false">
      <c r="A239" s="59" t="n">
        <f aca="false">ROW(A237)</f>
        <v>237</v>
      </c>
      <c r="B239" s="59" t="s">
        <v>476</v>
      </c>
      <c r="C239" s="62" t="n">
        <v>1</v>
      </c>
      <c r="D239" s="29"/>
      <c r="E239" s="60" t="s">
        <v>983</v>
      </c>
      <c r="F239" s="61" t="s">
        <v>973</v>
      </c>
      <c r="G239" s="62" t="s">
        <v>458</v>
      </c>
      <c r="H239" s="62" t="s">
        <v>902</v>
      </c>
      <c r="I239" s="62" t="s">
        <v>126</v>
      </c>
      <c r="J239" s="60" t="s">
        <v>471</v>
      </c>
      <c r="K239" s="63" t="s">
        <v>984</v>
      </c>
      <c r="L239" s="64" t="n">
        <v>45748</v>
      </c>
      <c r="M239" s="62" t="n">
        <v>2224</v>
      </c>
      <c r="N239" s="62" t="n">
        <v>2669</v>
      </c>
      <c r="O239" s="62" t="n">
        <v>445</v>
      </c>
      <c r="P239" s="62" t="n">
        <v>432</v>
      </c>
      <c r="Q239" s="62" t="n">
        <f aca="false">ROUND(SUM(P234:P239),2)</f>
        <v>7988</v>
      </c>
      <c r="R239" s="65" t="n">
        <f aca="false">合約與計費!$D$4</f>
        <v>0.296</v>
      </c>
      <c r="S239" s="66" t="n">
        <f aca="false">ROUND(P239*R239,0)</f>
        <v>128</v>
      </c>
      <c r="T239" s="79" t="n">
        <f aca="false">ROUND(SUM(S234:S239),2)</f>
        <v>2365</v>
      </c>
      <c r="U239" s="62"/>
      <c r="V239" s="62"/>
      <c r="W239" s="67"/>
      <c r="X239" s="62"/>
      <c r="Y239" s="62" t="n">
        <f aca="false">ROUND(SUM(X234:X239),2)</f>
        <v>98</v>
      </c>
      <c r="Z239" s="68"/>
      <c r="AA239" s="77"/>
      <c r="AB239" s="78" t="n">
        <f aca="false">ROUND(SUM(AA234:AA239),2)</f>
        <v>274</v>
      </c>
      <c r="AC239" s="69"/>
      <c r="AD239" s="42" t="n">
        <v>0.0457</v>
      </c>
      <c r="AE239" s="43" t="n">
        <v>0.1</v>
      </c>
    </row>
    <row r="240" customFormat="false" ht="16.5" hidden="false" customHeight="true" outlineLevel="0" collapsed="false">
      <c r="A240" s="27" t="n">
        <f aca="false">ROW(A238)</f>
        <v>238</v>
      </c>
      <c r="B240" s="27" t="s">
        <v>455</v>
      </c>
      <c r="C240" s="31" t="n">
        <v>1</v>
      </c>
      <c r="D240" s="29" t="n">
        <v>30</v>
      </c>
      <c r="E240" s="28" t="s">
        <v>985</v>
      </c>
      <c r="F240" s="30" t="s">
        <v>986</v>
      </c>
      <c r="G240" s="31" t="s">
        <v>458</v>
      </c>
      <c r="H240" s="31" t="s">
        <v>902</v>
      </c>
      <c r="I240" s="31" t="s">
        <v>131</v>
      </c>
      <c r="J240" s="28" t="s">
        <v>460</v>
      </c>
      <c r="K240" s="80" t="s">
        <v>987</v>
      </c>
      <c r="L240" s="34" t="n">
        <v>45777</v>
      </c>
      <c r="M240" s="31" t="n">
        <v>1199</v>
      </c>
      <c r="N240" s="31" t="n">
        <v>1510</v>
      </c>
      <c r="O240" s="31" t="n">
        <v>311</v>
      </c>
      <c r="P240" s="31" t="n">
        <v>302</v>
      </c>
      <c r="Q240" s="31"/>
      <c r="R240" s="35" t="n">
        <f aca="false">合約與計費!$D$4</f>
        <v>0.296</v>
      </c>
      <c r="S240" s="36" t="n">
        <f aca="false">ROUND(P240*R240,0)</f>
        <v>89</v>
      </c>
      <c r="T240" s="37"/>
      <c r="U240" s="31" t="n">
        <v>267</v>
      </c>
      <c r="V240" s="31" t="n">
        <v>311</v>
      </c>
      <c r="W240" s="31" t="n">
        <v>44</v>
      </c>
      <c r="X240" s="31" t="n">
        <v>43</v>
      </c>
      <c r="Y240" s="31"/>
      <c r="Z240" s="38" t="n">
        <f aca="false">合約與計費!$E$4</f>
        <v>2.8</v>
      </c>
      <c r="AA240" s="39" t="n">
        <f aca="false">ROUND(X240*Z240,0)</f>
        <v>120</v>
      </c>
      <c r="AB240" s="40"/>
      <c r="AC240" s="41"/>
      <c r="AD240" s="42"/>
      <c r="AE240" s="43"/>
    </row>
    <row r="241" customFormat="false" ht="16.5" hidden="false" customHeight="true" outlineLevel="0" collapsed="false">
      <c r="A241" s="44" t="n">
        <f aca="false">ROW(A239)</f>
        <v>239</v>
      </c>
      <c r="B241" s="44" t="s">
        <v>462</v>
      </c>
      <c r="C241" s="47" t="n">
        <v>1</v>
      </c>
      <c r="D241" s="29"/>
      <c r="E241" s="45" t="s">
        <v>988</v>
      </c>
      <c r="F241" s="46" t="s">
        <v>986</v>
      </c>
      <c r="G241" s="47" t="s">
        <v>458</v>
      </c>
      <c r="H241" s="47" t="s">
        <v>902</v>
      </c>
      <c r="I241" s="47" t="s">
        <v>131</v>
      </c>
      <c r="J241" s="45" t="s">
        <v>464</v>
      </c>
      <c r="K241" s="48" t="s">
        <v>989</v>
      </c>
      <c r="L241" s="49" t="n">
        <v>45777</v>
      </c>
      <c r="M241" s="47" t="n">
        <v>810</v>
      </c>
      <c r="N241" s="47" t="n">
        <v>1079</v>
      </c>
      <c r="O241" s="47" t="n">
        <v>269</v>
      </c>
      <c r="P241" s="47" t="n">
        <v>261</v>
      </c>
      <c r="Q241" s="47"/>
      <c r="R241" s="50" t="n">
        <f aca="false">合約與計費!$D$4</f>
        <v>0.296</v>
      </c>
      <c r="S241" s="51" t="n">
        <f aca="false">ROUND(P241*R241,0)</f>
        <v>77</v>
      </c>
      <c r="T241" s="52"/>
      <c r="U241" s="47"/>
      <c r="V241" s="47"/>
      <c r="W241" s="53"/>
      <c r="X241" s="47"/>
      <c r="Y241" s="47"/>
      <c r="Z241" s="54"/>
      <c r="AA241" s="55"/>
      <c r="AB241" s="56"/>
      <c r="AC241" s="57"/>
      <c r="AD241" s="42" t="n">
        <v>0.0572</v>
      </c>
      <c r="AE241" s="43" t="n">
        <v>0.6</v>
      </c>
    </row>
    <row r="242" customFormat="false" ht="16.5" hidden="false" customHeight="true" outlineLevel="0" collapsed="false">
      <c r="A242" s="44" t="n">
        <f aca="false">ROW(A240)</f>
        <v>240</v>
      </c>
      <c r="B242" s="44" t="s">
        <v>466</v>
      </c>
      <c r="C242" s="47" t="n">
        <v>1</v>
      </c>
      <c r="D242" s="29"/>
      <c r="E242" s="45" t="s">
        <v>990</v>
      </c>
      <c r="F242" s="46" t="s">
        <v>986</v>
      </c>
      <c r="G242" s="47" t="s">
        <v>458</v>
      </c>
      <c r="H242" s="47" t="s">
        <v>902</v>
      </c>
      <c r="I242" s="47" t="s">
        <v>131</v>
      </c>
      <c r="J242" s="45" t="s">
        <v>471</v>
      </c>
      <c r="K242" s="48" t="s">
        <v>991</v>
      </c>
      <c r="L242" s="49" t="n">
        <v>45777</v>
      </c>
      <c r="M242" s="47" t="n">
        <v>9932</v>
      </c>
      <c r="N242" s="47" t="n">
        <v>12475</v>
      </c>
      <c r="O242" s="47" t="n">
        <v>2543</v>
      </c>
      <c r="P242" s="47" t="n">
        <v>2467</v>
      </c>
      <c r="Q242" s="47"/>
      <c r="R242" s="50" t="n">
        <f aca="false">合約與計費!$D$4</f>
        <v>0.296</v>
      </c>
      <c r="S242" s="51" t="n">
        <f aca="false">ROUND(P242*R242,0)</f>
        <v>730</v>
      </c>
      <c r="T242" s="52"/>
      <c r="U242" s="47"/>
      <c r="V242" s="47"/>
      <c r="W242" s="53"/>
      <c r="X242" s="47"/>
      <c r="Y242" s="47"/>
      <c r="Z242" s="54"/>
      <c r="AA242" s="55"/>
      <c r="AB242" s="56"/>
      <c r="AC242" s="57"/>
      <c r="AD242" s="42" t="n">
        <v>0.1275</v>
      </c>
      <c r="AE242" s="43" t="n">
        <v>0.6</v>
      </c>
    </row>
    <row r="243" customFormat="false" ht="16.5" hidden="false" customHeight="true" outlineLevel="0" collapsed="false">
      <c r="A243" s="44" t="n">
        <f aca="false">ROW(A241)</f>
        <v>241</v>
      </c>
      <c r="B243" s="44" t="s">
        <v>469</v>
      </c>
      <c r="C243" s="47" t="n">
        <v>1</v>
      </c>
      <c r="D243" s="29"/>
      <c r="E243" s="45" t="s">
        <v>992</v>
      </c>
      <c r="F243" s="46" t="s">
        <v>986</v>
      </c>
      <c r="G243" s="47" t="s">
        <v>458</v>
      </c>
      <c r="H243" s="47" t="s">
        <v>902</v>
      </c>
      <c r="I243" s="47" t="s">
        <v>131</v>
      </c>
      <c r="J243" s="45" t="s">
        <v>471</v>
      </c>
      <c r="K243" s="48" t="s">
        <v>993</v>
      </c>
      <c r="L243" s="49" t="n">
        <v>45777</v>
      </c>
      <c r="M243" s="47" t="n">
        <v>9726</v>
      </c>
      <c r="N243" s="47" t="n">
        <v>11917</v>
      </c>
      <c r="O243" s="47" t="n">
        <v>2191</v>
      </c>
      <c r="P243" s="47" t="n">
        <v>2125</v>
      </c>
      <c r="Q243" s="47"/>
      <c r="R243" s="50" t="n">
        <f aca="false">合約與計費!$D$4</f>
        <v>0.296</v>
      </c>
      <c r="S243" s="51" t="n">
        <f aca="false">ROUND(P243*R243,0)</f>
        <v>629</v>
      </c>
      <c r="T243" s="52"/>
      <c r="U243" s="47"/>
      <c r="V243" s="47"/>
      <c r="W243" s="53"/>
      <c r="X243" s="47"/>
      <c r="Y243" s="47"/>
      <c r="Z243" s="54"/>
      <c r="AA243" s="55"/>
      <c r="AB243" s="56"/>
      <c r="AC243" s="57"/>
      <c r="AD243" s="42" t="n">
        <v>0.1137</v>
      </c>
      <c r="AE243" s="43" t="n">
        <v>0.2</v>
      </c>
    </row>
    <row r="244" customFormat="false" ht="16.5" hidden="false" customHeight="true" outlineLevel="0" collapsed="false">
      <c r="A244" s="44" t="n">
        <f aca="false">ROW(A242)</f>
        <v>242</v>
      </c>
      <c r="B244" s="44" t="s">
        <v>473</v>
      </c>
      <c r="C244" s="47" t="n">
        <v>1</v>
      </c>
      <c r="D244" s="29"/>
      <c r="E244" s="45" t="s">
        <v>994</v>
      </c>
      <c r="F244" s="46" t="s">
        <v>986</v>
      </c>
      <c r="G244" s="47" t="s">
        <v>458</v>
      </c>
      <c r="H244" s="47" t="s">
        <v>902</v>
      </c>
      <c r="I244" s="47" t="s">
        <v>131</v>
      </c>
      <c r="J244" s="45" t="s">
        <v>471</v>
      </c>
      <c r="K244" s="48" t="s">
        <v>995</v>
      </c>
      <c r="L244" s="49" t="n">
        <v>45777</v>
      </c>
      <c r="M244" s="47" t="n">
        <v>1378</v>
      </c>
      <c r="N244" s="47" t="n">
        <v>1660</v>
      </c>
      <c r="O244" s="47" t="n">
        <v>282</v>
      </c>
      <c r="P244" s="47" t="n">
        <v>274</v>
      </c>
      <c r="Q244" s="47"/>
      <c r="R244" s="50" t="n">
        <f aca="false">合約與計費!$D$4</f>
        <v>0.296</v>
      </c>
      <c r="S244" s="51" t="n">
        <f aca="false">ROUND(P244*R244,0)</f>
        <v>81</v>
      </c>
      <c r="T244" s="52"/>
      <c r="U244" s="47"/>
      <c r="V244" s="47"/>
      <c r="W244" s="53"/>
      <c r="X244" s="47"/>
      <c r="Y244" s="47"/>
      <c r="Z244" s="54"/>
      <c r="AA244" s="55"/>
      <c r="AB244" s="56"/>
      <c r="AC244" s="57"/>
      <c r="AD244" s="42" t="n">
        <v>0.0413</v>
      </c>
      <c r="AE244" s="43" t="n">
        <v>0.5</v>
      </c>
    </row>
    <row r="245" customFormat="false" ht="16.5" hidden="false" customHeight="true" outlineLevel="0" collapsed="false">
      <c r="A245" s="59" t="n">
        <f aca="false">ROW(A243)</f>
        <v>243</v>
      </c>
      <c r="B245" s="59" t="s">
        <v>476</v>
      </c>
      <c r="C245" s="62" t="n">
        <v>1</v>
      </c>
      <c r="D245" s="29"/>
      <c r="E245" s="60" t="s">
        <v>996</v>
      </c>
      <c r="F245" s="61" t="s">
        <v>986</v>
      </c>
      <c r="G245" s="62" t="s">
        <v>458</v>
      </c>
      <c r="H245" s="62" t="s">
        <v>902</v>
      </c>
      <c r="I245" s="62" t="s">
        <v>131</v>
      </c>
      <c r="J245" s="60" t="s">
        <v>471</v>
      </c>
      <c r="K245" s="63" t="s">
        <v>997</v>
      </c>
      <c r="L245" s="64" t="n">
        <v>45777</v>
      </c>
      <c r="M245" s="62" t="n">
        <v>6902</v>
      </c>
      <c r="N245" s="62" t="n">
        <v>9048</v>
      </c>
      <c r="O245" s="62" t="n">
        <v>2146</v>
      </c>
      <c r="P245" s="62" t="n">
        <v>2082</v>
      </c>
      <c r="Q245" s="62" t="n">
        <f aca="false">ROUND(SUM(P240:P245),2)</f>
        <v>7511</v>
      </c>
      <c r="R245" s="65" t="n">
        <f aca="false">合約與計費!$D$4</f>
        <v>0.296</v>
      </c>
      <c r="S245" s="66" t="n">
        <f aca="false">ROUND(P245*R245,0)</f>
        <v>616</v>
      </c>
      <c r="T245" s="79" t="n">
        <f aca="false">ROUND(SUM(S240:S245),2)</f>
        <v>2222</v>
      </c>
      <c r="U245" s="62"/>
      <c r="V245" s="62"/>
      <c r="W245" s="67"/>
      <c r="X245" s="62"/>
      <c r="Y245" s="62" t="n">
        <f aca="false">ROUND(SUM(X240:X245),2)</f>
        <v>43</v>
      </c>
      <c r="Z245" s="68"/>
      <c r="AA245" s="77"/>
      <c r="AB245" s="78" t="n">
        <f aca="false">ROUND(SUM(AA240:AA245),2)</f>
        <v>120</v>
      </c>
      <c r="AC245" s="69"/>
      <c r="AD245" s="42" t="n">
        <v>0.0979</v>
      </c>
      <c r="AE245" s="43" t="n">
        <v>1</v>
      </c>
    </row>
    <row r="246" customFormat="false" ht="16.5" hidden="false" customHeight="true" outlineLevel="0" collapsed="false">
      <c r="A246" s="27" t="n">
        <f aca="false">ROW(A244)</f>
        <v>244</v>
      </c>
      <c r="B246" s="27" t="s">
        <v>455</v>
      </c>
      <c r="C246" s="31" t="n">
        <v>1</v>
      </c>
      <c r="D246" s="29" t="n">
        <v>31</v>
      </c>
      <c r="E246" s="28" t="s">
        <v>998</v>
      </c>
      <c r="F246" s="30" t="s">
        <v>999</v>
      </c>
      <c r="G246" s="31" t="s">
        <v>458</v>
      </c>
      <c r="H246" s="31" t="s">
        <v>902</v>
      </c>
      <c r="I246" s="31" t="s">
        <v>314</v>
      </c>
      <c r="J246" s="28" t="s">
        <v>460</v>
      </c>
      <c r="K246" s="80" t="s">
        <v>1000</v>
      </c>
      <c r="L246" s="34" t="n">
        <v>45749</v>
      </c>
      <c r="M246" s="31" t="n">
        <v>152</v>
      </c>
      <c r="N246" s="31" t="n">
        <v>175</v>
      </c>
      <c r="O246" s="31" t="n">
        <v>23</v>
      </c>
      <c r="P246" s="31" t="n">
        <v>22</v>
      </c>
      <c r="Q246" s="31"/>
      <c r="R246" s="35" t="n">
        <f aca="false">合約與計費!$D$4</f>
        <v>0.296</v>
      </c>
      <c r="S246" s="36" t="n">
        <f aca="false">ROUND(P246*R246,0)</f>
        <v>7</v>
      </c>
      <c r="T246" s="37"/>
      <c r="U246" s="31" t="n">
        <v>510</v>
      </c>
      <c r="V246" s="31" t="n">
        <v>554</v>
      </c>
      <c r="W246" s="31" t="n">
        <v>44</v>
      </c>
      <c r="X246" s="31" t="n">
        <v>43</v>
      </c>
      <c r="Y246" s="31"/>
      <c r="Z246" s="38" t="n">
        <f aca="false">合約與計費!$E$4</f>
        <v>2.8</v>
      </c>
      <c r="AA246" s="39" t="n">
        <f aca="false">ROUND(X246*Z246,0)</f>
        <v>120</v>
      </c>
      <c r="AB246" s="40"/>
      <c r="AC246" s="41"/>
      <c r="AD246" s="42"/>
      <c r="AE246" s="43"/>
    </row>
    <row r="247" customFormat="false" ht="16.5" hidden="false" customHeight="true" outlineLevel="0" collapsed="false">
      <c r="A247" s="44" t="n">
        <f aca="false">ROW(A245)</f>
        <v>245</v>
      </c>
      <c r="B247" s="44" t="s">
        <v>462</v>
      </c>
      <c r="C247" s="47" t="n">
        <v>1</v>
      </c>
      <c r="D247" s="29"/>
      <c r="E247" s="45" t="s">
        <v>1001</v>
      </c>
      <c r="F247" s="46" t="s">
        <v>999</v>
      </c>
      <c r="G247" s="47" t="s">
        <v>458</v>
      </c>
      <c r="H247" s="47" t="s">
        <v>902</v>
      </c>
      <c r="I247" s="47" t="s">
        <v>314</v>
      </c>
      <c r="J247" s="45" t="s">
        <v>464</v>
      </c>
      <c r="K247" s="48" t="s">
        <v>1002</v>
      </c>
      <c r="L247" s="49" t="n">
        <v>45749</v>
      </c>
      <c r="M247" s="47" t="n">
        <v>4593</v>
      </c>
      <c r="N247" s="47" t="n">
        <v>5605</v>
      </c>
      <c r="O247" s="47" t="n">
        <v>1012</v>
      </c>
      <c r="P247" s="47" t="n">
        <v>982</v>
      </c>
      <c r="Q247" s="47"/>
      <c r="R247" s="50" t="n">
        <f aca="false">合約與計費!$D$4</f>
        <v>0.296</v>
      </c>
      <c r="S247" s="51" t="n">
        <f aca="false">ROUND(P247*R247,0)</f>
        <v>291</v>
      </c>
      <c r="T247" s="52"/>
      <c r="U247" s="47"/>
      <c r="V247" s="47"/>
      <c r="W247" s="53"/>
      <c r="X247" s="47"/>
      <c r="Y247" s="47"/>
      <c r="Z247" s="54"/>
      <c r="AA247" s="55"/>
      <c r="AB247" s="56"/>
      <c r="AC247" s="57"/>
      <c r="AD247" s="42" t="n">
        <v>0.0711</v>
      </c>
      <c r="AE247" s="43" t="n">
        <v>0.7</v>
      </c>
    </row>
    <row r="248" customFormat="false" ht="16.5" hidden="false" customHeight="true" outlineLevel="0" collapsed="false">
      <c r="A248" s="44" t="n">
        <f aca="false">ROW(A246)</f>
        <v>246</v>
      </c>
      <c r="B248" s="44" t="s">
        <v>466</v>
      </c>
      <c r="C248" s="47" t="n">
        <v>1</v>
      </c>
      <c r="D248" s="29"/>
      <c r="E248" s="45" t="s">
        <v>1003</v>
      </c>
      <c r="F248" s="46" t="s">
        <v>999</v>
      </c>
      <c r="G248" s="47" t="s">
        <v>458</v>
      </c>
      <c r="H248" s="47" t="s">
        <v>902</v>
      </c>
      <c r="I248" s="47" t="s">
        <v>314</v>
      </c>
      <c r="J248" s="45" t="s">
        <v>471</v>
      </c>
      <c r="K248" s="48" t="s">
        <v>1004</v>
      </c>
      <c r="L248" s="49" t="n">
        <v>45749</v>
      </c>
      <c r="M248" s="47" t="n">
        <v>12779</v>
      </c>
      <c r="N248" s="47" t="n">
        <v>14881</v>
      </c>
      <c r="O248" s="47" t="n">
        <v>2102</v>
      </c>
      <c r="P248" s="47" t="n">
        <v>2039</v>
      </c>
      <c r="Q248" s="47"/>
      <c r="R248" s="50" t="n">
        <f aca="false">合約與計費!$D$4</f>
        <v>0.296</v>
      </c>
      <c r="S248" s="51" t="n">
        <f aca="false">ROUND(P248*R248,0)</f>
        <v>604</v>
      </c>
      <c r="T248" s="52"/>
      <c r="U248" s="47"/>
      <c r="V248" s="47"/>
      <c r="W248" s="53"/>
      <c r="X248" s="47"/>
      <c r="Y248" s="47"/>
      <c r="Z248" s="54"/>
      <c r="AA248" s="55"/>
      <c r="AB248" s="56"/>
      <c r="AC248" s="57"/>
      <c r="AD248" s="42" t="n">
        <v>0.0955</v>
      </c>
      <c r="AE248" s="43" t="n">
        <v>0.7</v>
      </c>
    </row>
    <row r="249" customFormat="false" ht="16.5" hidden="false" customHeight="true" outlineLevel="0" collapsed="false">
      <c r="A249" s="44" t="n">
        <f aca="false">ROW(A247)</f>
        <v>247</v>
      </c>
      <c r="B249" s="44" t="s">
        <v>469</v>
      </c>
      <c r="C249" s="47" t="n">
        <v>1</v>
      </c>
      <c r="D249" s="29"/>
      <c r="E249" s="45" t="s">
        <v>1005</v>
      </c>
      <c r="F249" s="46" t="s">
        <v>999</v>
      </c>
      <c r="G249" s="47" t="s">
        <v>458</v>
      </c>
      <c r="H249" s="47" t="s">
        <v>902</v>
      </c>
      <c r="I249" s="47" t="s">
        <v>314</v>
      </c>
      <c r="J249" s="45" t="s">
        <v>471</v>
      </c>
      <c r="K249" s="48" t="s">
        <v>1006</v>
      </c>
      <c r="L249" s="49" t="n">
        <v>45749</v>
      </c>
      <c r="M249" s="47" t="n">
        <v>11463</v>
      </c>
      <c r="N249" s="47" t="n">
        <v>13685</v>
      </c>
      <c r="O249" s="47" t="n">
        <v>2222</v>
      </c>
      <c r="P249" s="47" t="n">
        <v>2155</v>
      </c>
      <c r="Q249" s="47"/>
      <c r="R249" s="50" t="n">
        <f aca="false">合約與計費!$D$4</f>
        <v>0.296</v>
      </c>
      <c r="S249" s="51" t="n">
        <f aca="false">ROUND(P249*R249,0)</f>
        <v>638</v>
      </c>
      <c r="T249" s="52"/>
      <c r="U249" s="47"/>
      <c r="V249" s="47"/>
      <c r="W249" s="53"/>
      <c r="X249" s="47"/>
      <c r="Y249" s="47"/>
      <c r="Z249" s="54"/>
      <c r="AA249" s="55"/>
      <c r="AB249" s="56"/>
      <c r="AC249" s="57"/>
      <c r="AD249" s="42" t="n">
        <v>0.0946</v>
      </c>
      <c r="AE249" s="43" t="n">
        <v>0.9</v>
      </c>
    </row>
    <row r="250" customFormat="false" ht="16.5" hidden="false" customHeight="true" outlineLevel="0" collapsed="false">
      <c r="A250" s="44" t="n">
        <f aca="false">ROW(A248)</f>
        <v>248</v>
      </c>
      <c r="B250" s="44" t="s">
        <v>473</v>
      </c>
      <c r="C250" s="47" t="n">
        <v>1</v>
      </c>
      <c r="D250" s="29"/>
      <c r="E250" s="45" t="s">
        <v>1007</v>
      </c>
      <c r="F250" s="46" t="s">
        <v>999</v>
      </c>
      <c r="G250" s="47" t="s">
        <v>458</v>
      </c>
      <c r="H250" s="47" t="s">
        <v>902</v>
      </c>
      <c r="I250" s="47" t="s">
        <v>314</v>
      </c>
      <c r="J250" s="45" t="s">
        <v>471</v>
      </c>
      <c r="K250" s="48" t="s">
        <v>1008</v>
      </c>
      <c r="L250" s="49" t="n">
        <v>45749</v>
      </c>
      <c r="M250" s="47" t="n">
        <v>10055</v>
      </c>
      <c r="N250" s="47" t="n">
        <v>12459</v>
      </c>
      <c r="O250" s="47" t="n">
        <v>2404</v>
      </c>
      <c r="P250" s="47" t="n">
        <v>2332</v>
      </c>
      <c r="Q250" s="47"/>
      <c r="R250" s="50" t="n">
        <f aca="false">合約與計費!$D$4</f>
        <v>0.296</v>
      </c>
      <c r="S250" s="51" t="n">
        <f aca="false">ROUND(P250*R250,0)</f>
        <v>690</v>
      </c>
      <c r="T250" s="52"/>
      <c r="U250" s="47"/>
      <c r="V250" s="47"/>
      <c r="W250" s="53"/>
      <c r="X250" s="47"/>
      <c r="Y250" s="47"/>
      <c r="Z250" s="54"/>
      <c r="AA250" s="55"/>
      <c r="AB250" s="56"/>
      <c r="AC250" s="57"/>
      <c r="AD250" s="42" t="n">
        <v>0.1098</v>
      </c>
      <c r="AE250" s="43" t="n">
        <v>0.3</v>
      </c>
    </row>
    <row r="251" customFormat="false" ht="16.5" hidden="false" customHeight="true" outlineLevel="0" collapsed="false">
      <c r="A251" s="44" t="n">
        <f aca="false">ROW(A249)</f>
        <v>249</v>
      </c>
      <c r="B251" s="44" t="s">
        <v>476</v>
      </c>
      <c r="C251" s="47" t="n">
        <v>1</v>
      </c>
      <c r="D251" s="29"/>
      <c r="E251" s="45" t="s">
        <v>1009</v>
      </c>
      <c r="F251" s="46" t="s">
        <v>999</v>
      </c>
      <c r="G251" s="47" t="s">
        <v>458</v>
      </c>
      <c r="H251" s="47" t="s">
        <v>902</v>
      </c>
      <c r="I251" s="47" t="s">
        <v>314</v>
      </c>
      <c r="J251" s="45" t="s">
        <v>471</v>
      </c>
      <c r="K251" s="48" t="s">
        <v>1010</v>
      </c>
      <c r="L251" s="49" t="n">
        <v>45749</v>
      </c>
      <c r="M251" s="47" t="n">
        <v>3767</v>
      </c>
      <c r="N251" s="47" t="n">
        <v>4381</v>
      </c>
      <c r="O251" s="47" t="n">
        <v>614</v>
      </c>
      <c r="P251" s="47" t="n">
        <v>596</v>
      </c>
      <c r="Q251" s="47"/>
      <c r="R251" s="50" t="n">
        <f aca="false">合約與計費!$D$4</f>
        <v>0.296</v>
      </c>
      <c r="S251" s="51" t="n">
        <f aca="false">ROUND(P251*R251,0)</f>
        <v>176</v>
      </c>
      <c r="T251" s="52"/>
      <c r="U251" s="47"/>
      <c r="V251" s="47"/>
      <c r="W251" s="53"/>
      <c r="X251" s="47"/>
      <c r="Y251" s="47"/>
      <c r="Z251" s="54"/>
      <c r="AA251" s="55"/>
      <c r="AB251" s="56"/>
      <c r="AC251" s="57"/>
      <c r="AD251" s="42" t="n">
        <v>0.0459</v>
      </c>
      <c r="AE251" s="43" t="n">
        <v>1</v>
      </c>
    </row>
    <row r="252" customFormat="false" ht="16.5" hidden="false" customHeight="true" outlineLevel="0" collapsed="false">
      <c r="A252" s="44" t="n">
        <f aca="false">ROW(A250)</f>
        <v>250</v>
      </c>
      <c r="B252" s="44" t="s">
        <v>479</v>
      </c>
      <c r="C252" s="47" t="n">
        <v>1</v>
      </c>
      <c r="D252" s="29"/>
      <c r="E252" s="45" t="s">
        <v>1011</v>
      </c>
      <c r="F252" s="46" t="s">
        <v>999</v>
      </c>
      <c r="G252" s="47" t="s">
        <v>458</v>
      </c>
      <c r="H252" s="47" t="s">
        <v>902</v>
      </c>
      <c r="I252" s="47" t="s">
        <v>314</v>
      </c>
      <c r="J252" s="45" t="s">
        <v>471</v>
      </c>
      <c r="K252" s="48" t="s">
        <v>1012</v>
      </c>
      <c r="L252" s="49" t="n">
        <v>45749</v>
      </c>
      <c r="M252" s="47" t="n">
        <v>907</v>
      </c>
      <c r="N252" s="47" t="n">
        <v>1077</v>
      </c>
      <c r="O252" s="47" t="n">
        <v>170</v>
      </c>
      <c r="P252" s="47" t="n">
        <v>165</v>
      </c>
      <c r="Q252" s="47"/>
      <c r="R252" s="50" t="n">
        <f aca="false">合約與計費!$D$4</f>
        <v>0.296</v>
      </c>
      <c r="S252" s="51" t="n">
        <f aca="false">ROUND(P252*R252,0)</f>
        <v>49</v>
      </c>
      <c r="T252" s="52"/>
      <c r="U252" s="47"/>
      <c r="V252" s="47"/>
      <c r="W252" s="53"/>
      <c r="X252" s="47"/>
      <c r="Y252" s="47"/>
      <c r="Z252" s="54"/>
      <c r="AA252" s="55"/>
      <c r="AB252" s="56"/>
      <c r="AC252" s="57"/>
      <c r="AD252" s="42" t="n">
        <v>0.0688</v>
      </c>
      <c r="AE252" s="43" t="n">
        <v>1</v>
      </c>
    </row>
    <row r="253" customFormat="false" ht="16.5" hidden="false" customHeight="true" outlineLevel="0" collapsed="false">
      <c r="A253" s="44" t="n">
        <f aca="false">ROW(A251)</f>
        <v>251</v>
      </c>
      <c r="B253" s="44" t="s">
        <v>482</v>
      </c>
      <c r="C253" s="47" t="n">
        <v>1</v>
      </c>
      <c r="D253" s="29"/>
      <c r="E253" s="45" t="s">
        <v>1013</v>
      </c>
      <c r="F253" s="46" t="s">
        <v>999</v>
      </c>
      <c r="G253" s="47" t="s">
        <v>458</v>
      </c>
      <c r="H253" s="47" t="s">
        <v>902</v>
      </c>
      <c r="I253" s="47" t="s">
        <v>314</v>
      </c>
      <c r="J253" s="45" t="s">
        <v>471</v>
      </c>
      <c r="K253" s="48" t="s">
        <v>1014</v>
      </c>
      <c r="L253" s="49" t="n">
        <v>45749</v>
      </c>
      <c r="M253" s="47" t="n">
        <v>7603</v>
      </c>
      <c r="N253" s="47" t="n">
        <v>9037</v>
      </c>
      <c r="O253" s="47" t="n">
        <v>1434</v>
      </c>
      <c r="P253" s="47" t="n">
        <v>1391</v>
      </c>
      <c r="Q253" s="47"/>
      <c r="R253" s="50" t="n">
        <f aca="false">合約與計費!$D$4</f>
        <v>0.296</v>
      </c>
      <c r="S253" s="51" t="n">
        <f aca="false">ROUND(P253*R253,0)</f>
        <v>412</v>
      </c>
      <c r="T253" s="52"/>
      <c r="U253" s="47"/>
      <c r="V253" s="47"/>
      <c r="W253" s="53"/>
      <c r="X253" s="47"/>
      <c r="Y253" s="47"/>
      <c r="Z253" s="54"/>
      <c r="AA253" s="55"/>
      <c r="AB253" s="56"/>
      <c r="AC253" s="57"/>
      <c r="AD253" s="42" t="n">
        <v>0.1124</v>
      </c>
      <c r="AE253" s="43" t="n">
        <v>0.1</v>
      </c>
    </row>
    <row r="254" customFormat="false" ht="16.5" hidden="false" customHeight="true" outlineLevel="0" collapsed="false">
      <c r="A254" s="59" t="n">
        <f aca="false">ROW(A252)</f>
        <v>252</v>
      </c>
      <c r="B254" s="59" t="s">
        <v>485</v>
      </c>
      <c r="C254" s="62" t="n">
        <v>1</v>
      </c>
      <c r="D254" s="29"/>
      <c r="E254" s="60" t="s">
        <v>1015</v>
      </c>
      <c r="F254" s="61" t="s">
        <v>999</v>
      </c>
      <c r="G254" s="62" t="s">
        <v>458</v>
      </c>
      <c r="H254" s="62" t="s">
        <v>902</v>
      </c>
      <c r="I254" s="62" t="s">
        <v>314</v>
      </c>
      <c r="J254" s="60" t="s">
        <v>471</v>
      </c>
      <c r="K254" s="63" t="s">
        <v>1016</v>
      </c>
      <c r="L254" s="64" t="n">
        <v>45749</v>
      </c>
      <c r="M254" s="62" t="n">
        <v>7384</v>
      </c>
      <c r="N254" s="62" t="n">
        <v>9139</v>
      </c>
      <c r="O254" s="62" t="n">
        <v>1755</v>
      </c>
      <c r="P254" s="62" t="n">
        <v>1702</v>
      </c>
      <c r="Q254" s="62" t="n">
        <f aca="false">ROUND(SUM(P246:P254),2)</f>
        <v>11384</v>
      </c>
      <c r="R254" s="65" t="n">
        <f aca="false">合約與計費!$D$4</f>
        <v>0.296</v>
      </c>
      <c r="S254" s="66" t="n">
        <f aca="false">ROUND(P254*R254,0)</f>
        <v>504</v>
      </c>
      <c r="T254" s="79" t="n">
        <f aca="false">ROUND(SUM(S246:S254),2)</f>
        <v>3371</v>
      </c>
      <c r="U254" s="62"/>
      <c r="V254" s="62"/>
      <c r="W254" s="67"/>
      <c r="X254" s="62"/>
      <c r="Y254" s="62" t="n">
        <f aca="false">ROUND(SUM(X246:X254),2)</f>
        <v>43</v>
      </c>
      <c r="Z254" s="68"/>
      <c r="AA254" s="77"/>
      <c r="AB254" s="78" t="n">
        <f aca="false">ROUND(SUM(AA246:AA254),2)</f>
        <v>120</v>
      </c>
      <c r="AC254" s="69"/>
      <c r="AD254" s="42" t="n">
        <v>0.0888</v>
      </c>
      <c r="AE254" s="43" t="n">
        <v>0.2</v>
      </c>
    </row>
    <row r="255" customFormat="false" ht="16.5" hidden="false" customHeight="true" outlineLevel="0" collapsed="false">
      <c r="A255" s="27" t="n">
        <f aca="false">ROW(A253)</f>
        <v>253</v>
      </c>
      <c r="B255" s="27" t="s">
        <v>455</v>
      </c>
      <c r="C255" s="31" t="n">
        <v>1</v>
      </c>
      <c r="D255" s="29" t="n">
        <v>219</v>
      </c>
      <c r="E255" s="70" t="s">
        <v>1017</v>
      </c>
      <c r="F255" s="30" t="s">
        <v>1018</v>
      </c>
      <c r="G255" s="31" t="s">
        <v>458</v>
      </c>
      <c r="H255" s="31" t="s">
        <v>902</v>
      </c>
      <c r="I255" s="71" t="s">
        <v>119</v>
      </c>
      <c r="J255" s="28" t="s">
        <v>460</v>
      </c>
      <c r="K255" s="80" t="s">
        <v>1019</v>
      </c>
      <c r="L255" s="34" t="n">
        <v>45775</v>
      </c>
      <c r="M255" s="31" t="n">
        <v>1286</v>
      </c>
      <c r="N255" s="31" t="n">
        <v>1623</v>
      </c>
      <c r="O255" s="31" t="n">
        <v>337</v>
      </c>
      <c r="P255" s="31" t="n">
        <v>327</v>
      </c>
      <c r="Q255" s="31"/>
      <c r="R255" s="35" t="n">
        <f aca="false">合約與計費!$D$4</f>
        <v>0.296</v>
      </c>
      <c r="S255" s="36" t="n">
        <f aca="false">ROUND(P255*R255,0)</f>
        <v>97</v>
      </c>
      <c r="T255" s="37"/>
      <c r="U255" s="31" t="n">
        <v>647</v>
      </c>
      <c r="V255" s="31" t="n">
        <v>793</v>
      </c>
      <c r="W255" s="31" t="n">
        <v>146</v>
      </c>
      <c r="X255" s="31" t="n">
        <v>142</v>
      </c>
      <c r="Y255" s="31"/>
      <c r="Z255" s="38" t="n">
        <f aca="false">合約與計費!$E$4</f>
        <v>2.8</v>
      </c>
      <c r="AA255" s="39" t="n">
        <f aca="false">ROUND(X255*Z255,0)</f>
        <v>398</v>
      </c>
      <c r="AB255" s="40"/>
      <c r="AC255" s="41"/>
      <c r="AD255" s="42"/>
      <c r="AE255" s="43"/>
    </row>
    <row r="256" customFormat="false" ht="16.5" hidden="false" customHeight="true" outlineLevel="0" collapsed="false">
      <c r="A256" s="59" t="n">
        <f aca="false">ROW(A254)</f>
        <v>254</v>
      </c>
      <c r="B256" s="59" t="s">
        <v>462</v>
      </c>
      <c r="C256" s="62" t="n">
        <v>1</v>
      </c>
      <c r="D256" s="29"/>
      <c r="E256" s="75" t="s">
        <v>1020</v>
      </c>
      <c r="F256" s="61" t="s">
        <v>1018</v>
      </c>
      <c r="G256" s="62" t="s">
        <v>458</v>
      </c>
      <c r="H256" s="62" t="s">
        <v>902</v>
      </c>
      <c r="I256" s="76" t="s">
        <v>119</v>
      </c>
      <c r="J256" s="60" t="s">
        <v>464</v>
      </c>
      <c r="K256" s="63" t="s">
        <v>1021</v>
      </c>
      <c r="L256" s="64" t="n">
        <v>45775</v>
      </c>
      <c r="M256" s="62" t="n">
        <v>7674</v>
      </c>
      <c r="N256" s="62" t="n">
        <v>9672</v>
      </c>
      <c r="O256" s="62" t="n">
        <v>1998</v>
      </c>
      <c r="P256" s="62" t="n">
        <v>1938</v>
      </c>
      <c r="Q256" s="62" t="n">
        <f aca="false">ROUND(SUM(P255:P256),2)</f>
        <v>2265</v>
      </c>
      <c r="R256" s="65" t="n">
        <f aca="false">合約與計費!$D$4</f>
        <v>0.296</v>
      </c>
      <c r="S256" s="66" t="n">
        <f aca="false">ROUND(P256*R256,0)</f>
        <v>574</v>
      </c>
      <c r="T256" s="79" t="n">
        <f aca="false">ROUND(SUM(S255:S256),2)</f>
        <v>671</v>
      </c>
      <c r="U256" s="62"/>
      <c r="V256" s="62"/>
      <c r="W256" s="67"/>
      <c r="X256" s="62"/>
      <c r="Y256" s="62" t="n">
        <f aca="false">ROUND(SUM(X255:X256),2)</f>
        <v>142</v>
      </c>
      <c r="Z256" s="68"/>
      <c r="AA256" s="77"/>
      <c r="AB256" s="78" t="n">
        <f aca="false">ROUND(SUM(AA255:AA256),2)</f>
        <v>398</v>
      </c>
      <c r="AC256" s="69"/>
      <c r="AD256" s="42" t="n">
        <v>0.0538</v>
      </c>
      <c r="AE256" s="43" t="n">
        <v>0.6</v>
      </c>
    </row>
    <row r="257" customFormat="false" ht="16.5" hidden="false" customHeight="true" outlineLevel="0" collapsed="false">
      <c r="A257" s="27" t="n">
        <f aca="false">ROW(A255)</f>
        <v>255</v>
      </c>
      <c r="B257" s="27" t="s">
        <v>455</v>
      </c>
      <c r="C257" s="31" t="n">
        <v>1</v>
      </c>
      <c r="D257" s="29" t="n">
        <v>277</v>
      </c>
      <c r="E257" s="70" t="s">
        <v>1022</v>
      </c>
      <c r="F257" s="30" t="s">
        <v>1023</v>
      </c>
      <c r="G257" s="31" t="s">
        <v>458</v>
      </c>
      <c r="H257" s="31" t="s">
        <v>902</v>
      </c>
      <c r="I257" s="71" t="s">
        <v>211</v>
      </c>
      <c r="J257" s="28" t="s">
        <v>460</v>
      </c>
      <c r="K257" s="80" t="s">
        <v>1024</v>
      </c>
      <c r="L257" s="34" t="n">
        <v>45758</v>
      </c>
      <c r="M257" s="31" t="n">
        <v>2873</v>
      </c>
      <c r="N257" s="31" t="n">
        <v>3345</v>
      </c>
      <c r="O257" s="31" t="n">
        <v>472</v>
      </c>
      <c r="P257" s="31" t="n">
        <v>458</v>
      </c>
      <c r="Q257" s="31"/>
      <c r="R257" s="35" t="n">
        <f aca="false">合約與計費!$D$4</f>
        <v>0.296</v>
      </c>
      <c r="S257" s="36" t="n">
        <f aca="false">ROUND(P257*R257,0)</f>
        <v>136</v>
      </c>
      <c r="T257" s="37"/>
      <c r="U257" s="31" t="n">
        <v>44</v>
      </c>
      <c r="V257" s="31" t="n">
        <v>54</v>
      </c>
      <c r="W257" s="31" t="n">
        <v>10</v>
      </c>
      <c r="X257" s="31" t="n">
        <v>10</v>
      </c>
      <c r="Y257" s="31"/>
      <c r="Z257" s="38" t="n">
        <f aca="false">合約與計費!$E$4</f>
        <v>2.8</v>
      </c>
      <c r="AA257" s="39" t="n">
        <f aca="false">ROUND(X257*Z257,0)</f>
        <v>28</v>
      </c>
      <c r="AB257" s="40"/>
      <c r="AC257" s="41"/>
      <c r="AD257" s="42"/>
      <c r="AE257" s="43"/>
    </row>
    <row r="258" customFormat="false" ht="16.5" hidden="false" customHeight="true" outlineLevel="0" collapsed="false">
      <c r="A258" s="59" t="n">
        <f aca="false">ROW(A256)</f>
        <v>256</v>
      </c>
      <c r="B258" s="59" t="s">
        <v>462</v>
      </c>
      <c r="C258" s="62" t="n">
        <v>1</v>
      </c>
      <c r="D258" s="29"/>
      <c r="E258" s="75" t="s">
        <v>1025</v>
      </c>
      <c r="F258" s="61" t="s">
        <v>1023</v>
      </c>
      <c r="G258" s="62" t="s">
        <v>458</v>
      </c>
      <c r="H258" s="62" t="s">
        <v>902</v>
      </c>
      <c r="I258" s="76" t="s">
        <v>211</v>
      </c>
      <c r="J258" s="60" t="s">
        <v>464</v>
      </c>
      <c r="K258" s="63" t="s">
        <v>1026</v>
      </c>
      <c r="L258" s="64" t="n">
        <v>45758</v>
      </c>
      <c r="M258" s="62" t="n">
        <v>8553</v>
      </c>
      <c r="N258" s="62" t="n">
        <v>10241</v>
      </c>
      <c r="O258" s="62" t="n">
        <v>1688</v>
      </c>
      <c r="P258" s="62" t="n">
        <v>1637</v>
      </c>
      <c r="Q258" s="62" t="n">
        <f aca="false">ROUND(SUM(P257:P258),2)</f>
        <v>2095</v>
      </c>
      <c r="R258" s="65" t="n">
        <f aca="false">合約與計費!$D$4</f>
        <v>0.296</v>
      </c>
      <c r="S258" s="66" t="n">
        <f aca="false">ROUND(P258*R258,0)</f>
        <v>485</v>
      </c>
      <c r="T258" s="79" t="n">
        <f aca="false">ROUND(SUM(S257:S258),2)</f>
        <v>621</v>
      </c>
      <c r="U258" s="62"/>
      <c r="V258" s="62"/>
      <c r="W258" s="67"/>
      <c r="X258" s="62"/>
      <c r="Y258" s="62" t="n">
        <f aca="false">ROUND(SUM(X257:X258),2)</f>
        <v>10</v>
      </c>
      <c r="Z258" s="68"/>
      <c r="AA258" s="77"/>
      <c r="AB258" s="78" t="n">
        <f aca="false">ROUND(SUM(AA257:AA258),2)</f>
        <v>28</v>
      </c>
      <c r="AC258" s="69"/>
      <c r="AD258" s="42" t="n">
        <v>0.0679</v>
      </c>
      <c r="AE258" s="43" t="n">
        <v>0.3</v>
      </c>
    </row>
    <row r="259" customFormat="false" ht="16.5" hidden="false" customHeight="true" outlineLevel="0" collapsed="false">
      <c r="A259" s="27" t="n">
        <f aca="false">ROW(A257)</f>
        <v>257</v>
      </c>
      <c r="B259" s="27" t="s">
        <v>455</v>
      </c>
      <c r="C259" s="31" t="n">
        <v>1</v>
      </c>
      <c r="D259" s="29" t="n">
        <v>330</v>
      </c>
      <c r="E259" s="70" t="s">
        <v>1027</v>
      </c>
      <c r="F259" s="30" t="s">
        <v>1028</v>
      </c>
      <c r="G259" s="31" t="s">
        <v>458</v>
      </c>
      <c r="H259" s="31" t="s">
        <v>902</v>
      </c>
      <c r="I259" s="71" t="s">
        <v>53</v>
      </c>
      <c r="J259" s="28" t="s">
        <v>460</v>
      </c>
      <c r="K259" s="80" t="s">
        <v>1029</v>
      </c>
      <c r="L259" s="34" t="n">
        <v>45758</v>
      </c>
      <c r="M259" s="31" t="n">
        <v>128</v>
      </c>
      <c r="N259" s="31" t="n">
        <v>141</v>
      </c>
      <c r="O259" s="31" t="n">
        <v>13</v>
      </c>
      <c r="P259" s="31" t="n">
        <v>13</v>
      </c>
      <c r="Q259" s="31"/>
      <c r="R259" s="35" t="n">
        <f aca="false">合約與計費!$D$4</f>
        <v>0.296</v>
      </c>
      <c r="S259" s="36" t="n">
        <f aca="false">ROUND(P259*R259,0)</f>
        <v>4</v>
      </c>
      <c r="T259" s="37"/>
      <c r="U259" s="31" t="n">
        <v>86</v>
      </c>
      <c r="V259" s="31" t="n">
        <v>145</v>
      </c>
      <c r="W259" s="31" t="n">
        <v>59</v>
      </c>
      <c r="X259" s="31" t="n">
        <v>57</v>
      </c>
      <c r="Y259" s="31"/>
      <c r="Z259" s="38" t="n">
        <f aca="false">合約與計費!$E$4</f>
        <v>2.8</v>
      </c>
      <c r="AA259" s="39" t="n">
        <f aca="false">ROUND(X259*Z259,0)</f>
        <v>160</v>
      </c>
      <c r="AB259" s="40"/>
      <c r="AC259" s="41"/>
      <c r="AD259" s="42"/>
      <c r="AE259" s="43"/>
    </row>
    <row r="260" customFormat="false" ht="16.5" hidden="false" customHeight="true" outlineLevel="0" collapsed="false">
      <c r="A260" s="59" t="n">
        <f aca="false">ROW(A258)</f>
        <v>258</v>
      </c>
      <c r="B260" s="59" t="s">
        <v>462</v>
      </c>
      <c r="C260" s="62" t="n">
        <v>1</v>
      </c>
      <c r="D260" s="29"/>
      <c r="E260" s="75" t="s">
        <v>1030</v>
      </c>
      <c r="F260" s="61" t="s">
        <v>1028</v>
      </c>
      <c r="G260" s="62" t="s">
        <v>458</v>
      </c>
      <c r="H260" s="62" t="s">
        <v>902</v>
      </c>
      <c r="I260" s="76" t="s">
        <v>53</v>
      </c>
      <c r="J260" s="60" t="s">
        <v>464</v>
      </c>
      <c r="K260" s="63" t="s">
        <v>1031</v>
      </c>
      <c r="L260" s="64" t="n">
        <v>45758</v>
      </c>
      <c r="M260" s="62" t="n">
        <v>3225</v>
      </c>
      <c r="N260" s="62" t="n">
        <v>3790</v>
      </c>
      <c r="O260" s="62" t="n">
        <v>565</v>
      </c>
      <c r="P260" s="62" t="n">
        <v>548</v>
      </c>
      <c r="Q260" s="62" t="n">
        <f aca="false">ROUND(SUM(P259:P260),2)</f>
        <v>561</v>
      </c>
      <c r="R260" s="65" t="n">
        <f aca="false">合約與計費!$D$4</f>
        <v>0.296</v>
      </c>
      <c r="S260" s="66" t="n">
        <f aca="false">ROUND(P260*R260,0)</f>
        <v>162</v>
      </c>
      <c r="T260" s="79" t="n">
        <f aca="false">ROUND(SUM(S259:S260),2)</f>
        <v>166</v>
      </c>
      <c r="U260" s="62"/>
      <c r="V260" s="62"/>
      <c r="W260" s="67"/>
      <c r="X260" s="62"/>
      <c r="Y260" s="62" t="n">
        <f aca="false">ROUND(SUM(X259:X260),2)</f>
        <v>57</v>
      </c>
      <c r="Z260" s="68"/>
      <c r="AA260" s="77"/>
      <c r="AB260" s="78" t="n">
        <f aca="false">ROUND(SUM(AA259:AA260),2)</f>
        <v>160</v>
      </c>
      <c r="AC260" s="69"/>
      <c r="AD260" s="42" t="n">
        <v>0.0725</v>
      </c>
      <c r="AE260" s="43" t="n">
        <v>0.9</v>
      </c>
    </row>
    <row r="261" customFormat="false" ht="16.5" hidden="false" customHeight="true" outlineLevel="0" collapsed="false">
      <c r="A261" s="27" t="n">
        <f aca="false">ROW(A259)</f>
        <v>259</v>
      </c>
      <c r="B261" s="27" t="s">
        <v>455</v>
      </c>
      <c r="C261" s="31" t="n">
        <v>1</v>
      </c>
      <c r="D261" s="29" t="n">
        <v>32</v>
      </c>
      <c r="E261" s="28" t="s">
        <v>1032</v>
      </c>
      <c r="F261" s="30" t="s">
        <v>1033</v>
      </c>
      <c r="G261" s="31" t="s">
        <v>458</v>
      </c>
      <c r="H261" s="31" t="s">
        <v>1034</v>
      </c>
      <c r="I261" s="31" t="s">
        <v>28</v>
      </c>
      <c r="J261" s="28" t="s">
        <v>460</v>
      </c>
      <c r="K261" s="80" t="s">
        <v>1035</v>
      </c>
      <c r="L261" s="34" t="n">
        <v>45770</v>
      </c>
      <c r="M261" s="31" t="n">
        <v>41</v>
      </c>
      <c r="N261" s="31" t="n">
        <v>44</v>
      </c>
      <c r="O261" s="31" t="n">
        <v>3</v>
      </c>
      <c r="P261" s="31" t="n">
        <v>3</v>
      </c>
      <c r="Q261" s="31"/>
      <c r="R261" s="35" t="n">
        <f aca="false">合約與計費!$D$4</f>
        <v>0.296</v>
      </c>
      <c r="S261" s="36" t="n">
        <f aca="false">ROUND(P261*R261,0)</f>
        <v>1</v>
      </c>
      <c r="T261" s="37"/>
      <c r="U261" s="31" t="n">
        <v>345</v>
      </c>
      <c r="V261" s="31" t="n">
        <v>477</v>
      </c>
      <c r="W261" s="31" t="n">
        <v>132</v>
      </c>
      <c r="X261" s="31" t="n">
        <v>128</v>
      </c>
      <c r="Y261" s="31"/>
      <c r="Z261" s="38" t="n">
        <f aca="false">合約與計費!$E$4</f>
        <v>2.8</v>
      </c>
      <c r="AA261" s="39" t="n">
        <f aca="false">ROUND(X261*Z261,0)</f>
        <v>358</v>
      </c>
      <c r="AB261" s="40"/>
      <c r="AC261" s="41"/>
      <c r="AD261" s="42"/>
      <c r="AE261" s="43"/>
    </row>
    <row r="262" customFormat="false" ht="16.5" hidden="false" customHeight="true" outlineLevel="0" collapsed="false">
      <c r="A262" s="44" t="n">
        <f aca="false">ROW(A260)</f>
        <v>260</v>
      </c>
      <c r="B262" s="44" t="s">
        <v>462</v>
      </c>
      <c r="C262" s="47" t="n">
        <v>1</v>
      </c>
      <c r="D262" s="29"/>
      <c r="E262" s="45" t="s">
        <v>1036</v>
      </c>
      <c r="F262" s="46" t="s">
        <v>1033</v>
      </c>
      <c r="G262" s="47" t="s">
        <v>458</v>
      </c>
      <c r="H262" s="47" t="s">
        <v>1034</v>
      </c>
      <c r="I262" s="47" t="s">
        <v>28</v>
      </c>
      <c r="J262" s="45" t="s">
        <v>464</v>
      </c>
      <c r="K262" s="74" t="s">
        <v>1037</v>
      </c>
      <c r="L262" s="49" t="n">
        <v>45770</v>
      </c>
      <c r="M262" s="47" t="n">
        <v>1235</v>
      </c>
      <c r="N262" s="47" t="n">
        <v>1404</v>
      </c>
      <c r="O262" s="47" t="n">
        <v>169</v>
      </c>
      <c r="P262" s="47" t="n">
        <v>164</v>
      </c>
      <c r="Q262" s="47"/>
      <c r="R262" s="50" t="n">
        <f aca="false">合約與計費!$D$4</f>
        <v>0.296</v>
      </c>
      <c r="S262" s="51" t="n">
        <f aca="false">ROUND(P262*R262,0)</f>
        <v>49</v>
      </c>
      <c r="T262" s="52"/>
      <c r="U262" s="47"/>
      <c r="V262" s="47"/>
      <c r="W262" s="53"/>
      <c r="X262" s="47"/>
      <c r="Y262" s="47"/>
      <c r="Z262" s="54"/>
      <c r="AA262" s="55"/>
      <c r="AB262" s="56"/>
      <c r="AC262" s="57"/>
      <c r="AD262" s="42" t="n">
        <v>0.0964</v>
      </c>
      <c r="AE262" s="43" t="n">
        <v>0.3</v>
      </c>
    </row>
    <row r="263" customFormat="false" ht="16.5" hidden="false" customHeight="true" outlineLevel="0" collapsed="false">
      <c r="A263" s="44" t="n">
        <f aca="false">ROW(A261)</f>
        <v>261</v>
      </c>
      <c r="B263" s="44" t="s">
        <v>466</v>
      </c>
      <c r="C263" s="47" t="n">
        <v>1</v>
      </c>
      <c r="D263" s="29"/>
      <c r="E263" s="45" t="s">
        <v>1038</v>
      </c>
      <c r="F263" s="46" t="s">
        <v>1033</v>
      </c>
      <c r="G263" s="47" t="s">
        <v>458</v>
      </c>
      <c r="H263" s="47" t="s">
        <v>1034</v>
      </c>
      <c r="I263" s="47" t="s">
        <v>28</v>
      </c>
      <c r="J263" s="45" t="s">
        <v>471</v>
      </c>
      <c r="K263" s="48" t="s">
        <v>1039</v>
      </c>
      <c r="L263" s="49" t="n">
        <v>45770</v>
      </c>
      <c r="M263" s="47" t="n">
        <v>5091</v>
      </c>
      <c r="N263" s="47" t="n">
        <v>6561</v>
      </c>
      <c r="O263" s="47" t="n">
        <v>1470</v>
      </c>
      <c r="P263" s="47" t="n">
        <v>1426</v>
      </c>
      <c r="Q263" s="47"/>
      <c r="R263" s="50" t="n">
        <f aca="false">合約與計費!$D$4</f>
        <v>0.296</v>
      </c>
      <c r="S263" s="51" t="n">
        <f aca="false">ROUND(P263*R263,0)</f>
        <v>422</v>
      </c>
      <c r="T263" s="52"/>
      <c r="U263" s="47"/>
      <c r="V263" s="47"/>
      <c r="W263" s="53"/>
      <c r="X263" s="47"/>
      <c r="Y263" s="47"/>
      <c r="Z263" s="54"/>
      <c r="AA263" s="55"/>
      <c r="AB263" s="56"/>
      <c r="AC263" s="57"/>
      <c r="AD263" s="42" t="n">
        <v>0.1296</v>
      </c>
      <c r="AE263" s="43" t="n">
        <v>0.1</v>
      </c>
    </row>
    <row r="264" customFormat="false" ht="16.5" hidden="false" customHeight="true" outlineLevel="0" collapsed="false">
      <c r="A264" s="44" t="n">
        <f aca="false">ROW(A262)</f>
        <v>262</v>
      </c>
      <c r="B264" s="44" t="s">
        <v>469</v>
      </c>
      <c r="C264" s="47" t="n">
        <v>1</v>
      </c>
      <c r="D264" s="29"/>
      <c r="E264" s="45" t="s">
        <v>1040</v>
      </c>
      <c r="F264" s="46" t="s">
        <v>1033</v>
      </c>
      <c r="G264" s="47" t="s">
        <v>458</v>
      </c>
      <c r="H264" s="47" t="s">
        <v>1034</v>
      </c>
      <c r="I264" s="47" t="s">
        <v>28</v>
      </c>
      <c r="J264" s="45" t="s">
        <v>471</v>
      </c>
      <c r="K264" s="48" t="s">
        <v>1041</v>
      </c>
      <c r="L264" s="49" t="n">
        <v>45770</v>
      </c>
      <c r="M264" s="47" t="n">
        <v>949</v>
      </c>
      <c r="N264" s="47" t="n">
        <v>1346</v>
      </c>
      <c r="O264" s="47" t="n">
        <v>397</v>
      </c>
      <c r="P264" s="47" t="n">
        <v>385</v>
      </c>
      <c r="Q264" s="47"/>
      <c r="R264" s="50" t="n">
        <f aca="false">合約與計費!$D$4</f>
        <v>0.296</v>
      </c>
      <c r="S264" s="51" t="n">
        <f aca="false">ROUND(P264*R264,0)</f>
        <v>114</v>
      </c>
      <c r="T264" s="52"/>
      <c r="U264" s="47"/>
      <c r="V264" s="47"/>
      <c r="W264" s="53"/>
      <c r="X264" s="47"/>
      <c r="Y264" s="47"/>
      <c r="Z264" s="54"/>
      <c r="AA264" s="55"/>
      <c r="AB264" s="56"/>
      <c r="AC264" s="57"/>
      <c r="AD264" s="42" t="n">
        <v>0.0695</v>
      </c>
      <c r="AE264" s="43" t="n">
        <v>0.2</v>
      </c>
    </row>
    <row r="265" customFormat="false" ht="16.5" hidden="false" customHeight="true" outlineLevel="0" collapsed="false">
      <c r="A265" s="44" t="n">
        <f aca="false">ROW(A263)</f>
        <v>263</v>
      </c>
      <c r="B265" s="44" t="s">
        <v>473</v>
      </c>
      <c r="C265" s="47" t="n">
        <v>1</v>
      </c>
      <c r="D265" s="29"/>
      <c r="E265" s="45" t="s">
        <v>1042</v>
      </c>
      <c r="F265" s="46" t="s">
        <v>1033</v>
      </c>
      <c r="G265" s="47" t="s">
        <v>458</v>
      </c>
      <c r="H265" s="47" t="s">
        <v>1034</v>
      </c>
      <c r="I265" s="47" t="s">
        <v>28</v>
      </c>
      <c r="J265" s="45" t="s">
        <v>471</v>
      </c>
      <c r="K265" s="48" t="s">
        <v>1043</v>
      </c>
      <c r="L265" s="49" t="n">
        <v>45770</v>
      </c>
      <c r="M265" s="47" t="n">
        <v>5047</v>
      </c>
      <c r="N265" s="47" t="n">
        <v>6298</v>
      </c>
      <c r="O265" s="47" t="n">
        <v>1251</v>
      </c>
      <c r="P265" s="47" t="n">
        <v>1213</v>
      </c>
      <c r="Q265" s="47"/>
      <c r="R265" s="50" t="n">
        <f aca="false">合約與計費!$D$4</f>
        <v>0.296</v>
      </c>
      <c r="S265" s="51" t="n">
        <f aca="false">ROUND(P265*R265,0)</f>
        <v>359</v>
      </c>
      <c r="T265" s="52"/>
      <c r="U265" s="47"/>
      <c r="V265" s="47"/>
      <c r="W265" s="53"/>
      <c r="X265" s="47"/>
      <c r="Y265" s="47"/>
      <c r="Z265" s="54"/>
      <c r="AA265" s="55"/>
      <c r="AB265" s="56"/>
      <c r="AC265" s="57"/>
      <c r="AD265" s="42" t="n">
        <v>0.1642</v>
      </c>
      <c r="AE265" s="43" t="n">
        <v>0.2</v>
      </c>
    </row>
    <row r="266" customFormat="false" ht="16.5" hidden="false" customHeight="true" outlineLevel="0" collapsed="false">
      <c r="A266" s="44" t="n">
        <f aca="false">ROW(A264)</f>
        <v>264</v>
      </c>
      <c r="B266" s="44" t="s">
        <v>476</v>
      </c>
      <c r="C266" s="47" t="n">
        <v>1</v>
      </c>
      <c r="D266" s="29"/>
      <c r="E266" s="45" t="s">
        <v>1044</v>
      </c>
      <c r="F266" s="46" t="s">
        <v>1033</v>
      </c>
      <c r="G266" s="47" t="s">
        <v>458</v>
      </c>
      <c r="H266" s="47" t="s">
        <v>1034</v>
      </c>
      <c r="I266" s="47" t="s">
        <v>28</v>
      </c>
      <c r="J266" s="45" t="s">
        <v>471</v>
      </c>
      <c r="K266" s="48" t="s">
        <v>1045</v>
      </c>
      <c r="L266" s="49" t="n">
        <v>45770</v>
      </c>
      <c r="M266" s="47" t="n">
        <v>5625</v>
      </c>
      <c r="N266" s="47" t="n">
        <v>7190</v>
      </c>
      <c r="O266" s="47" t="n">
        <v>1565</v>
      </c>
      <c r="P266" s="47" t="n">
        <v>1518</v>
      </c>
      <c r="Q266" s="47"/>
      <c r="R266" s="50" t="n">
        <f aca="false">合約與計費!$D$4</f>
        <v>0.296</v>
      </c>
      <c r="S266" s="51" t="n">
        <f aca="false">ROUND(P266*R266,0)</f>
        <v>449</v>
      </c>
      <c r="T266" s="52"/>
      <c r="U266" s="47"/>
      <c r="V266" s="47"/>
      <c r="W266" s="53"/>
      <c r="X266" s="47"/>
      <c r="Y266" s="47"/>
      <c r="Z266" s="54"/>
      <c r="AA266" s="55"/>
      <c r="AB266" s="56"/>
      <c r="AC266" s="57"/>
      <c r="AD266" s="42" t="n">
        <v>0.1527</v>
      </c>
      <c r="AE266" s="43" t="n">
        <v>0.2</v>
      </c>
    </row>
    <row r="267" customFormat="false" ht="16.5" hidden="false" customHeight="true" outlineLevel="0" collapsed="false">
      <c r="A267" s="44" t="n">
        <f aca="false">ROW(A265)</f>
        <v>265</v>
      </c>
      <c r="B267" s="44" t="s">
        <v>479</v>
      </c>
      <c r="C267" s="47" t="n">
        <v>1</v>
      </c>
      <c r="D267" s="29"/>
      <c r="E267" s="45" t="s">
        <v>1046</v>
      </c>
      <c r="F267" s="46" t="s">
        <v>1033</v>
      </c>
      <c r="G267" s="47" t="s">
        <v>458</v>
      </c>
      <c r="H267" s="47" t="s">
        <v>1034</v>
      </c>
      <c r="I267" s="47" t="s">
        <v>28</v>
      </c>
      <c r="J267" s="45" t="s">
        <v>471</v>
      </c>
      <c r="K267" s="48" t="s">
        <v>1047</v>
      </c>
      <c r="L267" s="49" t="n">
        <v>45770</v>
      </c>
      <c r="M267" s="47" t="n">
        <v>4172</v>
      </c>
      <c r="N267" s="47" t="n">
        <v>5256</v>
      </c>
      <c r="O267" s="47" t="n">
        <v>1084</v>
      </c>
      <c r="P267" s="47" t="n">
        <v>1051</v>
      </c>
      <c r="Q267" s="47"/>
      <c r="R267" s="50" t="n">
        <f aca="false">合約與計費!$D$4</f>
        <v>0.296</v>
      </c>
      <c r="S267" s="51" t="n">
        <f aca="false">ROUND(P267*R267,0)</f>
        <v>311</v>
      </c>
      <c r="T267" s="52"/>
      <c r="U267" s="47"/>
      <c r="V267" s="47"/>
      <c r="W267" s="53"/>
      <c r="X267" s="47"/>
      <c r="Y267" s="47"/>
      <c r="Z267" s="54"/>
      <c r="AA267" s="55"/>
      <c r="AB267" s="56"/>
      <c r="AC267" s="57"/>
      <c r="AD267" s="42" t="n">
        <v>0.1196</v>
      </c>
      <c r="AE267" s="43" t="n">
        <v>0.5</v>
      </c>
    </row>
    <row r="268" customFormat="false" ht="16.5" hidden="false" customHeight="true" outlineLevel="0" collapsed="false">
      <c r="A268" s="44" t="n">
        <f aca="false">ROW(A266)</f>
        <v>266</v>
      </c>
      <c r="B268" s="44" t="s">
        <v>482</v>
      </c>
      <c r="C268" s="47" t="n">
        <v>1</v>
      </c>
      <c r="D268" s="29"/>
      <c r="E268" s="45" t="s">
        <v>1048</v>
      </c>
      <c r="F268" s="46" t="s">
        <v>1033</v>
      </c>
      <c r="G268" s="47" t="s">
        <v>458</v>
      </c>
      <c r="H268" s="47" t="s">
        <v>1034</v>
      </c>
      <c r="I268" s="47" t="s">
        <v>28</v>
      </c>
      <c r="J268" s="45" t="s">
        <v>471</v>
      </c>
      <c r="K268" s="48" t="s">
        <v>1049</v>
      </c>
      <c r="L268" s="49" t="n">
        <v>45770</v>
      </c>
      <c r="M268" s="47" t="n">
        <v>2016</v>
      </c>
      <c r="N268" s="47" t="n">
        <v>2446</v>
      </c>
      <c r="O268" s="47" t="n">
        <v>430</v>
      </c>
      <c r="P268" s="47" t="n">
        <v>417</v>
      </c>
      <c r="Q268" s="47"/>
      <c r="R268" s="50" t="n">
        <f aca="false">合約與計費!$D$4</f>
        <v>0.296</v>
      </c>
      <c r="S268" s="51" t="n">
        <f aca="false">ROUND(P268*R268,0)</f>
        <v>123</v>
      </c>
      <c r="T268" s="52"/>
      <c r="U268" s="47"/>
      <c r="V268" s="47"/>
      <c r="W268" s="53"/>
      <c r="X268" s="47"/>
      <c r="Y268" s="47"/>
      <c r="Z268" s="54"/>
      <c r="AA268" s="55"/>
      <c r="AB268" s="56"/>
      <c r="AC268" s="57"/>
      <c r="AD268" s="42" t="n">
        <v>0.0487</v>
      </c>
      <c r="AE268" s="43" t="n">
        <v>0.1</v>
      </c>
    </row>
    <row r="269" customFormat="false" ht="16.5" hidden="false" customHeight="true" outlineLevel="0" collapsed="false">
      <c r="A269" s="59" t="n">
        <f aca="false">ROW(A267)</f>
        <v>267</v>
      </c>
      <c r="B269" s="59" t="s">
        <v>485</v>
      </c>
      <c r="C269" s="62" t="n">
        <v>1</v>
      </c>
      <c r="D269" s="29"/>
      <c r="E269" s="60" t="s">
        <v>1050</v>
      </c>
      <c r="F269" s="61" t="s">
        <v>1033</v>
      </c>
      <c r="G269" s="62" t="s">
        <v>458</v>
      </c>
      <c r="H269" s="62" t="s">
        <v>1034</v>
      </c>
      <c r="I269" s="62" t="s">
        <v>28</v>
      </c>
      <c r="J269" s="60" t="s">
        <v>471</v>
      </c>
      <c r="K269" s="63" t="s">
        <v>1051</v>
      </c>
      <c r="L269" s="64" t="n">
        <v>45770</v>
      </c>
      <c r="M269" s="62" t="n">
        <v>4422</v>
      </c>
      <c r="N269" s="62" t="n">
        <v>5863</v>
      </c>
      <c r="O269" s="62" t="n">
        <v>1441</v>
      </c>
      <c r="P269" s="62" t="n">
        <v>1398</v>
      </c>
      <c r="Q269" s="62" t="n">
        <f aca="false">ROUND(SUM(P261:P269),2)</f>
        <v>7575</v>
      </c>
      <c r="R269" s="65" t="n">
        <f aca="false">合約與計費!$D$4</f>
        <v>0.296</v>
      </c>
      <c r="S269" s="66" t="n">
        <f aca="false">ROUND(P269*R269,0)</f>
        <v>414</v>
      </c>
      <c r="T269" s="79" t="n">
        <f aca="false">ROUND(SUM(S261:S269),2)</f>
        <v>2242</v>
      </c>
      <c r="U269" s="62"/>
      <c r="V269" s="62"/>
      <c r="W269" s="67"/>
      <c r="X269" s="62"/>
      <c r="Y269" s="62" t="n">
        <f aca="false">ROUND(SUM(X261:X269),2)</f>
        <v>128</v>
      </c>
      <c r="Z269" s="68"/>
      <c r="AA269" s="77"/>
      <c r="AB269" s="78" t="n">
        <f aca="false">ROUND(SUM(AA261:AA269),2)</f>
        <v>358</v>
      </c>
      <c r="AC269" s="69"/>
      <c r="AD269" s="42" t="n">
        <v>0.1098</v>
      </c>
      <c r="AE269" s="43" t="n">
        <v>0.3</v>
      </c>
    </row>
    <row r="270" customFormat="false" ht="16.5" hidden="false" customHeight="true" outlineLevel="0" collapsed="false">
      <c r="A270" s="27" t="n">
        <f aca="false">ROW(A268)</f>
        <v>268</v>
      </c>
      <c r="B270" s="27" t="s">
        <v>455</v>
      </c>
      <c r="C270" s="31" t="n">
        <v>1</v>
      </c>
      <c r="D270" s="29" t="n">
        <v>36</v>
      </c>
      <c r="E270" s="28" t="s">
        <v>1052</v>
      </c>
      <c r="F270" s="30" t="s">
        <v>1053</v>
      </c>
      <c r="G270" s="31" t="s">
        <v>458</v>
      </c>
      <c r="H270" s="31" t="s">
        <v>1034</v>
      </c>
      <c r="I270" s="31" t="s">
        <v>225</v>
      </c>
      <c r="J270" s="28" t="s">
        <v>460</v>
      </c>
      <c r="K270" s="80" t="s">
        <v>1054</v>
      </c>
      <c r="L270" s="34" t="n">
        <v>45740</v>
      </c>
      <c r="M270" s="31" t="n">
        <v>415</v>
      </c>
      <c r="N270" s="31" t="n">
        <v>449</v>
      </c>
      <c r="O270" s="31" t="n">
        <v>34</v>
      </c>
      <c r="P270" s="31" t="n">
        <v>33</v>
      </c>
      <c r="Q270" s="31"/>
      <c r="R270" s="35" t="n">
        <f aca="false">合約與計費!$D$4</f>
        <v>0.296</v>
      </c>
      <c r="S270" s="36" t="n">
        <f aca="false">ROUND(P270*R270,0)</f>
        <v>10</v>
      </c>
      <c r="T270" s="37"/>
      <c r="U270" s="31" t="n">
        <v>271</v>
      </c>
      <c r="V270" s="31" t="n">
        <v>313</v>
      </c>
      <c r="W270" s="31" t="n">
        <v>42</v>
      </c>
      <c r="X270" s="31" t="n">
        <v>41</v>
      </c>
      <c r="Y270" s="31"/>
      <c r="Z270" s="38" t="n">
        <f aca="false">合約與計費!$E$4</f>
        <v>2.8</v>
      </c>
      <c r="AA270" s="39" t="n">
        <f aca="false">ROUND(X270*Z270,0)</f>
        <v>115</v>
      </c>
      <c r="AB270" s="40"/>
      <c r="AC270" s="41"/>
      <c r="AD270" s="42"/>
      <c r="AE270" s="43"/>
    </row>
    <row r="271" customFormat="false" ht="16.5" hidden="false" customHeight="true" outlineLevel="0" collapsed="false">
      <c r="A271" s="44" t="n">
        <f aca="false">ROW(A269)</f>
        <v>269</v>
      </c>
      <c r="B271" s="44" t="s">
        <v>462</v>
      </c>
      <c r="C271" s="47" t="n">
        <v>1</v>
      </c>
      <c r="D271" s="29"/>
      <c r="E271" s="45" t="s">
        <v>1055</v>
      </c>
      <c r="F271" s="46" t="s">
        <v>1053</v>
      </c>
      <c r="G271" s="47" t="s">
        <v>458</v>
      </c>
      <c r="H271" s="47" t="s">
        <v>1034</v>
      </c>
      <c r="I271" s="47" t="s">
        <v>225</v>
      </c>
      <c r="J271" s="45" t="s">
        <v>464</v>
      </c>
      <c r="K271" s="48" t="s">
        <v>1056</v>
      </c>
      <c r="L271" s="49" t="n">
        <v>45740</v>
      </c>
      <c r="M271" s="47" t="n">
        <v>2159</v>
      </c>
      <c r="N271" s="47" t="n">
        <v>2360</v>
      </c>
      <c r="O271" s="47" t="n">
        <v>201</v>
      </c>
      <c r="P271" s="47" t="n">
        <v>195</v>
      </c>
      <c r="Q271" s="47"/>
      <c r="R271" s="50" t="n">
        <f aca="false">合約與計費!$D$4</f>
        <v>0.296</v>
      </c>
      <c r="S271" s="51" t="n">
        <f aca="false">ROUND(P271*R271,0)</f>
        <v>58</v>
      </c>
      <c r="T271" s="52"/>
      <c r="U271" s="47"/>
      <c r="V271" s="47"/>
      <c r="W271" s="53"/>
      <c r="X271" s="47"/>
      <c r="Y271" s="47"/>
      <c r="Z271" s="54"/>
      <c r="AA271" s="55"/>
      <c r="AB271" s="56"/>
      <c r="AC271" s="57"/>
      <c r="AD271" s="42" t="n">
        <v>0.0595</v>
      </c>
      <c r="AE271" s="43" t="n">
        <v>1</v>
      </c>
    </row>
    <row r="272" customFormat="false" ht="16.5" hidden="false" customHeight="true" outlineLevel="0" collapsed="false">
      <c r="A272" s="44" t="n">
        <f aca="false">ROW(A270)</f>
        <v>270</v>
      </c>
      <c r="B272" s="44" t="s">
        <v>466</v>
      </c>
      <c r="C272" s="47" t="n">
        <v>1</v>
      </c>
      <c r="D272" s="29"/>
      <c r="E272" s="45" t="s">
        <v>1057</v>
      </c>
      <c r="F272" s="46" t="s">
        <v>1053</v>
      </c>
      <c r="G272" s="47" t="s">
        <v>458</v>
      </c>
      <c r="H272" s="47" t="s">
        <v>1034</v>
      </c>
      <c r="I272" s="47" t="s">
        <v>225</v>
      </c>
      <c r="J272" s="45" t="s">
        <v>471</v>
      </c>
      <c r="K272" s="48" t="s">
        <v>1058</v>
      </c>
      <c r="L272" s="49" t="n">
        <v>45740</v>
      </c>
      <c r="M272" s="47" t="n">
        <v>13359</v>
      </c>
      <c r="N272" s="47" t="n">
        <v>15221</v>
      </c>
      <c r="O272" s="47" t="n">
        <v>1862</v>
      </c>
      <c r="P272" s="47" t="n">
        <v>1806</v>
      </c>
      <c r="Q272" s="47"/>
      <c r="R272" s="50" t="n">
        <f aca="false">合約與計費!$D$4</f>
        <v>0.296</v>
      </c>
      <c r="S272" s="51" t="n">
        <f aca="false">ROUND(P272*R272,0)</f>
        <v>535</v>
      </c>
      <c r="T272" s="52"/>
      <c r="U272" s="47"/>
      <c r="V272" s="47"/>
      <c r="W272" s="53"/>
      <c r="X272" s="47"/>
      <c r="Y272" s="47"/>
      <c r="Z272" s="54"/>
      <c r="AA272" s="55"/>
      <c r="AB272" s="56"/>
      <c r="AC272" s="57"/>
      <c r="AD272" s="42" t="n">
        <v>0.2117</v>
      </c>
      <c r="AE272" s="43" t="n">
        <v>0.6</v>
      </c>
    </row>
    <row r="273" customFormat="false" ht="16.5" hidden="false" customHeight="true" outlineLevel="0" collapsed="false">
      <c r="A273" s="59" t="n">
        <f aca="false">ROW(A271)</f>
        <v>271</v>
      </c>
      <c r="B273" s="59" t="s">
        <v>469</v>
      </c>
      <c r="C273" s="62" t="n">
        <v>1</v>
      </c>
      <c r="D273" s="29"/>
      <c r="E273" s="60" t="s">
        <v>1059</v>
      </c>
      <c r="F273" s="61" t="s">
        <v>1053</v>
      </c>
      <c r="G273" s="62" t="s">
        <v>458</v>
      </c>
      <c r="H273" s="62" t="s">
        <v>1034</v>
      </c>
      <c r="I273" s="62" t="s">
        <v>225</v>
      </c>
      <c r="J273" s="60" t="s">
        <v>471</v>
      </c>
      <c r="K273" s="63" t="s">
        <v>1060</v>
      </c>
      <c r="L273" s="64" t="n">
        <v>45740</v>
      </c>
      <c r="M273" s="62" t="n">
        <v>9950</v>
      </c>
      <c r="N273" s="62" t="n">
        <v>11848</v>
      </c>
      <c r="O273" s="62" t="n">
        <v>1898</v>
      </c>
      <c r="P273" s="62" t="n">
        <v>1841</v>
      </c>
      <c r="Q273" s="62" t="n">
        <f aca="false">ROUND(SUM(P270:P273),2)</f>
        <v>3875</v>
      </c>
      <c r="R273" s="65" t="n">
        <f aca="false">合約與計費!$D$4</f>
        <v>0.296</v>
      </c>
      <c r="S273" s="66" t="n">
        <f aca="false">ROUND(P273*R273,0)</f>
        <v>545</v>
      </c>
      <c r="T273" s="79" t="n">
        <f aca="false">ROUND(SUM(S270:S273),2)</f>
        <v>1148</v>
      </c>
      <c r="U273" s="62"/>
      <c r="V273" s="62"/>
      <c r="W273" s="67"/>
      <c r="X273" s="62"/>
      <c r="Y273" s="62" t="n">
        <f aca="false">ROUND(SUM(X270:X273),2)</f>
        <v>41</v>
      </c>
      <c r="Z273" s="68"/>
      <c r="AA273" s="77"/>
      <c r="AB273" s="78" t="n">
        <f aca="false">ROUND(SUM(AA270:AA273),2)</f>
        <v>115</v>
      </c>
      <c r="AC273" s="69"/>
      <c r="AD273" s="42" t="n">
        <v>0.094</v>
      </c>
      <c r="AE273" s="43" t="n">
        <v>0.6</v>
      </c>
    </row>
    <row r="274" customFormat="false" ht="16.5" hidden="false" customHeight="true" outlineLevel="0" collapsed="false">
      <c r="A274" s="84" t="n">
        <f aca="false">ROW(A272)</f>
        <v>272</v>
      </c>
      <c r="B274" s="84" t="s">
        <v>455</v>
      </c>
      <c r="C274" s="32" t="n">
        <v>1</v>
      </c>
      <c r="D274" s="85" t="n">
        <v>39</v>
      </c>
      <c r="E274" s="86" t="s">
        <v>1061</v>
      </c>
      <c r="F274" s="87" t="s">
        <v>1062</v>
      </c>
      <c r="G274" s="32" t="s">
        <v>458</v>
      </c>
      <c r="H274" s="32" t="s">
        <v>1034</v>
      </c>
      <c r="I274" s="32" t="s">
        <v>385</v>
      </c>
      <c r="J274" s="86" t="s">
        <v>460</v>
      </c>
      <c r="K274" s="88" t="s">
        <v>1063</v>
      </c>
      <c r="L274" s="89" t="n">
        <v>45741</v>
      </c>
      <c r="M274" s="32" t="n">
        <v>19</v>
      </c>
      <c r="N274" s="32" t="n">
        <v>22</v>
      </c>
      <c r="O274" s="32" t="n">
        <v>3</v>
      </c>
      <c r="P274" s="32" t="n">
        <v>3</v>
      </c>
      <c r="Q274" s="32"/>
      <c r="R274" s="90" t="n">
        <f aca="false">合約與計費!$D$4</f>
        <v>0.296</v>
      </c>
      <c r="S274" s="91" t="n">
        <f aca="false">ROUND(P274*R274,0)</f>
        <v>1</v>
      </c>
      <c r="T274" s="92"/>
      <c r="U274" s="32" t="n">
        <v>140</v>
      </c>
      <c r="V274" s="32" t="n">
        <v>150</v>
      </c>
      <c r="W274" s="32" t="n">
        <v>10</v>
      </c>
      <c r="X274" s="32" t="n">
        <v>10</v>
      </c>
      <c r="Y274" s="32"/>
      <c r="Z274" s="93" t="n">
        <f aca="false">合約與計費!$E$4</f>
        <v>2.8</v>
      </c>
      <c r="AA274" s="94" t="n">
        <f aca="false">ROUND(X274*Z274,0)</f>
        <v>28</v>
      </c>
      <c r="AB274" s="95"/>
      <c r="AC274" s="96"/>
      <c r="AD274" s="42"/>
      <c r="AE274" s="43"/>
    </row>
    <row r="275" customFormat="false" ht="16.5" hidden="false" customHeight="true" outlineLevel="0" collapsed="false">
      <c r="A275" s="97" t="n">
        <f aca="false">ROW(A273)</f>
        <v>273</v>
      </c>
      <c r="B275" s="97" t="s">
        <v>462</v>
      </c>
      <c r="C275" s="98" t="n">
        <v>1</v>
      </c>
      <c r="D275" s="85"/>
      <c r="E275" s="98" t="s">
        <v>1064</v>
      </c>
      <c r="F275" s="99" t="s">
        <v>1062</v>
      </c>
      <c r="G275" s="100" t="s">
        <v>458</v>
      </c>
      <c r="H275" s="100" t="s">
        <v>1034</v>
      </c>
      <c r="I275" s="100" t="s">
        <v>385</v>
      </c>
      <c r="J275" s="98" t="s">
        <v>464</v>
      </c>
      <c r="K275" s="101" t="s">
        <v>1065</v>
      </c>
      <c r="L275" s="102" t="n">
        <v>45741</v>
      </c>
      <c r="M275" s="100" t="n">
        <v>1638</v>
      </c>
      <c r="N275" s="100" t="n">
        <v>2005</v>
      </c>
      <c r="O275" s="100" t="n">
        <v>367</v>
      </c>
      <c r="P275" s="100" t="n">
        <v>356</v>
      </c>
      <c r="Q275" s="100"/>
      <c r="R275" s="103" t="n">
        <f aca="false">合約與計費!$D$4</f>
        <v>0.296</v>
      </c>
      <c r="S275" s="104" t="n">
        <f aca="false">ROUND(P275*R275,0)</f>
        <v>105</v>
      </c>
      <c r="T275" s="105"/>
      <c r="U275" s="100"/>
      <c r="V275" s="100"/>
      <c r="W275" s="106"/>
      <c r="X275" s="100"/>
      <c r="Y275" s="100"/>
      <c r="Z275" s="107"/>
      <c r="AA275" s="108"/>
      <c r="AB275" s="109"/>
      <c r="AC275" s="110"/>
      <c r="AD275" s="42" t="n">
        <v>0.067</v>
      </c>
      <c r="AE275" s="43" t="n">
        <v>0.6</v>
      </c>
    </row>
    <row r="276" customFormat="false" ht="16.5" hidden="false" customHeight="true" outlineLevel="0" collapsed="false">
      <c r="A276" s="97" t="n">
        <f aca="false">ROW(A274)</f>
        <v>274</v>
      </c>
      <c r="B276" s="97" t="s">
        <v>466</v>
      </c>
      <c r="C276" s="100" t="n">
        <v>1</v>
      </c>
      <c r="D276" s="85"/>
      <c r="E276" s="98" t="s">
        <v>1066</v>
      </c>
      <c r="F276" s="99" t="s">
        <v>1062</v>
      </c>
      <c r="G276" s="100" t="s">
        <v>458</v>
      </c>
      <c r="H276" s="100" t="s">
        <v>1034</v>
      </c>
      <c r="I276" s="100" t="s">
        <v>385</v>
      </c>
      <c r="J276" s="98" t="s">
        <v>471</v>
      </c>
      <c r="K276" s="101" t="s">
        <v>1067</v>
      </c>
      <c r="L276" s="102" t="n">
        <v>45741</v>
      </c>
      <c r="M276" s="100" t="n">
        <v>11903</v>
      </c>
      <c r="N276" s="100" t="n">
        <v>14102</v>
      </c>
      <c r="O276" s="100" t="n">
        <v>2199</v>
      </c>
      <c r="P276" s="100" t="n">
        <v>2133</v>
      </c>
      <c r="Q276" s="100"/>
      <c r="R276" s="103" t="n">
        <f aca="false">合約與計費!$D$4</f>
        <v>0.296</v>
      </c>
      <c r="S276" s="104" t="n">
        <f aca="false">ROUND(P276*R276,0)</f>
        <v>631</v>
      </c>
      <c r="T276" s="105"/>
      <c r="U276" s="100"/>
      <c r="V276" s="100"/>
      <c r="W276" s="106"/>
      <c r="X276" s="100"/>
      <c r="Y276" s="100"/>
      <c r="Z276" s="107"/>
      <c r="AA276" s="108"/>
      <c r="AB276" s="109"/>
      <c r="AC276" s="110"/>
      <c r="AD276" s="42" t="n">
        <v>0.1226</v>
      </c>
      <c r="AE276" s="43" t="n">
        <v>0.8</v>
      </c>
    </row>
    <row r="277" customFormat="false" ht="16.5" hidden="false" customHeight="true" outlineLevel="0" collapsed="false">
      <c r="A277" s="97" t="n">
        <f aca="false">ROW(A275)</f>
        <v>275</v>
      </c>
      <c r="B277" s="97" t="s">
        <v>469</v>
      </c>
      <c r="C277" s="100" t="n">
        <v>1</v>
      </c>
      <c r="D277" s="85"/>
      <c r="E277" s="98" t="s">
        <v>1068</v>
      </c>
      <c r="F277" s="99" t="s">
        <v>1062</v>
      </c>
      <c r="G277" s="100" t="s">
        <v>458</v>
      </c>
      <c r="H277" s="100" t="s">
        <v>1034</v>
      </c>
      <c r="I277" s="100" t="s">
        <v>385</v>
      </c>
      <c r="J277" s="98" t="s">
        <v>471</v>
      </c>
      <c r="K277" s="101" t="s">
        <v>1069</v>
      </c>
      <c r="L277" s="102" t="n">
        <v>45741</v>
      </c>
      <c r="M277" s="100" t="n">
        <v>2262</v>
      </c>
      <c r="N277" s="100" t="n">
        <v>2622</v>
      </c>
      <c r="O277" s="100" t="n">
        <v>360</v>
      </c>
      <c r="P277" s="100" t="n">
        <v>349</v>
      </c>
      <c r="Q277" s="100"/>
      <c r="R277" s="103" t="n">
        <f aca="false">合約與計費!$D$4</f>
        <v>0.296</v>
      </c>
      <c r="S277" s="104" t="n">
        <f aca="false">ROUND(P277*R277,0)</f>
        <v>103</v>
      </c>
      <c r="T277" s="105"/>
      <c r="U277" s="100"/>
      <c r="V277" s="100"/>
      <c r="W277" s="106"/>
      <c r="X277" s="100"/>
      <c r="Y277" s="100"/>
      <c r="Z277" s="107"/>
      <c r="AA277" s="108"/>
      <c r="AB277" s="109"/>
      <c r="AC277" s="110"/>
      <c r="AD277" s="42" t="n">
        <v>0.0493</v>
      </c>
      <c r="AE277" s="43" t="n">
        <v>0.1</v>
      </c>
    </row>
    <row r="278" customFormat="false" ht="16.5" hidden="false" customHeight="true" outlineLevel="0" collapsed="false">
      <c r="A278" s="97" t="n">
        <f aca="false">ROW(A276)</f>
        <v>276</v>
      </c>
      <c r="B278" s="97" t="s">
        <v>473</v>
      </c>
      <c r="C278" s="100" t="n">
        <v>1</v>
      </c>
      <c r="D278" s="85"/>
      <c r="E278" s="98" t="s">
        <v>1070</v>
      </c>
      <c r="F278" s="99" t="s">
        <v>1062</v>
      </c>
      <c r="G278" s="100" t="s">
        <v>458</v>
      </c>
      <c r="H278" s="100" t="s">
        <v>1034</v>
      </c>
      <c r="I278" s="100" t="s">
        <v>385</v>
      </c>
      <c r="J278" s="98" t="s">
        <v>471</v>
      </c>
      <c r="K278" s="101" t="s">
        <v>1071</v>
      </c>
      <c r="L278" s="102" t="n">
        <v>45741</v>
      </c>
      <c r="M278" s="100" t="n">
        <v>18739</v>
      </c>
      <c r="N278" s="100" t="n">
        <v>21558</v>
      </c>
      <c r="O278" s="100" t="n">
        <v>2819</v>
      </c>
      <c r="P278" s="100" t="n">
        <v>2734</v>
      </c>
      <c r="Q278" s="100"/>
      <c r="R278" s="103" t="n">
        <f aca="false">合約與計費!$D$4</f>
        <v>0.296</v>
      </c>
      <c r="S278" s="104" t="n">
        <f aca="false">ROUND(P278*R278,0)</f>
        <v>809</v>
      </c>
      <c r="T278" s="105"/>
      <c r="U278" s="100"/>
      <c r="V278" s="100"/>
      <c r="W278" s="106"/>
      <c r="X278" s="100"/>
      <c r="Y278" s="100"/>
      <c r="Z278" s="107"/>
      <c r="AA278" s="108"/>
      <c r="AB278" s="109"/>
      <c r="AC278" s="110"/>
      <c r="AD278" s="42" t="n">
        <v>0.0981</v>
      </c>
      <c r="AE278" s="43" t="n">
        <v>0.9</v>
      </c>
    </row>
    <row r="279" customFormat="false" ht="16.5" hidden="false" customHeight="true" outlineLevel="0" collapsed="false">
      <c r="A279" s="111" t="n">
        <f aca="false">ROW(A277)</f>
        <v>277</v>
      </c>
      <c r="B279" s="111" t="s">
        <v>476</v>
      </c>
      <c r="C279" s="112" t="n">
        <v>1</v>
      </c>
      <c r="D279" s="85"/>
      <c r="E279" s="112" t="s">
        <v>1072</v>
      </c>
      <c r="F279" s="113" t="s">
        <v>1062</v>
      </c>
      <c r="G279" s="114" t="s">
        <v>458</v>
      </c>
      <c r="H279" s="114" t="s">
        <v>1034</v>
      </c>
      <c r="I279" s="114" t="s">
        <v>385</v>
      </c>
      <c r="J279" s="112" t="s">
        <v>471</v>
      </c>
      <c r="K279" s="115" t="s">
        <v>1073</v>
      </c>
      <c r="L279" s="116" t="n">
        <v>45741</v>
      </c>
      <c r="M279" s="114" t="n">
        <v>16027</v>
      </c>
      <c r="N279" s="114" t="n">
        <v>17887</v>
      </c>
      <c r="O279" s="114" t="n">
        <v>1860</v>
      </c>
      <c r="P279" s="114" t="n">
        <v>1804</v>
      </c>
      <c r="Q279" s="114" t="n">
        <f aca="false">ROUND(SUM(P274:P279),2)</f>
        <v>7379</v>
      </c>
      <c r="R279" s="117" t="n">
        <f aca="false">合約與計費!$D$4</f>
        <v>0.296</v>
      </c>
      <c r="S279" s="118" t="n">
        <f aca="false">ROUND(P279*R279,0)</f>
        <v>534</v>
      </c>
      <c r="T279" s="119" t="n">
        <f aca="false">ROUND(SUM(S274:S279),2)</f>
        <v>2183</v>
      </c>
      <c r="U279" s="114"/>
      <c r="V279" s="114"/>
      <c r="W279" s="120"/>
      <c r="X279" s="114"/>
      <c r="Y279" s="114" t="n">
        <f aca="false">ROUND(SUM(X274:X279),2)</f>
        <v>10</v>
      </c>
      <c r="Z279" s="121"/>
      <c r="AA279" s="122"/>
      <c r="AB279" s="123" t="n">
        <f aca="false">ROUND(SUM(AA274:AA279),2)</f>
        <v>28</v>
      </c>
      <c r="AC279" s="124"/>
      <c r="AD279" s="42" t="n">
        <v>0.1198</v>
      </c>
      <c r="AE279" s="43" t="n">
        <v>0.7</v>
      </c>
    </row>
    <row r="280" customFormat="false" ht="16.5" hidden="false" customHeight="true" outlineLevel="0" collapsed="false">
      <c r="A280" s="27" t="n">
        <f aca="false">ROW(A278)</f>
        <v>278</v>
      </c>
      <c r="B280" s="27" t="s">
        <v>455</v>
      </c>
      <c r="C280" s="31" t="n">
        <v>1</v>
      </c>
      <c r="D280" s="29" t="n">
        <v>306</v>
      </c>
      <c r="E280" s="70" t="s">
        <v>1074</v>
      </c>
      <c r="F280" s="30" t="s">
        <v>1075</v>
      </c>
      <c r="G280" s="31" t="s">
        <v>458</v>
      </c>
      <c r="H280" s="31" t="s">
        <v>1034</v>
      </c>
      <c r="I280" s="71" t="s">
        <v>27</v>
      </c>
      <c r="J280" s="28" t="s">
        <v>460</v>
      </c>
      <c r="K280" s="80" t="s">
        <v>1076</v>
      </c>
      <c r="L280" s="34" t="n">
        <v>45741</v>
      </c>
      <c r="M280" s="31" t="n">
        <v>1020</v>
      </c>
      <c r="N280" s="31" t="n">
        <v>1160</v>
      </c>
      <c r="O280" s="31" t="n">
        <v>140</v>
      </c>
      <c r="P280" s="31" t="n">
        <v>136</v>
      </c>
      <c r="Q280" s="31"/>
      <c r="R280" s="35" t="n">
        <f aca="false">合約與計費!$D$4</f>
        <v>0.296</v>
      </c>
      <c r="S280" s="36" t="n">
        <f aca="false">ROUND(P280*R280,0)</f>
        <v>40</v>
      </c>
      <c r="T280" s="37"/>
      <c r="U280" s="31" t="n">
        <v>217</v>
      </c>
      <c r="V280" s="31" t="n">
        <v>290</v>
      </c>
      <c r="W280" s="31" t="n">
        <v>73</v>
      </c>
      <c r="X280" s="31" t="n">
        <v>71</v>
      </c>
      <c r="Y280" s="31"/>
      <c r="Z280" s="38" t="n">
        <f aca="false">合約與計費!$E$4</f>
        <v>2.8</v>
      </c>
      <c r="AA280" s="39" t="n">
        <f aca="false">ROUND(X280*Z280,0)</f>
        <v>199</v>
      </c>
      <c r="AB280" s="40"/>
      <c r="AC280" s="41"/>
      <c r="AD280" s="42"/>
      <c r="AE280" s="43"/>
    </row>
    <row r="281" customFormat="false" ht="16.5" hidden="false" customHeight="true" outlineLevel="0" collapsed="false">
      <c r="A281" s="44" t="n">
        <f aca="false">ROW(A279)</f>
        <v>279</v>
      </c>
      <c r="B281" s="44" t="s">
        <v>462</v>
      </c>
      <c r="C281" s="47" t="n">
        <v>1</v>
      </c>
      <c r="D281" s="29"/>
      <c r="E281" s="72" t="s">
        <v>1077</v>
      </c>
      <c r="F281" s="46" t="s">
        <v>1075</v>
      </c>
      <c r="G281" s="47" t="s">
        <v>458</v>
      </c>
      <c r="H281" s="47" t="s">
        <v>1034</v>
      </c>
      <c r="I281" s="73" t="s">
        <v>27</v>
      </c>
      <c r="J281" s="45" t="s">
        <v>464</v>
      </c>
      <c r="K281" s="48" t="s">
        <v>1078</v>
      </c>
      <c r="L281" s="49" t="n">
        <v>45741</v>
      </c>
      <c r="M281" s="47" t="n">
        <v>3399</v>
      </c>
      <c r="N281" s="47" t="n">
        <v>4239</v>
      </c>
      <c r="O281" s="47" t="n">
        <v>840</v>
      </c>
      <c r="P281" s="47" t="n">
        <v>815</v>
      </c>
      <c r="Q281" s="47"/>
      <c r="R281" s="50" t="n">
        <f aca="false">合約與計費!$D$4</f>
        <v>0.296</v>
      </c>
      <c r="S281" s="51" t="n">
        <f aca="false">ROUND(P281*R281,0)</f>
        <v>241</v>
      </c>
      <c r="T281" s="52"/>
      <c r="U281" s="47"/>
      <c r="V281" s="47"/>
      <c r="W281" s="53"/>
      <c r="X281" s="47"/>
      <c r="Y281" s="47"/>
      <c r="Z281" s="54"/>
      <c r="AA281" s="55"/>
      <c r="AB281" s="56"/>
      <c r="AC281" s="57"/>
      <c r="AD281" s="42"/>
      <c r="AE281" s="43"/>
    </row>
    <row r="282" customFormat="false" ht="16.5" hidden="false" customHeight="true" outlineLevel="0" collapsed="false">
      <c r="A282" s="44" t="n">
        <f aca="false">ROW(A280)</f>
        <v>280</v>
      </c>
      <c r="B282" s="44" t="s">
        <v>466</v>
      </c>
      <c r="C282" s="47" t="n">
        <v>1</v>
      </c>
      <c r="D282" s="29"/>
      <c r="E282" s="72" t="s">
        <v>1079</v>
      </c>
      <c r="F282" s="46" t="s">
        <v>1075</v>
      </c>
      <c r="G282" s="47" t="s">
        <v>458</v>
      </c>
      <c r="H282" s="47" t="s">
        <v>1034</v>
      </c>
      <c r="I282" s="73" t="s">
        <v>27</v>
      </c>
      <c r="J282" s="45" t="s">
        <v>471</v>
      </c>
      <c r="K282" s="48" t="s">
        <v>1080</v>
      </c>
      <c r="L282" s="49" t="n">
        <v>45741</v>
      </c>
      <c r="M282" s="47" t="n">
        <v>3605</v>
      </c>
      <c r="N282" s="47" t="n">
        <v>4498</v>
      </c>
      <c r="O282" s="47" t="n">
        <v>893</v>
      </c>
      <c r="P282" s="47" t="n">
        <v>866</v>
      </c>
      <c r="Q282" s="47"/>
      <c r="R282" s="50" t="n">
        <f aca="false">合約與計費!$D$4</f>
        <v>0.296</v>
      </c>
      <c r="S282" s="51" t="n">
        <f aca="false">ROUND(P282*R282,0)</f>
        <v>256</v>
      </c>
      <c r="T282" s="52"/>
      <c r="U282" s="47"/>
      <c r="V282" s="47"/>
      <c r="W282" s="53"/>
      <c r="X282" s="47"/>
      <c r="Y282" s="47"/>
      <c r="Z282" s="54"/>
      <c r="AA282" s="55"/>
      <c r="AB282" s="56"/>
      <c r="AC282" s="57"/>
      <c r="AD282" s="42"/>
      <c r="AE282" s="43"/>
    </row>
    <row r="283" customFormat="false" ht="16.5" hidden="false" customHeight="true" outlineLevel="0" collapsed="false">
      <c r="A283" s="44" t="n">
        <f aca="false">ROW(A281)</f>
        <v>281</v>
      </c>
      <c r="B283" s="44" t="s">
        <v>469</v>
      </c>
      <c r="C283" s="47" t="n">
        <v>1</v>
      </c>
      <c r="D283" s="29"/>
      <c r="E283" s="72" t="s">
        <v>1081</v>
      </c>
      <c r="F283" s="46" t="s">
        <v>1075</v>
      </c>
      <c r="G283" s="47" t="s">
        <v>458</v>
      </c>
      <c r="H283" s="47" t="s">
        <v>1034</v>
      </c>
      <c r="I283" s="73" t="s">
        <v>27</v>
      </c>
      <c r="J283" s="45" t="s">
        <v>471</v>
      </c>
      <c r="K283" s="48" t="s">
        <v>1082</v>
      </c>
      <c r="L283" s="49" t="n">
        <v>45741</v>
      </c>
      <c r="M283" s="47" t="n">
        <v>3603</v>
      </c>
      <c r="N283" s="47" t="n">
        <v>4378</v>
      </c>
      <c r="O283" s="47" t="n">
        <v>775</v>
      </c>
      <c r="P283" s="47" t="n">
        <v>752</v>
      </c>
      <c r="Q283" s="47"/>
      <c r="R283" s="50" t="n">
        <f aca="false">合約與計費!$D$4</f>
        <v>0.296</v>
      </c>
      <c r="S283" s="51" t="n">
        <f aca="false">ROUND(P283*R283,0)</f>
        <v>223</v>
      </c>
      <c r="T283" s="52"/>
      <c r="U283" s="47"/>
      <c r="V283" s="47"/>
      <c r="W283" s="53"/>
      <c r="X283" s="47"/>
      <c r="Y283" s="47"/>
      <c r="Z283" s="54"/>
      <c r="AA283" s="55"/>
      <c r="AB283" s="56"/>
      <c r="AC283" s="57"/>
      <c r="AD283" s="42"/>
      <c r="AE283" s="43"/>
    </row>
    <row r="284" customFormat="false" ht="16.5" hidden="false" customHeight="true" outlineLevel="0" collapsed="false">
      <c r="A284" s="59" t="n">
        <f aca="false">ROW(A282)</f>
        <v>282</v>
      </c>
      <c r="B284" s="59" t="s">
        <v>473</v>
      </c>
      <c r="C284" s="62" t="n">
        <v>1</v>
      </c>
      <c r="D284" s="29"/>
      <c r="E284" s="75" t="s">
        <v>1083</v>
      </c>
      <c r="F284" s="61" t="s">
        <v>1075</v>
      </c>
      <c r="G284" s="62" t="s">
        <v>458</v>
      </c>
      <c r="H284" s="62" t="s">
        <v>1034</v>
      </c>
      <c r="I284" s="76" t="s">
        <v>27</v>
      </c>
      <c r="J284" s="60" t="s">
        <v>471</v>
      </c>
      <c r="K284" s="63" t="s">
        <v>1084</v>
      </c>
      <c r="L284" s="64" t="n">
        <v>45741</v>
      </c>
      <c r="M284" s="62" t="n">
        <v>4269</v>
      </c>
      <c r="N284" s="62" t="n">
        <v>5355</v>
      </c>
      <c r="O284" s="62" t="n">
        <v>1086</v>
      </c>
      <c r="P284" s="62" t="n">
        <v>1053</v>
      </c>
      <c r="Q284" s="62" t="n">
        <f aca="false">ROUND(SUM(P280:P284),2)</f>
        <v>3622</v>
      </c>
      <c r="R284" s="65" t="n">
        <f aca="false">合約與計費!$D$4</f>
        <v>0.296</v>
      </c>
      <c r="S284" s="66" t="n">
        <f aca="false">ROUND(P284*R284,0)</f>
        <v>312</v>
      </c>
      <c r="T284" s="79" t="n">
        <f aca="false">ROUND(SUM(S280:S284),2)</f>
        <v>1072</v>
      </c>
      <c r="U284" s="62"/>
      <c r="V284" s="62"/>
      <c r="W284" s="67"/>
      <c r="X284" s="62"/>
      <c r="Y284" s="62" t="n">
        <f aca="false">ROUND(SUM(X280:X284),2)</f>
        <v>71</v>
      </c>
      <c r="Z284" s="68"/>
      <c r="AA284" s="77"/>
      <c r="AB284" s="78" t="n">
        <f aca="false">ROUND(SUM(AA280:AA284),2)</f>
        <v>199</v>
      </c>
      <c r="AC284" s="69"/>
      <c r="AD284" s="42"/>
      <c r="AE284" s="43"/>
    </row>
    <row r="285" customFormat="false" ht="16.5" hidden="false" customHeight="true" outlineLevel="0" collapsed="false">
      <c r="A285" s="27" t="n">
        <f aca="false">ROW(A283)</f>
        <v>283</v>
      </c>
      <c r="B285" s="27" t="s">
        <v>455</v>
      </c>
      <c r="C285" s="31" t="n">
        <v>1</v>
      </c>
      <c r="D285" s="29" t="n">
        <v>325</v>
      </c>
      <c r="E285" s="70" t="s">
        <v>1085</v>
      </c>
      <c r="F285" s="30" t="s">
        <v>1086</v>
      </c>
      <c r="G285" s="31" t="s">
        <v>458</v>
      </c>
      <c r="H285" s="31" t="s">
        <v>1034</v>
      </c>
      <c r="I285" s="71" t="s">
        <v>103</v>
      </c>
      <c r="J285" s="28" t="s">
        <v>460</v>
      </c>
      <c r="K285" s="80" t="s">
        <v>1087</v>
      </c>
      <c r="L285" s="34" t="n">
        <v>45779</v>
      </c>
      <c r="M285" s="31" t="n">
        <v>71</v>
      </c>
      <c r="N285" s="31" t="n">
        <v>89</v>
      </c>
      <c r="O285" s="31" t="n">
        <v>18</v>
      </c>
      <c r="P285" s="31" t="n">
        <v>17</v>
      </c>
      <c r="Q285" s="31"/>
      <c r="R285" s="35" t="n">
        <f aca="false">合約與計費!$D$4</f>
        <v>0.296</v>
      </c>
      <c r="S285" s="36" t="n">
        <f aca="false">ROUND(P285*R285,0)</f>
        <v>5</v>
      </c>
      <c r="T285" s="37"/>
      <c r="U285" s="31" t="n">
        <v>230</v>
      </c>
      <c r="V285" s="31" t="n">
        <v>294</v>
      </c>
      <c r="W285" s="31" t="n">
        <v>64</v>
      </c>
      <c r="X285" s="31" t="n">
        <v>62</v>
      </c>
      <c r="Y285" s="31"/>
      <c r="Z285" s="38" t="n">
        <f aca="false">合約與計費!$E$4</f>
        <v>2.8</v>
      </c>
      <c r="AA285" s="39" t="n">
        <f aca="false">ROUND(X285*Z285,0)</f>
        <v>174</v>
      </c>
      <c r="AB285" s="40"/>
      <c r="AC285" s="41"/>
      <c r="AD285" s="42"/>
      <c r="AE285" s="43"/>
    </row>
    <row r="286" customFormat="false" ht="16.5" hidden="false" customHeight="true" outlineLevel="0" collapsed="false">
      <c r="A286" s="59" t="n">
        <f aca="false">ROW(A284)</f>
        <v>284</v>
      </c>
      <c r="B286" s="59" t="s">
        <v>462</v>
      </c>
      <c r="C286" s="62" t="n">
        <v>1</v>
      </c>
      <c r="D286" s="29"/>
      <c r="E286" s="75" t="s">
        <v>1088</v>
      </c>
      <c r="F286" s="61" t="s">
        <v>1086</v>
      </c>
      <c r="G286" s="62" t="s">
        <v>458</v>
      </c>
      <c r="H286" s="62" t="s">
        <v>1034</v>
      </c>
      <c r="I286" s="76" t="s">
        <v>103</v>
      </c>
      <c r="J286" s="60" t="s">
        <v>464</v>
      </c>
      <c r="K286" s="63" t="s">
        <v>1089</v>
      </c>
      <c r="L286" s="64" t="n">
        <v>45779</v>
      </c>
      <c r="M286" s="62" t="n">
        <v>3240</v>
      </c>
      <c r="N286" s="62" t="n">
        <v>4275</v>
      </c>
      <c r="O286" s="62" t="n">
        <v>1035</v>
      </c>
      <c r="P286" s="62" t="n">
        <v>1004</v>
      </c>
      <c r="Q286" s="62" t="n">
        <f aca="false">ROUND(SUM(P285:P286),2)</f>
        <v>1021</v>
      </c>
      <c r="R286" s="65" t="n">
        <f aca="false">合約與計費!$D$4</f>
        <v>0.296</v>
      </c>
      <c r="S286" s="66" t="n">
        <f aca="false">ROUND(P286*R286,0)</f>
        <v>297</v>
      </c>
      <c r="T286" s="79" t="n">
        <f aca="false">ROUND(SUM(S285:S286),2)</f>
        <v>302</v>
      </c>
      <c r="U286" s="62"/>
      <c r="V286" s="62"/>
      <c r="W286" s="67"/>
      <c r="X286" s="62"/>
      <c r="Y286" s="62" t="n">
        <f aca="false">ROUND(SUM(X285:X286),2)</f>
        <v>62</v>
      </c>
      <c r="Z286" s="68"/>
      <c r="AA286" s="77"/>
      <c r="AB286" s="78" t="n">
        <f aca="false">ROUND(SUM(AA285:AA286),2)</f>
        <v>174</v>
      </c>
      <c r="AC286" s="69"/>
      <c r="AD286" s="42" t="n">
        <v>0.0681</v>
      </c>
      <c r="AE286" s="43" t="n">
        <v>0.9</v>
      </c>
    </row>
    <row r="287" customFormat="false" ht="16.5" hidden="false" customHeight="true" outlineLevel="0" collapsed="false">
      <c r="A287" s="27" t="n">
        <f aca="false">ROW(A285)</f>
        <v>285</v>
      </c>
      <c r="B287" s="27" t="s">
        <v>455</v>
      </c>
      <c r="C287" s="31" t="n">
        <v>1</v>
      </c>
      <c r="D287" s="29" t="n">
        <v>327</v>
      </c>
      <c r="E287" s="70" t="s">
        <v>1090</v>
      </c>
      <c r="F287" s="30" t="s">
        <v>1091</v>
      </c>
      <c r="G287" s="31" t="s">
        <v>458</v>
      </c>
      <c r="H287" s="31" t="s">
        <v>1034</v>
      </c>
      <c r="I287" s="71" t="s">
        <v>227</v>
      </c>
      <c r="J287" s="28" t="s">
        <v>460</v>
      </c>
      <c r="K287" s="80" t="s">
        <v>1092</v>
      </c>
      <c r="L287" s="34" t="n">
        <v>45741</v>
      </c>
      <c r="M287" s="31" t="n">
        <v>315</v>
      </c>
      <c r="N287" s="31" t="n">
        <v>479</v>
      </c>
      <c r="O287" s="31" t="n">
        <v>164</v>
      </c>
      <c r="P287" s="31" t="n">
        <v>159</v>
      </c>
      <c r="Q287" s="31"/>
      <c r="R287" s="35" t="n">
        <f aca="false">合約與計費!$D$4</f>
        <v>0.296</v>
      </c>
      <c r="S287" s="36" t="n">
        <f aca="false">ROUND(P287*R287,0)</f>
        <v>47</v>
      </c>
      <c r="T287" s="37"/>
      <c r="U287" s="31" t="n">
        <v>289</v>
      </c>
      <c r="V287" s="31" t="n">
        <v>509</v>
      </c>
      <c r="W287" s="31" t="n">
        <v>220</v>
      </c>
      <c r="X287" s="31" t="n">
        <v>213</v>
      </c>
      <c r="Y287" s="31"/>
      <c r="Z287" s="38" t="n">
        <f aca="false">合約與計費!$E$4</f>
        <v>2.8</v>
      </c>
      <c r="AA287" s="39" t="n">
        <f aca="false">ROUND(X287*Z287,0)</f>
        <v>596</v>
      </c>
      <c r="AB287" s="40"/>
      <c r="AC287" s="41"/>
      <c r="AD287" s="42"/>
      <c r="AE287" s="43"/>
    </row>
    <row r="288" customFormat="false" ht="16.5" hidden="false" customHeight="true" outlineLevel="0" collapsed="false">
      <c r="A288" s="59" t="n">
        <f aca="false">ROW(A286)</f>
        <v>286</v>
      </c>
      <c r="B288" s="59" t="s">
        <v>462</v>
      </c>
      <c r="C288" s="62" t="n">
        <v>1</v>
      </c>
      <c r="D288" s="29"/>
      <c r="E288" s="75" t="s">
        <v>1093</v>
      </c>
      <c r="F288" s="61" t="s">
        <v>1091</v>
      </c>
      <c r="G288" s="62" t="s">
        <v>458</v>
      </c>
      <c r="H288" s="62" t="s">
        <v>1034</v>
      </c>
      <c r="I288" s="76" t="s">
        <v>227</v>
      </c>
      <c r="J288" s="60" t="s">
        <v>464</v>
      </c>
      <c r="K288" s="63" t="s">
        <v>1094</v>
      </c>
      <c r="L288" s="64" t="n">
        <v>45741</v>
      </c>
      <c r="M288" s="62" t="n">
        <v>3801</v>
      </c>
      <c r="N288" s="62" t="n">
        <v>4608</v>
      </c>
      <c r="O288" s="62" t="n">
        <v>807</v>
      </c>
      <c r="P288" s="62" t="n">
        <v>783</v>
      </c>
      <c r="Q288" s="62" t="n">
        <f aca="false">ROUND(SUM(P287:P288),2)</f>
        <v>942</v>
      </c>
      <c r="R288" s="65" t="n">
        <f aca="false">合約與計費!$D$4</f>
        <v>0.296</v>
      </c>
      <c r="S288" s="66" t="n">
        <f aca="false">ROUND(P288*R288,0)</f>
        <v>232</v>
      </c>
      <c r="T288" s="79" t="n">
        <f aca="false">ROUND(SUM(S287:S288),2)</f>
        <v>279</v>
      </c>
      <c r="U288" s="62"/>
      <c r="V288" s="62"/>
      <c r="W288" s="67"/>
      <c r="X288" s="62"/>
      <c r="Y288" s="62" t="n">
        <f aca="false">ROUND(SUM(X287:X288),2)</f>
        <v>213</v>
      </c>
      <c r="Z288" s="68"/>
      <c r="AA288" s="77"/>
      <c r="AB288" s="78" t="n">
        <f aca="false">ROUND(SUM(AA287:AA288),2)</f>
        <v>596</v>
      </c>
      <c r="AC288" s="69"/>
      <c r="AD288" s="42" t="n">
        <v>0.0565</v>
      </c>
      <c r="AE288" s="43" t="n">
        <v>0.9</v>
      </c>
    </row>
    <row r="289" customFormat="false" ht="16.5" hidden="false" customHeight="true" outlineLevel="0" collapsed="false">
      <c r="A289" s="27" t="n">
        <f aca="false">ROW(A287)</f>
        <v>287</v>
      </c>
      <c r="B289" s="27" t="s">
        <v>455</v>
      </c>
      <c r="C289" s="31" t="n">
        <v>1</v>
      </c>
      <c r="D289" s="29" t="n">
        <v>34</v>
      </c>
      <c r="E289" s="28" t="s">
        <v>1095</v>
      </c>
      <c r="F289" s="30" t="s">
        <v>1096</v>
      </c>
      <c r="G289" s="31" t="s">
        <v>458</v>
      </c>
      <c r="H289" s="31" t="s">
        <v>1097</v>
      </c>
      <c r="I289" s="31" t="s">
        <v>160</v>
      </c>
      <c r="J289" s="28" t="s">
        <v>460</v>
      </c>
      <c r="K289" s="80" t="s">
        <v>1098</v>
      </c>
      <c r="L289" s="34" t="n">
        <v>45772</v>
      </c>
      <c r="M289" s="31" t="n">
        <v>816</v>
      </c>
      <c r="N289" s="31" t="n">
        <v>1037</v>
      </c>
      <c r="O289" s="31" t="n">
        <v>221</v>
      </c>
      <c r="P289" s="31" t="n">
        <v>214</v>
      </c>
      <c r="Q289" s="31"/>
      <c r="R289" s="35" t="n">
        <f aca="false">合約與計費!$D$4</f>
        <v>0.296</v>
      </c>
      <c r="S289" s="36" t="n">
        <f aca="false">ROUND(P289*R289,0)</f>
        <v>63</v>
      </c>
      <c r="T289" s="37"/>
      <c r="U289" s="31" t="n">
        <v>1101</v>
      </c>
      <c r="V289" s="31" t="n">
        <v>1279</v>
      </c>
      <c r="W289" s="31" t="n">
        <v>178</v>
      </c>
      <c r="X289" s="31" t="n">
        <v>173</v>
      </c>
      <c r="Y289" s="31"/>
      <c r="Z289" s="38" t="n">
        <f aca="false">合約與計費!$E$4</f>
        <v>2.8</v>
      </c>
      <c r="AA289" s="39" t="n">
        <f aca="false">ROUND(X289*Z289,0)</f>
        <v>484</v>
      </c>
      <c r="AB289" s="40"/>
      <c r="AC289" s="41"/>
      <c r="AD289" s="42"/>
      <c r="AE289" s="43"/>
    </row>
    <row r="290" customFormat="false" ht="16.5" hidden="false" customHeight="true" outlineLevel="0" collapsed="false">
      <c r="A290" s="44" t="n">
        <f aca="false">ROW(A288)</f>
        <v>288</v>
      </c>
      <c r="B290" s="44" t="s">
        <v>462</v>
      </c>
      <c r="C290" s="47" t="n">
        <v>1</v>
      </c>
      <c r="D290" s="29"/>
      <c r="E290" s="45" t="s">
        <v>1099</v>
      </c>
      <c r="F290" s="46" t="s">
        <v>1096</v>
      </c>
      <c r="G290" s="47" t="s">
        <v>458</v>
      </c>
      <c r="H290" s="47" t="s">
        <v>1097</v>
      </c>
      <c r="I290" s="47" t="s">
        <v>160</v>
      </c>
      <c r="J290" s="45" t="s">
        <v>464</v>
      </c>
      <c r="K290" s="48" t="s">
        <v>1100</v>
      </c>
      <c r="L290" s="49" t="n">
        <v>45772</v>
      </c>
      <c r="M290" s="47" t="n">
        <v>688</v>
      </c>
      <c r="N290" s="47" t="n">
        <v>923</v>
      </c>
      <c r="O290" s="47" t="n">
        <v>235</v>
      </c>
      <c r="P290" s="47" t="n">
        <v>228</v>
      </c>
      <c r="Q290" s="47"/>
      <c r="R290" s="50" t="n">
        <f aca="false">合約與計費!$D$4</f>
        <v>0.296</v>
      </c>
      <c r="S290" s="51" t="n">
        <f aca="false">ROUND(P290*R290,0)</f>
        <v>67</v>
      </c>
      <c r="T290" s="52"/>
      <c r="U290" s="47"/>
      <c r="V290" s="47"/>
      <c r="W290" s="53"/>
      <c r="X290" s="47"/>
      <c r="Y290" s="47"/>
      <c r="Z290" s="54"/>
      <c r="AA290" s="55"/>
      <c r="AB290" s="56"/>
      <c r="AC290" s="57"/>
      <c r="AD290" s="42" t="n">
        <v>0.0594</v>
      </c>
      <c r="AE290" s="43" t="n">
        <v>1</v>
      </c>
    </row>
    <row r="291" customFormat="false" ht="16.5" hidden="false" customHeight="true" outlineLevel="0" collapsed="false">
      <c r="A291" s="44" t="n">
        <f aca="false">ROW(A289)</f>
        <v>289</v>
      </c>
      <c r="B291" s="44" t="s">
        <v>466</v>
      </c>
      <c r="C291" s="47" t="n">
        <v>1</v>
      </c>
      <c r="D291" s="29"/>
      <c r="E291" s="45" t="s">
        <v>1101</v>
      </c>
      <c r="F291" s="46" t="s">
        <v>1096</v>
      </c>
      <c r="G291" s="47" t="s">
        <v>458</v>
      </c>
      <c r="H291" s="47" t="s">
        <v>1097</v>
      </c>
      <c r="I291" s="47" t="s">
        <v>160</v>
      </c>
      <c r="J291" s="45" t="s">
        <v>471</v>
      </c>
      <c r="K291" s="48" t="s">
        <v>1102</v>
      </c>
      <c r="L291" s="49" t="n">
        <v>45772</v>
      </c>
      <c r="M291" s="47" t="n">
        <v>17382</v>
      </c>
      <c r="N291" s="47" t="n">
        <v>20711</v>
      </c>
      <c r="O291" s="47" t="n">
        <v>3329</v>
      </c>
      <c r="P291" s="47" t="n">
        <v>3229</v>
      </c>
      <c r="Q291" s="47"/>
      <c r="R291" s="50" t="n">
        <f aca="false">合約與計費!$D$4</f>
        <v>0.296</v>
      </c>
      <c r="S291" s="51" t="n">
        <f aca="false">ROUND(P291*R291,0)</f>
        <v>956</v>
      </c>
      <c r="T291" s="52"/>
      <c r="U291" s="47"/>
      <c r="V291" s="47"/>
      <c r="W291" s="53"/>
      <c r="X291" s="47"/>
      <c r="Y291" s="47"/>
      <c r="Z291" s="54"/>
      <c r="AA291" s="55"/>
      <c r="AB291" s="56"/>
      <c r="AC291" s="57"/>
      <c r="AD291" s="42" t="n">
        <v>0.1102</v>
      </c>
      <c r="AE291" s="43" t="n">
        <v>0.7</v>
      </c>
    </row>
    <row r="292" customFormat="false" ht="16.5" hidden="false" customHeight="true" outlineLevel="0" collapsed="false">
      <c r="A292" s="44" t="n">
        <f aca="false">ROW(A290)</f>
        <v>290</v>
      </c>
      <c r="B292" s="44" t="s">
        <v>469</v>
      </c>
      <c r="C292" s="47" t="n">
        <v>1</v>
      </c>
      <c r="D292" s="29"/>
      <c r="E292" s="45" t="s">
        <v>1103</v>
      </c>
      <c r="F292" s="46" t="s">
        <v>1096</v>
      </c>
      <c r="G292" s="47" t="s">
        <v>458</v>
      </c>
      <c r="H292" s="47" t="s">
        <v>1097</v>
      </c>
      <c r="I292" s="47" t="s">
        <v>160</v>
      </c>
      <c r="J292" s="45" t="s">
        <v>471</v>
      </c>
      <c r="K292" s="48" t="s">
        <v>1104</v>
      </c>
      <c r="L292" s="49" t="n">
        <v>45772</v>
      </c>
      <c r="M292" s="47" t="n">
        <v>15169</v>
      </c>
      <c r="N292" s="47" t="n">
        <v>18303</v>
      </c>
      <c r="O292" s="47" t="n">
        <v>3134</v>
      </c>
      <c r="P292" s="47" t="n">
        <v>3040</v>
      </c>
      <c r="Q292" s="47"/>
      <c r="R292" s="50" t="n">
        <f aca="false">合約與計費!$D$4</f>
        <v>0.296</v>
      </c>
      <c r="S292" s="51" t="n">
        <f aca="false">ROUND(P292*R292,0)</f>
        <v>900</v>
      </c>
      <c r="T292" s="52"/>
      <c r="U292" s="47"/>
      <c r="V292" s="47"/>
      <c r="W292" s="53"/>
      <c r="X292" s="47"/>
      <c r="Y292" s="47"/>
      <c r="Z292" s="54"/>
      <c r="AA292" s="55"/>
      <c r="AB292" s="56"/>
      <c r="AC292" s="57"/>
      <c r="AD292" s="42" t="n">
        <v>0.114</v>
      </c>
      <c r="AE292" s="43" t="n">
        <v>0.9</v>
      </c>
    </row>
    <row r="293" customFormat="false" ht="16.5" hidden="false" customHeight="true" outlineLevel="0" collapsed="false">
      <c r="A293" s="59" t="n">
        <f aca="false">ROW(A291)</f>
        <v>291</v>
      </c>
      <c r="B293" s="59" t="s">
        <v>473</v>
      </c>
      <c r="C293" s="62" t="n">
        <v>1</v>
      </c>
      <c r="D293" s="29"/>
      <c r="E293" s="60" t="s">
        <v>1105</v>
      </c>
      <c r="F293" s="61" t="s">
        <v>1096</v>
      </c>
      <c r="G293" s="62" t="s">
        <v>458</v>
      </c>
      <c r="H293" s="62" t="s">
        <v>1097</v>
      </c>
      <c r="I293" s="62" t="s">
        <v>160</v>
      </c>
      <c r="J293" s="60" t="s">
        <v>471</v>
      </c>
      <c r="K293" s="63" t="s">
        <v>1106</v>
      </c>
      <c r="L293" s="64" t="n">
        <v>45772</v>
      </c>
      <c r="M293" s="62" t="n">
        <v>2035</v>
      </c>
      <c r="N293" s="62" t="n">
        <v>2397</v>
      </c>
      <c r="O293" s="62" t="n">
        <v>362</v>
      </c>
      <c r="P293" s="62" t="n">
        <v>351</v>
      </c>
      <c r="Q293" s="62" t="n">
        <f aca="false">ROUND(SUM(P289:P293),2)</f>
        <v>7062</v>
      </c>
      <c r="R293" s="65" t="n">
        <f aca="false">合約與計費!$D$4</f>
        <v>0.296</v>
      </c>
      <c r="S293" s="66" t="n">
        <f aca="false">ROUND(P293*R293,0)</f>
        <v>104</v>
      </c>
      <c r="T293" s="79" t="n">
        <f aca="false">ROUND(SUM(S289:S293),2)</f>
        <v>2090</v>
      </c>
      <c r="U293" s="62"/>
      <c r="V293" s="62"/>
      <c r="W293" s="67"/>
      <c r="X293" s="62"/>
      <c r="Y293" s="62" t="n">
        <f aca="false">ROUND(SUM(X289:X293),2)</f>
        <v>173</v>
      </c>
      <c r="Z293" s="68"/>
      <c r="AA293" s="77"/>
      <c r="AB293" s="78" t="n">
        <f aca="false">ROUND(SUM(AA289:AA293),2)</f>
        <v>484</v>
      </c>
      <c r="AC293" s="69"/>
      <c r="AD293" s="42" t="n">
        <v>0.0485</v>
      </c>
      <c r="AE293" s="43" t="n">
        <v>0.2</v>
      </c>
    </row>
    <row r="294" customFormat="false" ht="16.5" hidden="false" customHeight="true" outlineLevel="0" collapsed="false">
      <c r="A294" s="27" t="n">
        <f aca="false">ROW(A292)</f>
        <v>292</v>
      </c>
      <c r="B294" s="27" t="s">
        <v>455</v>
      </c>
      <c r="C294" s="31" t="n">
        <v>1</v>
      </c>
      <c r="D294" s="29" t="n">
        <v>35</v>
      </c>
      <c r="E294" s="28" t="s">
        <v>1107</v>
      </c>
      <c r="F294" s="30" t="s">
        <v>1108</v>
      </c>
      <c r="G294" s="31" t="s">
        <v>458</v>
      </c>
      <c r="H294" s="31" t="s">
        <v>1097</v>
      </c>
      <c r="I294" s="31" t="s">
        <v>183</v>
      </c>
      <c r="J294" s="28" t="s">
        <v>460</v>
      </c>
      <c r="K294" s="80" t="s">
        <v>1109</v>
      </c>
      <c r="L294" s="34" t="n">
        <v>45772</v>
      </c>
      <c r="M294" s="31" t="n">
        <v>366</v>
      </c>
      <c r="N294" s="31" t="n">
        <v>435</v>
      </c>
      <c r="O294" s="31" t="n">
        <v>69</v>
      </c>
      <c r="P294" s="31" t="n">
        <v>67</v>
      </c>
      <c r="Q294" s="31"/>
      <c r="R294" s="35" t="n">
        <f aca="false">合約與計費!$D$4</f>
        <v>0.296</v>
      </c>
      <c r="S294" s="36" t="n">
        <f aca="false">ROUND(P294*R294,0)</f>
        <v>20</v>
      </c>
      <c r="T294" s="37"/>
      <c r="U294" s="31" t="n">
        <v>622</v>
      </c>
      <c r="V294" s="31" t="n">
        <v>767</v>
      </c>
      <c r="W294" s="31" t="n">
        <v>145</v>
      </c>
      <c r="X294" s="31" t="n">
        <v>141</v>
      </c>
      <c r="Y294" s="31"/>
      <c r="Z294" s="38" t="n">
        <f aca="false">合約與計費!$E$4</f>
        <v>2.8</v>
      </c>
      <c r="AA294" s="39" t="n">
        <f aca="false">ROUND(X294*Z294,0)</f>
        <v>395</v>
      </c>
      <c r="AB294" s="40"/>
      <c r="AC294" s="41"/>
      <c r="AD294" s="42"/>
      <c r="AE294" s="43"/>
    </row>
    <row r="295" customFormat="false" ht="16.5" hidden="false" customHeight="true" outlineLevel="0" collapsed="false">
      <c r="A295" s="44" t="n">
        <f aca="false">ROW(A293)</f>
        <v>293</v>
      </c>
      <c r="B295" s="44" t="s">
        <v>462</v>
      </c>
      <c r="C295" s="47" t="n">
        <v>1</v>
      </c>
      <c r="D295" s="29"/>
      <c r="E295" s="45" t="s">
        <v>1110</v>
      </c>
      <c r="F295" s="46" t="s">
        <v>1108</v>
      </c>
      <c r="G295" s="47" t="s">
        <v>458</v>
      </c>
      <c r="H295" s="47" t="s">
        <v>1097</v>
      </c>
      <c r="I295" s="47" t="s">
        <v>183</v>
      </c>
      <c r="J295" s="45" t="s">
        <v>464</v>
      </c>
      <c r="K295" s="48" t="s">
        <v>1111</v>
      </c>
      <c r="L295" s="49" t="n">
        <v>45772</v>
      </c>
      <c r="M295" s="47" t="n">
        <v>1166</v>
      </c>
      <c r="N295" s="47" t="n">
        <v>1506</v>
      </c>
      <c r="O295" s="47" t="n">
        <v>340</v>
      </c>
      <c r="P295" s="47" t="n">
        <v>330</v>
      </c>
      <c r="Q295" s="47"/>
      <c r="R295" s="50" t="n">
        <f aca="false">合約與計費!$D$4</f>
        <v>0.296</v>
      </c>
      <c r="S295" s="51" t="n">
        <f aca="false">ROUND(P295*R295,0)</f>
        <v>98</v>
      </c>
      <c r="T295" s="52"/>
      <c r="U295" s="47"/>
      <c r="V295" s="47"/>
      <c r="W295" s="53"/>
      <c r="X295" s="47"/>
      <c r="Y295" s="47"/>
      <c r="Z295" s="54"/>
      <c r="AA295" s="55"/>
      <c r="AB295" s="56"/>
      <c r="AC295" s="57"/>
      <c r="AD295" s="42" t="n">
        <v>0.0658</v>
      </c>
      <c r="AE295" s="43" t="n">
        <v>0.9</v>
      </c>
    </row>
    <row r="296" customFormat="false" ht="16.5" hidden="false" customHeight="true" outlineLevel="0" collapsed="false">
      <c r="A296" s="44" t="n">
        <f aca="false">ROW(A294)</f>
        <v>294</v>
      </c>
      <c r="B296" s="44" t="s">
        <v>466</v>
      </c>
      <c r="C296" s="47" t="n">
        <v>1</v>
      </c>
      <c r="D296" s="29"/>
      <c r="E296" s="45" t="s">
        <v>1112</v>
      </c>
      <c r="F296" s="46" t="s">
        <v>1108</v>
      </c>
      <c r="G296" s="47" t="s">
        <v>458</v>
      </c>
      <c r="H296" s="47" t="s">
        <v>1097</v>
      </c>
      <c r="I296" s="47" t="s">
        <v>183</v>
      </c>
      <c r="J296" s="45" t="s">
        <v>471</v>
      </c>
      <c r="K296" s="48" t="s">
        <v>1113</v>
      </c>
      <c r="L296" s="49" t="n">
        <v>45772</v>
      </c>
      <c r="M296" s="47" t="n">
        <v>2422</v>
      </c>
      <c r="N296" s="47" t="n">
        <v>2887</v>
      </c>
      <c r="O296" s="47" t="n">
        <v>465</v>
      </c>
      <c r="P296" s="47" t="n">
        <v>451</v>
      </c>
      <c r="Q296" s="47"/>
      <c r="R296" s="50" t="n">
        <f aca="false">合約與計費!$D$4</f>
        <v>0.296</v>
      </c>
      <c r="S296" s="51" t="n">
        <f aca="false">ROUND(P296*R296,0)</f>
        <v>133</v>
      </c>
      <c r="T296" s="52"/>
      <c r="U296" s="47"/>
      <c r="V296" s="47"/>
      <c r="W296" s="53"/>
      <c r="X296" s="47"/>
      <c r="Y296" s="47"/>
      <c r="Z296" s="54"/>
      <c r="AA296" s="55"/>
      <c r="AB296" s="56"/>
      <c r="AC296" s="57"/>
      <c r="AD296" s="42" t="n">
        <v>0.0479</v>
      </c>
      <c r="AE296" s="43" t="n">
        <v>1</v>
      </c>
    </row>
    <row r="297" customFormat="false" ht="16.5" hidden="false" customHeight="true" outlineLevel="0" collapsed="false">
      <c r="A297" s="44" t="n">
        <f aca="false">ROW(A295)</f>
        <v>295</v>
      </c>
      <c r="B297" s="44" t="s">
        <v>469</v>
      </c>
      <c r="C297" s="47" t="n">
        <v>1</v>
      </c>
      <c r="D297" s="29"/>
      <c r="E297" s="45" t="s">
        <v>1114</v>
      </c>
      <c r="F297" s="46" t="s">
        <v>1108</v>
      </c>
      <c r="G297" s="47" t="s">
        <v>458</v>
      </c>
      <c r="H297" s="47" t="s">
        <v>1097</v>
      </c>
      <c r="I297" s="47" t="s">
        <v>183</v>
      </c>
      <c r="J297" s="45" t="s">
        <v>471</v>
      </c>
      <c r="K297" s="48" t="s">
        <v>1115</v>
      </c>
      <c r="L297" s="49" t="n">
        <v>45772</v>
      </c>
      <c r="M297" s="47" t="n">
        <v>7826</v>
      </c>
      <c r="N297" s="47" t="n">
        <v>9310</v>
      </c>
      <c r="O297" s="47" t="n">
        <v>1484</v>
      </c>
      <c r="P297" s="47" t="n">
        <v>1439</v>
      </c>
      <c r="Q297" s="47"/>
      <c r="R297" s="50" t="n">
        <f aca="false">合約與計費!$D$4</f>
        <v>0.296</v>
      </c>
      <c r="S297" s="51" t="n">
        <f aca="false">ROUND(P297*R297,0)</f>
        <v>426</v>
      </c>
      <c r="T297" s="52"/>
      <c r="U297" s="47"/>
      <c r="V297" s="47"/>
      <c r="W297" s="53"/>
      <c r="X297" s="47"/>
      <c r="Y297" s="47"/>
      <c r="Z297" s="54"/>
      <c r="AA297" s="55"/>
      <c r="AB297" s="56"/>
      <c r="AC297" s="57"/>
      <c r="AD297" s="42" t="n">
        <v>0.1037</v>
      </c>
      <c r="AE297" s="43" t="n">
        <v>1</v>
      </c>
    </row>
    <row r="298" customFormat="false" ht="16.5" hidden="false" customHeight="true" outlineLevel="0" collapsed="false">
      <c r="A298" s="59" t="n">
        <f aca="false">ROW(A296)</f>
        <v>296</v>
      </c>
      <c r="B298" s="59" t="s">
        <v>473</v>
      </c>
      <c r="C298" s="62" t="n">
        <v>1</v>
      </c>
      <c r="D298" s="29"/>
      <c r="E298" s="60" t="s">
        <v>1116</v>
      </c>
      <c r="F298" s="61" t="s">
        <v>1108</v>
      </c>
      <c r="G298" s="62" t="s">
        <v>458</v>
      </c>
      <c r="H298" s="62" t="s">
        <v>1097</v>
      </c>
      <c r="I298" s="62" t="s">
        <v>183</v>
      </c>
      <c r="J298" s="60" t="s">
        <v>471</v>
      </c>
      <c r="K298" s="63" t="s">
        <v>1117</v>
      </c>
      <c r="L298" s="64" t="n">
        <v>45772</v>
      </c>
      <c r="M298" s="62" t="n">
        <v>15510</v>
      </c>
      <c r="N298" s="62" t="n">
        <v>18524</v>
      </c>
      <c r="O298" s="62" t="n">
        <v>3014</v>
      </c>
      <c r="P298" s="62" t="n">
        <v>2924</v>
      </c>
      <c r="Q298" s="62" t="n">
        <f aca="false">ROUND(SUM(P294:P298),2)</f>
        <v>5211</v>
      </c>
      <c r="R298" s="65" t="n">
        <f aca="false">合約與計費!$D$4</f>
        <v>0.296</v>
      </c>
      <c r="S298" s="66" t="n">
        <f aca="false">ROUND(P298*R298,0)</f>
        <v>866</v>
      </c>
      <c r="T298" s="79" t="n">
        <f aca="false">ROUND(SUM(S294:S298),2)</f>
        <v>1543</v>
      </c>
      <c r="U298" s="62"/>
      <c r="V298" s="62"/>
      <c r="W298" s="67"/>
      <c r="X298" s="62"/>
      <c r="Y298" s="62" t="n">
        <f aca="false">ROUND(SUM(X294:X298),2)</f>
        <v>141</v>
      </c>
      <c r="Z298" s="68"/>
      <c r="AA298" s="77"/>
      <c r="AB298" s="78" t="n">
        <f aca="false">ROUND(SUM(AA294:AA298),2)</f>
        <v>395</v>
      </c>
      <c r="AC298" s="69"/>
      <c r="AD298" s="42" t="n">
        <v>0.3342</v>
      </c>
      <c r="AE298" s="43" t="n">
        <v>0.5</v>
      </c>
    </row>
    <row r="299" customFormat="false" ht="16.5" hidden="false" customHeight="true" outlineLevel="0" collapsed="false">
      <c r="A299" s="27" t="n">
        <f aca="false">ROW(A297)</f>
        <v>297</v>
      </c>
      <c r="B299" s="27" t="s">
        <v>455</v>
      </c>
      <c r="C299" s="31" t="n">
        <v>1</v>
      </c>
      <c r="D299" s="29" t="n">
        <v>37</v>
      </c>
      <c r="E299" s="28" t="s">
        <v>1118</v>
      </c>
      <c r="F299" s="30" t="s">
        <v>1119</v>
      </c>
      <c r="G299" s="31" t="s">
        <v>458</v>
      </c>
      <c r="H299" s="31" t="s">
        <v>1097</v>
      </c>
      <c r="I299" s="31" t="s">
        <v>307</v>
      </c>
      <c r="J299" s="28" t="s">
        <v>460</v>
      </c>
      <c r="K299" s="80" t="s">
        <v>1120</v>
      </c>
      <c r="L299" s="34" t="n">
        <v>45770</v>
      </c>
      <c r="M299" s="31" t="n">
        <v>600</v>
      </c>
      <c r="N299" s="31" t="n">
        <v>671</v>
      </c>
      <c r="O299" s="31" t="n">
        <v>71</v>
      </c>
      <c r="P299" s="31" t="n">
        <v>69</v>
      </c>
      <c r="Q299" s="31"/>
      <c r="R299" s="35" t="n">
        <f aca="false">合約與計費!$D$4</f>
        <v>0.296</v>
      </c>
      <c r="S299" s="36" t="n">
        <f aca="false">ROUND(P299*R299,0)</f>
        <v>20</v>
      </c>
      <c r="T299" s="37"/>
      <c r="U299" s="31" t="n">
        <v>447</v>
      </c>
      <c r="V299" s="31" t="n">
        <v>529</v>
      </c>
      <c r="W299" s="31" t="n">
        <v>82</v>
      </c>
      <c r="X299" s="31" t="n">
        <v>80</v>
      </c>
      <c r="Y299" s="31"/>
      <c r="Z299" s="38" t="n">
        <f aca="false">合約與計費!$E$4</f>
        <v>2.8</v>
      </c>
      <c r="AA299" s="39" t="n">
        <f aca="false">ROUND(X299*Z299,0)</f>
        <v>224</v>
      </c>
      <c r="AB299" s="40"/>
      <c r="AC299" s="41"/>
      <c r="AD299" s="42"/>
      <c r="AE299" s="43"/>
    </row>
    <row r="300" customFormat="false" ht="16.5" hidden="false" customHeight="true" outlineLevel="0" collapsed="false">
      <c r="A300" s="44" t="n">
        <f aca="false">ROW(A298)</f>
        <v>298</v>
      </c>
      <c r="B300" s="44" t="s">
        <v>462</v>
      </c>
      <c r="C300" s="47" t="n">
        <v>1</v>
      </c>
      <c r="D300" s="29"/>
      <c r="E300" s="45" t="s">
        <v>1121</v>
      </c>
      <c r="F300" s="46" t="s">
        <v>1119</v>
      </c>
      <c r="G300" s="47" t="s">
        <v>458</v>
      </c>
      <c r="H300" s="47" t="s">
        <v>1097</v>
      </c>
      <c r="I300" s="47" t="s">
        <v>307</v>
      </c>
      <c r="J300" s="45" t="s">
        <v>464</v>
      </c>
      <c r="K300" s="48" t="s">
        <v>1122</v>
      </c>
      <c r="L300" s="49" t="n">
        <v>45770</v>
      </c>
      <c r="M300" s="47" t="n">
        <v>876</v>
      </c>
      <c r="N300" s="47" t="n">
        <v>1041</v>
      </c>
      <c r="O300" s="47" t="n">
        <v>165</v>
      </c>
      <c r="P300" s="47" t="n">
        <v>160</v>
      </c>
      <c r="Q300" s="47"/>
      <c r="R300" s="50" t="n">
        <f aca="false">合約與計費!$D$4</f>
        <v>0.296</v>
      </c>
      <c r="S300" s="51" t="n">
        <f aca="false">ROUND(P300*R300,0)</f>
        <v>47</v>
      </c>
      <c r="T300" s="52"/>
      <c r="U300" s="47"/>
      <c r="V300" s="47"/>
      <c r="W300" s="53"/>
      <c r="X300" s="47"/>
      <c r="Y300" s="47"/>
      <c r="Z300" s="54"/>
      <c r="AA300" s="55"/>
      <c r="AB300" s="56"/>
      <c r="AC300" s="57"/>
      <c r="AD300" s="42" t="n">
        <v>0.2987</v>
      </c>
      <c r="AE300" s="43" t="n">
        <v>0.7</v>
      </c>
    </row>
    <row r="301" customFormat="false" ht="16.5" hidden="false" customHeight="true" outlineLevel="0" collapsed="false">
      <c r="A301" s="44" t="n">
        <f aca="false">ROW(A299)</f>
        <v>299</v>
      </c>
      <c r="B301" s="44" t="s">
        <v>466</v>
      </c>
      <c r="C301" s="47" t="n">
        <v>1</v>
      </c>
      <c r="D301" s="29"/>
      <c r="E301" s="45" t="s">
        <v>1123</v>
      </c>
      <c r="F301" s="46" t="s">
        <v>1119</v>
      </c>
      <c r="G301" s="47" t="s">
        <v>458</v>
      </c>
      <c r="H301" s="47" t="s">
        <v>1097</v>
      </c>
      <c r="I301" s="47" t="s">
        <v>307</v>
      </c>
      <c r="J301" s="45" t="s">
        <v>471</v>
      </c>
      <c r="K301" s="48" t="s">
        <v>1124</v>
      </c>
      <c r="L301" s="49" t="n">
        <v>45770</v>
      </c>
      <c r="M301" s="47" t="n">
        <v>14339</v>
      </c>
      <c r="N301" s="47" t="n">
        <v>17288</v>
      </c>
      <c r="O301" s="47" t="n">
        <v>2949</v>
      </c>
      <c r="P301" s="47" t="n">
        <v>2861</v>
      </c>
      <c r="Q301" s="47"/>
      <c r="R301" s="50" t="n">
        <f aca="false">合約與計費!$D$4</f>
        <v>0.296</v>
      </c>
      <c r="S301" s="51" t="n">
        <f aca="false">ROUND(P301*R301,0)</f>
        <v>847</v>
      </c>
      <c r="T301" s="52"/>
      <c r="U301" s="47"/>
      <c r="V301" s="47"/>
      <c r="W301" s="53"/>
      <c r="X301" s="47"/>
      <c r="Y301" s="47"/>
      <c r="Z301" s="54"/>
      <c r="AA301" s="55"/>
      <c r="AB301" s="56"/>
      <c r="AC301" s="57"/>
      <c r="AD301" s="42" t="n">
        <v>0.1096</v>
      </c>
      <c r="AE301" s="43" t="n">
        <v>0.9</v>
      </c>
    </row>
    <row r="302" customFormat="false" ht="16.5" hidden="false" customHeight="true" outlineLevel="0" collapsed="false">
      <c r="A302" s="44" t="n">
        <f aca="false">ROW(A300)</f>
        <v>300</v>
      </c>
      <c r="B302" s="44" t="s">
        <v>469</v>
      </c>
      <c r="C302" s="47" t="n">
        <v>1</v>
      </c>
      <c r="D302" s="29"/>
      <c r="E302" s="45" t="s">
        <v>1125</v>
      </c>
      <c r="F302" s="46" t="s">
        <v>1119</v>
      </c>
      <c r="G302" s="47" t="s">
        <v>458</v>
      </c>
      <c r="H302" s="47" t="s">
        <v>1097</v>
      </c>
      <c r="I302" s="47" t="s">
        <v>307</v>
      </c>
      <c r="J302" s="45" t="s">
        <v>471</v>
      </c>
      <c r="K302" s="48" t="s">
        <v>1126</v>
      </c>
      <c r="L302" s="49" t="n">
        <v>45770</v>
      </c>
      <c r="M302" s="47" t="n">
        <v>5282</v>
      </c>
      <c r="N302" s="47" t="n">
        <v>6264</v>
      </c>
      <c r="O302" s="47" t="n">
        <v>982</v>
      </c>
      <c r="P302" s="47" t="n">
        <v>953</v>
      </c>
      <c r="Q302" s="47"/>
      <c r="R302" s="50" t="n">
        <f aca="false">合約與計費!$D$4</f>
        <v>0.296</v>
      </c>
      <c r="S302" s="51" t="n">
        <f aca="false">ROUND(P302*R302,0)</f>
        <v>282</v>
      </c>
      <c r="T302" s="52"/>
      <c r="U302" s="47"/>
      <c r="V302" s="47"/>
      <c r="W302" s="53"/>
      <c r="X302" s="47"/>
      <c r="Y302" s="47"/>
      <c r="Z302" s="54"/>
      <c r="AA302" s="55"/>
      <c r="AB302" s="56"/>
      <c r="AC302" s="57"/>
      <c r="AD302" s="42" t="n">
        <v>0.3304</v>
      </c>
      <c r="AE302" s="43" t="n">
        <v>0.6</v>
      </c>
    </row>
    <row r="303" customFormat="false" ht="16.5" hidden="false" customHeight="true" outlineLevel="0" collapsed="false">
      <c r="A303" s="59" t="n">
        <f aca="false">ROW(A301)</f>
        <v>301</v>
      </c>
      <c r="B303" s="59" t="s">
        <v>473</v>
      </c>
      <c r="C303" s="62" t="n">
        <v>1</v>
      </c>
      <c r="D303" s="29"/>
      <c r="E303" s="60" t="s">
        <v>1127</v>
      </c>
      <c r="F303" s="61" t="s">
        <v>1119</v>
      </c>
      <c r="G303" s="62" t="s">
        <v>458</v>
      </c>
      <c r="H303" s="62" t="s">
        <v>1097</v>
      </c>
      <c r="I303" s="62" t="s">
        <v>307</v>
      </c>
      <c r="J303" s="60" t="s">
        <v>471</v>
      </c>
      <c r="K303" s="63" t="s">
        <v>1128</v>
      </c>
      <c r="L303" s="64" t="n">
        <v>45770</v>
      </c>
      <c r="M303" s="62" t="n">
        <v>2005</v>
      </c>
      <c r="N303" s="62" t="n">
        <v>2358</v>
      </c>
      <c r="O303" s="62" t="n">
        <v>353</v>
      </c>
      <c r="P303" s="62" t="n">
        <v>342</v>
      </c>
      <c r="Q303" s="62" t="n">
        <f aca="false">ROUND(SUM(P299:P303),2)</f>
        <v>4385</v>
      </c>
      <c r="R303" s="65" t="n">
        <f aca="false">合約與計費!$D$4</f>
        <v>0.296</v>
      </c>
      <c r="S303" s="66" t="n">
        <f aca="false">ROUND(P303*R303,0)</f>
        <v>101</v>
      </c>
      <c r="T303" s="79" t="n">
        <f aca="false">ROUND(SUM(S299:S303),2)</f>
        <v>1297</v>
      </c>
      <c r="U303" s="62"/>
      <c r="V303" s="62"/>
      <c r="W303" s="67"/>
      <c r="X303" s="62"/>
      <c r="Y303" s="62" t="n">
        <f aca="false">ROUND(SUM(X299:X303),2)</f>
        <v>80</v>
      </c>
      <c r="Z303" s="68"/>
      <c r="AA303" s="77"/>
      <c r="AB303" s="78" t="n">
        <f aca="false">ROUND(SUM(AA299:AA303),2)</f>
        <v>224</v>
      </c>
      <c r="AC303" s="69"/>
      <c r="AD303" s="42" t="n">
        <v>0.0449</v>
      </c>
      <c r="AE303" s="43" t="n">
        <v>0.2</v>
      </c>
    </row>
    <row r="304" customFormat="false" ht="16.5" hidden="false" customHeight="true" outlineLevel="0" collapsed="false">
      <c r="A304" s="27" t="n">
        <f aca="false">ROW(A302)</f>
        <v>302</v>
      </c>
      <c r="B304" s="27" t="s">
        <v>455</v>
      </c>
      <c r="C304" s="31" t="n">
        <v>1</v>
      </c>
      <c r="D304" s="29" t="n">
        <v>38</v>
      </c>
      <c r="E304" s="28" t="s">
        <v>1129</v>
      </c>
      <c r="F304" s="30" t="s">
        <v>1130</v>
      </c>
      <c r="G304" s="31" t="s">
        <v>458</v>
      </c>
      <c r="H304" s="31" t="s">
        <v>1097</v>
      </c>
      <c r="I304" s="31" t="s">
        <v>308</v>
      </c>
      <c r="J304" s="28" t="s">
        <v>460</v>
      </c>
      <c r="K304" s="80" t="s">
        <v>1131</v>
      </c>
      <c r="L304" s="34" t="n">
        <v>45771</v>
      </c>
      <c r="M304" s="31" t="n">
        <v>1473</v>
      </c>
      <c r="N304" s="31" t="n">
        <v>1791</v>
      </c>
      <c r="O304" s="31" t="n">
        <v>318</v>
      </c>
      <c r="P304" s="31" t="n">
        <v>308</v>
      </c>
      <c r="Q304" s="31"/>
      <c r="R304" s="35" t="n">
        <f aca="false">合約與計費!$D$4</f>
        <v>0.296</v>
      </c>
      <c r="S304" s="36" t="n">
        <f aca="false">ROUND(P304*R304,0)</f>
        <v>91</v>
      </c>
      <c r="T304" s="37"/>
      <c r="U304" s="31" t="n">
        <v>503</v>
      </c>
      <c r="V304" s="31" t="n">
        <v>596</v>
      </c>
      <c r="W304" s="31" t="n">
        <v>93</v>
      </c>
      <c r="X304" s="31" t="n">
        <v>90</v>
      </c>
      <c r="Y304" s="31"/>
      <c r="Z304" s="38" t="n">
        <f aca="false">合約與計費!$E$4</f>
        <v>2.8</v>
      </c>
      <c r="AA304" s="39" t="n">
        <f aca="false">ROUND(X304*Z304,0)</f>
        <v>252</v>
      </c>
      <c r="AB304" s="40"/>
      <c r="AC304" s="41"/>
      <c r="AD304" s="42"/>
      <c r="AE304" s="43"/>
    </row>
    <row r="305" customFormat="false" ht="16.5" hidden="false" customHeight="true" outlineLevel="0" collapsed="false">
      <c r="A305" s="44" t="n">
        <f aca="false">ROW(A303)</f>
        <v>303</v>
      </c>
      <c r="B305" s="44" t="s">
        <v>462</v>
      </c>
      <c r="C305" s="47" t="n">
        <v>1</v>
      </c>
      <c r="D305" s="29"/>
      <c r="E305" s="45" t="s">
        <v>1132</v>
      </c>
      <c r="F305" s="46" t="s">
        <v>1130</v>
      </c>
      <c r="G305" s="47" t="s">
        <v>458</v>
      </c>
      <c r="H305" s="47" t="s">
        <v>1097</v>
      </c>
      <c r="I305" s="47" t="s">
        <v>308</v>
      </c>
      <c r="J305" s="45" t="s">
        <v>464</v>
      </c>
      <c r="K305" s="48" t="s">
        <v>1133</v>
      </c>
      <c r="L305" s="49" t="n">
        <v>45771</v>
      </c>
      <c r="M305" s="47" t="n">
        <v>1647</v>
      </c>
      <c r="N305" s="47" t="n">
        <v>1933</v>
      </c>
      <c r="O305" s="47" t="n">
        <v>286</v>
      </c>
      <c r="P305" s="47" t="n">
        <v>277</v>
      </c>
      <c r="Q305" s="47"/>
      <c r="R305" s="50" t="n">
        <f aca="false">合約與計費!$D$4</f>
        <v>0.296</v>
      </c>
      <c r="S305" s="51" t="n">
        <f aca="false">ROUND(P305*R305,0)</f>
        <v>82</v>
      </c>
      <c r="T305" s="52"/>
      <c r="U305" s="47"/>
      <c r="V305" s="47"/>
      <c r="W305" s="53"/>
      <c r="X305" s="47"/>
      <c r="Y305" s="47"/>
      <c r="Z305" s="54"/>
      <c r="AA305" s="55"/>
      <c r="AB305" s="56"/>
      <c r="AC305" s="57"/>
      <c r="AD305" s="42" t="n">
        <v>0.0717</v>
      </c>
      <c r="AE305" s="43" t="n">
        <v>1</v>
      </c>
    </row>
    <row r="306" customFormat="false" ht="16.5" hidden="false" customHeight="true" outlineLevel="0" collapsed="false">
      <c r="A306" s="44" t="n">
        <f aca="false">ROW(A304)</f>
        <v>304</v>
      </c>
      <c r="B306" s="44" t="s">
        <v>466</v>
      </c>
      <c r="C306" s="47" t="n">
        <v>1</v>
      </c>
      <c r="D306" s="29"/>
      <c r="E306" s="45" t="s">
        <v>1134</v>
      </c>
      <c r="F306" s="46" t="s">
        <v>1130</v>
      </c>
      <c r="G306" s="47" t="s">
        <v>458</v>
      </c>
      <c r="H306" s="47" t="s">
        <v>1097</v>
      </c>
      <c r="I306" s="47" t="s">
        <v>308</v>
      </c>
      <c r="J306" s="45" t="s">
        <v>471</v>
      </c>
      <c r="K306" s="48" t="s">
        <v>1135</v>
      </c>
      <c r="L306" s="49" t="n">
        <v>45771</v>
      </c>
      <c r="M306" s="47" t="n">
        <v>15212</v>
      </c>
      <c r="N306" s="47" t="n">
        <v>18380</v>
      </c>
      <c r="O306" s="47" t="n">
        <v>3168</v>
      </c>
      <c r="P306" s="47" t="n">
        <v>3073</v>
      </c>
      <c r="Q306" s="47"/>
      <c r="R306" s="50" t="n">
        <f aca="false">合約與計費!$D$4</f>
        <v>0.296</v>
      </c>
      <c r="S306" s="51" t="n">
        <f aca="false">ROUND(P306*R306,0)</f>
        <v>910</v>
      </c>
      <c r="T306" s="52"/>
      <c r="U306" s="47"/>
      <c r="V306" s="47"/>
      <c r="W306" s="53"/>
      <c r="X306" s="47"/>
      <c r="Y306" s="47"/>
      <c r="Z306" s="54"/>
      <c r="AA306" s="55"/>
      <c r="AB306" s="56"/>
      <c r="AC306" s="57"/>
      <c r="AD306" s="42" t="n">
        <v>0.1108</v>
      </c>
      <c r="AE306" s="43" t="n">
        <v>0.9</v>
      </c>
    </row>
    <row r="307" customFormat="false" ht="16.5" hidden="false" customHeight="true" outlineLevel="0" collapsed="false">
      <c r="A307" s="44" t="n">
        <f aca="false">ROW(A305)</f>
        <v>305</v>
      </c>
      <c r="B307" s="44" t="s">
        <v>469</v>
      </c>
      <c r="C307" s="47" t="n">
        <v>1</v>
      </c>
      <c r="D307" s="29"/>
      <c r="E307" s="45" t="s">
        <v>1136</v>
      </c>
      <c r="F307" s="46" t="s">
        <v>1130</v>
      </c>
      <c r="G307" s="47" t="s">
        <v>458</v>
      </c>
      <c r="H307" s="47" t="s">
        <v>1097</v>
      </c>
      <c r="I307" s="47" t="s">
        <v>308</v>
      </c>
      <c r="J307" s="45" t="s">
        <v>471</v>
      </c>
      <c r="K307" s="48" t="s">
        <v>1137</v>
      </c>
      <c r="L307" s="49" t="n">
        <v>45771</v>
      </c>
      <c r="M307" s="47" t="n">
        <v>6549</v>
      </c>
      <c r="N307" s="47" t="n">
        <v>8023</v>
      </c>
      <c r="O307" s="47" t="n">
        <v>1474</v>
      </c>
      <c r="P307" s="47" t="n">
        <v>1430</v>
      </c>
      <c r="Q307" s="47"/>
      <c r="R307" s="50" t="n">
        <f aca="false">合約與計費!$D$4</f>
        <v>0.296</v>
      </c>
      <c r="S307" s="51" t="n">
        <f aca="false">ROUND(P307*R307,0)</f>
        <v>423</v>
      </c>
      <c r="T307" s="52"/>
      <c r="U307" s="47"/>
      <c r="V307" s="47"/>
      <c r="W307" s="53"/>
      <c r="X307" s="47"/>
      <c r="Y307" s="47"/>
      <c r="Z307" s="54"/>
      <c r="AA307" s="55"/>
      <c r="AB307" s="56"/>
      <c r="AC307" s="57"/>
      <c r="AD307" s="42" t="n">
        <v>0.1146</v>
      </c>
      <c r="AE307" s="43" t="n">
        <v>0.1</v>
      </c>
    </row>
    <row r="308" customFormat="false" ht="16.5" hidden="false" customHeight="true" outlineLevel="0" collapsed="false">
      <c r="A308" s="44" t="n">
        <f aca="false">ROW(A306)</f>
        <v>306</v>
      </c>
      <c r="B308" s="44" t="s">
        <v>473</v>
      </c>
      <c r="C308" s="47" t="n">
        <v>1</v>
      </c>
      <c r="D308" s="29"/>
      <c r="E308" s="45" t="s">
        <v>1138</v>
      </c>
      <c r="F308" s="46" t="s">
        <v>1130</v>
      </c>
      <c r="G308" s="47" t="s">
        <v>458</v>
      </c>
      <c r="H308" s="47" t="s">
        <v>1097</v>
      </c>
      <c r="I308" s="47" t="s">
        <v>308</v>
      </c>
      <c r="J308" s="45" t="s">
        <v>471</v>
      </c>
      <c r="K308" s="48" t="s">
        <v>1139</v>
      </c>
      <c r="L308" s="49" t="n">
        <v>45771</v>
      </c>
      <c r="M308" s="47" t="n">
        <v>2762</v>
      </c>
      <c r="N308" s="47" t="n">
        <v>3375</v>
      </c>
      <c r="O308" s="47" t="n">
        <v>613</v>
      </c>
      <c r="P308" s="47" t="n">
        <v>595</v>
      </c>
      <c r="Q308" s="47"/>
      <c r="R308" s="50" t="n">
        <f aca="false">合約與計費!$D$4</f>
        <v>0.296</v>
      </c>
      <c r="S308" s="51" t="n">
        <f aca="false">ROUND(P308*R308,0)</f>
        <v>176</v>
      </c>
      <c r="T308" s="52"/>
      <c r="U308" s="47"/>
      <c r="V308" s="47"/>
      <c r="W308" s="53"/>
      <c r="X308" s="47"/>
      <c r="Y308" s="47"/>
      <c r="Z308" s="54"/>
      <c r="AA308" s="55"/>
      <c r="AB308" s="56"/>
      <c r="AC308" s="57"/>
      <c r="AD308" s="42" t="n">
        <v>0.0436</v>
      </c>
      <c r="AE308" s="43" t="n">
        <v>1</v>
      </c>
    </row>
    <row r="309" customFormat="false" ht="16.5" hidden="false" customHeight="true" outlineLevel="0" collapsed="false">
      <c r="A309" s="59" t="n">
        <f aca="false">ROW(A307)</f>
        <v>307</v>
      </c>
      <c r="B309" s="59" t="s">
        <v>476</v>
      </c>
      <c r="C309" s="62" t="n">
        <v>1</v>
      </c>
      <c r="D309" s="29"/>
      <c r="E309" s="60" t="s">
        <v>1140</v>
      </c>
      <c r="F309" s="61" t="s">
        <v>1130</v>
      </c>
      <c r="G309" s="62" t="s">
        <v>458</v>
      </c>
      <c r="H309" s="62" t="s">
        <v>1097</v>
      </c>
      <c r="I309" s="62" t="s">
        <v>308</v>
      </c>
      <c r="J309" s="60" t="s">
        <v>471</v>
      </c>
      <c r="K309" s="63" t="s">
        <v>1141</v>
      </c>
      <c r="L309" s="64" t="n">
        <v>45771</v>
      </c>
      <c r="M309" s="62" t="n">
        <v>7001</v>
      </c>
      <c r="N309" s="62" t="n">
        <v>8701</v>
      </c>
      <c r="O309" s="62" t="n">
        <v>1700</v>
      </c>
      <c r="P309" s="62" t="n">
        <v>1649</v>
      </c>
      <c r="Q309" s="62" t="n">
        <f aca="false">ROUND(SUM(P304:P309),2)</f>
        <v>7332</v>
      </c>
      <c r="R309" s="65" t="n">
        <f aca="false">合約與計費!$D$4</f>
        <v>0.296</v>
      </c>
      <c r="S309" s="66" t="n">
        <f aca="false">ROUND(P309*R309,0)</f>
        <v>488</v>
      </c>
      <c r="T309" s="79" t="n">
        <f aca="false">ROUND(SUM(S304:S309),2)</f>
        <v>2170</v>
      </c>
      <c r="U309" s="62"/>
      <c r="V309" s="62"/>
      <c r="W309" s="67"/>
      <c r="X309" s="62"/>
      <c r="Y309" s="62" t="n">
        <f aca="false">ROUND(SUM(X304:X309),2)</f>
        <v>90</v>
      </c>
      <c r="Z309" s="68"/>
      <c r="AA309" s="77"/>
      <c r="AB309" s="78" t="n">
        <f aca="false">ROUND(SUM(AA304:AA309),2)</f>
        <v>252</v>
      </c>
      <c r="AC309" s="69"/>
      <c r="AD309" s="42" t="n">
        <v>0.1059</v>
      </c>
      <c r="AE309" s="43" t="n">
        <v>1</v>
      </c>
    </row>
    <row r="310" customFormat="false" ht="16.5" hidden="false" customHeight="true" outlineLevel="0" collapsed="false">
      <c r="A310" s="27" t="n">
        <f aca="false">ROW(A308)</f>
        <v>308</v>
      </c>
      <c r="B310" s="27" t="s">
        <v>455</v>
      </c>
      <c r="C310" s="31" t="n">
        <v>1</v>
      </c>
      <c r="D310" s="29" t="n">
        <v>328</v>
      </c>
      <c r="E310" s="70" t="s">
        <v>1142</v>
      </c>
      <c r="F310" s="30" t="s">
        <v>1143</v>
      </c>
      <c r="G310" s="31" t="s">
        <v>458</v>
      </c>
      <c r="H310" s="31" t="s">
        <v>1097</v>
      </c>
      <c r="I310" s="71" t="s">
        <v>306</v>
      </c>
      <c r="J310" s="28" t="s">
        <v>460</v>
      </c>
      <c r="K310" s="80" t="s">
        <v>1144</v>
      </c>
      <c r="L310" s="34" t="n">
        <v>45770</v>
      </c>
      <c r="M310" s="31" t="n">
        <v>123</v>
      </c>
      <c r="N310" s="31" t="n">
        <v>130</v>
      </c>
      <c r="O310" s="31" t="n">
        <v>7</v>
      </c>
      <c r="P310" s="31" t="n">
        <v>7</v>
      </c>
      <c r="Q310" s="31"/>
      <c r="R310" s="35" t="n">
        <f aca="false">合約與計費!$D$4</f>
        <v>0.296</v>
      </c>
      <c r="S310" s="36" t="n">
        <f aca="false">ROUND(P310*R310,0)</f>
        <v>2</v>
      </c>
      <c r="T310" s="37"/>
      <c r="U310" s="31" t="n">
        <v>129</v>
      </c>
      <c r="V310" s="31" t="n">
        <v>156</v>
      </c>
      <c r="W310" s="31" t="n">
        <v>27</v>
      </c>
      <c r="X310" s="31" t="n">
        <v>26</v>
      </c>
      <c r="Y310" s="31"/>
      <c r="Z310" s="38" t="n">
        <f aca="false">合約與計費!$E$4</f>
        <v>2.8</v>
      </c>
      <c r="AA310" s="39" t="n">
        <f aca="false">ROUND(X310*Z310,0)</f>
        <v>73</v>
      </c>
      <c r="AB310" s="40"/>
      <c r="AC310" s="41"/>
      <c r="AD310" s="42"/>
      <c r="AE310" s="43"/>
    </row>
    <row r="311" customFormat="false" ht="16.5" hidden="false" customHeight="true" outlineLevel="0" collapsed="false">
      <c r="A311" s="44" t="n">
        <f aca="false">ROW(A309)</f>
        <v>309</v>
      </c>
      <c r="B311" s="44" t="s">
        <v>462</v>
      </c>
      <c r="C311" s="47" t="n">
        <v>1</v>
      </c>
      <c r="D311" s="29"/>
      <c r="E311" s="72" t="s">
        <v>1145</v>
      </c>
      <c r="F311" s="46" t="s">
        <v>1143</v>
      </c>
      <c r="G311" s="47" t="s">
        <v>458</v>
      </c>
      <c r="H311" s="47" t="s">
        <v>1097</v>
      </c>
      <c r="I311" s="73" t="s">
        <v>306</v>
      </c>
      <c r="J311" s="45" t="s">
        <v>464</v>
      </c>
      <c r="K311" s="48" t="s">
        <v>1146</v>
      </c>
      <c r="L311" s="49" t="n">
        <v>45770</v>
      </c>
      <c r="M311" s="47" t="n">
        <v>436</v>
      </c>
      <c r="N311" s="47" t="n">
        <v>557</v>
      </c>
      <c r="O311" s="47" t="n">
        <v>121</v>
      </c>
      <c r="P311" s="47" t="n">
        <v>117</v>
      </c>
      <c r="Q311" s="47"/>
      <c r="R311" s="50" t="n">
        <f aca="false">合約與計費!$D$4</f>
        <v>0.296</v>
      </c>
      <c r="S311" s="51" t="n">
        <f aca="false">ROUND(P311*R311,0)</f>
        <v>35</v>
      </c>
      <c r="T311" s="52"/>
      <c r="U311" s="47"/>
      <c r="V311" s="47"/>
      <c r="W311" s="53"/>
      <c r="X311" s="47"/>
      <c r="Y311" s="47"/>
      <c r="Z311" s="54"/>
      <c r="AA311" s="55"/>
      <c r="AB311" s="56"/>
      <c r="AC311" s="57"/>
      <c r="AD311" s="42" t="n">
        <v>0.054</v>
      </c>
      <c r="AE311" s="43" t="n">
        <v>0.8</v>
      </c>
    </row>
    <row r="312" customFormat="false" ht="16.5" hidden="false" customHeight="true" outlineLevel="0" collapsed="false">
      <c r="A312" s="44" t="n">
        <f aca="false">ROW(A310)</f>
        <v>310</v>
      </c>
      <c r="B312" s="44" t="s">
        <v>466</v>
      </c>
      <c r="C312" s="47" t="n">
        <v>1</v>
      </c>
      <c r="D312" s="29"/>
      <c r="E312" s="72" t="s">
        <v>1147</v>
      </c>
      <c r="F312" s="46" t="s">
        <v>1143</v>
      </c>
      <c r="G312" s="47" t="s">
        <v>458</v>
      </c>
      <c r="H312" s="47" t="s">
        <v>1097</v>
      </c>
      <c r="I312" s="73" t="s">
        <v>306</v>
      </c>
      <c r="J312" s="45" t="s">
        <v>471</v>
      </c>
      <c r="K312" s="48" t="s">
        <v>1148</v>
      </c>
      <c r="L312" s="49" t="n">
        <v>45770</v>
      </c>
      <c r="M312" s="47" t="n">
        <v>3660</v>
      </c>
      <c r="N312" s="47" t="n">
        <v>4346</v>
      </c>
      <c r="O312" s="47" t="n">
        <v>686</v>
      </c>
      <c r="P312" s="47" t="n">
        <v>665</v>
      </c>
      <c r="Q312" s="47"/>
      <c r="R312" s="50" t="n">
        <f aca="false">合約與計費!$D$4</f>
        <v>0.296</v>
      </c>
      <c r="S312" s="51" t="n">
        <f aca="false">ROUND(P312*R312,0)</f>
        <v>197</v>
      </c>
      <c r="T312" s="52"/>
      <c r="U312" s="47"/>
      <c r="V312" s="47"/>
      <c r="W312" s="53"/>
      <c r="X312" s="47"/>
      <c r="Y312" s="47"/>
      <c r="Z312" s="54"/>
      <c r="AA312" s="55"/>
      <c r="AB312" s="56"/>
      <c r="AC312" s="57"/>
      <c r="AD312" s="42" t="n">
        <v>0.178</v>
      </c>
      <c r="AE312" s="43" t="n">
        <v>0.8</v>
      </c>
    </row>
    <row r="313" customFormat="false" ht="16.5" hidden="false" customHeight="true" outlineLevel="0" collapsed="false">
      <c r="A313" s="44" t="n">
        <f aca="false">ROW(A311)</f>
        <v>311</v>
      </c>
      <c r="B313" s="44" t="s">
        <v>469</v>
      </c>
      <c r="C313" s="47" t="n">
        <v>1</v>
      </c>
      <c r="D313" s="29"/>
      <c r="E313" s="72" t="s">
        <v>1149</v>
      </c>
      <c r="F313" s="46" t="s">
        <v>1143</v>
      </c>
      <c r="G313" s="47" t="s">
        <v>458</v>
      </c>
      <c r="H313" s="47" t="s">
        <v>1097</v>
      </c>
      <c r="I313" s="73" t="s">
        <v>306</v>
      </c>
      <c r="J313" s="45" t="s">
        <v>471</v>
      </c>
      <c r="K313" s="48" t="s">
        <v>1150</v>
      </c>
      <c r="L313" s="49" t="n">
        <v>45770</v>
      </c>
      <c r="M313" s="47" t="n">
        <v>3143</v>
      </c>
      <c r="N313" s="47" t="n">
        <v>3720</v>
      </c>
      <c r="O313" s="47" t="n">
        <v>577</v>
      </c>
      <c r="P313" s="47" t="n">
        <v>560</v>
      </c>
      <c r="Q313" s="47"/>
      <c r="R313" s="50" t="n">
        <f aca="false">合約與計費!$D$4</f>
        <v>0.296</v>
      </c>
      <c r="S313" s="51" t="n">
        <f aca="false">ROUND(P313*R313,0)</f>
        <v>166</v>
      </c>
      <c r="T313" s="52"/>
      <c r="U313" s="47"/>
      <c r="V313" s="47"/>
      <c r="W313" s="53"/>
      <c r="X313" s="47"/>
      <c r="Y313" s="47"/>
      <c r="Z313" s="54"/>
      <c r="AA313" s="55"/>
      <c r="AB313" s="56"/>
      <c r="AC313" s="57"/>
      <c r="AD313" s="42" t="n">
        <v>0.0824</v>
      </c>
      <c r="AE313" s="43" t="n">
        <v>1</v>
      </c>
    </row>
    <row r="314" customFormat="false" ht="16.5" hidden="false" customHeight="true" outlineLevel="0" collapsed="false">
      <c r="A314" s="59" t="n">
        <f aca="false">ROW(A312)</f>
        <v>312</v>
      </c>
      <c r="B314" s="59" t="s">
        <v>473</v>
      </c>
      <c r="C314" s="62" t="n">
        <v>1</v>
      </c>
      <c r="D314" s="29"/>
      <c r="E314" s="75" t="s">
        <v>1151</v>
      </c>
      <c r="F314" s="61" t="s">
        <v>1143</v>
      </c>
      <c r="G314" s="62" t="s">
        <v>458</v>
      </c>
      <c r="H314" s="62" t="s">
        <v>1097</v>
      </c>
      <c r="I314" s="76" t="s">
        <v>306</v>
      </c>
      <c r="J314" s="60" t="s">
        <v>471</v>
      </c>
      <c r="K314" s="63" t="s">
        <v>1152</v>
      </c>
      <c r="L314" s="64" t="n">
        <v>45770</v>
      </c>
      <c r="M314" s="62" t="n">
        <v>5092</v>
      </c>
      <c r="N314" s="62" t="n">
        <v>5990</v>
      </c>
      <c r="O314" s="47" t="n">
        <v>898</v>
      </c>
      <c r="P314" s="47" t="n">
        <v>871</v>
      </c>
      <c r="Q314" s="47" t="n">
        <f aca="false">ROUND(SUM(P310:P314),2)</f>
        <v>2220</v>
      </c>
      <c r="R314" s="65" t="n">
        <f aca="false">合約與計費!$D$4</f>
        <v>0.296</v>
      </c>
      <c r="S314" s="66" t="n">
        <f aca="false">ROUND(P314*R314,0)</f>
        <v>258</v>
      </c>
      <c r="T314" s="52" t="n">
        <f aca="false">ROUND(SUM(S310:S314),2)</f>
        <v>658</v>
      </c>
      <c r="U314" s="62"/>
      <c r="V314" s="62"/>
      <c r="W314" s="67"/>
      <c r="X314" s="62"/>
      <c r="Y314" s="47" t="n">
        <f aca="false">ROUND(SUM(X310:X314),2)</f>
        <v>26</v>
      </c>
      <c r="Z314" s="68"/>
      <c r="AA314" s="55"/>
      <c r="AB314" s="56" t="n">
        <f aca="false">ROUND(SUM(AA310:AA314),2)</f>
        <v>73</v>
      </c>
      <c r="AC314" s="69"/>
      <c r="AD314" s="42" t="n">
        <v>0.0895</v>
      </c>
      <c r="AE314" s="43" t="n">
        <v>0.6</v>
      </c>
    </row>
    <row r="315" customFormat="false" ht="16.5" hidden="false" customHeight="true" outlineLevel="0" collapsed="false">
      <c r="A315" s="27" t="n">
        <f aca="false">ROW(A313)</f>
        <v>313</v>
      </c>
      <c r="B315" s="27" t="s">
        <v>455</v>
      </c>
      <c r="C315" s="31" t="n">
        <v>1</v>
      </c>
      <c r="D315" s="29" t="n">
        <v>1</v>
      </c>
      <c r="E315" s="28" t="s">
        <v>1153</v>
      </c>
      <c r="F315" s="30" t="s">
        <v>1154</v>
      </c>
      <c r="G315" s="31" t="s">
        <v>1155</v>
      </c>
      <c r="H315" s="31" t="s">
        <v>1156</v>
      </c>
      <c r="I315" s="31" t="s">
        <v>296</v>
      </c>
      <c r="J315" s="28" t="s">
        <v>460</v>
      </c>
      <c r="K315" s="33" t="s">
        <v>1157</v>
      </c>
      <c r="L315" s="34" t="n">
        <v>45755</v>
      </c>
      <c r="M315" s="31" t="n">
        <v>892</v>
      </c>
      <c r="N315" s="31" t="n">
        <v>1031</v>
      </c>
      <c r="O315" s="31" t="n">
        <v>139</v>
      </c>
      <c r="P315" s="31" t="n">
        <v>135</v>
      </c>
      <c r="Q315" s="31"/>
      <c r="R315" s="35" t="n">
        <f aca="false">合約與計費!$D$4</f>
        <v>0.296</v>
      </c>
      <c r="S315" s="36" t="n">
        <f aca="false">ROUND(P315*R315,0)</f>
        <v>40</v>
      </c>
      <c r="T315" s="37"/>
      <c r="U315" s="31" t="n">
        <v>429</v>
      </c>
      <c r="V315" s="31" t="n">
        <v>501</v>
      </c>
      <c r="W315" s="31" t="n">
        <v>72</v>
      </c>
      <c r="X315" s="31" t="n">
        <v>70</v>
      </c>
      <c r="Y315" s="31"/>
      <c r="Z315" s="38" t="n">
        <f aca="false">合約與計費!$E$4</f>
        <v>2.8</v>
      </c>
      <c r="AA315" s="39" t="n">
        <f aca="false">ROUND(X315*Z315,0)</f>
        <v>196</v>
      </c>
      <c r="AB315" s="40"/>
      <c r="AC315" s="41"/>
      <c r="AD315" s="42"/>
      <c r="AE315" s="43"/>
    </row>
    <row r="316" customFormat="false" ht="16.5" hidden="false" customHeight="true" outlineLevel="0" collapsed="false">
      <c r="A316" s="44" t="n">
        <f aca="false">ROW(A314)</f>
        <v>314</v>
      </c>
      <c r="B316" s="44" t="s">
        <v>462</v>
      </c>
      <c r="C316" s="47" t="n">
        <v>1</v>
      </c>
      <c r="D316" s="29"/>
      <c r="E316" s="45" t="s">
        <v>1158</v>
      </c>
      <c r="F316" s="46" t="s">
        <v>1154</v>
      </c>
      <c r="G316" s="47" t="s">
        <v>1155</v>
      </c>
      <c r="H316" s="47" t="s">
        <v>1156</v>
      </c>
      <c r="I316" s="47" t="s">
        <v>296</v>
      </c>
      <c r="J316" s="45" t="s">
        <v>464</v>
      </c>
      <c r="K316" s="48" t="s">
        <v>1159</v>
      </c>
      <c r="L316" s="49" t="n">
        <v>45755</v>
      </c>
      <c r="M316" s="47" t="n">
        <v>993</v>
      </c>
      <c r="N316" s="47" t="n">
        <v>1158</v>
      </c>
      <c r="O316" s="47" t="n">
        <v>165</v>
      </c>
      <c r="P316" s="47" t="n">
        <v>160</v>
      </c>
      <c r="Q316" s="47"/>
      <c r="R316" s="50" t="n">
        <f aca="false">合約與計費!$D$4</f>
        <v>0.296</v>
      </c>
      <c r="S316" s="51" t="n">
        <f aca="false">ROUND(P316*R316,0)</f>
        <v>47</v>
      </c>
      <c r="T316" s="52"/>
      <c r="U316" s="47"/>
      <c r="V316" s="47"/>
      <c r="W316" s="53"/>
      <c r="X316" s="47"/>
      <c r="Y316" s="47"/>
      <c r="Z316" s="54"/>
      <c r="AA316" s="55"/>
      <c r="AB316" s="56"/>
      <c r="AC316" s="57"/>
      <c r="AD316" s="42" t="n">
        <v>0.0716</v>
      </c>
      <c r="AE316" s="43" t="n">
        <v>0.3</v>
      </c>
    </row>
    <row r="317" customFormat="false" ht="16.5" hidden="false" customHeight="true" outlineLevel="0" collapsed="false">
      <c r="A317" s="44" t="n">
        <f aca="false">ROW(A315)</f>
        <v>315</v>
      </c>
      <c r="B317" s="44" t="s">
        <v>466</v>
      </c>
      <c r="C317" s="47" t="n">
        <v>1</v>
      </c>
      <c r="D317" s="29"/>
      <c r="E317" s="45" t="s">
        <v>1160</v>
      </c>
      <c r="F317" s="46" t="s">
        <v>1154</v>
      </c>
      <c r="G317" s="47" t="s">
        <v>1155</v>
      </c>
      <c r="H317" s="47" t="s">
        <v>1156</v>
      </c>
      <c r="I317" s="47" t="s">
        <v>296</v>
      </c>
      <c r="J317" s="45" t="s">
        <v>471</v>
      </c>
      <c r="K317" s="48" t="s">
        <v>1161</v>
      </c>
      <c r="L317" s="49" t="n">
        <v>45755</v>
      </c>
      <c r="M317" s="47" t="n">
        <v>6006</v>
      </c>
      <c r="N317" s="47" t="n">
        <v>6984</v>
      </c>
      <c r="O317" s="47" t="n">
        <v>978</v>
      </c>
      <c r="P317" s="47" t="n">
        <v>949</v>
      </c>
      <c r="Q317" s="47"/>
      <c r="R317" s="50" t="n">
        <f aca="false">合約與計費!$D$4</f>
        <v>0.296</v>
      </c>
      <c r="S317" s="51" t="n">
        <f aca="false">ROUND(P317*R317,0)</f>
        <v>281</v>
      </c>
      <c r="T317" s="52"/>
      <c r="U317" s="47"/>
      <c r="V317" s="47"/>
      <c r="W317" s="53"/>
      <c r="X317" s="47"/>
      <c r="Y317" s="47"/>
      <c r="Z317" s="54"/>
      <c r="AA317" s="55"/>
      <c r="AB317" s="56"/>
      <c r="AC317" s="57"/>
      <c r="AD317" s="42" t="n">
        <v>0.0925</v>
      </c>
      <c r="AE317" s="43" t="n">
        <v>0.5</v>
      </c>
    </row>
    <row r="318" customFormat="false" ht="16.5" hidden="false" customHeight="true" outlineLevel="0" collapsed="false">
      <c r="A318" s="44" t="n">
        <f aca="false">ROW(A316)</f>
        <v>316</v>
      </c>
      <c r="B318" s="44" t="s">
        <v>469</v>
      </c>
      <c r="C318" s="47" t="n">
        <v>1</v>
      </c>
      <c r="D318" s="29"/>
      <c r="E318" s="45" t="s">
        <v>1162</v>
      </c>
      <c r="F318" s="46" t="s">
        <v>1154</v>
      </c>
      <c r="G318" s="47" t="s">
        <v>1155</v>
      </c>
      <c r="H318" s="47" t="s">
        <v>1156</v>
      </c>
      <c r="I318" s="47" t="s">
        <v>296</v>
      </c>
      <c r="J318" s="45" t="s">
        <v>471</v>
      </c>
      <c r="K318" s="48" t="s">
        <v>1163</v>
      </c>
      <c r="L318" s="49" t="n">
        <v>45755</v>
      </c>
      <c r="M318" s="47" t="n">
        <v>7205</v>
      </c>
      <c r="N318" s="47" t="n">
        <v>8512</v>
      </c>
      <c r="O318" s="47" t="n">
        <v>1307</v>
      </c>
      <c r="P318" s="47" t="n">
        <v>1268</v>
      </c>
      <c r="Q318" s="47"/>
      <c r="R318" s="50" t="n">
        <f aca="false">合約與計費!$D$4</f>
        <v>0.296</v>
      </c>
      <c r="S318" s="51" t="n">
        <f aca="false">ROUND(P318*R318,0)</f>
        <v>375</v>
      </c>
      <c r="T318" s="52"/>
      <c r="U318" s="47"/>
      <c r="V318" s="47"/>
      <c r="W318" s="53"/>
      <c r="X318" s="47"/>
      <c r="Y318" s="47"/>
      <c r="Z318" s="54"/>
      <c r="AA318" s="55"/>
      <c r="AB318" s="56"/>
      <c r="AC318" s="57"/>
      <c r="AD318" s="42" t="n">
        <v>0.1347</v>
      </c>
      <c r="AE318" s="43" t="n">
        <v>0.5</v>
      </c>
    </row>
    <row r="319" customFormat="false" ht="16.5" hidden="false" customHeight="true" outlineLevel="0" collapsed="false">
      <c r="A319" s="44" t="n">
        <f aca="false">ROW(A317)</f>
        <v>317</v>
      </c>
      <c r="B319" s="44" t="s">
        <v>473</v>
      </c>
      <c r="C319" s="47" t="n">
        <v>1</v>
      </c>
      <c r="D319" s="29"/>
      <c r="E319" s="45" t="s">
        <v>1164</v>
      </c>
      <c r="F319" s="46" t="s">
        <v>1154</v>
      </c>
      <c r="G319" s="47" t="s">
        <v>1155</v>
      </c>
      <c r="H319" s="47" t="s">
        <v>1156</v>
      </c>
      <c r="I319" s="47" t="s">
        <v>296</v>
      </c>
      <c r="J319" s="45" t="s">
        <v>471</v>
      </c>
      <c r="K319" s="48" t="s">
        <v>1165</v>
      </c>
      <c r="L319" s="49" t="n">
        <v>45755</v>
      </c>
      <c r="M319" s="47" t="n">
        <v>5171</v>
      </c>
      <c r="N319" s="47" t="n">
        <v>6296</v>
      </c>
      <c r="O319" s="47" t="n">
        <v>1125</v>
      </c>
      <c r="P319" s="47" t="n">
        <v>1091</v>
      </c>
      <c r="Q319" s="47"/>
      <c r="R319" s="50" t="n">
        <f aca="false">合約與計費!$D$4</f>
        <v>0.296</v>
      </c>
      <c r="S319" s="51" t="n">
        <f aca="false">ROUND(P319*R319,0)</f>
        <v>323</v>
      </c>
      <c r="T319" s="52"/>
      <c r="U319" s="47"/>
      <c r="V319" s="47"/>
      <c r="W319" s="53"/>
      <c r="X319" s="47"/>
      <c r="Y319" s="47"/>
      <c r="Z319" s="54"/>
      <c r="AA319" s="55"/>
      <c r="AB319" s="56"/>
      <c r="AC319" s="57"/>
      <c r="AD319" s="42" t="n">
        <v>0.1072</v>
      </c>
      <c r="AE319" s="43" t="n">
        <v>0.5</v>
      </c>
    </row>
    <row r="320" customFormat="false" ht="16.5" hidden="false" customHeight="true" outlineLevel="0" collapsed="false">
      <c r="A320" s="44" t="n">
        <f aca="false">ROW(A318)</f>
        <v>318</v>
      </c>
      <c r="B320" s="44" t="s">
        <v>476</v>
      </c>
      <c r="C320" s="47" t="n">
        <v>1</v>
      </c>
      <c r="D320" s="29"/>
      <c r="E320" s="45" t="s">
        <v>1166</v>
      </c>
      <c r="F320" s="46" t="s">
        <v>1154</v>
      </c>
      <c r="G320" s="47" t="s">
        <v>1155</v>
      </c>
      <c r="H320" s="47" t="s">
        <v>1156</v>
      </c>
      <c r="I320" s="47" t="s">
        <v>296</v>
      </c>
      <c r="J320" s="45" t="s">
        <v>471</v>
      </c>
      <c r="K320" s="48" t="s">
        <v>1167</v>
      </c>
      <c r="L320" s="49" t="n">
        <v>45755</v>
      </c>
      <c r="M320" s="47" t="n">
        <v>2474</v>
      </c>
      <c r="N320" s="47" t="n">
        <v>2906</v>
      </c>
      <c r="O320" s="47" t="n">
        <v>432</v>
      </c>
      <c r="P320" s="47" t="n">
        <v>419</v>
      </c>
      <c r="Q320" s="47"/>
      <c r="R320" s="50" t="n">
        <f aca="false">合約與計費!$D$4</f>
        <v>0.296</v>
      </c>
      <c r="S320" s="51" t="n">
        <f aca="false">ROUND(P320*R320,0)</f>
        <v>124</v>
      </c>
      <c r="T320" s="52"/>
      <c r="U320" s="47"/>
      <c r="V320" s="47"/>
      <c r="W320" s="53"/>
      <c r="X320" s="47"/>
      <c r="Y320" s="47"/>
      <c r="Z320" s="54"/>
      <c r="AA320" s="55"/>
      <c r="AB320" s="56"/>
      <c r="AC320" s="57"/>
      <c r="AD320" s="42" t="n">
        <v>0.1303</v>
      </c>
      <c r="AE320" s="43" t="n">
        <v>0.9</v>
      </c>
    </row>
    <row r="321" customFormat="false" ht="16.5" hidden="false" customHeight="true" outlineLevel="0" collapsed="false">
      <c r="A321" s="44" t="n">
        <f aca="false">ROW(A319)</f>
        <v>319</v>
      </c>
      <c r="B321" s="44" t="s">
        <v>479</v>
      </c>
      <c r="C321" s="47" t="n">
        <v>1</v>
      </c>
      <c r="D321" s="29"/>
      <c r="E321" s="45" t="s">
        <v>1168</v>
      </c>
      <c r="F321" s="46" t="s">
        <v>1154</v>
      </c>
      <c r="G321" s="47" t="s">
        <v>1155</v>
      </c>
      <c r="H321" s="47" t="s">
        <v>1156</v>
      </c>
      <c r="I321" s="47" t="s">
        <v>296</v>
      </c>
      <c r="J321" s="45" t="s">
        <v>471</v>
      </c>
      <c r="K321" s="48" t="s">
        <v>1169</v>
      </c>
      <c r="L321" s="49" t="n">
        <v>45755</v>
      </c>
      <c r="M321" s="47" t="n">
        <v>8369</v>
      </c>
      <c r="N321" s="47" t="n">
        <v>10701</v>
      </c>
      <c r="O321" s="47" t="n">
        <v>2332</v>
      </c>
      <c r="P321" s="47" t="n">
        <v>2262</v>
      </c>
      <c r="Q321" s="47"/>
      <c r="R321" s="50" t="n">
        <f aca="false">合約與計費!$D$4</f>
        <v>0.296</v>
      </c>
      <c r="S321" s="51" t="n">
        <f aca="false">ROUND(P321*R321,0)</f>
        <v>670</v>
      </c>
      <c r="T321" s="52"/>
      <c r="U321" s="47"/>
      <c r="V321" s="47"/>
      <c r="W321" s="53"/>
      <c r="X321" s="47"/>
      <c r="Y321" s="47"/>
      <c r="Z321" s="54"/>
      <c r="AA321" s="55"/>
      <c r="AB321" s="56"/>
      <c r="AC321" s="57"/>
      <c r="AD321" s="42" t="n">
        <v>0.0912</v>
      </c>
      <c r="AE321" s="43" t="n">
        <v>0.1</v>
      </c>
    </row>
    <row r="322" customFormat="false" ht="16.5" hidden="false" customHeight="true" outlineLevel="0" collapsed="false">
      <c r="A322" s="44" t="n">
        <f aca="false">ROW(A320)</f>
        <v>320</v>
      </c>
      <c r="B322" s="44" t="s">
        <v>482</v>
      </c>
      <c r="C322" s="47" t="n">
        <v>1</v>
      </c>
      <c r="D322" s="29"/>
      <c r="E322" s="45" t="s">
        <v>1170</v>
      </c>
      <c r="F322" s="46" t="s">
        <v>1154</v>
      </c>
      <c r="G322" s="47" t="s">
        <v>1155</v>
      </c>
      <c r="H322" s="47" t="s">
        <v>1156</v>
      </c>
      <c r="I322" s="47" t="s">
        <v>296</v>
      </c>
      <c r="J322" s="45" t="s">
        <v>471</v>
      </c>
      <c r="K322" s="48" t="s">
        <v>1171</v>
      </c>
      <c r="L322" s="49" t="n">
        <v>45755</v>
      </c>
      <c r="M322" s="47" t="n">
        <v>5427</v>
      </c>
      <c r="N322" s="47" t="n">
        <v>6136</v>
      </c>
      <c r="O322" s="47" t="n">
        <v>709</v>
      </c>
      <c r="P322" s="47" t="n">
        <v>688</v>
      </c>
      <c r="Q322" s="47"/>
      <c r="R322" s="50" t="n">
        <f aca="false">合約與計費!$D$4</f>
        <v>0.296</v>
      </c>
      <c r="S322" s="51" t="n">
        <f aca="false">ROUND(P322*R322,0)</f>
        <v>204</v>
      </c>
      <c r="T322" s="52"/>
      <c r="U322" s="47"/>
      <c r="V322" s="47"/>
      <c r="W322" s="53"/>
      <c r="X322" s="47"/>
      <c r="Y322" s="47"/>
      <c r="Z322" s="54"/>
      <c r="AA322" s="55"/>
      <c r="AB322" s="56"/>
      <c r="AC322" s="57"/>
      <c r="AD322" s="42" t="n">
        <v>0.0858</v>
      </c>
      <c r="AE322" s="43" t="n">
        <v>0.6</v>
      </c>
    </row>
    <row r="323" customFormat="false" ht="16.5" hidden="false" customHeight="true" outlineLevel="0" collapsed="false">
      <c r="A323" s="44" t="n">
        <f aca="false">ROW(A321)</f>
        <v>321</v>
      </c>
      <c r="B323" s="44" t="s">
        <v>485</v>
      </c>
      <c r="C323" s="47" t="n">
        <v>1</v>
      </c>
      <c r="D323" s="29"/>
      <c r="E323" s="45" t="s">
        <v>1172</v>
      </c>
      <c r="F323" s="46" t="s">
        <v>1154</v>
      </c>
      <c r="G323" s="47" t="s">
        <v>1155</v>
      </c>
      <c r="H323" s="47" t="s">
        <v>1156</v>
      </c>
      <c r="I323" s="47" t="s">
        <v>296</v>
      </c>
      <c r="J323" s="45" t="s">
        <v>471</v>
      </c>
      <c r="K323" s="48" t="s">
        <v>1173</v>
      </c>
      <c r="L323" s="49" t="n">
        <v>45755</v>
      </c>
      <c r="M323" s="47" t="n">
        <v>5749</v>
      </c>
      <c r="N323" s="47" t="n">
        <v>6647</v>
      </c>
      <c r="O323" s="47" t="n">
        <v>898</v>
      </c>
      <c r="P323" s="47" t="n">
        <v>871</v>
      </c>
      <c r="Q323" s="47"/>
      <c r="R323" s="50" t="n">
        <f aca="false">合約與計費!$D$4</f>
        <v>0.296</v>
      </c>
      <c r="S323" s="51" t="n">
        <f aca="false">ROUND(P323*R323,0)</f>
        <v>258</v>
      </c>
      <c r="T323" s="52"/>
      <c r="U323" s="47"/>
      <c r="V323" s="47"/>
      <c r="W323" s="53"/>
      <c r="X323" s="47"/>
      <c r="Y323" s="47"/>
      <c r="Z323" s="54"/>
      <c r="AA323" s="55"/>
      <c r="AB323" s="56"/>
      <c r="AC323" s="57"/>
      <c r="AD323" s="42" t="n">
        <v>0.0963</v>
      </c>
      <c r="AE323" s="43" t="n">
        <v>0.5</v>
      </c>
    </row>
    <row r="324" customFormat="false" ht="16.5" hidden="false" customHeight="true" outlineLevel="0" collapsed="false">
      <c r="A324" s="44" t="n">
        <f aca="false">ROW(A322)</f>
        <v>322</v>
      </c>
      <c r="B324" s="44" t="n">
        <v>10</v>
      </c>
      <c r="C324" s="47" t="n">
        <v>1</v>
      </c>
      <c r="D324" s="29"/>
      <c r="E324" s="45" t="s">
        <v>1174</v>
      </c>
      <c r="F324" s="46" t="s">
        <v>1154</v>
      </c>
      <c r="G324" s="47" t="s">
        <v>1155</v>
      </c>
      <c r="H324" s="47" t="s">
        <v>1156</v>
      </c>
      <c r="I324" s="47" t="s">
        <v>296</v>
      </c>
      <c r="J324" s="45" t="s">
        <v>471</v>
      </c>
      <c r="K324" s="48" t="s">
        <v>1175</v>
      </c>
      <c r="L324" s="49" t="n">
        <v>45755</v>
      </c>
      <c r="M324" s="47" t="n">
        <v>4706</v>
      </c>
      <c r="N324" s="47" t="n">
        <v>5710</v>
      </c>
      <c r="O324" s="47" t="n">
        <v>1004</v>
      </c>
      <c r="P324" s="47" t="n">
        <v>974</v>
      </c>
      <c r="Q324" s="47"/>
      <c r="R324" s="50" t="n">
        <f aca="false">合約與計費!$D$4</f>
        <v>0.296</v>
      </c>
      <c r="S324" s="51" t="n">
        <f aca="false">ROUND(P324*R324,0)</f>
        <v>288</v>
      </c>
      <c r="T324" s="52"/>
      <c r="U324" s="47"/>
      <c r="V324" s="47"/>
      <c r="W324" s="53"/>
      <c r="X324" s="47"/>
      <c r="Y324" s="47"/>
      <c r="Z324" s="54"/>
      <c r="AA324" s="55"/>
      <c r="AB324" s="56"/>
      <c r="AC324" s="57"/>
      <c r="AD324" s="42" t="n">
        <v>0.1754</v>
      </c>
      <c r="AE324" s="43" t="n">
        <v>0.3</v>
      </c>
    </row>
    <row r="325" customFormat="false" ht="16.5" hidden="false" customHeight="true" outlineLevel="0" collapsed="false">
      <c r="A325" s="44" t="n">
        <f aca="false">ROW(A323)</f>
        <v>323</v>
      </c>
      <c r="B325" s="44" t="n">
        <v>11</v>
      </c>
      <c r="C325" s="47" t="n">
        <v>1</v>
      </c>
      <c r="D325" s="29"/>
      <c r="E325" s="45" t="s">
        <v>1176</v>
      </c>
      <c r="F325" s="46" t="s">
        <v>1154</v>
      </c>
      <c r="G325" s="47" t="s">
        <v>1155</v>
      </c>
      <c r="H325" s="47" t="s">
        <v>1156</v>
      </c>
      <c r="I325" s="47" t="s">
        <v>296</v>
      </c>
      <c r="J325" s="45" t="s">
        <v>471</v>
      </c>
      <c r="K325" s="48" t="s">
        <v>1177</v>
      </c>
      <c r="L325" s="49" t="n">
        <v>45755</v>
      </c>
      <c r="M325" s="47" t="n">
        <v>6828</v>
      </c>
      <c r="N325" s="47" t="n">
        <v>7816</v>
      </c>
      <c r="O325" s="47" t="n">
        <v>988</v>
      </c>
      <c r="P325" s="47" t="n">
        <v>958</v>
      </c>
      <c r="Q325" s="47"/>
      <c r="R325" s="50" t="n">
        <f aca="false">合約與計費!$D$4</f>
        <v>0.296</v>
      </c>
      <c r="S325" s="51" t="n">
        <f aca="false">ROUND(P325*R325,0)</f>
        <v>284</v>
      </c>
      <c r="T325" s="52"/>
      <c r="U325" s="47"/>
      <c r="V325" s="47"/>
      <c r="W325" s="53"/>
      <c r="X325" s="47"/>
      <c r="Y325" s="47"/>
      <c r="Z325" s="54"/>
      <c r="AA325" s="55"/>
      <c r="AB325" s="56"/>
      <c r="AC325" s="57"/>
      <c r="AD325" s="42" t="n">
        <v>0.0952</v>
      </c>
      <c r="AE325" s="43" t="n">
        <v>0.2</v>
      </c>
    </row>
    <row r="326" customFormat="false" ht="16.5" hidden="false" customHeight="true" outlineLevel="0" collapsed="false">
      <c r="A326" s="44" t="n">
        <f aca="false">ROW(A324)</f>
        <v>324</v>
      </c>
      <c r="B326" s="44" t="n">
        <v>12</v>
      </c>
      <c r="C326" s="47" t="n">
        <v>1</v>
      </c>
      <c r="D326" s="29"/>
      <c r="E326" s="45" t="s">
        <v>1178</v>
      </c>
      <c r="F326" s="46" t="s">
        <v>1154</v>
      </c>
      <c r="G326" s="47" t="s">
        <v>1155</v>
      </c>
      <c r="H326" s="47" t="s">
        <v>1156</v>
      </c>
      <c r="I326" s="47" t="s">
        <v>296</v>
      </c>
      <c r="J326" s="45" t="s">
        <v>471</v>
      </c>
      <c r="K326" s="48" t="s">
        <v>1179</v>
      </c>
      <c r="L326" s="49" t="n">
        <v>45755</v>
      </c>
      <c r="M326" s="47" t="n">
        <v>6790</v>
      </c>
      <c r="N326" s="47" t="n">
        <v>7792</v>
      </c>
      <c r="O326" s="47" t="n">
        <v>1002</v>
      </c>
      <c r="P326" s="47" t="n">
        <v>972</v>
      </c>
      <c r="Q326" s="47"/>
      <c r="R326" s="50" t="n">
        <f aca="false">合約與計費!$D$4</f>
        <v>0.296</v>
      </c>
      <c r="S326" s="51" t="n">
        <f aca="false">ROUND(P326*R326,0)</f>
        <v>288</v>
      </c>
      <c r="T326" s="52"/>
      <c r="U326" s="47"/>
      <c r="V326" s="47"/>
      <c r="W326" s="53"/>
      <c r="X326" s="47"/>
      <c r="Y326" s="47"/>
      <c r="Z326" s="54"/>
      <c r="AA326" s="55"/>
      <c r="AB326" s="56"/>
      <c r="AC326" s="57"/>
      <c r="AD326" s="42" t="n">
        <v>0.0951</v>
      </c>
      <c r="AE326" s="43" t="n">
        <v>0.5</v>
      </c>
    </row>
    <row r="327" customFormat="false" ht="16.5" hidden="false" customHeight="true" outlineLevel="0" collapsed="false">
      <c r="A327" s="44" t="n">
        <f aca="false">ROW(A325)</f>
        <v>325</v>
      </c>
      <c r="B327" s="44" t="n">
        <v>13</v>
      </c>
      <c r="C327" s="47" t="n">
        <v>1</v>
      </c>
      <c r="D327" s="29"/>
      <c r="E327" s="45" t="s">
        <v>1180</v>
      </c>
      <c r="F327" s="46" t="s">
        <v>1154</v>
      </c>
      <c r="G327" s="47" t="s">
        <v>1155</v>
      </c>
      <c r="H327" s="47" t="s">
        <v>1156</v>
      </c>
      <c r="I327" s="47" t="s">
        <v>296</v>
      </c>
      <c r="J327" s="45" t="s">
        <v>471</v>
      </c>
      <c r="K327" s="48" t="s">
        <v>1181</v>
      </c>
      <c r="L327" s="49" t="n">
        <v>45755</v>
      </c>
      <c r="M327" s="47" t="n">
        <v>2601</v>
      </c>
      <c r="N327" s="47" t="n">
        <v>3293</v>
      </c>
      <c r="O327" s="47" t="n">
        <v>692</v>
      </c>
      <c r="P327" s="47" t="n">
        <v>671</v>
      </c>
      <c r="Q327" s="47"/>
      <c r="R327" s="50" t="n">
        <f aca="false">合約與計費!$D$4</f>
        <v>0.296</v>
      </c>
      <c r="S327" s="51" t="n">
        <f aca="false">ROUND(P327*R327,0)</f>
        <v>199</v>
      </c>
      <c r="T327" s="52"/>
      <c r="U327" s="47"/>
      <c r="V327" s="47"/>
      <c r="W327" s="53"/>
      <c r="X327" s="47"/>
      <c r="Y327" s="47"/>
      <c r="Z327" s="54"/>
      <c r="AA327" s="55"/>
      <c r="AB327" s="56"/>
      <c r="AC327" s="57"/>
      <c r="AD327" s="42" t="n">
        <v>0.0493</v>
      </c>
      <c r="AE327" s="43" t="n">
        <v>1</v>
      </c>
    </row>
    <row r="328" customFormat="false" ht="16.5" hidden="false" customHeight="true" outlineLevel="0" collapsed="false">
      <c r="A328" s="44" t="n">
        <f aca="false">ROW(A326)</f>
        <v>326</v>
      </c>
      <c r="B328" s="44" t="n">
        <v>14</v>
      </c>
      <c r="C328" s="47" t="n">
        <v>1</v>
      </c>
      <c r="D328" s="29"/>
      <c r="E328" s="45" t="s">
        <v>1182</v>
      </c>
      <c r="F328" s="46" t="s">
        <v>1154</v>
      </c>
      <c r="G328" s="47" t="s">
        <v>1155</v>
      </c>
      <c r="H328" s="47" t="s">
        <v>1156</v>
      </c>
      <c r="I328" s="47" t="s">
        <v>296</v>
      </c>
      <c r="J328" s="45" t="s">
        <v>471</v>
      </c>
      <c r="K328" s="48" t="s">
        <v>1183</v>
      </c>
      <c r="L328" s="49" t="n">
        <v>45755</v>
      </c>
      <c r="M328" s="47" t="n">
        <v>640</v>
      </c>
      <c r="N328" s="47" t="n">
        <v>699</v>
      </c>
      <c r="O328" s="47" t="n">
        <v>59</v>
      </c>
      <c r="P328" s="47" t="n">
        <v>57</v>
      </c>
      <c r="Q328" s="47"/>
      <c r="R328" s="50" t="n">
        <f aca="false">合約與計費!$D$4</f>
        <v>0.296</v>
      </c>
      <c r="S328" s="51" t="n">
        <f aca="false">ROUND(P328*R328,0)</f>
        <v>17</v>
      </c>
      <c r="T328" s="52"/>
      <c r="U328" s="47"/>
      <c r="V328" s="47"/>
      <c r="W328" s="53"/>
      <c r="X328" s="47"/>
      <c r="Y328" s="47"/>
      <c r="Z328" s="54"/>
      <c r="AA328" s="55"/>
      <c r="AB328" s="56"/>
      <c r="AC328" s="57"/>
      <c r="AD328" s="42" t="n">
        <v>0.0554</v>
      </c>
      <c r="AE328" s="43" t="n">
        <v>1</v>
      </c>
    </row>
    <row r="329" customFormat="false" ht="16.5" hidden="false" customHeight="true" outlineLevel="0" collapsed="false">
      <c r="A329" s="44" t="n">
        <f aca="false">ROW(A327)</f>
        <v>327</v>
      </c>
      <c r="B329" s="44" t="n">
        <v>15</v>
      </c>
      <c r="C329" s="47" t="n">
        <v>1</v>
      </c>
      <c r="D329" s="29"/>
      <c r="E329" s="45" t="s">
        <v>1184</v>
      </c>
      <c r="F329" s="46" t="s">
        <v>1154</v>
      </c>
      <c r="G329" s="47" t="s">
        <v>1155</v>
      </c>
      <c r="H329" s="47" t="s">
        <v>1156</v>
      </c>
      <c r="I329" s="47" t="s">
        <v>296</v>
      </c>
      <c r="J329" s="45" t="s">
        <v>471</v>
      </c>
      <c r="K329" s="48" t="s">
        <v>1185</v>
      </c>
      <c r="L329" s="49" t="n">
        <v>45755</v>
      </c>
      <c r="M329" s="47" t="n">
        <v>4909</v>
      </c>
      <c r="N329" s="47" t="n">
        <v>5526</v>
      </c>
      <c r="O329" s="47" t="n">
        <v>617</v>
      </c>
      <c r="P329" s="47" t="n">
        <v>598</v>
      </c>
      <c r="Q329" s="47"/>
      <c r="R329" s="50" t="n">
        <f aca="false">合約與計費!$D$4</f>
        <v>0.296</v>
      </c>
      <c r="S329" s="51" t="n">
        <f aca="false">ROUND(P329*R329,0)</f>
        <v>177</v>
      </c>
      <c r="T329" s="52"/>
      <c r="U329" s="47"/>
      <c r="V329" s="47"/>
      <c r="W329" s="53"/>
      <c r="X329" s="47"/>
      <c r="Y329" s="47"/>
      <c r="Z329" s="54"/>
      <c r="AA329" s="55"/>
      <c r="AB329" s="56"/>
      <c r="AC329" s="57"/>
      <c r="AD329" s="42" t="n">
        <v>0.1021</v>
      </c>
      <c r="AE329" s="43" t="n">
        <v>0.6</v>
      </c>
    </row>
    <row r="330" customFormat="false" ht="16.5" hidden="false" customHeight="true" outlineLevel="0" collapsed="false">
      <c r="A330" s="44" t="n">
        <f aca="false">ROW(A328)</f>
        <v>328</v>
      </c>
      <c r="B330" s="44" t="n">
        <v>16</v>
      </c>
      <c r="C330" s="47" t="n">
        <v>1</v>
      </c>
      <c r="D330" s="29"/>
      <c r="E330" s="45" t="s">
        <v>1186</v>
      </c>
      <c r="F330" s="46" t="s">
        <v>1154</v>
      </c>
      <c r="G330" s="47" t="s">
        <v>1155</v>
      </c>
      <c r="H330" s="47" t="s">
        <v>1156</v>
      </c>
      <c r="I330" s="47" t="s">
        <v>296</v>
      </c>
      <c r="J330" s="45" t="s">
        <v>471</v>
      </c>
      <c r="K330" s="48" t="s">
        <v>1187</v>
      </c>
      <c r="L330" s="49" t="n">
        <v>45755</v>
      </c>
      <c r="M330" s="47" t="n">
        <v>6901</v>
      </c>
      <c r="N330" s="47" t="n">
        <v>8020</v>
      </c>
      <c r="O330" s="47" t="n">
        <v>1119</v>
      </c>
      <c r="P330" s="47" t="n">
        <v>1085</v>
      </c>
      <c r="Q330" s="47"/>
      <c r="R330" s="50" t="n">
        <f aca="false">合約與計費!$D$4</f>
        <v>0.296</v>
      </c>
      <c r="S330" s="51" t="n">
        <f aca="false">ROUND(P330*R330,0)</f>
        <v>321</v>
      </c>
      <c r="T330" s="52"/>
      <c r="U330" s="47"/>
      <c r="V330" s="47"/>
      <c r="W330" s="53"/>
      <c r="X330" s="47"/>
      <c r="Y330" s="47"/>
      <c r="Z330" s="54"/>
      <c r="AA330" s="55"/>
      <c r="AB330" s="56"/>
      <c r="AC330" s="57"/>
      <c r="AD330" s="42" t="n">
        <v>0.0942</v>
      </c>
      <c r="AE330" s="43" t="n">
        <v>0.2</v>
      </c>
    </row>
    <row r="331" customFormat="false" ht="16.5" hidden="false" customHeight="true" outlineLevel="0" collapsed="false">
      <c r="A331" s="44" t="n">
        <f aca="false">ROW(A329)</f>
        <v>329</v>
      </c>
      <c r="B331" s="44" t="n">
        <v>17</v>
      </c>
      <c r="C331" s="47" t="n">
        <v>1</v>
      </c>
      <c r="D331" s="29"/>
      <c r="E331" s="45" t="s">
        <v>1188</v>
      </c>
      <c r="F331" s="46" t="s">
        <v>1154</v>
      </c>
      <c r="G331" s="47" t="s">
        <v>1155</v>
      </c>
      <c r="H331" s="47" t="s">
        <v>1156</v>
      </c>
      <c r="I331" s="47" t="s">
        <v>296</v>
      </c>
      <c r="J331" s="45" t="s">
        <v>471</v>
      </c>
      <c r="K331" s="48" t="s">
        <v>1189</v>
      </c>
      <c r="L331" s="49" t="n">
        <v>45755</v>
      </c>
      <c r="M331" s="47" t="n">
        <v>5247</v>
      </c>
      <c r="N331" s="47" t="n">
        <v>6267</v>
      </c>
      <c r="O331" s="47" t="n">
        <v>1020</v>
      </c>
      <c r="P331" s="47" t="n">
        <v>989</v>
      </c>
      <c r="Q331" s="47"/>
      <c r="R331" s="50" t="n">
        <f aca="false">合約與計費!$D$4</f>
        <v>0.296</v>
      </c>
      <c r="S331" s="51" t="n">
        <f aca="false">ROUND(P331*R331,0)</f>
        <v>293</v>
      </c>
      <c r="T331" s="52"/>
      <c r="U331" s="47"/>
      <c r="V331" s="47"/>
      <c r="W331" s="53"/>
      <c r="X331" s="47"/>
      <c r="Y331" s="47"/>
      <c r="Z331" s="54"/>
      <c r="AA331" s="55"/>
      <c r="AB331" s="56"/>
      <c r="AC331" s="57"/>
      <c r="AD331" s="42" t="n">
        <v>0.0971</v>
      </c>
      <c r="AE331" s="43" t="n">
        <v>0.5</v>
      </c>
    </row>
    <row r="332" customFormat="false" ht="16.5" hidden="false" customHeight="true" outlineLevel="0" collapsed="false">
      <c r="A332" s="44" t="n">
        <f aca="false">ROW(A330)</f>
        <v>330</v>
      </c>
      <c r="B332" s="44" t="n">
        <v>18</v>
      </c>
      <c r="C332" s="47" t="n">
        <v>1</v>
      </c>
      <c r="D332" s="29"/>
      <c r="E332" s="45" t="s">
        <v>1190</v>
      </c>
      <c r="F332" s="46" t="s">
        <v>1154</v>
      </c>
      <c r="G332" s="47" t="s">
        <v>1155</v>
      </c>
      <c r="H332" s="47" t="s">
        <v>1156</v>
      </c>
      <c r="I332" s="47" t="s">
        <v>296</v>
      </c>
      <c r="J332" s="45" t="s">
        <v>471</v>
      </c>
      <c r="K332" s="48" t="s">
        <v>1191</v>
      </c>
      <c r="L332" s="49" t="n">
        <v>45755</v>
      </c>
      <c r="M332" s="47" t="n">
        <v>4606</v>
      </c>
      <c r="N332" s="47" t="n">
        <v>5078</v>
      </c>
      <c r="O332" s="47" t="n">
        <v>472</v>
      </c>
      <c r="P332" s="47" t="n">
        <v>458</v>
      </c>
      <c r="Q332" s="47"/>
      <c r="R332" s="50" t="n">
        <f aca="false">合約與計費!$D$4</f>
        <v>0.296</v>
      </c>
      <c r="S332" s="51" t="n">
        <f aca="false">ROUND(P332*R332,0)</f>
        <v>136</v>
      </c>
      <c r="T332" s="52"/>
      <c r="U332" s="47"/>
      <c r="V332" s="47"/>
      <c r="W332" s="53"/>
      <c r="X332" s="47"/>
      <c r="Y332" s="47"/>
      <c r="Z332" s="54"/>
      <c r="AA332" s="55"/>
      <c r="AB332" s="56"/>
      <c r="AC332" s="57"/>
      <c r="AD332" s="42" t="n">
        <v>0.0917</v>
      </c>
      <c r="AE332" s="43" t="n">
        <v>0.6</v>
      </c>
    </row>
    <row r="333" customFormat="false" ht="16.5" hidden="false" customHeight="true" outlineLevel="0" collapsed="false">
      <c r="A333" s="44" t="n">
        <f aca="false">ROW(A331)</f>
        <v>331</v>
      </c>
      <c r="B333" s="44" t="n">
        <v>19</v>
      </c>
      <c r="C333" s="47" t="n">
        <v>1</v>
      </c>
      <c r="D333" s="29"/>
      <c r="E333" s="45" t="s">
        <v>1192</v>
      </c>
      <c r="F333" s="46" t="s">
        <v>1154</v>
      </c>
      <c r="G333" s="47" t="s">
        <v>1155</v>
      </c>
      <c r="H333" s="47" t="s">
        <v>1156</v>
      </c>
      <c r="I333" s="47" t="s">
        <v>296</v>
      </c>
      <c r="J333" s="45" t="s">
        <v>471</v>
      </c>
      <c r="K333" s="48" t="s">
        <v>1193</v>
      </c>
      <c r="L333" s="49" t="n">
        <v>45755</v>
      </c>
      <c r="M333" s="47" t="n">
        <v>6274</v>
      </c>
      <c r="N333" s="47" t="n">
        <v>7515</v>
      </c>
      <c r="O333" s="47" t="n">
        <v>1241</v>
      </c>
      <c r="P333" s="47" t="n">
        <v>1204</v>
      </c>
      <c r="Q333" s="47"/>
      <c r="R333" s="50" t="n">
        <f aca="false">合約與計費!$D$4</f>
        <v>0.296</v>
      </c>
      <c r="S333" s="51" t="n">
        <f aca="false">ROUND(P333*R333,0)</f>
        <v>356</v>
      </c>
      <c r="T333" s="52"/>
      <c r="U333" s="47"/>
      <c r="V333" s="47"/>
      <c r="W333" s="53"/>
      <c r="X333" s="47"/>
      <c r="Y333" s="47"/>
      <c r="Z333" s="54"/>
      <c r="AA333" s="55"/>
      <c r="AB333" s="56"/>
      <c r="AC333" s="57"/>
      <c r="AD333" s="42" t="n">
        <v>0.0918</v>
      </c>
      <c r="AE333" s="43" t="n">
        <v>0.3</v>
      </c>
    </row>
    <row r="334" customFormat="false" ht="16.5" hidden="false" customHeight="true" outlineLevel="0" collapsed="false">
      <c r="A334" s="44" t="n">
        <f aca="false">ROW(A332)</f>
        <v>332</v>
      </c>
      <c r="B334" s="44" t="n">
        <v>20</v>
      </c>
      <c r="C334" s="47" t="n">
        <v>1</v>
      </c>
      <c r="D334" s="29"/>
      <c r="E334" s="45" t="s">
        <v>1194</v>
      </c>
      <c r="F334" s="46" t="s">
        <v>1154</v>
      </c>
      <c r="G334" s="47" t="s">
        <v>1155</v>
      </c>
      <c r="H334" s="47" t="s">
        <v>1156</v>
      </c>
      <c r="I334" s="47" t="s">
        <v>296</v>
      </c>
      <c r="J334" s="45" t="s">
        <v>471</v>
      </c>
      <c r="K334" s="48" t="s">
        <v>1195</v>
      </c>
      <c r="L334" s="49" t="n">
        <v>45820</v>
      </c>
      <c r="M334" s="47" t="n">
        <v>310</v>
      </c>
      <c r="N334" s="47" t="n">
        <v>480</v>
      </c>
      <c r="O334" s="47" t="n">
        <v>170</v>
      </c>
      <c r="P334" s="47" t="n">
        <v>165</v>
      </c>
      <c r="Q334" s="47"/>
      <c r="R334" s="50" t="n">
        <f aca="false">合約與計費!$D$4</f>
        <v>0.296</v>
      </c>
      <c r="S334" s="51" t="n">
        <f aca="false">ROUND(P334*R334,0)</f>
        <v>49</v>
      </c>
      <c r="T334" s="52"/>
      <c r="U334" s="47"/>
      <c r="V334" s="47"/>
      <c r="W334" s="53"/>
      <c r="X334" s="47"/>
      <c r="Y334" s="47"/>
      <c r="Z334" s="54"/>
      <c r="AA334" s="55"/>
      <c r="AB334" s="56"/>
      <c r="AC334" s="57"/>
      <c r="AD334" s="42" t="n">
        <v>0.1054</v>
      </c>
      <c r="AE334" s="43" t="n">
        <v>0.7</v>
      </c>
    </row>
    <row r="335" customFormat="false" ht="16.5" hidden="false" customHeight="true" outlineLevel="0" collapsed="false">
      <c r="A335" s="59" t="n">
        <f aca="false">ROW(A333)</f>
        <v>333</v>
      </c>
      <c r="B335" s="59" t="n">
        <v>21</v>
      </c>
      <c r="C335" s="62" t="n">
        <v>1</v>
      </c>
      <c r="D335" s="29"/>
      <c r="E335" s="60" t="s">
        <v>1196</v>
      </c>
      <c r="F335" s="61" t="s">
        <v>1154</v>
      </c>
      <c r="G335" s="62" t="s">
        <v>1155</v>
      </c>
      <c r="H335" s="62" t="s">
        <v>1156</v>
      </c>
      <c r="I335" s="62" t="s">
        <v>296</v>
      </c>
      <c r="J335" s="60" t="s">
        <v>471</v>
      </c>
      <c r="K335" s="63" t="s">
        <v>1197</v>
      </c>
      <c r="L335" s="64" t="n">
        <v>45820</v>
      </c>
      <c r="M335" s="62" t="n">
        <v>214</v>
      </c>
      <c r="N335" s="62" t="n">
        <v>482</v>
      </c>
      <c r="O335" s="62" t="n">
        <v>268</v>
      </c>
      <c r="P335" s="62" t="n">
        <v>260</v>
      </c>
      <c r="Q335" s="62" t="n">
        <f aca="false">ROUND(SUM(P315:P335),2)</f>
        <v>16234</v>
      </c>
      <c r="R335" s="65" t="n">
        <f aca="false">合約與計費!$D$4</f>
        <v>0.296</v>
      </c>
      <c r="S335" s="66" t="n">
        <f aca="false">ROUND(P335*R335,0)</f>
        <v>77</v>
      </c>
      <c r="T335" s="79" t="n">
        <f aca="false">ROUND(SUM(S315:S335),2)</f>
        <v>4807</v>
      </c>
      <c r="U335" s="62"/>
      <c r="V335" s="62"/>
      <c r="W335" s="67"/>
      <c r="X335" s="62"/>
      <c r="Y335" s="62" t="n">
        <f aca="false">ROUND(SUM(X315:X335),2)</f>
        <v>70</v>
      </c>
      <c r="Z335" s="68"/>
      <c r="AA335" s="77"/>
      <c r="AB335" s="78" t="n">
        <f aca="false">ROUND(SUM(AA315:AA335),2)</f>
        <v>196</v>
      </c>
      <c r="AC335" s="69"/>
      <c r="AD335" s="42" t="n">
        <v>0.0778</v>
      </c>
      <c r="AE335" s="43" t="n">
        <v>0.8</v>
      </c>
    </row>
    <row r="336" customFormat="false" ht="16.5" hidden="false" customHeight="true" outlineLevel="0" collapsed="false">
      <c r="A336" s="27" t="n">
        <f aca="false">ROW(A334)</f>
        <v>334</v>
      </c>
      <c r="B336" s="27" t="s">
        <v>455</v>
      </c>
      <c r="C336" s="31" t="n">
        <v>1</v>
      </c>
      <c r="D336" s="29" t="n">
        <v>183</v>
      </c>
      <c r="E336" s="28" t="s">
        <v>1198</v>
      </c>
      <c r="F336" s="30" t="s">
        <v>1199</v>
      </c>
      <c r="G336" s="31" t="s">
        <v>1155</v>
      </c>
      <c r="H336" s="31" t="s">
        <v>1156</v>
      </c>
      <c r="I336" s="31" t="s">
        <v>174</v>
      </c>
      <c r="J336" s="28" t="s">
        <v>460</v>
      </c>
      <c r="K336" s="80" t="s">
        <v>1200</v>
      </c>
      <c r="L336" s="34" t="n">
        <v>45761</v>
      </c>
      <c r="M336" s="31" t="n">
        <v>1239</v>
      </c>
      <c r="N336" s="31" t="n">
        <v>1514</v>
      </c>
      <c r="O336" s="31" t="n">
        <v>275</v>
      </c>
      <c r="P336" s="31" t="n">
        <v>267</v>
      </c>
      <c r="Q336" s="31"/>
      <c r="R336" s="35" t="n">
        <f aca="false">合約與計費!$D$4</f>
        <v>0.296</v>
      </c>
      <c r="S336" s="36" t="n">
        <f aca="false">ROUND(P336*R336,0)</f>
        <v>79</v>
      </c>
      <c r="T336" s="37"/>
      <c r="U336" s="31" t="n">
        <v>24</v>
      </c>
      <c r="V336" s="31" t="n">
        <v>44</v>
      </c>
      <c r="W336" s="31" t="n">
        <v>20</v>
      </c>
      <c r="X336" s="31" t="n">
        <v>19</v>
      </c>
      <c r="Y336" s="31"/>
      <c r="Z336" s="38" t="n">
        <f aca="false">合約與計費!$E$4</f>
        <v>2.8</v>
      </c>
      <c r="AA336" s="39" t="n">
        <f aca="false">ROUND(X336*Z336,0)</f>
        <v>53</v>
      </c>
      <c r="AB336" s="40"/>
      <c r="AC336" s="41"/>
      <c r="AD336" s="42"/>
      <c r="AE336" s="43"/>
    </row>
    <row r="337" customFormat="false" ht="16.5" hidden="false" customHeight="true" outlineLevel="0" collapsed="false">
      <c r="A337" s="44" t="n">
        <f aca="false">ROW(A335)</f>
        <v>335</v>
      </c>
      <c r="B337" s="44" t="s">
        <v>462</v>
      </c>
      <c r="C337" s="47" t="n">
        <v>1</v>
      </c>
      <c r="D337" s="29"/>
      <c r="E337" s="45" t="s">
        <v>1201</v>
      </c>
      <c r="F337" s="46" t="s">
        <v>1199</v>
      </c>
      <c r="G337" s="47" t="s">
        <v>1155</v>
      </c>
      <c r="H337" s="47" t="s">
        <v>1156</v>
      </c>
      <c r="I337" s="47" t="s">
        <v>174</v>
      </c>
      <c r="J337" s="45" t="s">
        <v>464</v>
      </c>
      <c r="K337" s="74" t="s">
        <v>1202</v>
      </c>
      <c r="L337" s="49" t="n">
        <v>45761</v>
      </c>
      <c r="M337" s="47" t="n">
        <v>4416</v>
      </c>
      <c r="N337" s="47" t="n">
        <v>4722</v>
      </c>
      <c r="O337" s="47" t="n">
        <v>306</v>
      </c>
      <c r="P337" s="47" t="n">
        <v>297</v>
      </c>
      <c r="Q337" s="47"/>
      <c r="R337" s="50" t="n">
        <f aca="false">合約與計費!$D$4</f>
        <v>0.296</v>
      </c>
      <c r="S337" s="51" t="n">
        <f aca="false">ROUND(P337*R337,0)</f>
        <v>88</v>
      </c>
      <c r="T337" s="52"/>
      <c r="U337" s="47"/>
      <c r="V337" s="47"/>
      <c r="W337" s="53"/>
      <c r="X337" s="47"/>
      <c r="Y337" s="47"/>
      <c r="Z337" s="54"/>
      <c r="AA337" s="55"/>
      <c r="AB337" s="56"/>
      <c r="AC337" s="57"/>
      <c r="AD337" s="42" t="n">
        <v>0.0858</v>
      </c>
      <c r="AE337" s="43" t="n">
        <v>0.8</v>
      </c>
    </row>
    <row r="338" customFormat="false" ht="16.5" hidden="false" customHeight="true" outlineLevel="0" collapsed="false">
      <c r="A338" s="44" t="n">
        <f aca="false">ROW(A336)</f>
        <v>336</v>
      </c>
      <c r="B338" s="44" t="s">
        <v>466</v>
      </c>
      <c r="C338" s="47" t="n">
        <v>1</v>
      </c>
      <c r="D338" s="29"/>
      <c r="E338" s="45" t="s">
        <v>1203</v>
      </c>
      <c r="F338" s="46" t="s">
        <v>1199</v>
      </c>
      <c r="G338" s="47" t="s">
        <v>1155</v>
      </c>
      <c r="H338" s="47" t="s">
        <v>1156</v>
      </c>
      <c r="I338" s="47" t="s">
        <v>174</v>
      </c>
      <c r="J338" s="45" t="s">
        <v>527</v>
      </c>
      <c r="K338" s="48" t="s">
        <v>1204</v>
      </c>
      <c r="L338" s="49" t="n">
        <v>45761</v>
      </c>
      <c r="M338" s="47" t="n">
        <v>9340</v>
      </c>
      <c r="N338" s="47" t="n">
        <v>11197</v>
      </c>
      <c r="O338" s="47" t="n">
        <v>1857</v>
      </c>
      <c r="P338" s="47" t="n">
        <v>1801</v>
      </c>
      <c r="Q338" s="47"/>
      <c r="R338" s="50" t="n">
        <f aca="false">合約與計費!$D$4</f>
        <v>0.296</v>
      </c>
      <c r="S338" s="51" t="n">
        <f aca="false">ROUND(P338*R338,0)</f>
        <v>533</v>
      </c>
      <c r="T338" s="52"/>
      <c r="U338" s="47"/>
      <c r="V338" s="47"/>
      <c r="W338" s="53"/>
      <c r="X338" s="47"/>
      <c r="Y338" s="47"/>
      <c r="Z338" s="54"/>
      <c r="AA338" s="55"/>
      <c r="AB338" s="56"/>
      <c r="AC338" s="57"/>
      <c r="AD338" s="42"/>
      <c r="AE338" s="43"/>
    </row>
    <row r="339" customFormat="false" ht="16.5" hidden="false" customHeight="true" outlineLevel="0" collapsed="false">
      <c r="A339" s="44" t="n">
        <f aca="false">ROW(A337)</f>
        <v>337</v>
      </c>
      <c r="B339" s="44" t="s">
        <v>469</v>
      </c>
      <c r="C339" s="47" t="n">
        <v>1</v>
      </c>
      <c r="D339" s="29"/>
      <c r="E339" s="45" t="s">
        <v>1205</v>
      </c>
      <c r="F339" s="46" t="s">
        <v>1199</v>
      </c>
      <c r="G339" s="47" t="s">
        <v>1155</v>
      </c>
      <c r="H339" s="47" t="s">
        <v>1156</v>
      </c>
      <c r="I339" s="47" t="s">
        <v>174</v>
      </c>
      <c r="J339" s="45" t="s">
        <v>527</v>
      </c>
      <c r="K339" s="48" t="s">
        <v>1206</v>
      </c>
      <c r="L339" s="49" t="n">
        <v>45761</v>
      </c>
      <c r="M339" s="47" t="n">
        <v>4206</v>
      </c>
      <c r="N339" s="47" t="n">
        <v>5138</v>
      </c>
      <c r="O339" s="47" t="n">
        <v>932</v>
      </c>
      <c r="P339" s="47" t="n">
        <v>904</v>
      </c>
      <c r="Q339" s="47"/>
      <c r="R339" s="50" t="n">
        <f aca="false">合約與計費!$D$4</f>
        <v>0.296</v>
      </c>
      <c r="S339" s="51" t="n">
        <f aca="false">ROUND(P339*R339,0)</f>
        <v>268</v>
      </c>
      <c r="T339" s="52"/>
      <c r="U339" s="47"/>
      <c r="V339" s="47"/>
      <c r="W339" s="53"/>
      <c r="X339" s="47"/>
      <c r="Y339" s="47"/>
      <c r="Z339" s="54"/>
      <c r="AA339" s="55"/>
      <c r="AB339" s="56"/>
      <c r="AC339" s="57"/>
      <c r="AD339" s="42"/>
      <c r="AE339" s="43"/>
    </row>
    <row r="340" customFormat="false" ht="16.5" hidden="false" customHeight="true" outlineLevel="0" collapsed="false">
      <c r="A340" s="59" t="n">
        <f aca="false">ROW(A338)</f>
        <v>338</v>
      </c>
      <c r="B340" s="59" t="s">
        <v>473</v>
      </c>
      <c r="C340" s="62" t="n">
        <v>1</v>
      </c>
      <c r="D340" s="29"/>
      <c r="E340" s="60" t="s">
        <v>1207</v>
      </c>
      <c r="F340" s="61" t="s">
        <v>1199</v>
      </c>
      <c r="G340" s="62" t="s">
        <v>1155</v>
      </c>
      <c r="H340" s="62" t="s">
        <v>1156</v>
      </c>
      <c r="I340" s="62" t="s">
        <v>174</v>
      </c>
      <c r="J340" s="45" t="s">
        <v>527</v>
      </c>
      <c r="K340" s="48" t="s">
        <v>1208</v>
      </c>
      <c r="L340" s="49" t="n">
        <v>45761</v>
      </c>
      <c r="M340" s="47" t="n">
        <v>12894</v>
      </c>
      <c r="N340" s="47" t="n">
        <v>15602</v>
      </c>
      <c r="O340" s="47" t="n">
        <v>2708</v>
      </c>
      <c r="P340" s="47" t="n">
        <v>2627</v>
      </c>
      <c r="Q340" s="47" t="n">
        <f aca="false">ROUND(SUM(P336:P340),2)</f>
        <v>5896</v>
      </c>
      <c r="R340" s="50" t="n">
        <f aca="false">合約與計費!$D$4</f>
        <v>0.296</v>
      </c>
      <c r="S340" s="51" t="n">
        <f aca="false">ROUND(P340*R340,0)</f>
        <v>778</v>
      </c>
      <c r="T340" s="52" t="n">
        <f aca="false">ROUND(SUM(S336:S340),2)</f>
        <v>1746</v>
      </c>
      <c r="U340" s="47"/>
      <c r="V340" s="47"/>
      <c r="W340" s="53"/>
      <c r="X340" s="47"/>
      <c r="Y340" s="47" t="n">
        <f aca="false">ROUND(SUM(X336:X340),2)</f>
        <v>19</v>
      </c>
      <c r="Z340" s="54"/>
      <c r="AA340" s="55"/>
      <c r="AB340" s="56" t="n">
        <f aca="false">ROUND(SUM(AA336:AA340),2)</f>
        <v>53</v>
      </c>
      <c r="AC340" s="57"/>
      <c r="AD340" s="42"/>
      <c r="AE340" s="43"/>
    </row>
    <row r="341" customFormat="false" ht="16.5" hidden="false" customHeight="true" outlineLevel="0" collapsed="false">
      <c r="A341" s="27" t="n">
        <f aca="false">ROW(A339)</f>
        <v>339</v>
      </c>
      <c r="B341" s="27" t="s">
        <v>455</v>
      </c>
      <c r="C341" s="31" t="n">
        <v>1</v>
      </c>
      <c r="D341" s="29" t="n">
        <v>189</v>
      </c>
      <c r="E341" s="28" t="s">
        <v>1209</v>
      </c>
      <c r="F341" s="30" t="s">
        <v>1210</v>
      </c>
      <c r="G341" s="31" t="s">
        <v>1155</v>
      </c>
      <c r="H341" s="31" t="s">
        <v>1156</v>
      </c>
      <c r="I341" s="31" t="s">
        <v>4</v>
      </c>
      <c r="J341" s="28" t="s">
        <v>460</v>
      </c>
      <c r="K341" s="80" t="s">
        <v>1211</v>
      </c>
      <c r="L341" s="34" t="n">
        <v>45749</v>
      </c>
      <c r="M341" s="31" t="n">
        <v>1921</v>
      </c>
      <c r="N341" s="31" t="n">
        <v>2274</v>
      </c>
      <c r="O341" s="31" t="n">
        <v>353</v>
      </c>
      <c r="P341" s="31" t="n">
        <v>342</v>
      </c>
      <c r="Q341" s="31"/>
      <c r="R341" s="35" t="n">
        <f aca="false">合約與計費!$D$4</f>
        <v>0.296</v>
      </c>
      <c r="S341" s="36" t="n">
        <f aca="false">ROUND(P341*R341,0)</f>
        <v>101</v>
      </c>
      <c r="T341" s="37"/>
      <c r="U341" s="31" t="n">
        <v>85</v>
      </c>
      <c r="V341" s="31" t="n">
        <v>98</v>
      </c>
      <c r="W341" s="31" t="n">
        <v>13</v>
      </c>
      <c r="X341" s="31" t="n">
        <v>13</v>
      </c>
      <c r="Y341" s="31"/>
      <c r="Z341" s="38" t="n">
        <f aca="false">合約與計費!$E$4</f>
        <v>2.8</v>
      </c>
      <c r="AA341" s="39" t="n">
        <f aca="false">ROUND(X341*Z341,0)</f>
        <v>36</v>
      </c>
      <c r="AB341" s="40"/>
      <c r="AC341" s="41"/>
      <c r="AD341" s="42"/>
      <c r="AE341" s="43"/>
    </row>
    <row r="342" customFormat="false" ht="16.5" hidden="false" customHeight="true" outlineLevel="0" collapsed="false">
      <c r="A342" s="44" t="n">
        <f aca="false">ROW(A340)</f>
        <v>340</v>
      </c>
      <c r="B342" s="44" t="s">
        <v>462</v>
      </c>
      <c r="C342" s="47" t="n">
        <v>1</v>
      </c>
      <c r="D342" s="29"/>
      <c r="E342" s="45" t="s">
        <v>1212</v>
      </c>
      <c r="F342" s="46" t="s">
        <v>1210</v>
      </c>
      <c r="G342" s="47" t="s">
        <v>1155</v>
      </c>
      <c r="H342" s="47" t="s">
        <v>1156</v>
      </c>
      <c r="I342" s="47" t="s">
        <v>4</v>
      </c>
      <c r="J342" s="45" t="s">
        <v>464</v>
      </c>
      <c r="K342" s="48" t="s">
        <v>1213</v>
      </c>
      <c r="L342" s="49" t="n">
        <v>45749</v>
      </c>
      <c r="M342" s="47" t="n">
        <v>2980</v>
      </c>
      <c r="N342" s="47" t="n">
        <v>3444</v>
      </c>
      <c r="O342" s="47" t="n">
        <v>464</v>
      </c>
      <c r="P342" s="47" t="n">
        <v>450</v>
      </c>
      <c r="Q342" s="47"/>
      <c r="R342" s="50" t="n">
        <f aca="false">合約與計費!$D$4</f>
        <v>0.296</v>
      </c>
      <c r="S342" s="51" t="n">
        <f aca="false">ROUND(P342*R342,0)</f>
        <v>133</v>
      </c>
      <c r="T342" s="52"/>
      <c r="U342" s="47"/>
      <c r="V342" s="47"/>
      <c r="W342" s="53"/>
      <c r="X342" s="47"/>
      <c r="Y342" s="47"/>
      <c r="Z342" s="54"/>
      <c r="AA342" s="55"/>
      <c r="AB342" s="56"/>
      <c r="AC342" s="57"/>
      <c r="AD342" s="42" t="n">
        <v>0.0528</v>
      </c>
      <c r="AE342" s="43" t="n">
        <v>1</v>
      </c>
    </row>
    <row r="343" customFormat="false" ht="16.5" hidden="false" customHeight="true" outlineLevel="0" collapsed="false">
      <c r="A343" s="44" t="n">
        <f aca="false">ROW(A341)</f>
        <v>341</v>
      </c>
      <c r="B343" s="44" t="s">
        <v>466</v>
      </c>
      <c r="C343" s="47" t="n">
        <v>1</v>
      </c>
      <c r="D343" s="29"/>
      <c r="E343" s="45" t="s">
        <v>1214</v>
      </c>
      <c r="F343" s="46" t="s">
        <v>1210</v>
      </c>
      <c r="G343" s="47" t="s">
        <v>1155</v>
      </c>
      <c r="H343" s="47" t="s">
        <v>1156</v>
      </c>
      <c r="I343" s="47" t="s">
        <v>4</v>
      </c>
      <c r="J343" s="45" t="s">
        <v>471</v>
      </c>
      <c r="K343" s="48" t="s">
        <v>1215</v>
      </c>
      <c r="L343" s="49" t="n">
        <v>45749</v>
      </c>
      <c r="M343" s="47" t="n">
        <v>6966</v>
      </c>
      <c r="N343" s="47" t="n">
        <v>8193</v>
      </c>
      <c r="O343" s="47" t="n">
        <v>1227</v>
      </c>
      <c r="P343" s="47" t="n">
        <v>1190</v>
      </c>
      <c r="Q343" s="47"/>
      <c r="R343" s="50" t="n">
        <f aca="false">合約與計費!$D$4</f>
        <v>0.296</v>
      </c>
      <c r="S343" s="51" t="n">
        <f aca="false">ROUND(P343*R343,0)</f>
        <v>352</v>
      </c>
      <c r="T343" s="52"/>
      <c r="U343" s="47"/>
      <c r="V343" s="47"/>
      <c r="W343" s="53"/>
      <c r="X343" s="47"/>
      <c r="Y343" s="47"/>
      <c r="Z343" s="54"/>
      <c r="AA343" s="55"/>
      <c r="AB343" s="56"/>
      <c r="AC343" s="57"/>
      <c r="AD343" s="42" t="n">
        <v>0.0981</v>
      </c>
      <c r="AE343" s="43" t="n">
        <v>0.5</v>
      </c>
    </row>
    <row r="344" customFormat="false" ht="16.5" hidden="false" customHeight="true" outlineLevel="0" collapsed="false">
      <c r="A344" s="44" t="n">
        <f aca="false">ROW(A342)</f>
        <v>342</v>
      </c>
      <c r="B344" s="44" t="s">
        <v>469</v>
      </c>
      <c r="C344" s="47" t="n">
        <v>1</v>
      </c>
      <c r="D344" s="29"/>
      <c r="E344" s="45" t="s">
        <v>1216</v>
      </c>
      <c r="F344" s="46" t="s">
        <v>1210</v>
      </c>
      <c r="G344" s="47" t="s">
        <v>1155</v>
      </c>
      <c r="H344" s="47" t="s">
        <v>1156</v>
      </c>
      <c r="I344" s="47" t="s">
        <v>4</v>
      </c>
      <c r="J344" s="45" t="s">
        <v>471</v>
      </c>
      <c r="K344" s="48" t="s">
        <v>1217</v>
      </c>
      <c r="L344" s="49" t="n">
        <v>45749</v>
      </c>
      <c r="M344" s="47" t="n">
        <v>12440</v>
      </c>
      <c r="N344" s="47" t="n">
        <v>14703</v>
      </c>
      <c r="O344" s="47" t="n">
        <v>2263</v>
      </c>
      <c r="P344" s="47" t="n">
        <v>2195</v>
      </c>
      <c r="Q344" s="47"/>
      <c r="R344" s="50" t="n">
        <f aca="false">合約與計費!$D$4</f>
        <v>0.296</v>
      </c>
      <c r="S344" s="51" t="n">
        <f aca="false">ROUND(P344*R344,0)</f>
        <v>650</v>
      </c>
      <c r="T344" s="52"/>
      <c r="U344" s="47"/>
      <c r="V344" s="47"/>
      <c r="W344" s="53"/>
      <c r="X344" s="47"/>
      <c r="Y344" s="47"/>
      <c r="Z344" s="54"/>
      <c r="AA344" s="55"/>
      <c r="AB344" s="56"/>
      <c r="AC344" s="57"/>
      <c r="AD344" s="42" t="n">
        <v>0.1071</v>
      </c>
      <c r="AE344" s="43" t="n">
        <v>0.7</v>
      </c>
    </row>
    <row r="345" customFormat="false" ht="16.5" hidden="false" customHeight="true" outlineLevel="0" collapsed="false">
      <c r="A345" s="59" t="n">
        <f aca="false">ROW(A343)</f>
        <v>343</v>
      </c>
      <c r="B345" s="59" t="s">
        <v>473</v>
      </c>
      <c r="C345" s="62" t="n">
        <v>1</v>
      </c>
      <c r="D345" s="29"/>
      <c r="E345" s="60" t="s">
        <v>1218</v>
      </c>
      <c r="F345" s="61" t="s">
        <v>1210</v>
      </c>
      <c r="G345" s="62" t="s">
        <v>1155</v>
      </c>
      <c r="H345" s="62" t="s">
        <v>1156</v>
      </c>
      <c r="I345" s="62" t="s">
        <v>4</v>
      </c>
      <c r="J345" s="60" t="s">
        <v>471</v>
      </c>
      <c r="K345" s="63" t="s">
        <v>1219</v>
      </c>
      <c r="L345" s="64" t="n">
        <v>45749</v>
      </c>
      <c r="M345" s="62" t="n">
        <v>1437</v>
      </c>
      <c r="N345" s="62" t="n">
        <v>1673</v>
      </c>
      <c r="O345" s="47" t="n">
        <v>236</v>
      </c>
      <c r="P345" s="47" t="n">
        <v>229</v>
      </c>
      <c r="Q345" s="47" t="n">
        <f aca="false">ROUND(SUM(P341:P345),2)</f>
        <v>4406</v>
      </c>
      <c r="R345" s="65" t="n">
        <f aca="false">合約與計費!$D$4</f>
        <v>0.296</v>
      </c>
      <c r="S345" s="66" t="n">
        <f aca="false">ROUND(P345*R345,0)</f>
        <v>68</v>
      </c>
      <c r="T345" s="52" t="n">
        <f aca="false">ROUND(SUM(S341:S345),2)</f>
        <v>1304</v>
      </c>
      <c r="U345" s="62"/>
      <c r="V345" s="62"/>
      <c r="W345" s="67"/>
      <c r="X345" s="62"/>
      <c r="Y345" s="47" t="n">
        <f aca="false">ROUND(SUM(X341:X345),2)</f>
        <v>13</v>
      </c>
      <c r="Z345" s="68"/>
      <c r="AA345" s="55"/>
      <c r="AB345" s="56" t="n">
        <f aca="false">ROUND(SUM(AA341:AA345),2)</f>
        <v>36</v>
      </c>
      <c r="AC345" s="69"/>
      <c r="AD345" s="42" t="n">
        <v>0.0709</v>
      </c>
      <c r="AE345" s="43" t="n">
        <v>0.5</v>
      </c>
    </row>
    <row r="346" customFormat="false" ht="16.5" hidden="false" customHeight="true" outlineLevel="0" collapsed="false">
      <c r="A346" s="84" t="n">
        <f aca="false">ROW(A344)</f>
        <v>344</v>
      </c>
      <c r="B346" s="84" t="s">
        <v>455</v>
      </c>
      <c r="C346" s="32" t="n">
        <v>1</v>
      </c>
      <c r="D346" s="27" t="n">
        <v>281</v>
      </c>
      <c r="E346" s="86" t="s">
        <v>1220</v>
      </c>
      <c r="F346" s="87" t="s">
        <v>1221</v>
      </c>
      <c r="G346" s="32" t="s">
        <v>1155</v>
      </c>
      <c r="H346" s="32" t="s">
        <v>1156</v>
      </c>
      <c r="I346" s="32" t="s">
        <v>171</v>
      </c>
      <c r="J346" s="86" t="s">
        <v>460</v>
      </c>
      <c r="K346" s="88" t="s">
        <v>1222</v>
      </c>
      <c r="L346" s="89" t="n">
        <v>45754</v>
      </c>
      <c r="M346" s="32" t="n">
        <v>275</v>
      </c>
      <c r="N346" s="32" t="n">
        <v>391</v>
      </c>
      <c r="O346" s="32" t="n">
        <v>116</v>
      </c>
      <c r="P346" s="32" t="n">
        <v>113</v>
      </c>
      <c r="Q346" s="32"/>
      <c r="R346" s="90" t="n">
        <f aca="false">合約與計費!$D$4</f>
        <v>0.296</v>
      </c>
      <c r="S346" s="91" t="n">
        <f aca="false">ROUND(P346*R346,0)</f>
        <v>33</v>
      </c>
      <c r="T346" s="92"/>
      <c r="U346" s="32" t="n">
        <v>277</v>
      </c>
      <c r="V346" s="32" t="n">
        <v>339</v>
      </c>
      <c r="W346" s="32" t="n">
        <v>62</v>
      </c>
      <c r="X346" s="32" t="n">
        <v>60</v>
      </c>
      <c r="Y346" s="32"/>
      <c r="Z346" s="93" t="n">
        <f aca="false">合約與計費!$E$4</f>
        <v>2.8</v>
      </c>
      <c r="AA346" s="94" t="n">
        <f aca="false">ROUND(X346*Z346,0)</f>
        <v>168</v>
      </c>
      <c r="AB346" s="95"/>
      <c r="AC346" s="96"/>
      <c r="AD346" s="42"/>
      <c r="AE346" s="43"/>
    </row>
    <row r="347" customFormat="false" ht="16.5" hidden="false" customHeight="true" outlineLevel="0" collapsed="false">
      <c r="A347" s="97" t="n">
        <f aca="false">ROW(A345)</f>
        <v>345</v>
      </c>
      <c r="B347" s="97" t="s">
        <v>462</v>
      </c>
      <c r="C347" s="100" t="n">
        <v>1</v>
      </c>
      <c r="D347" s="44"/>
      <c r="E347" s="98" t="s">
        <v>1223</v>
      </c>
      <c r="F347" s="99" t="s">
        <v>1221</v>
      </c>
      <c r="G347" s="100" t="s">
        <v>1155</v>
      </c>
      <c r="H347" s="100" t="s">
        <v>1156</v>
      </c>
      <c r="I347" s="100" t="s">
        <v>171</v>
      </c>
      <c r="J347" s="98" t="s">
        <v>464</v>
      </c>
      <c r="K347" s="101" t="s">
        <v>1224</v>
      </c>
      <c r="L347" s="102" t="n">
        <v>45762</v>
      </c>
      <c r="M347" s="100" t="n">
        <v>1636</v>
      </c>
      <c r="N347" s="100" t="n">
        <v>1942</v>
      </c>
      <c r="O347" s="100" t="n">
        <v>306</v>
      </c>
      <c r="P347" s="100" t="n">
        <v>297</v>
      </c>
      <c r="Q347" s="100"/>
      <c r="R347" s="103" t="n">
        <f aca="false">合約與計費!$D$4</f>
        <v>0.296</v>
      </c>
      <c r="S347" s="104" t="n">
        <f aca="false">ROUND(P347*R347,0)</f>
        <v>88</v>
      </c>
      <c r="T347" s="105"/>
      <c r="U347" s="100"/>
      <c r="V347" s="100"/>
      <c r="W347" s="106"/>
      <c r="X347" s="100"/>
      <c r="Y347" s="100"/>
      <c r="Z347" s="107"/>
      <c r="AA347" s="108"/>
      <c r="AB347" s="109"/>
      <c r="AC347" s="110"/>
      <c r="AD347" s="42" t="n">
        <v>0.0266</v>
      </c>
      <c r="AE347" s="43" t="n">
        <v>1</v>
      </c>
    </row>
    <row r="348" customFormat="false" ht="16.5" hidden="false" customHeight="true" outlineLevel="0" collapsed="false">
      <c r="A348" s="97" t="n">
        <f aca="false">ROW(A346)</f>
        <v>346</v>
      </c>
      <c r="B348" s="97" t="s">
        <v>466</v>
      </c>
      <c r="C348" s="100" t="n">
        <v>1</v>
      </c>
      <c r="D348" s="44"/>
      <c r="E348" s="98" t="s">
        <v>1225</v>
      </c>
      <c r="F348" s="99" t="s">
        <v>1221</v>
      </c>
      <c r="G348" s="100" t="s">
        <v>1155</v>
      </c>
      <c r="H348" s="100" t="s">
        <v>1156</v>
      </c>
      <c r="I348" s="100" t="s">
        <v>171</v>
      </c>
      <c r="J348" s="98" t="s">
        <v>471</v>
      </c>
      <c r="K348" s="101" t="s">
        <v>1226</v>
      </c>
      <c r="L348" s="102" t="n">
        <v>45754</v>
      </c>
      <c r="M348" s="100" t="n">
        <v>7690</v>
      </c>
      <c r="N348" s="100" t="n">
        <v>8645</v>
      </c>
      <c r="O348" s="100" t="n">
        <v>955</v>
      </c>
      <c r="P348" s="100" t="n">
        <v>926</v>
      </c>
      <c r="Q348" s="100"/>
      <c r="R348" s="103" t="n">
        <f aca="false">合約與計費!$D$4</f>
        <v>0.296</v>
      </c>
      <c r="S348" s="104" t="n">
        <f aca="false">ROUND(P348*R348,0)</f>
        <v>274</v>
      </c>
      <c r="T348" s="105"/>
      <c r="U348" s="100"/>
      <c r="V348" s="100"/>
      <c r="W348" s="106"/>
      <c r="X348" s="100"/>
      <c r="Y348" s="100"/>
      <c r="Z348" s="107"/>
      <c r="AA348" s="108"/>
      <c r="AB348" s="109"/>
      <c r="AC348" s="110"/>
      <c r="AD348" s="42" t="n">
        <v>0.0832</v>
      </c>
      <c r="AE348" s="43" t="n">
        <v>0.3</v>
      </c>
    </row>
    <row r="349" customFormat="false" ht="16.5" hidden="false" customHeight="true" outlineLevel="0" collapsed="false">
      <c r="A349" s="97" t="n">
        <f aca="false">ROW(A347)</f>
        <v>347</v>
      </c>
      <c r="B349" s="97" t="s">
        <v>469</v>
      </c>
      <c r="C349" s="100" t="n">
        <v>1</v>
      </c>
      <c r="D349" s="44"/>
      <c r="E349" s="98" t="s">
        <v>1227</v>
      </c>
      <c r="F349" s="99" t="s">
        <v>1221</v>
      </c>
      <c r="G349" s="100" t="s">
        <v>1155</v>
      </c>
      <c r="H349" s="100" t="s">
        <v>1156</v>
      </c>
      <c r="I349" s="100" t="s">
        <v>171</v>
      </c>
      <c r="J349" s="98" t="s">
        <v>471</v>
      </c>
      <c r="K349" s="101" t="s">
        <v>1228</v>
      </c>
      <c r="L349" s="102" t="n">
        <v>45754</v>
      </c>
      <c r="M349" s="100" t="n">
        <v>6259</v>
      </c>
      <c r="N349" s="100" t="n">
        <v>7150</v>
      </c>
      <c r="O349" s="100" t="n">
        <v>891</v>
      </c>
      <c r="P349" s="100" t="n">
        <v>864</v>
      </c>
      <c r="Q349" s="100"/>
      <c r="R349" s="103" t="n">
        <f aca="false">合約與計費!$D$4</f>
        <v>0.296</v>
      </c>
      <c r="S349" s="104" t="n">
        <f aca="false">ROUND(P349*R349,0)</f>
        <v>256</v>
      </c>
      <c r="T349" s="105"/>
      <c r="U349" s="100"/>
      <c r="V349" s="100"/>
      <c r="W349" s="106"/>
      <c r="X349" s="100"/>
      <c r="Y349" s="100"/>
      <c r="Z349" s="107"/>
      <c r="AA349" s="108"/>
      <c r="AB349" s="109"/>
      <c r="AC349" s="110"/>
      <c r="AD349" s="42" t="n">
        <v>0.1072</v>
      </c>
      <c r="AE349" s="43" t="n">
        <v>0.2</v>
      </c>
    </row>
    <row r="350" customFormat="false" ht="16.5" hidden="false" customHeight="true" outlineLevel="0" collapsed="false">
      <c r="A350" s="97" t="n">
        <f aca="false">ROW(A348)</f>
        <v>348</v>
      </c>
      <c r="B350" s="97" t="s">
        <v>473</v>
      </c>
      <c r="C350" s="100" t="n">
        <v>1</v>
      </c>
      <c r="D350" s="44"/>
      <c r="E350" s="98" t="s">
        <v>1229</v>
      </c>
      <c r="F350" s="99" t="s">
        <v>1221</v>
      </c>
      <c r="G350" s="100" t="s">
        <v>1155</v>
      </c>
      <c r="H350" s="100" t="s">
        <v>1156</v>
      </c>
      <c r="I350" s="100" t="s">
        <v>171</v>
      </c>
      <c r="J350" s="98" t="s">
        <v>471</v>
      </c>
      <c r="K350" s="101" t="s">
        <v>1230</v>
      </c>
      <c r="L350" s="102" t="n">
        <v>45754</v>
      </c>
      <c r="M350" s="100" t="n">
        <v>5346</v>
      </c>
      <c r="N350" s="100" t="n">
        <v>6295</v>
      </c>
      <c r="O350" s="100" t="n">
        <v>949</v>
      </c>
      <c r="P350" s="100" t="n">
        <v>921</v>
      </c>
      <c r="Q350" s="100"/>
      <c r="R350" s="103" t="n">
        <f aca="false">合約與計費!$D$4</f>
        <v>0.296</v>
      </c>
      <c r="S350" s="104" t="n">
        <f aca="false">ROUND(P350*R350,0)</f>
        <v>273</v>
      </c>
      <c r="T350" s="105"/>
      <c r="U350" s="100"/>
      <c r="V350" s="100"/>
      <c r="W350" s="106"/>
      <c r="X350" s="100"/>
      <c r="Y350" s="100"/>
      <c r="Z350" s="107"/>
      <c r="AA350" s="108"/>
      <c r="AB350" s="109"/>
      <c r="AC350" s="110"/>
      <c r="AD350" s="42" t="n">
        <v>0.0802</v>
      </c>
      <c r="AE350" s="43" t="n">
        <v>0.6</v>
      </c>
    </row>
    <row r="351" customFormat="false" ht="16.5" hidden="false" customHeight="true" outlineLevel="0" collapsed="false">
      <c r="A351" s="97" t="n">
        <f aca="false">ROW(A349)</f>
        <v>349</v>
      </c>
      <c r="B351" s="97" t="s">
        <v>476</v>
      </c>
      <c r="C351" s="100" t="n">
        <v>1</v>
      </c>
      <c r="D351" s="44"/>
      <c r="E351" s="98" t="s">
        <v>1231</v>
      </c>
      <c r="F351" s="99" t="s">
        <v>1221</v>
      </c>
      <c r="G351" s="100" t="s">
        <v>1155</v>
      </c>
      <c r="H351" s="100" t="s">
        <v>1156</v>
      </c>
      <c r="I351" s="100" t="s">
        <v>171</v>
      </c>
      <c r="J351" s="98" t="s">
        <v>471</v>
      </c>
      <c r="K351" s="101" t="s">
        <v>1232</v>
      </c>
      <c r="L351" s="102" t="n">
        <v>45754</v>
      </c>
      <c r="M351" s="100" t="n">
        <v>3691</v>
      </c>
      <c r="N351" s="100" t="n">
        <v>4410</v>
      </c>
      <c r="O351" s="100" t="n">
        <v>719</v>
      </c>
      <c r="P351" s="100" t="n">
        <v>697</v>
      </c>
      <c r="Q351" s="100"/>
      <c r="R351" s="103" t="n">
        <f aca="false">合約與計費!$D$4</f>
        <v>0.296</v>
      </c>
      <c r="S351" s="104" t="n">
        <f aca="false">ROUND(P351*R351,0)</f>
        <v>206</v>
      </c>
      <c r="T351" s="105"/>
      <c r="U351" s="100"/>
      <c r="V351" s="100"/>
      <c r="W351" s="106"/>
      <c r="X351" s="100"/>
      <c r="Y351" s="100"/>
      <c r="Z351" s="107"/>
      <c r="AA351" s="108"/>
      <c r="AB351" s="109"/>
      <c r="AC351" s="110"/>
      <c r="AD351" s="42" t="n">
        <v>0.0865</v>
      </c>
      <c r="AE351" s="43" t="n">
        <v>0.7</v>
      </c>
    </row>
    <row r="352" customFormat="false" ht="16.5" hidden="false" customHeight="true" outlineLevel="0" collapsed="false">
      <c r="A352" s="97" t="n">
        <f aca="false">ROW(A350)</f>
        <v>350</v>
      </c>
      <c r="B352" s="97" t="s">
        <v>479</v>
      </c>
      <c r="C352" s="100" t="n">
        <v>1</v>
      </c>
      <c r="D352" s="59"/>
      <c r="E352" s="98" t="s">
        <v>1233</v>
      </c>
      <c r="F352" s="99" t="s">
        <v>1221</v>
      </c>
      <c r="G352" s="100" t="s">
        <v>1155</v>
      </c>
      <c r="H352" s="100" t="s">
        <v>1156</v>
      </c>
      <c r="I352" s="100" t="s">
        <v>171</v>
      </c>
      <c r="J352" s="98" t="s">
        <v>471</v>
      </c>
      <c r="K352" s="101" t="s">
        <v>1234</v>
      </c>
      <c r="L352" s="102" t="n">
        <v>45754</v>
      </c>
      <c r="M352" s="100" t="n">
        <v>1671</v>
      </c>
      <c r="N352" s="100" t="n">
        <v>1958</v>
      </c>
      <c r="O352" s="100" t="n">
        <v>287</v>
      </c>
      <c r="P352" s="100" t="n">
        <v>278</v>
      </c>
      <c r="Q352" s="100" t="n">
        <f aca="false">ROUND(SUM(P346:P352),2)</f>
        <v>4096</v>
      </c>
      <c r="R352" s="103" t="n">
        <f aca="false">合約與計費!$D$4</f>
        <v>0.296</v>
      </c>
      <c r="S352" s="104" t="n">
        <f aca="false">ROUND(P352*R352,0)</f>
        <v>82</v>
      </c>
      <c r="T352" s="105" t="n">
        <f aca="false">ROUND(SUM(S346:S352),2)</f>
        <v>1212</v>
      </c>
      <c r="U352" s="100"/>
      <c r="V352" s="100"/>
      <c r="W352" s="106"/>
      <c r="X352" s="100"/>
      <c r="Y352" s="100" t="n">
        <f aca="false">ROUND(SUM(X346:X352),2)</f>
        <v>60</v>
      </c>
      <c r="Z352" s="107"/>
      <c r="AA352" s="108"/>
      <c r="AB352" s="109" t="n">
        <f aca="false">ROUND(SUM(AA346:AA352),2)</f>
        <v>168</v>
      </c>
      <c r="AC352" s="110"/>
      <c r="AD352" s="42" t="n">
        <v>0.0469</v>
      </c>
      <c r="AE352" s="43" t="n">
        <v>0.3</v>
      </c>
    </row>
    <row r="353" customFormat="false" ht="16.5" hidden="false" customHeight="true" outlineLevel="0" collapsed="false">
      <c r="A353" s="27" t="n">
        <f aca="false">ROW(A351)</f>
        <v>351</v>
      </c>
      <c r="B353" s="27" t="s">
        <v>455</v>
      </c>
      <c r="C353" s="31" t="n">
        <v>1</v>
      </c>
      <c r="D353" s="27" t="n">
        <v>282</v>
      </c>
      <c r="E353" s="28" t="s">
        <v>1235</v>
      </c>
      <c r="F353" s="30" t="s">
        <v>1236</v>
      </c>
      <c r="G353" s="31" t="s">
        <v>1155</v>
      </c>
      <c r="H353" s="31" t="s">
        <v>1156</v>
      </c>
      <c r="I353" s="71" t="s">
        <v>362</v>
      </c>
      <c r="J353" s="28" t="s">
        <v>460</v>
      </c>
      <c r="K353" s="80" t="s">
        <v>1237</v>
      </c>
      <c r="L353" s="34" t="n">
        <v>45742</v>
      </c>
      <c r="M353" s="31" t="n">
        <v>38</v>
      </c>
      <c r="N353" s="31" t="n">
        <v>46</v>
      </c>
      <c r="O353" s="31" t="n">
        <v>8</v>
      </c>
      <c r="P353" s="31" t="n">
        <v>8</v>
      </c>
      <c r="Q353" s="31"/>
      <c r="R353" s="35" t="n">
        <f aca="false">合約與計費!$D$4</f>
        <v>0.296</v>
      </c>
      <c r="S353" s="36" t="n">
        <f aca="false">ROUND(P353*R353,0)</f>
        <v>2</v>
      </c>
      <c r="T353" s="37"/>
      <c r="U353" s="31" t="n">
        <v>309</v>
      </c>
      <c r="V353" s="31" t="n">
        <v>431</v>
      </c>
      <c r="W353" s="31" t="n">
        <v>122</v>
      </c>
      <c r="X353" s="31" t="n">
        <v>118</v>
      </c>
      <c r="Y353" s="31"/>
      <c r="Z353" s="38" t="n">
        <f aca="false">合約與計費!$E$4</f>
        <v>2.8</v>
      </c>
      <c r="AA353" s="39" t="n">
        <f aca="false">ROUND(X353*Z353,0)</f>
        <v>330</v>
      </c>
      <c r="AB353" s="40"/>
      <c r="AC353" s="41"/>
      <c r="AD353" s="42"/>
      <c r="AE353" s="43"/>
    </row>
    <row r="354" customFormat="false" ht="16.5" hidden="false" customHeight="true" outlineLevel="0" collapsed="false">
      <c r="A354" s="44" t="n">
        <f aca="false">ROW(A352)</f>
        <v>352</v>
      </c>
      <c r="B354" s="44" t="s">
        <v>462</v>
      </c>
      <c r="C354" s="47" t="n">
        <v>1</v>
      </c>
      <c r="D354" s="27"/>
      <c r="E354" s="45" t="s">
        <v>1238</v>
      </c>
      <c r="F354" s="46" t="s">
        <v>1236</v>
      </c>
      <c r="G354" s="47" t="s">
        <v>1155</v>
      </c>
      <c r="H354" s="47" t="s">
        <v>1156</v>
      </c>
      <c r="I354" s="73" t="s">
        <v>362</v>
      </c>
      <c r="J354" s="45" t="s">
        <v>464</v>
      </c>
      <c r="K354" s="74" t="s">
        <v>1239</v>
      </c>
      <c r="L354" s="49" t="n">
        <v>45820</v>
      </c>
      <c r="M354" s="47" t="n">
        <v>222</v>
      </c>
      <c r="N354" s="47" t="n">
        <v>294</v>
      </c>
      <c r="O354" s="47" t="n">
        <v>72</v>
      </c>
      <c r="P354" s="47" t="n">
        <v>70</v>
      </c>
      <c r="Q354" s="47"/>
      <c r="R354" s="50" t="n">
        <f aca="false">合約與計費!$D$4</f>
        <v>0.296</v>
      </c>
      <c r="S354" s="51" t="n">
        <f aca="false">ROUND(P354*R354,0)</f>
        <v>21</v>
      </c>
      <c r="T354" s="52"/>
      <c r="U354" s="47"/>
      <c r="V354" s="47"/>
      <c r="W354" s="53"/>
      <c r="X354" s="47"/>
      <c r="Y354" s="47"/>
      <c r="Z354" s="54"/>
      <c r="AA354" s="55"/>
      <c r="AB354" s="56"/>
      <c r="AC354" s="57"/>
      <c r="AD354" s="42" t="n">
        <v>0.0353</v>
      </c>
      <c r="AE354" s="43" t="n">
        <v>0.9</v>
      </c>
    </row>
    <row r="355" customFormat="false" ht="16.5" hidden="false" customHeight="true" outlineLevel="0" collapsed="false">
      <c r="A355" s="44" t="n">
        <f aca="false">ROW(A353)</f>
        <v>353</v>
      </c>
      <c r="B355" s="44" t="s">
        <v>466</v>
      </c>
      <c r="C355" s="47" t="n">
        <v>1</v>
      </c>
      <c r="D355" s="27"/>
      <c r="E355" s="45" t="s">
        <v>1240</v>
      </c>
      <c r="F355" s="46" t="s">
        <v>1236</v>
      </c>
      <c r="G355" s="47" t="s">
        <v>1155</v>
      </c>
      <c r="H355" s="47" t="s">
        <v>1156</v>
      </c>
      <c r="I355" s="73" t="s">
        <v>362</v>
      </c>
      <c r="J355" s="45" t="s">
        <v>471</v>
      </c>
      <c r="K355" s="48" t="s">
        <v>1241</v>
      </c>
      <c r="L355" s="49" t="n">
        <v>45742</v>
      </c>
      <c r="M355" s="47" t="n">
        <v>7301</v>
      </c>
      <c r="N355" s="47" t="n">
        <v>8672</v>
      </c>
      <c r="O355" s="47" t="n">
        <v>1371</v>
      </c>
      <c r="P355" s="47" t="n">
        <v>1330</v>
      </c>
      <c r="Q355" s="47"/>
      <c r="R355" s="50" t="n">
        <f aca="false">合約與計費!$D$4</f>
        <v>0.296</v>
      </c>
      <c r="S355" s="51" t="n">
        <f aca="false">ROUND(P355*R355,0)</f>
        <v>394</v>
      </c>
      <c r="T355" s="52"/>
      <c r="U355" s="47"/>
      <c r="V355" s="47"/>
      <c r="W355" s="53"/>
      <c r="X355" s="47"/>
      <c r="Y355" s="47"/>
      <c r="Z355" s="54"/>
      <c r="AA355" s="55"/>
      <c r="AB355" s="56"/>
      <c r="AC355" s="57"/>
      <c r="AD355" s="42" t="n">
        <v>0.101</v>
      </c>
      <c r="AE355" s="43" t="n">
        <v>0.1</v>
      </c>
    </row>
    <row r="356" customFormat="false" ht="16.5" hidden="false" customHeight="true" outlineLevel="0" collapsed="false">
      <c r="A356" s="44" t="n">
        <f aca="false">ROW(A354)</f>
        <v>354</v>
      </c>
      <c r="B356" s="44" t="s">
        <v>469</v>
      </c>
      <c r="C356" s="47" t="n">
        <v>1</v>
      </c>
      <c r="D356" s="27"/>
      <c r="E356" s="45" t="s">
        <v>1242</v>
      </c>
      <c r="F356" s="46" t="s">
        <v>1236</v>
      </c>
      <c r="G356" s="47" t="s">
        <v>1155</v>
      </c>
      <c r="H356" s="47" t="s">
        <v>1156</v>
      </c>
      <c r="I356" s="73" t="s">
        <v>362</v>
      </c>
      <c r="J356" s="45" t="s">
        <v>471</v>
      </c>
      <c r="K356" s="48" t="s">
        <v>1243</v>
      </c>
      <c r="L356" s="49" t="n">
        <v>45742</v>
      </c>
      <c r="M356" s="47" t="n">
        <v>3614</v>
      </c>
      <c r="N356" s="47" t="n">
        <v>4340</v>
      </c>
      <c r="O356" s="47" t="n">
        <v>726</v>
      </c>
      <c r="P356" s="47" t="n">
        <v>704</v>
      </c>
      <c r="Q356" s="47"/>
      <c r="R356" s="50" t="n">
        <f aca="false">合約與計費!$D$4</f>
        <v>0.296</v>
      </c>
      <c r="S356" s="51" t="n">
        <f aca="false">ROUND(P356*R356,0)</f>
        <v>208</v>
      </c>
      <c r="T356" s="52"/>
      <c r="U356" s="47"/>
      <c r="V356" s="47"/>
      <c r="W356" s="53"/>
      <c r="X356" s="47"/>
      <c r="Y356" s="47"/>
      <c r="Z356" s="54"/>
      <c r="AA356" s="55"/>
      <c r="AB356" s="56"/>
      <c r="AC356" s="57"/>
      <c r="AD356" s="42" t="n">
        <v>0.1018</v>
      </c>
      <c r="AE356" s="43" t="n">
        <v>1</v>
      </c>
    </row>
    <row r="357" customFormat="false" ht="16.5" hidden="false" customHeight="true" outlineLevel="0" collapsed="false">
      <c r="A357" s="44" t="n">
        <f aca="false">ROW(A355)</f>
        <v>355</v>
      </c>
      <c r="B357" s="44" t="s">
        <v>473</v>
      </c>
      <c r="C357" s="47" t="n">
        <v>1</v>
      </c>
      <c r="D357" s="27"/>
      <c r="E357" s="45" t="s">
        <v>1244</v>
      </c>
      <c r="F357" s="46" t="s">
        <v>1236</v>
      </c>
      <c r="G357" s="47" t="s">
        <v>1155</v>
      </c>
      <c r="H357" s="47" t="s">
        <v>1156</v>
      </c>
      <c r="I357" s="73" t="s">
        <v>362</v>
      </c>
      <c r="J357" s="45" t="s">
        <v>471</v>
      </c>
      <c r="K357" s="48" t="s">
        <v>1245</v>
      </c>
      <c r="L357" s="49" t="n">
        <v>45820</v>
      </c>
      <c r="M357" s="47" t="n">
        <v>833</v>
      </c>
      <c r="N357" s="47" t="n">
        <v>1066</v>
      </c>
      <c r="O357" s="47" t="n">
        <v>233</v>
      </c>
      <c r="P357" s="47" t="n">
        <v>226</v>
      </c>
      <c r="Q357" s="47"/>
      <c r="R357" s="50" t="n">
        <f aca="false">合約與計費!$D$4</f>
        <v>0.296</v>
      </c>
      <c r="S357" s="51" t="n">
        <f aca="false">ROUND(P357*R357,0)</f>
        <v>67</v>
      </c>
      <c r="T357" s="52"/>
      <c r="U357" s="47"/>
      <c r="V357" s="47"/>
      <c r="W357" s="53"/>
      <c r="X357" s="47"/>
      <c r="Y357" s="47"/>
      <c r="Z357" s="54"/>
      <c r="AA357" s="55"/>
      <c r="AB357" s="56"/>
      <c r="AC357" s="57"/>
      <c r="AD357" s="42" t="n">
        <v>0.0415</v>
      </c>
      <c r="AE357" s="43" t="n">
        <v>0.7</v>
      </c>
    </row>
    <row r="358" customFormat="false" ht="16.5" hidden="false" customHeight="true" outlineLevel="0" collapsed="false">
      <c r="A358" s="44" t="n">
        <f aca="false">ROW(A356)</f>
        <v>356</v>
      </c>
      <c r="B358" s="44" t="s">
        <v>476</v>
      </c>
      <c r="C358" s="47" t="n">
        <v>1</v>
      </c>
      <c r="D358" s="27"/>
      <c r="E358" s="45" t="s">
        <v>1246</v>
      </c>
      <c r="F358" s="46" t="s">
        <v>1236</v>
      </c>
      <c r="G358" s="47" t="s">
        <v>1155</v>
      </c>
      <c r="H358" s="47" t="s">
        <v>1156</v>
      </c>
      <c r="I358" s="73" t="s">
        <v>362</v>
      </c>
      <c r="J358" s="45" t="s">
        <v>471</v>
      </c>
      <c r="K358" s="48" t="s">
        <v>1247</v>
      </c>
      <c r="L358" s="49" t="n">
        <v>45820</v>
      </c>
      <c r="M358" s="47" t="n">
        <v>1463</v>
      </c>
      <c r="N358" s="47" t="n">
        <v>1844</v>
      </c>
      <c r="O358" s="47" t="n">
        <v>381</v>
      </c>
      <c r="P358" s="47" t="n">
        <v>370</v>
      </c>
      <c r="Q358" s="47" t="n">
        <f aca="false">ROUND(SUM(P353:P358),2)</f>
        <v>2708</v>
      </c>
      <c r="R358" s="50" t="n">
        <f aca="false">合約與計費!$D$4</f>
        <v>0.296</v>
      </c>
      <c r="S358" s="51" t="n">
        <f aca="false">ROUND(P358*R358,0)</f>
        <v>110</v>
      </c>
      <c r="T358" s="52" t="n">
        <f aca="false">ROUND(SUM(S353:S358),2)</f>
        <v>802</v>
      </c>
      <c r="U358" s="47"/>
      <c r="V358" s="47"/>
      <c r="W358" s="53"/>
      <c r="X358" s="47"/>
      <c r="Y358" s="47" t="n">
        <f aca="false">ROUND(SUM(X353:X358),2)</f>
        <v>118</v>
      </c>
      <c r="Z358" s="54"/>
      <c r="AA358" s="55"/>
      <c r="AB358" s="56" t="n">
        <f aca="false">ROUND(SUM(AA353:AA358),2)</f>
        <v>330</v>
      </c>
      <c r="AC358" s="57"/>
      <c r="AD358" s="42" t="n">
        <v>0.276</v>
      </c>
      <c r="AE358" s="43" t="n">
        <v>0.7</v>
      </c>
    </row>
    <row r="359" customFormat="false" ht="16.5" hidden="false" customHeight="true" outlineLevel="0" collapsed="false">
      <c r="A359" s="27" t="n">
        <f aca="false">ROW(A357)</f>
        <v>357</v>
      </c>
      <c r="B359" s="27" t="s">
        <v>455</v>
      </c>
      <c r="C359" s="31" t="n">
        <v>1</v>
      </c>
      <c r="D359" s="29" t="n">
        <v>40</v>
      </c>
      <c r="E359" s="28" t="s">
        <v>1248</v>
      </c>
      <c r="F359" s="30" t="s">
        <v>1249</v>
      </c>
      <c r="G359" s="31" t="s">
        <v>1155</v>
      </c>
      <c r="H359" s="31" t="s">
        <v>1156</v>
      </c>
      <c r="I359" s="31" t="s">
        <v>167</v>
      </c>
      <c r="J359" s="28" t="s">
        <v>460</v>
      </c>
      <c r="K359" s="80" t="s">
        <v>1250</v>
      </c>
      <c r="L359" s="34" t="n">
        <v>45761</v>
      </c>
      <c r="M359" s="31" t="n">
        <v>313</v>
      </c>
      <c r="N359" s="31" t="n">
        <v>339</v>
      </c>
      <c r="O359" s="31" t="n">
        <v>26</v>
      </c>
      <c r="P359" s="31" t="n">
        <v>25</v>
      </c>
      <c r="Q359" s="31"/>
      <c r="R359" s="35" t="n">
        <f aca="false">合約與計費!$D$4</f>
        <v>0.296</v>
      </c>
      <c r="S359" s="36" t="n">
        <f aca="false">ROUND(P359*R359,0)</f>
        <v>7</v>
      </c>
      <c r="T359" s="37"/>
      <c r="U359" s="31" t="n">
        <v>87</v>
      </c>
      <c r="V359" s="31" t="n">
        <v>116</v>
      </c>
      <c r="W359" s="31" t="n">
        <v>29</v>
      </c>
      <c r="X359" s="31" t="n">
        <v>28</v>
      </c>
      <c r="Y359" s="31"/>
      <c r="Z359" s="38" t="n">
        <f aca="false">合約與計費!$E$4</f>
        <v>2.8</v>
      </c>
      <c r="AA359" s="39" t="n">
        <f aca="false">ROUND(X359*Z359,0)</f>
        <v>78</v>
      </c>
      <c r="AB359" s="40"/>
      <c r="AC359" s="41"/>
      <c r="AD359" s="42"/>
      <c r="AE359" s="43"/>
    </row>
    <row r="360" customFormat="false" ht="16.5" hidden="false" customHeight="true" outlineLevel="0" collapsed="false">
      <c r="A360" s="44" t="n">
        <f aca="false">ROW(A358)</f>
        <v>358</v>
      </c>
      <c r="B360" s="44" t="s">
        <v>462</v>
      </c>
      <c r="C360" s="47" t="n">
        <v>1</v>
      </c>
      <c r="D360" s="29"/>
      <c r="E360" s="45" t="s">
        <v>1251</v>
      </c>
      <c r="F360" s="46" t="s">
        <v>1249</v>
      </c>
      <c r="G360" s="47" t="s">
        <v>1155</v>
      </c>
      <c r="H360" s="47" t="s">
        <v>1156</v>
      </c>
      <c r="I360" s="47" t="s">
        <v>167</v>
      </c>
      <c r="J360" s="45" t="s">
        <v>464</v>
      </c>
      <c r="K360" s="48" t="s">
        <v>1252</v>
      </c>
      <c r="L360" s="49" t="n">
        <v>45761</v>
      </c>
      <c r="M360" s="47" t="n">
        <v>458</v>
      </c>
      <c r="N360" s="47" t="n">
        <v>611</v>
      </c>
      <c r="O360" s="47" t="n">
        <v>153</v>
      </c>
      <c r="P360" s="47" t="n">
        <v>148</v>
      </c>
      <c r="Q360" s="47"/>
      <c r="R360" s="50" t="n">
        <f aca="false">合約與計費!$D$4</f>
        <v>0.296</v>
      </c>
      <c r="S360" s="51" t="n">
        <f aca="false">ROUND(P360*R360,0)</f>
        <v>44</v>
      </c>
      <c r="T360" s="52"/>
      <c r="U360" s="47"/>
      <c r="V360" s="47"/>
      <c r="W360" s="53"/>
      <c r="X360" s="47"/>
      <c r="Y360" s="47"/>
      <c r="Z360" s="54"/>
      <c r="AA360" s="55"/>
      <c r="AB360" s="56"/>
      <c r="AC360" s="57"/>
      <c r="AD360" s="42" t="n">
        <v>0.0732</v>
      </c>
      <c r="AE360" s="43" t="n">
        <v>0.7</v>
      </c>
    </row>
    <row r="361" customFormat="false" ht="16.5" hidden="false" customHeight="true" outlineLevel="0" collapsed="false">
      <c r="A361" s="44" t="n">
        <f aca="false">ROW(A359)</f>
        <v>359</v>
      </c>
      <c r="B361" s="44" t="s">
        <v>466</v>
      </c>
      <c r="C361" s="47" t="n">
        <v>1</v>
      </c>
      <c r="D361" s="29"/>
      <c r="E361" s="45" t="s">
        <v>1253</v>
      </c>
      <c r="F361" s="46" t="s">
        <v>1249</v>
      </c>
      <c r="G361" s="47" t="s">
        <v>1155</v>
      </c>
      <c r="H361" s="47" t="s">
        <v>1156</v>
      </c>
      <c r="I361" s="47" t="s">
        <v>167</v>
      </c>
      <c r="J361" s="45" t="s">
        <v>527</v>
      </c>
      <c r="K361" s="48" t="s">
        <v>1254</v>
      </c>
      <c r="L361" s="49" t="n">
        <v>45761</v>
      </c>
      <c r="M361" s="47" t="n">
        <v>13645</v>
      </c>
      <c r="N361" s="47" t="n">
        <v>16700</v>
      </c>
      <c r="O361" s="47" t="n">
        <v>3055</v>
      </c>
      <c r="P361" s="47" t="n">
        <v>2963</v>
      </c>
      <c r="Q361" s="47"/>
      <c r="R361" s="50" t="n">
        <f aca="false">合約與計費!$D$4</f>
        <v>0.296</v>
      </c>
      <c r="S361" s="51" t="n">
        <f aca="false">ROUND(P361*R361,0)</f>
        <v>877</v>
      </c>
      <c r="T361" s="52"/>
      <c r="U361" s="47"/>
      <c r="V361" s="47"/>
      <c r="W361" s="53"/>
      <c r="X361" s="47"/>
      <c r="Y361" s="47"/>
      <c r="Z361" s="54"/>
      <c r="AA361" s="55"/>
      <c r="AB361" s="56"/>
      <c r="AC361" s="57"/>
      <c r="AD361" s="42"/>
      <c r="AE361" s="43"/>
    </row>
    <row r="362" customFormat="false" ht="16.5" hidden="false" customHeight="true" outlineLevel="0" collapsed="false">
      <c r="A362" s="44" t="n">
        <f aca="false">ROW(A360)</f>
        <v>360</v>
      </c>
      <c r="B362" s="44" t="s">
        <v>469</v>
      </c>
      <c r="C362" s="47" t="n">
        <v>1</v>
      </c>
      <c r="D362" s="29"/>
      <c r="E362" s="45" t="s">
        <v>1255</v>
      </c>
      <c r="F362" s="46" t="s">
        <v>1249</v>
      </c>
      <c r="G362" s="47" t="s">
        <v>1155</v>
      </c>
      <c r="H362" s="47" t="s">
        <v>1156</v>
      </c>
      <c r="I362" s="47" t="s">
        <v>167</v>
      </c>
      <c r="J362" s="45" t="s">
        <v>527</v>
      </c>
      <c r="K362" s="48" t="s">
        <v>1256</v>
      </c>
      <c r="L362" s="49" t="n">
        <v>45761</v>
      </c>
      <c r="M362" s="47" t="n">
        <v>6194</v>
      </c>
      <c r="N362" s="47" t="n">
        <v>7229</v>
      </c>
      <c r="O362" s="47" t="n">
        <v>1035</v>
      </c>
      <c r="P362" s="47" t="n">
        <v>1004</v>
      </c>
      <c r="Q362" s="47"/>
      <c r="R362" s="50" t="n">
        <f aca="false">合約與計費!$D$4</f>
        <v>0.296</v>
      </c>
      <c r="S362" s="51" t="n">
        <f aca="false">ROUND(P362*R362,0)</f>
        <v>297</v>
      </c>
      <c r="T362" s="52"/>
      <c r="U362" s="47"/>
      <c r="V362" s="47"/>
      <c r="W362" s="53"/>
      <c r="X362" s="47"/>
      <c r="Y362" s="47"/>
      <c r="Z362" s="54"/>
      <c r="AA362" s="55"/>
      <c r="AB362" s="56"/>
      <c r="AC362" s="57"/>
      <c r="AD362" s="42"/>
      <c r="AE362" s="43"/>
    </row>
    <row r="363" customFormat="false" ht="16.5" hidden="false" customHeight="true" outlineLevel="0" collapsed="false">
      <c r="A363" s="59" t="n">
        <f aca="false">ROW(A361)</f>
        <v>361</v>
      </c>
      <c r="B363" s="59" t="s">
        <v>473</v>
      </c>
      <c r="C363" s="62" t="n">
        <v>1</v>
      </c>
      <c r="D363" s="29"/>
      <c r="E363" s="60" t="s">
        <v>1257</v>
      </c>
      <c r="F363" s="61" t="s">
        <v>1249</v>
      </c>
      <c r="G363" s="62" t="s">
        <v>1155</v>
      </c>
      <c r="H363" s="62" t="s">
        <v>1156</v>
      </c>
      <c r="I363" s="62" t="s">
        <v>167</v>
      </c>
      <c r="J363" s="45" t="s">
        <v>527</v>
      </c>
      <c r="K363" s="48" t="s">
        <v>1258</v>
      </c>
      <c r="L363" s="49" t="n">
        <v>45761</v>
      </c>
      <c r="M363" s="47" t="n">
        <v>863</v>
      </c>
      <c r="N363" s="47" t="n">
        <v>1006</v>
      </c>
      <c r="O363" s="62" t="n">
        <v>143</v>
      </c>
      <c r="P363" s="62" t="n">
        <v>139</v>
      </c>
      <c r="Q363" s="62" t="n">
        <f aca="false">ROUND(SUM(P359:P363),2)</f>
        <v>4279</v>
      </c>
      <c r="R363" s="65" t="n">
        <f aca="false">合約與計費!$D$4</f>
        <v>0.296</v>
      </c>
      <c r="S363" s="66" t="n">
        <f aca="false">ROUND(P363*R363,0)</f>
        <v>41</v>
      </c>
      <c r="T363" s="79" t="n">
        <f aca="false">ROUND(SUM(S359:S363),2)</f>
        <v>1266</v>
      </c>
      <c r="U363" s="47"/>
      <c r="V363" s="47"/>
      <c r="W363" s="53"/>
      <c r="X363" s="47"/>
      <c r="Y363" s="62" t="n">
        <f aca="false">ROUND(SUM(X359:X363),2)</f>
        <v>28</v>
      </c>
      <c r="Z363" s="68"/>
      <c r="AA363" s="77"/>
      <c r="AB363" s="78" t="n">
        <f aca="false">ROUND(SUM(AA359:AA363),2)</f>
        <v>78</v>
      </c>
      <c r="AC363" s="57"/>
      <c r="AD363" s="42"/>
      <c r="AE363" s="43"/>
    </row>
    <row r="364" customFormat="false" ht="16.5" hidden="false" customHeight="true" outlineLevel="0" collapsed="false">
      <c r="A364" s="27" t="n">
        <f aca="false">ROW(A362)</f>
        <v>362</v>
      </c>
      <c r="B364" s="27" t="s">
        <v>455</v>
      </c>
      <c r="C364" s="31" t="n">
        <v>1</v>
      </c>
      <c r="D364" s="29" t="n">
        <v>41</v>
      </c>
      <c r="E364" s="28" t="s">
        <v>1259</v>
      </c>
      <c r="F364" s="30" t="s">
        <v>1260</v>
      </c>
      <c r="G364" s="31" t="s">
        <v>1155</v>
      </c>
      <c r="H364" s="31" t="s">
        <v>1156</v>
      </c>
      <c r="I364" s="31" t="s">
        <v>175</v>
      </c>
      <c r="J364" s="28" t="s">
        <v>460</v>
      </c>
      <c r="K364" s="80" t="s">
        <v>1261</v>
      </c>
      <c r="L364" s="34" t="n">
        <v>45779</v>
      </c>
      <c r="M364" s="31" t="n">
        <v>750</v>
      </c>
      <c r="N364" s="31" t="n">
        <v>964</v>
      </c>
      <c r="O364" s="31" t="n">
        <v>214</v>
      </c>
      <c r="P364" s="31" t="n">
        <v>208</v>
      </c>
      <c r="Q364" s="31"/>
      <c r="R364" s="35" t="n">
        <f aca="false">合約與計費!$D$4</f>
        <v>0.296</v>
      </c>
      <c r="S364" s="36" t="n">
        <f aca="false">ROUND(P364*R364,0)</f>
        <v>62</v>
      </c>
      <c r="T364" s="37"/>
      <c r="U364" s="31" t="n">
        <v>68</v>
      </c>
      <c r="V364" s="31" t="n">
        <v>99</v>
      </c>
      <c r="W364" s="31" t="n">
        <v>31</v>
      </c>
      <c r="X364" s="31" t="n">
        <v>30</v>
      </c>
      <c r="Y364" s="31"/>
      <c r="Z364" s="38" t="n">
        <f aca="false">合約與計費!$E$4</f>
        <v>2.8</v>
      </c>
      <c r="AA364" s="39" t="n">
        <f aca="false">ROUND(X364*Z364,0)</f>
        <v>84</v>
      </c>
      <c r="AB364" s="40"/>
      <c r="AC364" s="41"/>
      <c r="AD364" s="42"/>
      <c r="AE364" s="43"/>
    </row>
    <row r="365" customFormat="false" ht="16.5" hidden="false" customHeight="true" outlineLevel="0" collapsed="false">
      <c r="A365" s="44" t="n">
        <f aca="false">ROW(A363)</f>
        <v>363</v>
      </c>
      <c r="B365" s="44" t="s">
        <v>462</v>
      </c>
      <c r="C365" s="47" t="n">
        <v>1</v>
      </c>
      <c r="D365" s="29"/>
      <c r="E365" s="45" t="s">
        <v>1262</v>
      </c>
      <c r="F365" s="46" t="s">
        <v>1260</v>
      </c>
      <c r="G365" s="47" t="s">
        <v>1155</v>
      </c>
      <c r="H365" s="47" t="s">
        <v>1156</v>
      </c>
      <c r="I365" s="47" t="s">
        <v>175</v>
      </c>
      <c r="J365" s="45" t="s">
        <v>471</v>
      </c>
      <c r="K365" s="48" t="s">
        <v>1263</v>
      </c>
      <c r="L365" s="49" t="n">
        <v>45779</v>
      </c>
      <c r="M365" s="47" t="n">
        <v>5473</v>
      </c>
      <c r="N365" s="47" t="n">
        <v>6713</v>
      </c>
      <c r="O365" s="47" t="n">
        <v>1240</v>
      </c>
      <c r="P365" s="47" t="n">
        <v>1203</v>
      </c>
      <c r="Q365" s="47"/>
      <c r="R365" s="50" t="n">
        <f aca="false">合約與計費!$D$4</f>
        <v>0.296</v>
      </c>
      <c r="S365" s="51" t="n">
        <f aca="false">ROUND(P365*R365,0)</f>
        <v>356</v>
      </c>
      <c r="T365" s="52"/>
      <c r="U365" s="47"/>
      <c r="V365" s="47"/>
      <c r="W365" s="53"/>
      <c r="X365" s="47"/>
      <c r="Y365" s="47"/>
      <c r="Z365" s="54"/>
      <c r="AA365" s="55"/>
      <c r="AB365" s="56"/>
      <c r="AC365" s="57"/>
      <c r="AD365" s="42" t="n">
        <v>0.1124</v>
      </c>
      <c r="AE365" s="43" t="n">
        <v>0.2</v>
      </c>
    </row>
    <row r="366" customFormat="false" ht="16.5" hidden="false" customHeight="true" outlineLevel="0" collapsed="false">
      <c r="A366" s="44" t="n">
        <f aca="false">ROW(A364)</f>
        <v>364</v>
      </c>
      <c r="B366" s="44" t="s">
        <v>466</v>
      </c>
      <c r="C366" s="47" t="n">
        <v>1</v>
      </c>
      <c r="D366" s="29"/>
      <c r="E366" s="45" t="s">
        <v>1264</v>
      </c>
      <c r="F366" s="46" t="s">
        <v>1260</v>
      </c>
      <c r="G366" s="47" t="s">
        <v>1155</v>
      </c>
      <c r="H366" s="47" t="s">
        <v>1156</v>
      </c>
      <c r="I366" s="47" t="s">
        <v>175</v>
      </c>
      <c r="J366" s="45" t="s">
        <v>471</v>
      </c>
      <c r="K366" s="48" t="s">
        <v>1265</v>
      </c>
      <c r="L366" s="49" t="n">
        <v>45779</v>
      </c>
      <c r="M366" s="47" t="n">
        <v>1627</v>
      </c>
      <c r="N366" s="47" t="n">
        <v>1932</v>
      </c>
      <c r="O366" s="47" t="n">
        <v>305</v>
      </c>
      <c r="P366" s="47" t="n">
        <v>296</v>
      </c>
      <c r="Q366" s="47"/>
      <c r="R366" s="50" t="n">
        <f aca="false">合約與計費!$D$4</f>
        <v>0.296</v>
      </c>
      <c r="S366" s="51" t="n">
        <f aca="false">ROUND(P366*R366,0)</f>
        <v>88</v>
      </c>
      <c r="T366" s="52"/>
      <c r="U366" s="47"/>
      <c r="V366" s="47"/>
      <c r="W366" s="53"/>
      <c r="X366" s="47"/>
      <c r="Y366" s="47"/>
      <c r="Z366" s="54"/>
      <c r="AA366" s="55"/>
      <c r="AB366" s="56"/>
      <c r="AC366" s="57"/>
      <c r="AD366" s="42" t="n">
        <v>0.0459</v>
      </c>
      <c r="AE366" s="43" t="n">
        <v>0.3</v>
      </c>
    </row>
    <row r="367" customFormat="false" ht="16.5" hidden="false" customHeight="true" outlineLevel="0" collapsed="false">
      <c r="A367" s="44" t="n">
        <f aca="false">ROW(A365)</f>
        <v>365</v>
      </c>
      <c r="B367" s="44" t="s">
        <v>469</v>
      </c>
      <c r="C367" s="47" t="n">
        <v>1</v>
      </c>
      <c r="D367" s="29"/>
      <c r="E367" s="45" t="s">
        <v>1266</v>
      </c>
      <c r="F367" s="46" t="s">
        <v>1260</v>
      </c>
      <c r="G367" s="47" t="s">
        <v>1155</v>
      </c>
      <c r="H367" s="47" t="s">
        <v>1156</v>
      </c>
      <c r="I367" s="47" t="s">
        <v>175</v>
      </c>
      <c r="J367" s="45" t="s">
        <v>471</v>
      </c>
      <c r="K367" s="48" t="s">
        <v>1267</v>
      </c>
      <c r="L367" s="49" t="n">
        <v>45779</v>
      </c>
      <c r="M367" s="47" t="n">
        <v>4907</v>
      </c>
      <c r="N367" s="47" t="n">
        <v>6219</v>
      </c>
      <c r="O367" s="47" t="n">
        <v>1312</v>
      </c>
      <c r="P367" s="47" t="n">
        <v>1273</v>
      </c>
      <c r="Q367" s="47"/>
      <c r="R367" s="50" t="n">
        <f aca="false">合約與計費!$D$4</f>
        <v>0.296</v>
      </c>
      <c r="S367" s="51" t="n">
        <f aca="false">ROUND(P367*R367,0)</f>
        <v>377</v>
      </c>
      <c r="T367" s="52"/>
      <c r="U367" s="47"/>
      <c r="V367" s="47"/>
      <c r="W367" s="53"/>
      <c r="X367" s="47"/>
      <c r="Y367" s="47"/>
      <c r="Z367" s="54"/>
      <c r="AA367" s="55"/>
      <c r="AB367" s="56"/>
      <c r="AC367" s="57"/>
      <c r="AD367" s="42" t="n">
        <v>0.105</v>
      </c>
      <c r="AE367" s="43" t="n">
        <v>0.3</v>
      </c>
    </row>
    <row r="368" customFormat="false" ht="16.5" hidden="false" customHeight="true" outlineLevel="0" collapsed="false">
      <c r="A368" s="59" t="n">
        <f aca="false">ROW(A366)</f>
        <v>366</v>
      </c>
      <c r="B368" s="59" t="s">
        <v>473</v>
      </c>
      <c r="C368" s="62" t="n">
        <v>1</v>
      </c>
      <c r="D368" s="29"/>
      <c r="E368" s="60" t="s">
        <v>1268</v>
      </c>
      <c r="F368" s="61" t="s">
        <v>1260</v>
      </c>
      <c r="G368" s="62" t="s">
        <v>1155</v>
      </c>
      <c r="H368" s="62" t="s">
        <v>1156</v>
      </c>
      <c r="I368" s="62" t="s">
        <v>175</v>
      </c>
      <c r="J368" s="60" t="s">
        <v>471</v>
      </c>
      <c r="K368" s="63" t="s">
        <v>1269</v>
      </c>
      <c r="L368" s="64" t="n">
        <v>45779</v>
      </c>
      <c r="M368" s="62" t="n">
        <v>9698</v>
      </c>
      <c r="N368" s="62" t="n">
        <v>12252</v>
      </c>
      <c r="O368" s="62" t="n">
        <v>2554</v>
      </c>
      <c r="P368" s="62" t="n">
        <v>2477</v>
      </c>
      <c r="Q368" s="62" t="n">
        <f aca="false">ROUND(SUM(P364:P368),2)</f>
        <v>5457</v>
      </c>
      <c r="R368" s="65" t="n">
        <f aca="false">合約與計費!$D$4</f>
        <v>0.296</v>
      </c>
      <c r="S368" s="66" t="n">
        <f aca="false">ROUND(P368*R368,0)</f>
        <v>733</v>
      </c>
      <c r="T368" s="79" t="n">
        <f aca="false">ROUND(SUM(S364:S368),2)</f>
        <v>1616</v>
      </c>
      <c r="U368" s="62"/>
      <c r="V368" s="62"/>
      <c r="W368" s="67"/>
      <c r="X368" s="62"/>
      <c r="Y368" s="62" t="n">
        <f aca="false">ROUND(SUM(X364:X368),2)</f>
        <v>30</v>
      </c>
      <c r="Z368" s="68"/>
      <c r="AA368" s="77"/>
      <c r="AB368" s="78" t="n">
        <f aca="false">ROUND(SUM(AA364:AA368),2)</f>
        <v>84</v>
      </c>
      <c r="AC368" s="69"/>
      <c r="AD368" s="42" t="n">
        <v>0.1096</v>
      </c>
      <c r="AE368" s="43" t="n">
        <v>0.6</v>
      </c>
    </row>
    <row r="369" customFormat="false" ht="16.5" hidden="false" customHeight="true" outlineLevel="0" collapsed="false">
      <c r="A369" s="27" t="n">
        <f aca="false">ROW(A367)</f>
        <v>367</v>
      </c>
      <c r="B369" s="27" t="s">
        <v>455</v>
      </c>
      <c r="C369" s="31" t="n">
        <v>1</v>
      </c>
      <c r="D369" s="29" t="n">
        <v>44</v>
      </c>
      <c r="E369" s="28" t="s">
        <v>1270</v>
      </c>
      <c r="F369" s="30" t="s">
        <v>1271</v>
      </c>
      <c r="G369" s="31" t="s">
        <v>1155</v>
      </c>
      <c r="H369" s="31" t="s">
        <v>1156</v>
      </c>
      <c r="I369" s="31" t="s">
        <v>281</v>
      </c>
      <c r="J369" s="28" t="s">
        <v>460</v>
      </c>
      <c r="K369" s="80" t="s">
        <v>1272</v>
      </c>
      <c r="L369" s="34" t="n">
        <v>45749</v>
      </c>
      <c r="M369" s="31" t="n">
        <v>692</v>
      </c>
      <c r="N369" s="31" t="n">
        <v>815</v>
      </c>
      <c r="O369" s="31" t="n">
        <v>123</v>
      </c>
      <c r="P369" s="31" t="n">
        <v>119</v>
      </c>
      <c r="Q369" s="31"/>
      <c r="R369" s="35" t="n">
        <f aca="false">合約與計費!$D$4</f>
        <v>0.296</v>
      </c>
      <c r="S369" s="36" t="n">
        <f aca="false">ROUND(P369*R369,0)</f>
        <v>35</v>
      </c>
      <c r="T369" s="37"/>
      <c r="U369" s="31" t="n">
        <v>224</v>
      </c>
      <c r="V369" s="31" t="n">
        <v>321</v>
      </c>
      <c r="W369" s="31" t="n">
        <v>97</v>
      </c>
      <c r="X369" s="31" t="n">
        <v>94</v>
      </c>
      <c r="Y369" s="31"/>
      <c r="Z369" s="38" t="n">
        <f aca="false">合約與計費!$E$4</f>
        <v>2.8</v>
      </c>
      <c r="AA369" s="39" t="n">
        <f aca="false">ROUND(X369*Z369,0)</f>
        <v>263</v>
      </c>
      <c r="AB369" s="40"/>
      <c r="AC369" s="41"/>
      <c r="AD369" s="42"/>
      <c r="AE369" s="43"/>
    </row>
    <row r="370" customFormat="false" ht="16.5" hidden="false" customHeight="true" outlineLevel="0" collapsed="false">
      <c r="A370" s="44" t="n">
        <f aca="false">ROW(A368)</f>
        <v>368</v>
      </c>
      <c r="B370" s="44" t="s">
        <v>476</v>
      </c>
      <c r="C370" s="47" t="n">
        <v>1</v>
      </c>
      <c r="D370" s="29"/>
      <c r="E370" s="45" t="s">
        <v>1273</v>
      </c>
      <c r="F370" s="46" t="s">
        <v>1271</v>
      </c>
      <c r="G370" s="47" t="s">
        <v>1155</v>
      </c>
      <c r="H370" s="47" t="s">
        <v>1156</v>
      </c>
      <c r="I370" s="47" t="s">
        <v>281</v>
      </c>
      <c r="J370" s="45" t="s">
        <v>464</v>
      </c>
      <c r="K370" s="48" t="s">
        <v>1274</v>
      </c>
      <c r="L370" s="49" t="n">
        <v>45889</v>
      </c>
      <c r="M370" s="47" t="n">
        <v>45</v>
      </c>
      <c r="N370" s="47" t="n">
        <v>67</v>
      </c>
      <c r="O370" s="47" t="n">
        <v>22</v>
      </c>
      <c r="P370" s="47" t="n">
        <v>21</v>
      </c>
      <c r="Q370" s="47"/>
      <c r="R370" s="50" t="n">
        <f aca="false">合約與計費!$D$4</f>
        <v>0.296</v>
      </c>
      <c r="S370" s="51" t="n">
        <f aca="false">ROUND(P370*R370,0)</f>
        <v>6</v>
      </c>
      <c r="T370" s="52"/>
      <c r="U370" s="47"/>
      <c r="V370" s="47"/>
      <c r="W370" s="53"/>
      <c r="X370" s="47"/>
      <c r="Y370" s="47"/>
      <c r="Z370" s="54"/>
      <c r="AA370" s="55"/>
      <c r="AB370" s="56"/>
      <c r="AC370" s="57"/>
      <c r="AD370" s="42" t="n">
        <v>0.031</v>
      </c>
      <c r="AE370" s="43" t="n">
        <v>1</v>
      </c>
    </row>
    <row r="371" customFormat="false" ht="16.5" hidden="false" customHeight="true" outlineLevel="0" collapsed="false">
      <c r="A371" s="44" t="n">
        <f aca="false">ROW(A369)</f>
        <v>369</v>
      </c>
      <c r="B371" s="44" t="s">
        <v>462</v>
      </c>
      <c r="C371" s="47" t="n">
        <v>1</v>
      </c>
      <c r="D371" s="29"/>
      <c r="E371" s="45" t="s">
        <v>1275</v>
      </c>
      <c r="F371" s="46" t="s">
        <v>1271</v>
      </c>
      <c r="G371" s="47" t="s">
        <v>1155</v>
      </c>
      <c r="H371" s="47" t="s">
        <v>1156</v>
      </c>
      <c r="I371" s="47" t="s">
        <v>281</v>
      </c>
      <c r="J371" s="45" t="s">
        <v>471</v>
      </c>
      <c r="K371" s="48" t="s">
        <v>1276</v>
      </c>
      <c r="L371" s="49" t="n">
        <v>45749</v>
      </c>
      <c r="M371" s="47" t="n">
        <v>4182</v>
      </c>
      <c r="N371" s="47" t="n">
        <v>4587</v>
      </c>
      <c r="O371" s="47" t="n">
        <v>405</v>
      </c>
      <c r="P371" s="47" t="n">
        <v>393</v>
      </c>
      <c r="Q371" s="47"/>
      <c r="R371" s="50" t="n">
        <f aca="false">合約與計費!$D$4</f>
        <v>0.296</v>
      </c>
      <c r="S371" s="51" t="n">
        <f aca="false">ROUND(P371*R371,0)</f>
        <v>116</v>
      </c>
      <c r="T371" s="52"/>
      <c r="U371" s="47"/>
      <c r="V371" s="47"/>
      <c r="W371" s="53"/>
      <c r="X371" s="47"/>
      <c r="Y371" s="47"/>
      <c r="Z371" s="54"/>
      <c r="AA371" s="55"/>
      <c r="AB371" s="56"/>
      <c r="AC371" s="57"/>
      <c r="AD371" s="42" t="n">
        <v>0.0561</v>
      </c>
      <c r="AE371" s="43" t="n">
        <v>1</v>
      </c>
    </row>
    <row r="372" customFormat="false" ht="16.5" hidden="false" customHeight="true" outlineLevel="0" collapsed="false">
      <c r="A372" s="44" t="n">
        <f aca="false">ROW(A370)</f>
        <v>370</v>
      </c>
      <c r="B372" s="44" t="s">
        <v>466</v>
      </c>
      <c r="C372" s="47" t="n">
        <v>1</v>
      </c>
      <c r="D372" s="29"/>
      <c r="E372" s="45" t="s">
        <v>1277</v>
      </c>
      <c r="F372" s="46" t="s">
        <v>1271</v>
      </c>
      <c r="G372" s="47" t="s">
        <v>1155</v>
      </c>
      <c r="H372" s="47" t="s">
        <v>1156</v>
      </c>
      <c r="I372" s="47" t="s">
        <v>281</v>
      </c>
      <c r="J372" s="45" t="s">
        <v>471</v>
      </c>
      <c r="K372" s="48" t="s">
        <v>1278</v>
      </c>
      <c r="L372" s="49" t="n">
        <v>45749</v>
      </c>
      <c r="M372" s="47" t="n">
        <v>5884</v>
      </c>
      <c r="N372" s="47" t="n">
        <v>7092</v>
      </c>
      <c r="O372" s="47" t="n">
        <v>1208</v>
      </c>
      <c r="P372" s="47" t="n">
        <v>1172</v>
      </c>
      <c r="Q372" s="47"/>
      <c r="R372" s="50" t="n">
        <f aca="false">合約與計費!$D$4</f>
        <v>0.296</v>
      </c>
      <c r="S372" s="51" t="n">
        <f aca="false">ROUND(P372*R372,0)</f>
        <v>347</v>
      </c>
      <c r="T372" s="52"/>
      <c r="U372" s="47"/>
      <c r="V372" s="47"/>
      <c r="W372" s="53"/>
      <c r="X372" s="47"/>
      <c r="Y372" s="47"/>
      <c r="Z372" s="54"/>
      <c r="AA372" s="55"/>
      <c r="AB372" s="56"/>
      <c r="AC372" s="57"/>
      <c r="AD372" s="42" t="n">
        <v>0.0998</v>
      </c>
      <c r="AE372" s="43" t="n">
        <v>0.6</v>
      </c>
    </row>
    <row r="373" customFormat="false" ht="16.5" hidden="false" customHeight="true" outlineLevel="0" collapsed="false">
      <c r="A373" s="44" t="n">
        <f aca="false">ROW(A371)</f>
        <v>371</v>
      </c>
      <c r="B373" s="44" t="s">
        <v>469</v>
      </c>
      <c r="C373" s="47" t="n">
        <v>1</v>
      </c>
      <c r="D373" s="29"/>
      <c r="E373" s="45" t="s">
        <v>1279</v>
      </c>
      <c r="F373" s="46" t="s">
        <v>1271</v>
      </c>
      <c r="G373" s="47" t="s">
        <v>1155</v>
      </c>
      <c r="H373" s="47" t="s">
        <v>1156</v>
      </c>
      <c r="I373" s="47" t="s">
        <v>281</v>
      </c>
      <c r="J373" s="45" t="s">
        <v>471</v>
      </c>
      <c r="K373" s="48" t="s">
        <v>1280</v>
      </c>
      <c r="L373" s="49" t="n">
        <v>45749</v>
      </c>
      <c r="M373" s="47" t="n">
        <v>14375</v>
      </c>
      <c r="N373" s="47" t="n">
        <v>17117</v>
      </c>
      <c r="O373" s="47" t="n">
        <v>2742</v>
      </c>
      <c r="P373" s="47" t="n">
        <v>2660</v>
      </c>
      <c r="Q373" s="47"/>
      <c r="R373" s="50" t="n">
        <f aca="false">合約與計費!$D$4</f>
        <v>0.296</v>
      </c>
      <c r="S373" s="51" t="n">
        <f aca="false">ROUND(P373*R373,0)</f>
        <v>787</v>
      </c>
      <c r="T373" s="52"/>
      <c r="U373" s="47"/>
      <c r="V373" s="47"/>
      <c r="W373" s="53"/>
      <c r="X373" s="47"/>
      <c r="Y373" s="47"/>
      <c r="Z373" s="54"/>
      <c r="AA373" s="55"/>
      <c r="AB373" s="56"/>
      <c r="AC373" s="57"/>
      <c r="AD373" s="42" t="n">
        <v>0.1138</v>
      </c>
      <c r="AE373" s="43" t="n">
        <v>0.6</v>
      </c>
    </row>
    <row r="374" customFormat="false" ht="16.5" hidden="false" customHeight="true" outlineLevel="0" collapsed="false">
      <c r="A374" s="59" t="n">
        <f aca="false">ROW(A372)</f>
        <v>372</v>
      </c>
      <c r="B374" s="59" t="s">
        <v>473</v>
      </c>
      <c r="C374" s="62" t="n">
        <v>1</v>
      </c>
      <c r="D374" s="29"/>
      <c r="E374" s="60" t="s">
        <v>1281</v>
      </c>
      <c r="F374" s="61" t="s">
        <v>1271</v>
      </c>
      <c r="G374" s="62" t="s">
        <v>1155</v>
      </c>
      <c r="H374" s="62" t="s">
        <v>1156</v>
      </c>
      <c r="I374" s="62" t="s">
        <v>281</v>
      </c>
      <c r="J374" s="60" t="s">
        <v>471</v>
      </c>
      <c r="K374" s="63" t="s">
        <v>1282</v>
      </c>
      <c r="L374" s="64" t="n">
        <v>45749</v>
      </c>
      <c r="M374" s="62" t="n">
        <v>4551</v>
      </c>
      <c r="N374" s="62" t="n">
        <v>5520</v>
      </c>
      <c r="O374" s="47" t="n">
        <v>969</v>
      </c>
      <c r="P374" s="47" t="n">
        <v>940</v>
      </c>
      <c r="Q374" s="47" t="n">
        <f aca="false">ROUND(SUM(P369:P374),2)</f>
        <v>5305</v>
      </c>
      <c r="R374" s="65" t="n">
        <f aca="false">合約與計費!$D$4</f>
        <v>0.296</v>
      </c>
      <c r="S374" s="66" t="n">
        <f aca="false">ROUND(P374*R374,0)</f>
        <v>278</v>
      </c>
      <c r="T374" s="52" t="n">
        <f aca="false">ROUND(SUM(S369:S374),2)</f>
        <v>1569</v>
      </c>
      <c r="U374" s="62"/>
      <c r="V374" s="62"/>
      <c r="W374" s="67"/>
      <c r="X374" s="62"/>
      <c r="Y374" s="47" t="n">
        <f aca="false">ROUND(SUM(X369:X374),2)</f>
        <v>94</v>
      </c>
      <c r="Z374" s="68"/>
      <c r="AA374" s="55"/>
      <c r="AB374" s="56" t="n">
        <f aca="false">ROUND(SUM(AA369:AA374),2)</f>
        <v>263</v>
      </c>
      <c r="AC374" s="69"/>
      <c r="AD374" s="42" t="n">
        <v>0.0952</v>
      </c>
      <c r="AE374" s="43" t="n">
        <v>0.6</v>
      </c>
    </row>
    <row r="375" customFormat="false" ht="16.5" hidden="false" customHeight="true" outlineLevel="0" collapsed="false">
      <c r="A375" s="27" t="n">
        <f aca="false">ROW(A373)</f>
        <v>373</v>
      </c>
      <c r="B375" s="27" t="s">
        <v>455</v>
      </c>
      <c r="C375" s="31" t="n">
        <v>1</v>
      </c>
      <c r="D375" s="29" t="n">
        <v>48</v>
      </c>
      <c r="E375" s="28" t="s">
        <v>1283</v>
      </c>
      <c r="F375" s="30" t="s">
        <v>1284</v>
      </c>
      <c r="G375" s="31" t="s">
        <v>1155</v>
      </c>
      <c r="H375" s="31" t="s">
        <v>1285</v>
      </c>
      <c r="I375" s="31" t="s">
        <v>214</v>
      </c>
      <c r="J375" s="28" t="s">
        <v>460</v>
      </c>
      <c r="K375" s="80" t="s">
        <v>1286</v>
      </c>
      <c r="L375" s="34" t="n">
        <v>45741</v>
      </c>
      <c r="M375" s="31" t="n">
        <v>240</v>
      </c>
      <c r="N375" s="31" t="n">
        <v>261</v>
      </c>
      <c r="O375" s="31" t="n">
        <v>21</v>
      </c>
      <c r="P375" s="31" t="n">
        <v>20</v>
      </c>
      <c r="Q375" s="31"/>
      <c r="R375" s="35" t="n">
        <f aca="false">合約與計費!$D$4</f>
        <v>0.296</v>
      </c>
      <c r="S375" s="36" t="n">
        <f aca="false">ROUND(P375*R375,0)</f>
        <v>6</v>
      </c>
      <c r="T375" s="37"/>
      <c r="U375" s="31" t="n">
        <v>145</v>
      </c>
      <c r="V375" s="31" t="n">
        <v>157</v>
      </c>
      <c r="W375" s="31" t="n">
        <v>12</v>
      </c>
      <c r="X375" s="31" t="n">
        <v>12</v>
      </c>
      <c r="Y375" s="31"/>
      <c r="Z375" s="38" t="n">
        <f aca="false">合約與計費!$E$4</f>
        <v>2.8</v>
      </c>
      <c r="AA375" s="39" t="n">
        <f aca="false">ROUND(X375*Z375,0)</f>
        <v>34</v>
      </c>
      <c r="AB375" s="40"/>
      <c r="AC375" s="41"/>
      <c r="AD375" s="42"/>
      <c r="AE375" s="43"/>
    </row>
    <row r="376" customFormat="false" ht="16.5" hidden="false" customHeight="true" outlineLevel="0" collapsed="false">
      <c r="A376" s="44" t="n">
        <f aca="false">ROW(A374)</f>
        <v>374</v>
      </c>
      <c r="B376" s="44" t="s">
        <v>462</v>
      </c>
      <c r="C376" s="47" t="n">
        <v>1</v>
      </c>
      <c r="D376" s="29"/>
      <c r="E376" s="45" t="s">
        <v>1287</v>
      </c>
      <c r="F376" s="46" t="s">
        <v>1284</v>
      </c>
      <c r="G376" s="47" t="s">
        <v>1155</v>
      </c>
      <c r="H376" s="47" t="s">
        <v>1285</v>
      </c>
      <c r="I376" s="47" t="s">
        <v>214</v>
      </c>
      <c r="J376" s="45" t="s">
        <v>471</v>
      </c>
      <c r="K376" s="48" t="s">
        <v>1288</v>
      </c>
      <c r="L376" s="49" t="n">
        <v>45741</v>
      </c>
      <c r="M376" s="47" t="n">
        <v>16366</v>
      </c>
      <c r="N376" s="47" t="n">
        <v>17959</v>
      </c>
      <c r="O376" s="47" t="n">
        <v>1593</v>
      </c>
      <c r="P376" s="47" t="n">
        <v>1545</v>
      </c>
      <c r="Q376" s="47"/>
      <c r="R376" s="50" t="n">
        <f aca="false">合約與計費!$D$4</f>
        <v>0.296</v>
      </c>
      <c r="S376" s="51" t="n">
        <f aca="false">ROUND(P376*R376,0)</f>
        <v>457</v>
      </c>
      <c r="T376" s="52"/>
      <c r="U376" s="47"/>
      <c r="V376" s="47"/>
      <c r="W376" s="53"/>
      <c r="X376" s="47"/>
      <c r="Y376" s="47"/>
      <c r="Z376" s="54"/>
      <c r="AA376" s="55"/>
      <c r="AB376" s="56"/>
      <c r="AC376" s="57"/>
      <c r="AD376" s="42" t="n">
        <v>0.089</v>
      </c>
      <c r="AE376" s="43" t="n">
        <v>0.1</v>
      </c>
    </row>
    <row r="377" customFormat="false" ht="16.5" hidden="false" customHeight="true" outlineLevel="0" collapsed="false">
      <c r="A377" s="44" t="n">
        <f aca="false">ROW(A375)</f>
        <v>375</v>
      </c>
      <c r="B377" s="44" t="s">
        <v>466</v>
      </c>
      <c r="C377" s="47" t="n">
        <v>1</v>
      </c>
      <c r="D377" s="29"/>
      <c r="E377" s="45" t="s">
        <v>1289</v>
      </c>
      <c r="F377" s="46" t="s">
        <v>1284</v>
      </c>
      <c r="G377" s="47" t="s">
        <v>1155</v>
      </c>
      <c r="H377" s="47" t="s">
        <v>1285</v>
      </c>
      <c r="I377" s="47" t="s">
        <v>214</v>
      </c>
      <c r="J377" s="45" t="s">
        <v>471</v>
      </c>
      <c r="K377" s="48" t="s">
        <v>1290</v>
      </c>
      <c r="L377" s="49" t="n">
        <v>45741</v>
      </c>
      <c r="M377" s="47" t="n">
        <v>1723</v>
      </c>
      <c r="N377" s="47" t="n">
        <v>1935</v>
      </c>
      <c r="O377" s="47" t="n">
        <v>212</v>
      </c>
      <c r="P377" s="47" t="n">
        <v>206</v>
      </c>
      <c r="Q377" s="47"/>
      <c r="R377" s="50" t="n">
        <f aca="false">合約與計費!$D$4</f>
        <v>0.296</v>
      </c>
      <c r="S377" s="51" t="n">
        <f aca="false">ROUND(P377*R377,0)</f>
        <v>61</v>
      </c>
      <c r="T377" s="52"/>
      <c r="U377" s="47"/>
      <c r="V377" s="47"/>
      <c r="W377" s="53"/>
      <c r="X377" s="47"/>
      <c r="Y377" s="47"/>
      <c r="Z377" s="54"/>
      <c r="AA377" s="55"/>
      <c r="AB377" s="56"/>
      <c r="AC377" s="57"/>
      <c r="AD377" s="42" t="n">
        <v>0.0553</v>
      </c>
      <c r="AE377" s="43" t="n">
        <v>0.2</v>
      </c>
    </row>
    <row r="378" customFormat="false" ht="16.5" hidden="false" customHeight="true" outlineLevel="0" collapsed="false">
      <c r="A378" s="44" t="n">
        <f aca="false">ROW(A376)</f>
        <v>376</v>
      </c>
      <c r="B378" s="44" t="s">
        <v>469</v>
      </c>
      <c r="C378" s="47" t="n">
        <v>1</v>
      </c>
      <c r="D378" s="29"/>
      <c r="E378" s="45" t="s">
        <v>1291</v>
      </c>
      <c r="F378" s="46" t="s">
        <v>1284</v>
      </c>
      <c r="G378" s="47" t="s">
        <v>1155</v>
      </c>
      <c r="H378" s="47" t="s">
        <v>1285</v>
      </c>
      <c r="I378" s="47" t="s">
        <v>214</v>
      </c>
      <c r="J378" s="45" t="s">
        <v>471</v>
      </c>
      <c r="K378" s="48" t="s">
        <v>1292</v>
      </c>
      <c r="L378" s="49" t="n">
        <v>45741</v>
      </c>
      <c r="M378" s="47" t="n">
        <v>11358</v>
      </c>
      <c r="N378" s="47" t="n">
        <v>12978</v>
      </c>
      <c r="O378" s="47" t="n">
        <v>1620</v>
      </c>
      <c r="P378" s="47" t="n">
        <v>1571</v>
      </c>
      <c r="Q378" s="47"/>
      <c r="R378" s="50" t="n">
        <f aca="false">合約與計費!$D$4</f>
        <v>0.296</v>
      </c>
      <c r="S378" s="51" t="n">
        <f aca="false">ROUND(P378*R378,0)</f>
        <v>465</v>
      </c>
      <c r="T378" s="52"/>
      <c r="U378" s="47"/>
      <c r="V378" s="47"/>
      <c r="W378" s="53"/>
      <c r="X378" s="47"/>
      <c r="Y378" s="47"/>
      <c r="Z378" s="54"/>
      <c r="AA378" s="55"/>
      <c r="AB378" s="56"/>
      <c r="AC378" s="57"/>
      <c r="AD378" s="42" t="n">
        <v>0.0877</v>
      </c>
      <c r="AE378" s="43" t="n">
        <v>0.1</v>
      </c>
    </row>
    <row r="379" customFormat="false" ht="16.5" hidden="false" customHeight="true" outlineLevel="0" collapsed="false">
      <c r="A379" s="59" t="n">
        <f aca="false">ROW(A377)</f>
        <v>377</v>
      </c>
      <c r="B379" s="59" t="s">
        <v>473</v>
      </c>
      <c r="C379" s="62" t="n">
        <v>1</v>
      </c>
      <c r="D379" s="29"/>
      <c r="E379" s="60" t="s">
        <v>1293</v>
      </c>
      <c r="F379" s="61" t="s">
        <v>1284</v>
      </c>
      <c r="G379" s="62" t="s">
        <v>1155</v>
      </c>
      <c r="H379" s="62" t="s">
        <v>1285</v>
      </c>
      <c r="I379" s="62" t="s">
        <v>214</v>
      </c>
      <c r="J379" s="60" t="s">
        <v>471</v>
      </c>
      <c r="K379" s="63" t="s">
        <v>1294</v>
      </c>
      <c r="L379" s="64" t="n">
        <v>45741</v>
      </c>
      <c r="M379" s="62" t="n">
        <v>2876</v>
      </c>
      <c r="N379" s="62" t="n">
        <v>3301</v>
      </c>
      <c r="O379" s="62" t="n">
        <v>425</v>
      </c>
      <c r="P379" s="62" t="n">
        <v>412</v>
      </c>
      <c r="Q379" s="62" t="n">
        <f aca="false">ROUND(SUM(P375:P379),2)</f>
        <v>3754</v>
      </c>
      <c r="R379" s="65" t="n">
        <f aca="false">合約與計費!$D$4</f>
        <v>0.296</v>
      </c>
      <c r="S379" s="66" t="n">
        <f aca="false">ROUND(P379*R379,0)</f>
        <v>122</v>
      </c>
      <c r="T379" s="79" t="n">
        <f aca="false">ROUND(SUM(S375:S379),2)</f>
        <v>1111</v>
      </c>
      <c r="U379" s="62"/>
      <c r="V379" s="62"/>
      <c r="W379" s="67"/>
      <c r="X379" s="62"/>
      <c r="Y379" s="62" t="n">
        <f aca="false">ROUND(SUM(X375:X379),2)</f>
        <v>12</v>
      </c>
      <c r="Z379" s="68"/>
      <c r="AA379" s="77"/>
      <c r="AB379" s="78" t="n">
        <f aca="false">ROUND(SUM(AA375:AA379),2)</f>
        <v>34</v>
      </c>
      <c r="AC379" s="69"/>
      <c r="AD379" s="42" t="n">
        <v>0.2336</v>
      </c>
      <c r="AE379" s="43" t="n">
        <v>0.9</v>
      </c>
    </row>
    <row r="380" customFormat="false" ht="16.5" hidden="false" customHeight="true" outlineLevel="0" collapsed="false">
      <c r="A380" s="27" t="n">
        <f aca="false">ROW(A378)</f>
        <v>378</v>
      </c>
      <c r="B380" s="27" t="s">
        <v>455</v>
      </c>
      <c r="C380" s="31" t="n">
        <v>1</v>
      </c>
      <c r="D380" s="29" t="n">
        <v>49</v>
      </c>
      <c r="E380" s="28" t="s">
        <v>1295</v>
      </c>
      <c r="F380" s="30" t="s">
        <v>1296</v>
      </c>
      <c r="G380" s="31" t="s">
        <v>1155</v>
      </c>
      <c r="H380" s="31" t="s">
        <v>1285</v>
      </c>
      <c r="I380" s="31" t="s">
        <v>215</v>
      </c>
      <c r="J380" s="28" t="s">
        <v>460</v>
      </c>
      <c r="K380" s="80" t="s">
        <v>1297</v>
      </c>
      <c r="L380" s="34" t="n">
        <v>45741</v>
      </c>
      <c r="M380" s="31" t="n">
        <v>1273</v>
      </c>
      <c r="N380" s="31" t="n">
        <v>1402</v>
      </c>
      <c r="O380" s="31" t="n">
        <v>129</v>
      </c>
      <c r="P380" s="31" t="n">
        <v>125</v>
      </c>
      <c r="Q380" s="31"/>
      <c r="R380" s="35" t="n">
        <f aca="false">合約與計費!$D$4</f>
        <v>0.296</v>
      </c>
      <c r="S380" s="36" t="n">
        <f aca="false">ROUND(P380*R380,0)</f>
        <v>37</v>
      </c>
      <c r="T380" s="37"/>
      <c r="U380" s="31" t="n">
        <v>178</v>
      </c>
      <c r="V380" s="31" t="n">
        <v>195</v>
      </c>
      <c r="W380" s="31" t="n">
        <v>17</v>
      </c>
      <c r="X380" s="31" t="n">
        <v>16</v>
      </c>
      <c r="Y380" s="31"/>
      <c r="Z380" s="38" t="n">
        <f aca="false">合約與計費!$E$4</f>
        <v>2.8</v>
      </c>
      <c r="AA380" s="39" t="n">
        <f aca="false">ROUND(X380*Z380,0)</f>
        <v>45</v>
      </c>
      <c r="AB380" s="40"/>
      <c r="AC380" s="41"/>
      <c r="AD380" s="42"/>
      <c r="AE380" s="43"/>
    </row>
    <row r="381" customFormat="false" ht="16.5" hidden="false" customHeight="true" outlineLevel="0" collapsed="false">
      <c r="A381" s="44" t="n">
        <f aca="false">ROW(A379)</f>
        <v>379</v>
      </c>
      <c r="B381" s="44" t="s">
        <v>462</v>
      </c>
      <c r="C381" s="47" t="n">
        <v>1</v>
      </c>
      <c r="D381" s="29"/>
      <c r="E381" s="45" t="s">
        <v>1298</v>
      </c>
      <c r="F381" s="46" t="s">
        <v>1296</v>
      </c>
      <c r="G381" s="47" t="s">
        <v>1155</v>
      </c>
      <c r="H381" s="47" t="s">
        <v>1285</v>
      </c>
      <c r="I381" s="47" t="s">
        <v>215</v>
      </c>
      <c r="J381" s="45" t="s">
        <v>471</v>
      </c>
      <c r="K381" s="48" t="s">
        <v>1299</v>
      </c>
      <c r="L381" s="49" t="n">
        <v>45741</v>
      </c>
      <c r="M381" s="47" t="n">
        <v>15683</v>
      </c>
      <c r="N381" s="47" t="n">
        <v>18344</v>
      </c>
      <c r="O381" s="47" t="n">
        <v>2661</v>
      </c>
      <c r="P381" s="47" t="n">
        <v>2581</v>
      </c>
      <c r="Q381" s="47"/>
      <c r="R381" s="50" t="n">
        <f aca="false">合約與計費!$D$4</f>
        <v>0.296</v>
      </c>
      <c r="S381" s="51" t="n">
        <f aca="false">ROUND(P381*R381,0)</f>
        <v>764</v>
      </c>
      <c r="T381" s="52"/>
      <c r="U381" s="47"/>
      <c r="V381" s="47"/>
      <c r="W381" s="53"/>
      <c r="X381" s="47"/>
      <c r="Y381" s="47"/>
      <c r="Z381" s="54"/>
      <c r="AA381" s="55"/>
      <c r="AB381" s="56"/>
      <c r="AC381" s="57"/>
      <c r="AD381" s="42" t="n">
        <v>0.0815</v>
      </c>
      <c r="AE381" s="43" t="n">
        <v>0.2</v>
      </c>
    </row>
    <row r="382" customFormat="false" ht="16.5" hidden="false" customHeight="true" outlineLevel="0" collapsed="false">
      <c r="A382" s="44" t="n">
        <f aca="false">ROW(A380)</f>
        <v>380</v>
      </c>
      <c r="B382" s="44" t="s">
        <v>466</v>
      </c>
      <c r="C382" s="47" t="n">
        <v>1</v>
      </c>
      <c r="D382" s="29"/>
      <c r="E382" s="45" t="s">
        <v>1300</v>
      </c>
      <c r="F382" s="46" t="s">
        <v>1296</v>
      </c>
      <c r="G382" s="47" t="s">
        <v>1155</v>
      </c>
      <c r="H382" s="47" t="s">
        <v>1285</v>
      </c>
      <c r="I382" s="47" t="s">
        <v>215</v>
      </c>
      <c r="J382" s="45" t="s">
        <v>471</v>
      </c>
      <c r="K382" s="48" t="s">
        <v>1301</v>
      </c>
      <c r="L382" s="49" t="n">
        <v>45741</v>
      </c>
      <c r="M382" s="47" t="n">
        <v>2239</v>
      </c>
      <c r="N382" s="47" t="n">
        <v>2595</v>
      </c>
      <c r="O382" s="47" t="n">
        <v>356</v>
      </c>
      <c r="P382" s="47" t="n">
        <v>345</v>
      </c>
      <c r="Q382" s="47"/>
      <c r="R382" s="50" t="n">
        <f aca="false">合約與計費!$D$4</f>
        <v>0.296</v>
      </c>
      <c r="S382" s="51" t="n">
        <f aca="false">ROUND(P382*R382,0)</f>
        <v>102</v>
      </c>
      <c r="T382" s="52"/>
      <c r="U382" s="47"/>
      <c r="V382" s="47"/>
      <c r="W382" s="53"/>
      <c r="X382" s="47"/>
      <c r="Y382" s="47"/>
      <c r="Z382" s="54"/>
      <c r="AA382" s="55"/>
      <c r="AB382" s="56"/>
      <c r="AC382" s="57"/>
      <c r="AD382" s="42" t="n">
        <v>0.0451</v>
      </c>
      <c r="AE382" s="43" t="n">
        <v>0.1</v>
      </c>
    </row>
    <row r="383" customFormat="false" ht="16.5" hidden="false" customHeight="true" outlineLevel="0" collapsed="false">
      <c r="A383" s="59" t="n">
        <f aca="false">ROW(A381)</f>
        <v>381</v>
      </c>
      <c r="B383" s="59" t="s">
        <v>469</v>
      </c>
      <c r="C383" s="62" t="n">
        <v>1</v>
      </c>
      <c r="D383" s="29"/>
      <c r="E383" s="60" t="s">
        <v>1302</v>
      </c>
      <c r="F383" s="61" t="s">
        <v>1296</v>
      </c>
      <c r="G383" s="62" t="s">
        <v>1155</v>
      </c>
      <c r="H383" s="62" t="s">
        <v>1285</v>
      </c>
      <c r="I383" s="62" t="s">
        <v>215</v>
      </c>
      <c r="J383" s="60" t="s">
        <v>471</v>
      </c>
      <c r="K383" s="63" t="s">
        <v>1303</v>
      </c>
      <c r="L383" s="64" t="n">
        <v>45741</v>
      </c>
      <c r="M383" s="62" t="n">
        <v>10541</v>
      </c>
      <c r="N383" s="62" t="n">
        <v>12268</v>
      </c>
      <c r="O383" s="62" t="n">
        <v>1727</v>
      </c>
      <c r="P383" s="62" t="n">
        <v>1675</v>
      </c>
      <c r="Q383" s="62" t="n">
        <f aca="false">ROUND(SUM(P380:P383),2)</f>
        <v>4726</v>
      </c>
      <c r="R383" s="65" t="n">
        <f aca="false">合約與計費!$D$4</f>
        <v>0.296</v>
      </c>
      <c r="S383" s="66" t="n">
        <f aca="false">ROUND(P383*R383,0)</f>
        <v>496</v>
      </c>
      <c r="T383" s="79" t="n">
        <f aca="false">ROUND(SUM(S380:S383),2)</f>
        <v>1399</v>
      </c>
      <c r="U383" s="62"/>
      <c r="V383" s="62"/>
      <c r="W383" s="67"/>
      <c r="X383" s="62"/>
      <c r="Y383" s="62" t="n">
        <f aca="false">ROUND(SUM(X380:X383),2)</f>
        <v>16</v>
      </c>
      <c r="Z383" s="68"/>
      <c r="AA383" s="77"/>
      <c r="AB383" s="78" t="n">
        <f aca="false">ROUND(SUM(AA380:AA383),2)</f>
        <v>45</v>
      </c>
      <c r="AC383" s="69"/>
      <c r="AD383" s="42" t="n">
        <v>0.1035</v>
      </c>
      <c r="AE383" s="43" t="n">
        <v>0.9</v>
      </c>
    </row>
    <row r="384" customFormat="false" ht="16.5" hidden="false" customHeight="true" outlineLevel="0" collapsed="false">
      <c r="A384" s="27" t="n">
        <f aca="false">ROW(A382)</f>
        <v>382</v>
      </c>
      <c r="B384" s="27" t="s">
        <v>455</v>
      </c>
      <c r="C384" s="31" t="n">
        <v>1</v>
      </c>
      <c r="D384" s="29" t="n">
        <v>50</v>
      </c>
      <c r="E384" s="28" t="s">
        <v>1304</v>
      </c>
      <c r="F384" s="30" t="s">
        <v>1305</v>
      </c>
      <c r="G384" s="31" t="s">
        <v>1155</v>
      </c>
      <c r="H384" s="31" t="s">
        <v>1285</v>
      </c>
      <c r="I384" s="31" t="s">
        <v>278</v>
      </c>
      <c r="J384" s="28" t="s">
        <v>460</v>
      </c>
      <c r="K384" s="80" t="s">
        <v>1306</v>
      </c>
      <c r="L384" s="34" t="n">
        <v>45761</v>
      </c>
      <c r="M384" s="31" t="n">
        <v>2609</v>
      </c>
      <c r="N384" s="31" t="n">
        <v>2945</v>
      </c>
      <c r="O384" s="31" t="n">
        <v>336</v>
      </c>
      <c r="P384" s="31" t="n">
        <v>326</v>
      </c>
      <c r="Q384" s="31"/>
      <c r="R384" s="35" t="n">
        <f aca="false">合約與計費!$D$4</f>
        <v>0.296</v>
      </c>
      <c r="S384" s="36" t="n">
        <f aca="false">ROUND(P384*R384,0)</f>
        <v>96</v>
      </c>
      <c r="T384" s="37"/>
      <c r="U384" s="31" t="n">
        <v>625</v>
      </c>
      <c r="V384" s="31" t="n">
        <v>869</v>
      </c>
      <c r="W384" s="31" t="n">
        <v>244</v>
      </c>
      <c r="X384" s="31" t="n">
        <v>237</v>
      </c>
      <c r="Y384" s="31"/>
      <c r="Z384" s="38" t="n">
        <f aca="false">合約與計費!$E$4</f>
        <v>2.8</v>
      </c>
      <c r="AA384" s="39" t="n">
        <f aca="false">ROUND(X384*Z384,0)</f>
        <v>664</v>
      </c>
      <c r="AB384" s="40"/>
      <c r="AC384" s="41"/>
      <c r="AD384" s="42"/>
      <c r="AE384" s="43"/>
    </row>
    <row r="385" customFormat="false" ht="16.5" hidden="false" customHeight="true" outlineLevel="0" collapsed="false">
      <c r="A385" s="44" t="n">
        <f aca="false">ROW(A383)</f>
        <v>383</v>
      </c>
      <c r="B385" s="44" t="s">
        <v>462</v>
      </c>
      <c r="C385" s="47" t="n">
        <v>1</v>
      </c>
      <c r="D385" s="29"/>
      <c r="E385" s="45" t="s">
        <v>1307</v>
      </c>
      <c r="F385" s="46" t="s">
        <v>1305</v>
      </c>
      <c r="G385" s="47" t="s">
        <v>1155</v>
      </c>
      <c r="H385" s="47" t="s">
        <v>1285</v>
      </c>
      <c r="I385" s="47" t="s">
        <v>278</v>
      </c>
      <c r="J385" s="45" t="s">
        <v>464</v>
      </c>
      <c r="K385" s="48" t="s">
        <v>1308</v>
      </c>
      <c r="L385" s="49" t="n">
        <v>45761</v>
      </c>
      <c r="M385" s="47" t="n">
        <v>1383</v>
      </c>
      <c r="N385" s="47" t="n">
        <v>1928</v>
      </c>
      <c r="O385" s="47" t="n">
        <v>545</v>
      </c>
      <c r="P385" s="47" t="n">
        <v>529</v>
      </c>
      <c r="Q385" s="47"/>
      <c r="R385" s="50" t="n">
        <f aca="false">合約與計費!$D$4</f>
        <v>0.296</v>
      </c>
      <c r="S385" s="51" t="n">
        <f aca="false">ROUND(P385*R385,0)</f>
        <v>157</v>
      </c>
      <c r="T385" s="52"/>
      <c r="U385" s="47"/>
      <c r="V385" s="47"/>
      <c r="W385" s="53"/>
      <c r="X385" s="47"/>
      <c r="Y385" s="47"/>
      <c r="Z385" s="54"/>
      <c r="AA385" s="55"/>
      <c r="AB385" s="56"/>
      <c r="AC385" s="57"/>
      <c r="AD385" s="42" t="n">
        <v>0.1019</v>
      </c>
      <c r="AE385" s="43" t="n">
        <v>1</v>
      </c>
    </row>
    <row r="386" customFormat="false" ht="16.5" hidden="false" customHeight="true" outlineLevel="0" collapsed="false">
      <c r="A386" s="44" t="n">
        <f aca="false">ROW(A384)</f>
        <v>384</v>
      </c>
      <c r="B386" s="44" t="s">
        <v>466</v>
      </c>
      <c r="C386" s="47" t="n">
        <v>1</v>
      </c>
      <c r="D386" s="29"/>
      <c r="E386" s="45" t="s">
        <v>1309</v>
      </c>
      <c r="F386" s="46" t="s">
        <v>1305</v>
      </c>
      <c r="G386" s="47" t="s">
        <v>1155</v>
      </c>
      <c r="H386" s="47" t="s">
        <v>1285</v>
      </c>
      <c r="I386" s="47" t="s">
        <v>278</v>
      </c>
      <c r="J386" s="45" t="s">
        <v>527</v>
      </c>
      <c r="K386" s="48" t="s">
        <v>1310</v>
      </c>
      <c r="L386" s="49" t="n">
        <v>45761</v>
      </c>
      <c r="M386" s="47" t="n">
        <v>7017</v>
      </c>
      <c r="N386" s="47" t="n">
        <v>8609</v>
      </c>
      <c r="O386" s="47" t="n">
        <v>1592</v>
      </c>
      <c r="P386" s="47" t="n">
        <v>1544</v>
      </c>
      <c r="Q386" s="47"/>
      <c r="R386" s="50" t="n">
        <f aca="false">合約與計費!$D$4</f>
        <v>0.296</v>
      </c>
      <c r="S386" s="51" t="n">
        <f aca="false">ROUND(P386*R386,0)</f>
        <v>457</v>
      </c>
      <c r="T386" s="52"/>
      <c r="U386" s="47"/>
      <c r="V386" s="47"/>
      <c r="W386" s="53"/>
      <c r="X386" s="47"/>
      <c r="Y386" s="47"/>
      <c r="Z386" s="54"/>
      <c r="AA386" s="55"/>
      <c r="AB386" s="56"/>
      <c r="AC386" s="57"/>
      <c r="AD386" s="42"/>
      <c r="AE386" s="43"/>
    </row>
    <row r="387" customFormat="false" ht="16.5" hidden="false" customHeight="true" outlineLevel="0" collapsed="false">
      <c r="A387" s="44" t="n">
        <f aca="false">ROW(A385)</f>
        <v>385</v>
      </c>
      <c r="B387" s="44" t="s">
        <v>469</v>
      </c>
      <c r="C387" s="47" t="n">
        <v>1</v>
      </c>
      <c r="D387" s="29"/>
      <c r="E387" s="45" t="s">
        <v>1311</v>
      </c>
      <c r="F387" s="46" t="s">
        <v>1305</v>
      </c>
      <c r="G387" s="47" t="s">
        <v>1155</v>
      </c>
      <c r="H387" s="47" t="s">
        <v>1285</v>
      </c>
      <c r="I387" s="47" t="s">
        <v>278</v>
      </c>
      <c r="J387" s="45" t="s">
        <v>527</v>
      </c>
      <c r="K387" s="48" t="s">
        <v>1312</v>
      </c>
      <c r="L387" s="49" t="n">
        <v>45761</v>
      </c>
      <c r="M387" s="47" t="n">
        <v>8552</v>
      </c>
      <c r="N387" s="47" t="n">
        <v>10357</v>
      </c>
      <c r="O387" s="47" t="n">
        <v>1805</v>
      </c>
      <c r="P387" s="47" t="n">
        <v>1751</v>
      </c>
      <c r="Q387" s="47"/>
      <c r="R387" s="50" t="n">
        <f aca="false">合約與計費!$D$4</f>
        <v>0.296</v>
      </c>
      <c r="S387" s="51" t="n">
        <f aca="false">ROUND(P387*R387,0)</f>
        <v>518</v>
      </c>
      <c r="T387" s="52"/>
      <c r="U387" s="47"/>
      <c r="V387" s="47"/>
      <c r="W387" s="53"/>
      <c r="X387" s="47"/>
      <c r="Y387" s="47"/>
      <c r="Z387" s="54"/>
      <c r="AA387" s="55"/>
      <c r="AB387" s="56"/>
      <c r="AC387" s="57"/>
      <c r="AD387" s="42"/>
      <c r="AE387" s="43"/>
    </row>
    <row r="388" customFormat="false" ht="16.5" hidden="false" customHeight="true" outlineLevel="0" collapsed="false">
      <c r="A388" s="44" t="n">
        <f aca="false">ROW(A386)</f>
        <v>386</v>
      </c>
      <c r="B388" s="44" t="s">
        <v>473</v>
      </c>
      <c r="C388" s="47" t="n">
        <v>1</v>
      </c>
      <c r="D388" s="29"/>
      <c r="E388" s="45" t="s">
        <v>1313</v>
      </c>
      <c r="F388" s="46" t="s">
        <v>1305</v>
      </c>
      <c r="G388" s="47" t="s">
        <v>1155</v>
      </c>
      <c r="H388" s="47" t="s">
        <v>1285</v>
      </c>
      <c r="I388" s="47" t="s">
        <v>278</v>
      </c>
      <c r="J388" s="45" t="s">
        <v>527</v>
      </c>
      <c r="K388" s="48" t="s">
        <v>1314</v>
      </c>
      <c r="L388" s="49" t="n">
        <v>45761</v>
      </c>
      <c r="M388" s="47" t="n">
        <v>18372</v>
      </c>
      <c r="N388" s="47" t="n">
        <v>21616</v>
      </c>
      <c r="O388" s="47" t="n">
        <v>3244</v>
      </c>
      <c r="P388" s="47" t="n">
        <v>3147</v>
      </c>
      <c r="Q388" s="47"/>
      <c r="R388" s="50" t="n">
        <f aca="false">合約與計費!$D$4</f>
        <v>0.296</v>
      </c>
      <c r="S388" s="51" t="n">
        <f aca="false">ROUND(P388*R388,0)</f>
        <v>932</v>
      </c>
      <c r="T388" s="52"/>
      <c r="U388" s="47"/>
      <c r="V388" s="47"/>
      <c r="W388" s="53"/>
      <c r="X388" s="47"/>
      <c r="Y388" s="47"/>
      <c r="Z388" s="54"/>
      <c r="AA388" s="55"/>
      <c r="AB388" s="56"/>
      <c r="AC388" s="57"/>
      <c r="AD388" s="42"/>
      <c r="AE388" s="43"/>
    </row>
    <row r="389" customFormat="false" ht="16.5" hidden="false" customHeight="true" outlineLevel="0" collapsed="false">
      <c r="A389" s="59" t="n">
        <f aca="false">ROW(A387)</f>
        <v>387</v>
      </c>
      <c r="B389" s="59" t="s">
        <v>476</v>
      </c>
      <c r="C389" s="62" t="n">
        <v>1</v>
      </c>
      <c r="D389" s="29"/>
      <c r="E389" s="60" t="s">
        <v>1315</v>
      </c>
      <c r="F389" s="61" t="s">
        <v>1305</v>
      </c>
      <c r="G389" s="62" t="s">
        <v>1155</v>
      </c>
      <c r="H389" s="62" t="s">
        <v>1285</v>
      </c>
      <c r="I389" s="62" t="s">
        <v>278</v>
      </c>
      <c r="J389" s="60" t="s">
        <v>527</v>
      </c>
      <c r="K389" s="63" t="s">
        <v>1316</v>
      </c>
      <c r="L389" s="64" t="n">
        <v>45761</v>
      </c>
      <c r="M389" s="62" t="n">
        <v>1593</v>
      </c>
      <c r="N389" s="62" t="n">
        <v>1919</v>
      </c>
      <c r="O389" s="47" t="n">
        <v>326</v>
      </c>
      <c r="P389" s="47" t="n">
        <v>316</v>
      </c>
      <c r="Q389" s="47" t="n">
        <f aca="false">ROUND(SUM(P384:P389),2)</f>
        <v>7613</v>
      </c>
      <c r="R389" s="65" t="n">
        <f aca="false">合約與計費!$D$4</f>
        <v>0.296</v>
      </c>
      <c r="S389" s="66" t="n">
        <f aca="false">ROUND(P389*R389,0)</f>
        <v>94</v>
      </c>
      <c r="T389" s="52" t="n">
        <f aca="false">ROUND(SUM(S384:S389),2)</f>
        <v>2254</v>
      </c>
      <c r="U389" s="62"/>
      <c r="V389" s="62"/>
      <c r="W389" s="67"/>
      <c r="X389" s="62"/>
      <c r="Y389" s="47" t="n">
        <f aca="false">ROUND(SUM(X384:X389),2)</f>
        <v>237</v>
      </c>
      <c r="Z389" s="68"/>
      <c r="AA389" s="55"/>
      <c r="AB389" s="56" t="n">
        <f aca="false">ROUND(SUM(AA384:AA389),2)</f>
        <v>664</v>
      </c>
      <c r="AC389" s="69"/>
      <c r="AD389" s="42"/>
      <c r="AE389" s="43"/>
    </row>
    <row r="390" customFormat="false" ht="16.5" hidden="false" customHeight="true" outlineLevel="0" collapsed="false">
      <c r="A390" s="125" t="n">
        <f aca="false">ROW(A388)</f>
        <v>388</v>
      </c>
      <c r="B390" s="125" t="s">
        <v>455</v>
      </c>
      <c r="C390" s="126" t="n">
        <v>1</v>
      </c>
      <c r="D390" s="29" t="n">
        <v>51</v>
      </c>
      <c r="E390" s="126" t="s">
        <v>1317</v>
      </c>
      <c r="F390" s="127" t="s">
        <v>1318</v>
      </c>
      <c r="G390" s="128" t="s">
        <v>1155</v>
      </c>
      <c r="H390" s="128" t="s">
        <v>1285</v>
      </c>
      <c r="I390" s="128" t="s">
        <v>396</v>
      </c>
      <c r="J390" s="126" t="s">
        <v>460</v>
      </c>
      <c r="K390" s="129" t="s">
        <v>1319</v>
      </c>
      <c r="L390" s="130" t="n">
        <v>45743</v>
      </c>
      <c r="M390" s="128" t="n">
        <v>101</v>
      </c>
      <c r="N390" s="128" t="n">
        <v>123</v>
      </c>
      <c r="O390" s="128" t="n">
        <v>22</v>
      </c>
      <c r="P390" s="128" t="n">
        <v>21</v>
      </c>
      <c r="Q390" s="128"/>
      <c r="R390" s="131" t="n">
        <f aca="false">合約與計費!$D$4</f>
        <v>0.296</v>
      </c>
      <c r="S390" s="132" t="n">
        <f aca="false">ROUND(P390*R390,0)</f>
        <v>6</v>
      </c>
      <c r="T390" s="133"/>
      <c r="U390" s="128" t="n">
        <v>74</v>
      </c>
      <c r="V390" s="128" t="n">
        <v>87</v>
      </c>
      <c r="W390" s="128" t="n">
        <v>13</v>
      </c>
      <c r="X390" s="128" t="n">
        <v>13</v>
      </c>
      <c r="Y390" s="128"/>
      <c r="Z390" s="134" t="n">
        <f aca="false">合約與計費!$E$4</f>
        <v>2.8</v>
      </c>
      <c r="AA390" s="135" t="n">
        <f aca="false">ROUND(X390*Z390,0)</f>
        <v>36</v>
      </c>
      <c r="AB390" s="136"/>
      <c r="AC390" s="137"/>
      <c r="AD390" s="42"/>
      <c r="AE390" s="43"/>
    </row>
    <row r="391" customFormat="false" ht="16.5" hidden="false" customHeight="true" outlineLevel="0" collapsed="false">
      <c r="A391" s="138" t="n">
        <f aca="false">ROW(A389)</f>
        <v>389</v>
      </c>
      <c r="B391" s="138" t="s">
        <v>462</v>
      </c>
      <c r="C391" s="139" t="n">
        <v>1</v>
      </c>
      <c r="D391" s="29"/>
      <c r="E391" s="139" t="s">
        <v>1320</v>
      </c>
      <c r="F391" s="140" t="s">
        <v>1318</v>
      </c>
      <c r="G391" s="141" t="s">
        <v>1155</v>
      </c>
      <c r="H391" s="141" t="s">
        <v>1285</v>
      </c>
      <c r="I391" s="141" t="s">
        <v>396</v>
      </c>
      <c r="J391" s="139" t="s">
        <v>471</v>
      </c>
      <c r="K391" s="142" t="s">
        <v>1321</v>
      </c>
      <c r="L391" s="143" t="n">
        <v>45743</v>
      </c>
      <c r="M391" s="141" t="n">
        <v>2575</v>
      </c>
      <c r="N391" s="141" t="n">
        <v>3081</v>
      </c>
      <c r="O391" s="141" t="n">
        <v>506</v>
      </c>
      <c r="P391" s="141" t="n">
        <v>491</v>
      </c>
      <c r="Q391" s="141"/>
      <c r="R391" s="144" t="n">
        <f aca="false">合約與計費!$D$4</f>
        <v>0.296</v>
      </c>
      <c r="S391" s="145" t="n">
        <f aca="false">ROUND(P391*R391,0)</f>
        <v>145</v>
      </c>
      <c r="T391" s="146"/>
      <c r="U391" s="141"/>
      <c r="V391" s="141"/>
      <c r="W391" s="147"/>
      <c r="X391" s="141"/>
      <c r="Y391" s="141"/>
      <c r="Z391" s="148"/>
      <c r="AA391" s="149"/>
      <c r="AB391" s="150"/>
      <c r="AC391" s="151"/>
      <c r="AD391" s="42" t="n">
        <v>0.0528</v>
      </c>
      <c r="AE391" s="43" t="n">
        <v>0.1</v>
      </c>
    </row>
    <row r="392" customFormat="false" ht="16.5" hidden="false" customHeight="true" outlineLevel="0" collapsed="false">
      <c r="A392" s="138" t="n">
        <f aca="false">ROW(A390)</f>
        <v>390</v>
      </c>
      <c r="B392" s="138" t="s">
        <v>466</v>
      </c>
      <c r="C392" s="141" t="n">
        <v>1</v>
      </c>
      <c r="D392" s="29"/>
      <c r="E392" s="139" t="s">
        <v>1322</v>
      </c>
      <c r="F392" s="140" t="s">
        <v>1318</v>
      </c>
      <c r="G392" s="141" t="s">
        <v>1155</v>
      </c>
      <c r="H392" s="141" t="s">
        <v>1285</v>
      </c>
      <c r="I392" s="141" t="s">
        <v>396</v>
      </c>
      <c r="J392" s="139" t="s">
        <v>471</v>
      </c>
      <c r="K392" s="142" t="s">
        <v>1323</v>
      </c>
      <c r="L392" s="143" t="n">
        <v>45743</v>
      </c>
      <c r="M392" s="141" t="n">
        <v>3443</v>
      </c>
      <c r="N392" s="141" t="n">
        <v>3992</v>
      </c>
      <c r="O392" s="141" t="n">
        <v>549</v>
      </c>
      <c r="P392" s="141" t="n">
        <v>533</v>
      </c>
      <c r="Q392" s="141"/>
      <c r="R392" s="144" t="n">
        <f aca="false">合約與計費!$D$4</f>
        <v>0.296</v>
      </c>
      <c r="S392" s="145" t="n">
        <f aca="false">ROUND(P392*R392,0)</f>
        <v>158</v>
      </c>
      <c r="T392" s="146"/>
      <c r="U392" s="141"/>
      <c r="V392" s="141"/>
      <c r="W392" s="147"/>
      <c r="X392" s="141"/>
      <c r="Y392" s="141"/>
      <c r="Z392" s="148"/>
      <c r="AA392" s="149"/>
      <c r="AB392" s="150"/>
      <c r="AC392" s="151"/>
      <c r="AD392" s="42" t="n">
        <v>0.0359</v>
      </c>
      <c r="AE392" s="43" t="n">
        <v>1</v>
      </c>
    </row>
    <row r="393" customFormat="false" ht="16.5" hidden="false" customHeight="true" outlineLevel="0" collapsed="false">
      <c r="A393" s="138" t="n">
        <f aca="false">ROW(A391)</f>
        <v>391</v>
      </c>
      <c r="B393" s="138" t="s">
        <v>469</v>
      </c>
      <c r="C393" s="141" t="n">
        <v>1</v>
      </c>
      <c r="D393" s="29"/>
      <c r="E393" s="139" t="s">
        <v>1324</v>
      </c>
      <c r="F393" s="140" t="s">
        <v>1318</v>
      </c>
      <c r="G393" s="141" t="s">
        <v>1155</v>
      </c>
      <c r="H393" s="141" t="s">
        <v>1285</v>
      </c>
      <c r="I393" s="141" t="s">
        <v>396</v>
      </c>
      <c r="J393" s="139" t="s">
        <v>471</v>
      </c>
      <c r="K393" s="142" t="s">
        <v>1325</v>
      </c>
      <c r="L393" s="143" t="n">
        <v>45743</v>
      </c>
      <c r="M393" s="141" t="n">
        <v>9244</v>
      </c>
      <c r="N393" s="141" t="n">
        <v>10425</v>
      </c>
      <c r="O393" s="141" t="n">
        <v>1181</v>
      </c>
      <c r="P393" s="141" t="n">
        <v>1146</v>
      </c>
      <c r="Q393" s="141"/>
      <c r="R393" s="144" t="n">
        <f aca="false">合約與計費!$D$4</f>
        <v>0.296</v>
      </c>
      <c r="S393" s="145" t="n">
        <f aca="false">ROUND(P393*R393,0)</f>
        <v>339</v>
      </c>
      <c r="T393" s="146"/>
      <c r="U393" s="141"/>
      <c r="V393" s="141"/>
      <c r="W393" s="147"/>
      <c r="X393" s="141"/>
      <c r="Y393" s="141"/>
      <c r="Z393" s="148"/>
      <c r="AA393" s="149"/>
      <c r="AB393" s="150"/>
      <c r="AC393" s="151"/>
      <c r="AD393" s="42" t="n">
        <v>0.0846</v>
      </c>
      <c r="AE393" s="43" t="n">
        <v>0.1</v>
      </c>
    </row>
    <row r="394" customFormat="false" ht="16.5" hidden="false" customHeight="true" outlineLevel="0" collapsed="false">
      <c r="A394" s="152" t="n">
        <f aca="false">ROW(A392)</f>
        <v>392</v>
      </c>
      <c r="B394" s="152" t="s">
        <v>473</v>
      </c>
      <c r="C394" s="153" t="n">
        <v>1</v>
      </c>
      <c r="D394" s="29"/>
      <c r="E394" s="153" t="s">
        <v>1326</v>
      </c>
      <c r="F394" s="154" t="s">
        <v>1318</v>
      </c>
      <c r="G394" s="155" t="s">
        <v>1155</v>
      </c>
      <c r="H394" s="155" t="s">
        <v>1285</v>
      </c>
      <c r="I394" s="155" t="s">
        <v>396</v>
      </c>
      <c r="J394" s="153" t="s">
        <v>471</v>
      </c>
      <c r="K394" s="156" t="s">
        <v>1327</v>
      </c>
      <c r="L394" s="157" t="n">
        <v>45743</v>
      </c>
      <c r="M394" s="155" t="n">
        <v>12153</v>
      </c>
      <c r="N394" s="155" t="n">
        <v>13721</v>
      </c>
      <c r="O394" s="62" t="n">
        <v>1568</v>
      </c>
      <c r="P394" s="62" t="n">
        <v>1521</v>
      </c>
      <c r="Q394" s="62" t="n">
        <f aca="false">ROUND(SUM(P390:P394),2)</f>
        <v>3712</v>
      </c>
      <c r="R394" s="158" t="n">
        <f aca="false">合約與計費!$D$4</f>
        <v>0.296</v>
      </c>
      <c r="S394" s="159" t="n">
        <f aca="false">ROUND(P394*R394,0)</f>
        <v>450</v>
      </c>
      <c r="T394" s="79" t="n">
        <f aca="false">ROUND(SUM(S390:S394),2)</f>
        <v>1098</v>
      </c>
      <c r="U394" s="155"/>
      <c r="V394" s="155"/>
      <c r="W394" s="160"/>
      <c r="X394" s="155"/>
      <c r="Y394" s="155" t="n">
        <f aca="false">ROUND(SUM(X390:X394),2)</f>
        <v>13</v>
      </c>
      <c r="Z394" s="161"/>
      <c r="AA394" s="162"/>
      <c r="AB394" s="163" t="n">
        <f aca="false">ROUND(SUM(AA390:AA394),2)</f>
        <v>36</v>
      </c>
      <c r="AC394" s="164"/>
      <c r="AD394" s="42" t="n">
        <v>0.0884</v>
      </c>
      <c r="AE394" s="43" t="n">
        <v>0.6</v>
      </c>
    </row>
    <row r="395" customFormat="false" ht="16.5" hidden="false" customHeight="true" outlineLevel="0" collapsed="false">
      <c r="A395" s="27" t="n">
        <f aca="false">ROW(A393)</f>
        <v>393</v>
      </c>
      <c r="B395" s="27" t="s">
        <v>455</v>
      </c>
      <c r="C395" s="31" t="n">
        <v>1</v>
      </c>
      <c r="D395" s="29" t="n">
        <v>52</v>
      </c>
      <c r="E395" s="28" t="s">
        <v>1328</v>
      </c>
      <c r="F395" s="30" t="s">
        <v>1329</v>
      </c>
      <c r="G395" s="31" t="s">
        <v>1155</v>
      </c>
      <c r="H395" s="31" t="s">
        <v>1285</v>
      </c>
      <c r="I395" s="31" t="s">
        <v>423</v>
      </c>
      <c r="J395" s="28" t="s">
        <v>460</v>
      </c>
      <c r="K395" s="80" t="s">
        <v>1330</v>
      </c>
      <c r="L395" s="34" t="n">
        <v>45743</v>
      </c>
      <c r="M395" s="31" t="n">
        <v>306</v>
      </c>
      <c r="N395" s="31" t="n">
        <v>354</v>
      </c>
      <c r="O395" s="31" t="n">
        <v>48</v>
      </c>
      <c r="P395" s="31" t="n">
        <v>47</v>
      </c>
      <c r="Q395" s="31"/>
      <c r="R395" s="35" t="n">
        <f aca="false">合約與計費!$D$4</f>
        <v>0.296</v>
      </c>
      <c r="S395" s="36" t="n">
        <f aca="false">ROUND(P395*R395,0)</f>
        <v>14</v>
      </c>
      <c r="T395" s="37"/>
      <c r="U395" s="31" t="n">
        <v>448</v>
      </c>
      <c r="V395" s="31" t="n">
        <v>622</v>
      </c>
      <c r="W395" s="31" t="n">
        <v>174</v>
      </c>
      <c r="X395" s="31" t="n">
        <v>169</v>
      </c>
      <c r="Y395" s="31"/>
      <c r="Z395" s="38" t="n">
        <f aca="false">合約與計費!$E$4</f>
        <v>2.8</v>
      </c>
      <c r="AA395" s="39" t="n">
        <f aca="false">ROUND(X395*Z395,0)</f>
        <v>473</v>
      </c>
      <c r="AB395" s="40"/>
      <c r="AC395" s="41"/>
      <c r="AD395" s="42"/>
      <c r="AE395" s="43"/>
    </row>
    <row r="396" customFormat="false" ht="16.5" hidden="false" customHeight="true" outlineLevel="0" collapsed="false">
      <c r="A396" s="44" t="n">
        <f aca="false">ROW(A394)</f>
        <v>394</v>
      </c>
      <c r="B396" s="44" t="s">
        <v>462</v>
      </c>
      <c r="C396" s="47" t="n">
        <v>1</v>
      </c>
      <c r="D396" s="29"/>
      <c r="E396" s="45" t="s">
        <v>1331</v>
      </c>
      <c r="F396" s="46" t="s">
        <v>1329</v>
      </c>
      <c r="G396" s="47" t="s">
        <v>1155</v>
      </c>
      <c r="H396" s="47" t="s">
        <v>1285</v>
      </c>
      <c r="I396" s="47" t="s">
        <v>423</v>
      </c>
      <c r="J396" s="45" t="s">
        <v>464</v>
      </c>
      <c r="K396" s="48" t="s">
        <v>1332</v>
      </c>
      <c r="L396" s="49" t="n">
        <v>45743</v>
      </c>
      <c r="M396" s="47" t="n">
        <v>2124</v>
      </c>
      <c r="N396" s="47" t="n">
        <v>2892</v>
      </c>
      <c r="O396" s="47" t="n">
        <v>768</v>
      </c>
      <c r="P396" s="47" t="n">
        <v>745</v>
      </c>
      <c r="Q396" s="47"/>
      <c r="R396" s="50" t="n">
        <f aca="false">合約與計費!$D$4</f>
        <v>0.296</v>
      </c>
      <c r="S396" s="51" t="n">
        <f aca="false">ROUND(P396*R396,0)</f>
        <v>221</v>
      </c>
      <c r="T396" s="52"/>
      <c r="U396" s="47"/>
      <c r="V396" s="47"/>
      <c r="W396" s="53"/>
      <c r="X396" s="47"/>
      <c r="Y396" s="47"/>
      <c r="Z396" s="54"/>
      <c r="AA396" s="55"/>
      <c r="AB396" s="56"/>
      <c r="AC396" s="57"/>
      <c r="AD396" s="42" t="n">
        <v>0.0635</v>
      </c>
      <c r="AE396" s="43" t="n">
        <v>0.9</v>
      </c>
    </row>
    <row r="397" customFormat="false" ht="16.5" hidden="false" customHeight="true" outlineLevel="0" collapsed="false">
      <c r="A397" s="44" t="n">
        <f aca="false">ROW(A395)</f>
        <v>395</v>
      </c>
      <c r="B397" s="44" t="s">
        <v>466</v>
      </c>
      <c r="C397" s="47" t="n">
        <v>1</v>
      </c>
      <c r="D397" s="29"/>
      <c r="E397" s="45" t="s">
        <v>1333</v>
      </c>
      <c r="F397" s="46" t="s">
        <v>1329</v>
      </c>
      <c r="G397" s="47" t="s">
        <v>1155</v>
      </c>
      <c r="H397" s="47" t="s">
        <v>1285</v>
      </c>
      <c r="I397" s="47" t="s">
        <v>423</v>
      </c>
      <c r="J397" s="45" t="s">
        <v>471</v>
      </c>
      <c r="K397" s="48" t="s">
        <v>1334</v>
      </c>
      <c r="L397" s="49" t="n">
        <v>45743</v>
      </c>
      <c r="M397" s="47" t="n">
        <v>9120</v>
      </c>
      <c r="N397" s="47" t="n">
        <v>10640</v>
      </c>
      <c r="O397" s="47" t="n">
        <v>1520</v>
      </c>
      <c r="P397" s="47" t="n">
        <v>1474</v>
      </c>
      <c r="Q397" s="47"/>
      <c r="R397" s="50" t="n">
        <f aca="false">合約與計費!$D$4</f>
        <v>0.296</v>
      </c>
      <c r="S397" s="51" t="n">
        <f aca="false">ROUND(P397*R397,0)</f>
        <v>436</v>
      </c>
      <c r="T397" s="52"/>
      <c r="U397" s="47"/>
      <c r="V397" s="47"/>
      <c r="W397" s="53"/>
      <c r="X397" s="47"/>
      <c r="Y397" s="47"/>
      <c r="Z397" s="54"/>
      <c r="AA397" s="55"/>
      <c r="AB397" s="56"/>
      <c r="AC397" s="57"/>
      <c r="AD397" s="42" t="n">
        <v>0.1077</v>
      </c>
      <c r="AE397" s="43" t="n">
        <v>0.8</v>
      </c>
    </row>
    <row r="398" customFormat="false" ht="16.5" hidden="false" customHeight="true" outlineLevel="0" collapsed="false">
      <c r="A398" s="44" t="n">
        <f aca="false">ROW(A396)</f>
        <v>396</v>
      </c>
      <c r="B398" s="44" t="s">
        <v>469</v>
      </c>
      <c r="C398" s="47" t="n">
        <v>1</v>
      </c>
      <c r="D398" s="29"/>
      <c r="E398" s="45" t="s">
        <v>1335</v>
      </c>
      <c r="F398" s="46" t="s">
        <v>1329</v>
      </c>
      <c r="G398" s="47" t="s">
        <v>1155</v>
      </c>
      <c r="H398" s="47" t="s">
        <v>1285</v>
      </c>
      <c r="I398" s="47" t="s">
        <v>423</v>
      </c>
      <c r="J398" s="45" t="s">
        <v>471</v>
      </c>
      <c r="K398" s="48" t="s">
        <v>1336</v>
      </c>
      <c r="L398" s="49" t="n">
        <v>45743</v>
      </c>
      <c r="M398" s="47" t="n">
        <v>1533</v>
      </c>
      <c r="N398" s="47" t="n">
        <v>1890</v>
      </c>
      <c r="O398" s="47" t="n">
        <v>357</v>
      </c>
      <c r="P398" s="47" t="n">
        <v>346</v>
      </c>
      <c r="Q398" s="47"/>
      <c r="R398" s="50" t="n">
        <f aca="false">合約與計費!$D$4</f>
        <v>0.296</v>
      </c>
      <c r="S398" s="51" t="n">
        <f aca="false">ROUND(P398*R398,0)</f>
        <v>102</v>
      </c>
      <c r="T398" s="52"/>
      <c r="U398" s="47"/>
      <c r="V398" s="47"/>
      <c r="W398" s="53"/>
      <c r="X398" s="47"/>
      <c r="Y398" s="47"/>
      <c r="Z398" s="54"/>
      <c r="AA398" s="55"/>
      <c r="AB398" s="56"/>
      <c r="AC398" s="57"/>
      <c r="AD398" s="42" t="n">
        <v>0.0808</v>
      </c>
      <c r="AE398" s="43" t="n">
        <v>1</v>
      </c>
    </row>
    <row r="399" customFormat="false" ht="16.5" hidden="false" customHeight="true" outlineLevel="0" collapsed="false">
      <c r="A399" s="44" t="n">
        <f aca="false">ROW(A397)</f>
        <v>397</v>
      </c>
      <c r="B399" s="44" t="s">
        <v>473</v>
      </c>
      <c r="C399" s="47" t="n">
        <v>1</v>
      </c>
      <c r="D399" s="29"/>
      <c r="E399" s="45" t="s">
        <v>1337</v>
      </c>
      <c r="F399" s="46" t="s">
        <v>1329</v>
      </c>
      <c r="G399" s="47" t="s">
        <v>1155</v>
      </c>
      <c r="H399" s="47" t="s">
        <v>1285</v>
      </c>
      <c r="I399" s="47" t="s">
        <v>423</v>
      </c>
      <c r="J399" s="45" t="s">
        <v>471</v>
      </c>
      <c r="K399" s="48" t="s">
        <v>1338</v>
      </c>
      <c r="L399" s="49" t="n">
        <v>45743</v>
      </c>
      <c r="M399" s="47" t="n">
        <v>18</v>
      </c>
      <c r="N399" s="47" t="n">
        <v>22</v>
      </c>
      <c r="O399" s="47" t="n">
        <v>4</v>
      </c>
      <c r="P399" s="47" t="n">
        <v>4</v>
      </c>
      <c r="Q399" s="47"/>
      <c r="R399" s="50" t="n">
        <f aca="false">合約與計費!$D$4</f>
        <v>0.296</v>
      </c>
      <c r="S399" s="51" t="n">
        <f aca="false">ROUND(P399*R399,0)</f>
        <v>1</v>
      </c>
      <c r="T399" s="52"/>
      <c r="U399" s="47"/>
      <c r="V399" s="47"/>
      <c r="W399" s="53"/>
      <c r="X399" s="47"/>
      <c r="Y399" s="47"/>
      <c r="Z399" s="54"/>
      <c r="AA399" s="55"/>
      <c r="AB399" s="56"/>
      <c r="AC399" s="57"/>
      <c r="AD399" s="42" t="n">
        <v>0.0302</v>
      </c>
      <c r="AE399" s="43" t="n">
        <v>1</v>
      </c>
    </row>
    <row r="400" customFormat="false" ht="16.5" hidden="false" customHeight="true" outlineLevel="0" collapsed="false">
      <c r="A400" s="44" t="n">
        <f aca="false">ROW(A398)</f>
        <v>398</v>
      </c>
      <c r="B400" s="44" t="s">
        <v>476</v>
      </c>
      <c r="C400" s="47" t="n">
        <v>1</v>
      </c>
      <c r="D400" s="29"/>
      <c r="E400" s="45" t="s">
        <v>1339</v>
      </c>
      <c r="F400" s="46" t="s">
        <v>1329</v>
      </c>
      <c r="G400" s="47" t="s">
        <v>1155</v>
      </c>
      <c r="H400" s="47" t="s">
        <v>1285</v>
      </c>
      <c r="I400" s="47" t="s">
        <v>423</v>
      </c>
      <c r="J400" s="45" t="s">
        <v>471</v>
      </c>
      <c r="K400" s="48" t="s">
        <v>1340</v>
      </c>
      <c r="L400" s="49" t="n">
        <v>45743</v>
      </c>
      <c r="M400" s="47" t="n">
        <v>4121</v>
      </c>
      <c r="N400" s="47" t="n">
        <v>5124</v>
      </c>
      <c r="O400" s="47" t="n">
        <v>1003</v>
      </c>
      <c r="P400" s="47" t="n">
        <v>973</v>
      </c>
      <c r="Q400" s="47"/>
      <c r="R400" s="50" t="n">
        <f aca="false">合約與計費!$D$4</f>
        <v>0.296</v>
      </c>
      <c r="S400" s="51" t="n">
        <f aca="false">ROUND(P400*R400,0)</f>
        <v>288</v>
      </c>
      <c r="T400" s="52"/>
      <c r="U400" s="47"/>
      <c r="V400" s="47"/>
      <c r="W400" s="53"/>
      <c r="X400" s="47"/>
      <c r="Y400" s="47"/>
      <c r="Z400" s="54"/>
      <c r="AA400" s="55"/>
      <c r="AB400" s="56"/>
      <c r="AC400" s="57"/>
      <c r="AD400" s="42" t="n">
        <v>0.0789</v>
      </c>
      <c r="AE400" s="43" t="n">
        <v>0.6</v>
      </c>
    </row>
    <row r="401" customFormat="false" ht="16.5" hidden="false" customHeight="true" outlineLevel="0" collapsed="false">
      <c r="A401" s="44" t="n">
        <f aca="false">ROW(A399)</f>
        <v>399</v>
      </c>
      <c r="B401" s="44" t="s">
        <v>479</v>
      </c>
      <c r="C401" s="47" t="n">
        <v>1</v>
      </c>
      <c r="D401" s="29"/>
      <c r="E401" s="45" t="s">
        <v>1341</v>
      </c>
      <c r="F401" s="46" t="s">
        <v>1329</v>
      </c>
      <c r="G401" s="47" t="s">
        <v>1155</v>
      </c>
      <c r="H401" s="47" t="s">
        <v>1285</v>
      </c>
      <c r="I401" s="47" t="s">
        <v>423</v>
      </c>
      <c r="J401" s="45" t="s">
        <v>471</v>
      </c>
      <c r="K401" s="48" t="s">
        <v>1342</v>
      </c>
      <c r="L401" s="49" t="n">
        <v>45743</v>
      </c>
      <c r="M401" s="47" t="n">
        <v>10822</v>
      </c>
      <c r="N401" s="47" t="n">
        <v>12699</v>
      </c>
      <c r="O401" s="47" t="n">
        <v>1877</v>
      </c>
      <c r="P401" s="47" t="n">
        <v>1821</v>
      </c>
      <c r="Q401" s="47"/>
      <c r="R401" s="50" t="n">
        <f aca="false">合約與計費!$D$4</f>
        <v>0.296</v>
      </c>
      <c r="S401" s="51" t="n">
        <f aca="false">ROUND(P401*R401,0)</f>
        <v>539</v>
      </c>
      <c r="T401" s="52"/>
      <c r="U401" s="47"/>
      <c r="V401" s="47"/>
      <c r="W401" s="53"/>
      <c r="X401" s="47"/>
      <c r="Y401" s="47"/>
      <c r="Z401" s="54"/>
      <c r="AA401" s="55"/>
      <c r="AB401" s="56"/>
      <c r="AC401" s="57"/>
      <c r="AD401" s="42" t="n">
        <v>0.1558</v>
      </c>
      <c r="AE401" s="43" t="n">
        <v>0.7</v>
      </c>
    </row>
    <row r="402" customFormat="false" ht="16.5" hidden="false" customHeight="true" outlineLevel="0" collapsed="false">
      <c r="A402" s="44" t="n">
        <f aca="false">ROW(A400)</f>
        <v>400</v>
      </c>
      <c r="B402" s="44" t="s">
        <v>482</v>
      </c>
      <c r="C402" s="47" t="n">
        <v>1</v>
      </c>
      <c r="D402" s="29"/>
      <c r="E402" s="45" t="s">
        <v>1343</v>
      </c>
      <c r="F402" s="46" t="s">
        <v>1329</v>
      </c>
      <c r="G402" s="47" t="s">
        <v>1155</v>
      </c>
      <c r="H402" s="47" t="s">
        <v>1285</v>
      </c>
      <c r="I402" s="47" t="s">
        <v>423</v>
      </c>
      <c r="J402" s="45" t="s">
        <v>471</v>
      </c>
      <c r="K402" s="48" t="s">
        <v>1344</v>
      </c>
      <c r="L402" s="49" t="n">
        <v>45743</v>
      </c>
      <c r="M402" s="47" t="n">
        <v>5082</v>
      </c>
      <c r="N402" s="47" t="n">
        <v>6581</v>
      </c>
      <c r="O402" s="47" t="n">
        <v>1499</v>
      </c>
      <c r="P402" s="47" t="n">
        <v>1454</v>
      </c>
      <c r="Q402" s="47"/>
      <c r="R402" s="50" t="n">
        <f aca="false">合約與計費!$D$4</f>
        <v>0.296</v>
      </c>
      <c r="S402" s="51" t="n">
        <f aca="false">ROUND(P402*R402,0)</f>
        <v>430</v>
      </c>
      <c r="T402" s="52"/>
      <c r="U402" s="47"/>
      <c r="V402" s="47"/>
      <c r="W402" s="53"/>
      <c r="X402" s="47"/>
      <c r="Y402" s="47"/>
      <c r="Z402" s="54"/>
      <c r="AA402" s="55"/>
      <c r="AB402" s="56"/>
      <c r="AC402" s="57"/>
      <c r="AD402" s="42" t="n">
        <v>0.0885</v>
      </c>
      <c r="AE402" s="43" t="n">
        <v>0.5</v>
      </c>
    </row>
    <row r="403" customFormat="false" ht="16.5" hidden="false" customHeight="true" outlineLevel="0" collapsed="false">
      <c r="A403" s="59" t="n">
        <f aca="false">ROW(A401)</f>
        <v>401</v>
      </c>
      <c r="B403" s="59" t="s">
        <v>485</v>
      </c>
      <c r="C403" s="62" t="n">
        <v>1</v>
      </c>
      <c r="D403" s="29"/>
      <c r="E403" s="60" t="s">
        <v>1345</v>
      </c>
      <c r="F403" s="61" t="s">
        <v>1329</v>
      </c>
      <c r="G403" s="62" t="s">
        <v>1155</v>
      </c>
      <c r="H403" s="62" t="s">
        <v>1285</v>
      </c>
      <c r="I403" s="62" t="s">
        <v>423</v>
      </c>
      <c r="J403" s="60" t="s">
        <v>471</v>
      </c>
      <c r="K403" s="63" t="s">
        <v>1346</v>
      </c>
      <c r="L403" s="64" t="n">
        <v>45743</v>
      </c>
      <c r="M403" s="62" t="n">
        <v>13931</v>
      </c>
      <c r="N403" s="62" t="n">
        <v>15920</v>
      </c>
      <c r="O403" s="62" t="n">
        <v>1989</v>
      </c>
      <c r="P403" s="62" t="n">
        <v>1929</v>
      </c>
      <c r="Q403" s="62" t="n">
        <f aca="false">ROUND(SUM(P395:P403),2)</f>
        <v>8793</v>
      </c>
      <c r="R403" s="65" t="n">
        <f aca="false">合約與計費!$D$4</f>
        <v>0.296</v>
      </c>
      <c r="S403" s="66" t="n">
        <f aca="false">ROUND(P403*R403,0)</f>
        <v>571</v>
      </c>
      <c r="T403" s="79" t="n">
        <f aca="false">ROUND(SUM(S395:S403),2)</f>
        <v>2602</v>
      </c>
      <c r="U403" s="62"/>
      <c r="V403" s="62"/>
      <c r="W403" s="67"/>
      <c r="X403" s="62"/>
      <c r="Y403" s="62" t="n">
        <f aca="false">ROUND(SUM(X395:X403),2)</f>
        <v>169</v>
      </c>
      <c r="Z403" s="68"/>
      <c r="AA403" s="77"/>
      <c r="AB403" s="78" t="n">
        <f aca="false">ROUND(SUM(AA395:AA403),2)</f>
        <v>473</v>
      </c>
      <c r="AC403" s="69"/>
      <c r="AD403" s="42" t="n">
        <v>0.0954</v>
      </c>
      <c r="AE403" s="43" t="n">
        <v>0.6</v>
      </c>
    </row>
    <row r="404" customFormat="false" ht="16.5" hidden="false" customHeight="true" outlineLevel="0" collapsed="false">
      <c r="A404" s="27" t="n">
        <f aca="false">ROW(A402)</f>
        <v>402</v>
      </c>
      <c r="B404" s="27" t="s">
        <v>455</v>
      </c>
      <c r="C404" s="31" t="n">
        <v>1</v>
      </c>
      <c r="D404" s="29" t="n">
        <v>56</v>
      </c>
      <c r="E404" s="28" t="s">
        <v>1347</v>
      </c>
      <c r="F404" s="30" t="s">
        <v>1348</v>
      </c>
      <c r="G404" s="31" t="s">
        <v>1155</v>
      </c>
      <c r="H404" s="31" t="s">
        <v>1285</v>
      </c>
      <c r="I404" s="31" t="s">
        <v>213</v>
      </c>
      <c r="J404" s="28" t="s">
        <v>460</v>
      </c>
      <c r="K404" s="80" t="s">
        <v>1349</v>
      </c>
      <c r="L404" s="34" t="n">
        <v>45742</v>
      </c>
      <c r="M404" s="31" t="n">
        <v>1008</v>
      </c>
      <c r="N404" s="31" t="n">
        <v>1071</v>
      </c>
      <c r="O404" s="31" t="n">
        <v>63</v>
      </c>
      <c r="P404" s="31" t="n">
        <v>61</v>
      </c>
      <c r="Q404" s="31"/>
      <c r="R404" s="35" t="n">
        <f aca="false">合約與計費!$D$4</f>
        <v>0.296</v>
      </c>
      <c r="S404" s="36" t="n">
        <f aca="false">ROUND(P404*R404,0)</f>
        <v>18</v>
      </c>
      <c r="T404" s="37"/>
      <c r="U404" s="31" t="n">
        <v>99</v>
      </c>
      <c r="V404" s="31" t="n">
        <v>108</v>
      </c>
      <c r="W404" s="31" t="n">
        <v>9</v>
      </c>
      <c r="X404" s="31" t="n">
        <v>9</v>
      </c>
      <c r="Y404" s="31"/>
      <c r="Z404" s="38" t="n">
        <f aca="false">合約與計費!$E$4</f>
        <v>2.8</v>
      </c>
      <c r="AA404" s="39" t="n">
        <f aca="false">ROUND(X404*Z404,0)</f>
        <v>25</v>
      </c>
      <c r="AB404" s="40"/>
      <c r="AC404" s="41"/>
      <c r="AD404" s="42"/>
      <c r="AE404" s="43"/>
    </row>
    <row r="405" customFormat="false" ht="16.5" hidden="false" customHeight="true" outlineLevel="0" collapsed="false">
      <c r="A405" s="44" t="n">
        <f aca="false">ROW(A403)</f>
        <v>403</v>
      </c>
      <c r="B405" s="44" t="s">
        <v>462</v>
      </c>
      <c r="C405" s="47" t="n">
        <v>1</v>
      </c>
      <c r="D405" s="29"/>
      <c r="E405" s="45" t="s">
        <v>1350</v>
      </c>
      <c r="F405" s="46" t="s">
        <v>1348</v>
      </c>
      <c r="G405" s="47" t="s">
        <v>1155</v>
      </c>
      <c r="H405" s="47" t="s">
        <v>1285</v>
      </c>
      <c r="I405" s="47" t="s">
        <v>213</v>
      </c>
      <c r="J405" s="45" t="s">
        <v>464</v>
      </c>
      <c r="K405" s="48" t="s">
        <v>1351</v>
      </c>
      <c r="L405" s="49" t="n">
        <v>45742</v>
      </c>
      <c r="M405" s="47" t="n">
        <v>934</v>
      </c>
      <c r="N405" s="47" t="n">
        <v>1064</v>
      </c>
      <c r="O405" s="47" t="n">
        <v>130</v>
      </c>
      <c r="P405" s="47" t="n">
        <v>126</v>
      </c>
      <c r="Q405" s="47"/>
      <c r="R405" s="50" t="n">
        <f aca="false">合約與計費!$D$4</f>
        <v>0.296</v>
      </c>
      <c r="S405" s="51" t="n">
        <f aca="false">ROUND(P405*R405,0)</f>
        <v>37</v>
      </c>
      <c r="T405" s="52"/>
      <c r="U405" s="47"/>
      <c r="V405" s="47"/>
      <c r="W405" s="53"/>
      <c r="X405" s="47"/>
      <c r="Y405" s="47"/>
      <c r="Z405" s="54"/>
      <c r="AA405" s="55"/>
      <c r="AB405" s="56"/>
      <c r="AC405" s="57"/>
      <c r="AD405" s="42" t="n">
        <v>0.0585</v>
      </c>
      <c r="AE405" s="43" t="n">
        <v>0.6</v>
      </c>
    </row>
    <row r="406" customFormat="false" ht="16.5" hidden="false" customHeight="true" outlineLevel="0" collapsed="false">
      <c r="A406" s="44" t="n">
        <f aca="false">ROW(A404)</f>
        <v>404</v>
      </c>
      <c r="B406" s="44" t="s">
        <v>466</v>
      </c>
      <c r="C406" s="47" t="n">
        <v>1</v>
      </c>
      <c r="D406" s="29"/>
      <c r="E406" s="45" t="s">
        <v>1352</v>
      </c>
      <c r="F406" s="46" t="s">
        <v>1348</v>
      </c>
      <c r="G406" s="47" t="s">
        <v>1155</v>
      </c>
      <c r="H406" s="47" t="s">
        <v>1285</v>
      </c>
      <c r="I406" s="47" t="s">
        <v>213</v>
      </c>
      <c r="J406" s="45" t="s">
        <v>471</v>
      </c>
      <c r="K406" s="48" t="s">
        <v>1353</v>
      </c>
      <c r="L406" s="49" t="n">
        <v>45742</v>
      </c>
      <c r="M406" s="47" t="n">
        <v>17722</v>
      </c>
      <c r="N406" s="47" t="n">
        <v>19865</v>
      </c>
      <c r="O406" s="47" t="n">
        <v>2143</v>
      </c>
      <c r="P406" s="47" t="n">
        <v>2079</v>
      </c>
      <c r="Q406" s="47"/>
      <c r="R406" s="50" t="n">
        <f aca="false">合約與計費!$D$4</f>
        <v>0.296</v>
      </c>
      <c r="S406" s="51" t="n">
        <f aca="false">ROUND(P406*R406,0)</f>
        <v>615</v>
      </c>
      <c r="T406" s="52"/>
      <c r="U406" s="47"/>
      <c r="V406" s="47"/>
      <c r="W406" s="53"/>
      <c r="X406" s="47"/>
      <c r="Y406" s="47"/>
      <c r="Z406" s="54"/>
      <c r="AA406" s="55"/>
      <c r="AB406" s="56"/>
      <c r="AC406" s="57"/>
      <c r="AD406" s="42" t="n">
        <v>0.0928</v>
      </c>
      <c r="AE406" s="43" t="n">
        <v>0.1</v>
      </c>
    </row>
    <row r="407" customFormat="false" ht="16.5" hidden="false" customHeight="true" outlineLevel="0" collapsed="false">
      <c r="A407" s="44" t="n">
        <f aca="false">ROW(A405)</f>
        <v>405</v>
      </c>
      <c r="B407" s="44" t="s">
        <v>469</v>
      </c>
      <c r="C407" s="47" t="n">
        <v>1</v>
      </c>
      <c r="D407" s="29"/>
      <c r="E407" s="45" t="s">
        <v>1354</v>
      </c>
      <c r="F407" s="46" t="s">
        <v>1348</v>
      </c>
      <c r="G407" s="47" t="s">
        <v>1155</v>
      </c>
      <c r="H407" s="47" t="s">
        <v>1285</v>
      </c>
      <c r="I407" s="47" t="s">
        <v>213</v>
      </c>
      <c r="J407" s="45" t="s">
        <v>471</v>
      </c>
      <c r="K407" s="48" t="s">
        <v>1355</v>
      </c>
      <c r="L407" s="49" t="n">
        <v>45742</v>
      </c>
      <c r="M407" s="47" t="n">
        <v>1594</v>
      </c>
      <c r="N407" s="47" t="n">
        <v>1937</v>
      </c>
      <c r="O407" s="47" t="n">
        <v>343</v>
      </c>
      <c r="P407" s="47" t="n">
        <v>333</v>
      </c>
      <c r="Q407" s="47"/>
      <c r="R407" s="50" t="n">
        <f aca="false">合約與計費!$D$4</f>
        <v>0.296</v>
      </c>
      <c r="S407" s="51" t="n">
        <f aca="false">ROUND(P407*R407,0)</f>
        <v>99</v>
      </c>
      <c r="T407" s="52"/>
      <c r="U407" s="47"/>
      <c r="V407" s="47"/>
      <c r="W407" s="53"/>
      <c r="X407" s="47"/>
      <c r="Y407" s="47"/>
      <c r="Z407" s="54"/>
      <c r="AA407" s="55"/>
      <c r="AB407" s="56"/>
      <c r="AC407" s="57"/>
      <c r="AD407" s="42" t="n">
        <v>0.0441</v>
      </c>
      <c r="AE407" s="43" t="n">
        <v>1</v>
      </c>
    </row>
    <row r="408" customFormat="false" ht="16.5" hidden="false" customHeight="true" outlineLevel="0" collapsed="false">
      <c r="A408" s="44" t="n">
        <f aca="false">ROW(A406)</f>
        <v>406</v>
      </c>
      <c r="B408" s="44" t="s">
        <v>473</v>
      </c>
      <c r="C408" s="47" t="n">
        <v>1</v>
      </c>
      <c r="D408" s="29"/>
      <c r="E408" s="45" t="s">
        <v>1356</v>
      </c>
      <c r="F408" s="46" t="s">
        <v>1348</v>
      </c>
      <c r="G408" s="47" t="s">
        <v>1155</v>
      </c>
      <c r="H408" s="47" t="s">
        <v>1285</v>
      </c>
      <c r="I408" s="47" t="s">
        <v>213</v>
      </c>
      <c r="J408" s="45" t="s">
        <v>471</v>
      </c>
      <c r="K408" s="48" t="s">
        <v>1357</v>
      </c>
      <c r="L408" s="49" t="n">
        <v>45742</v>
      </c>
      <c r="M408" s="47" t="n">
        <v>9273</v>
      </c>
      <c r="N408" s="47" t="n">
        <v>10112</v>
      </c>
      <c r="O408" s="47" t="n">
        <v>839</v>
      </c>
      <c r="P408" s="47" t="n">
        <v>814</v>
      </c>
      <c r="Q408" s="47"/>
      <c r="R408" s="50" t="n">
        <f aca="false">合約與計費!$D$4</f>
        <v>0.296</v>
      </c>
      <c r="S408" s="51" t="n">
        <f aca="false">ROUND(P408*R408,0)</f>
        <v>241</v>
      </c>
      <c r="T408" s="52"/>
      <c r="U408" s="47"/>
      <c r="V408" s="47"/>
      <c r="W408" s="53"/>
      <c r="X408" s="47"/>
      <c r="Y408" s="47"/>
      <c r="Z408" s="54"/>
      <c r="AA408" s="55"/>
      <c r="AB408" s="56"/>
      <c r="AC408" s="57"/>
      <c r="AD408" s="42" t="n">
        <v>0.0754</v>
      </c>
      <c r="AE408" s="43" t="n">
        <v>0.2</v>
      </c>
    </row>
    <row r="409" customFormat="false" ht="16.5" hidden="false" customHeight="true" outlineLevel="0" collapsed="false">
      <c r="A409" s="59" t="n">
        <f aca="false">ROW(A407)</f>
        <v>407</v>
      </c>
      <c r="B409" s="59" t="s">
        <v>476</v>
      </c>
      <c r="C409" s="62" t="n">
        <v>1</v>
      </c>
      <c r="D409" s="29"/>
      <c r="E409" s="60" t="s">
        <v>1358</v>
      </c>
      <c r="F409" s="61" t="s">
        <v>1348</v>
      </c>
      <c r="G409" s="62" t="s">
        <v>1155</v>
      </c>
      <c r="H409" s="62" t="s">
        <v>1285</v>
      </c>
      <c r="I409" s="62" t="s">
        <v>213</v>
      </c>
      <c r="J409" s="60" t="s">
        <v>471</v>
      </c>
      <c r="K409" s="63" t="s">
        <v>1359</v>
      </c>
      <c r="L409" s="64" t="n">
        <v>45742</v>
      </c>
      <c r="M409" s="62" t="n">
        <v>546</v>
      </c>
      <c r="N409" s="62" t="n">
        <v>592</v>
      </c>
      <c r="O409" s="62" t="n">
        <v>46</v>
      </c>
      <c r="P409" s="62" t="n">
        <v>45</v>
      </c>
      <c r="Q409" s="62" t="n">
        <f aca="false">ROUND(SUM(P404:P409),2)</f>
        <v>3458</v>
      </c>
      <c r="R409" s="65" t="n">
        <f aca="false">合約與計費!$D$4</f>
        <v>0.296</v>
      </c>
      <c r="S409" s="66" t="n">
        <f aca="false">ROUND(P409*R409,0)</f>
        <v>13</v>
      </c>
      <c r="T409" s="79" t="n">
        <f aca="false">ROUND(SUM(S404:S409),2)</f>
        <v>1023</v>
      </c>
      <c r="U409" s="62"/>
      <c r="V409" s="62"/>
      <c r="W409" s="67"/>
      <c r="X409" s="62"/>
      <c r="Y409" s="62" t="n">
        <f aca="false">ROUND(SUM(X404:X409),2)</f>
        <v>9</v>
      </c>
      <c r="Z409" s="68"/>
      <c r="AA409" s="77"/>
      <c r="AB409" s="78" t="n">
        <f aca="false">ROUND(SUM(AA404:AA409),2)</f>
        <v>25</v>
      </c>
      <c r="AC409" s="69"/>
      <c r="AD409" s="42" t="n">
        <v>0.061</v>
      </c>
      <c r="AE409" s="43" t="n">
        <v>0.8</v>
      </c>
    </row>
    <row r="410" customFormat="false" ht="16.5" hidden="false" customHeight="true" outlineLevel="0" collapsed="false">
      <c r="A410" s="27" t="n">
        <f aca="false">ROW(A408)</f>
        <v>408</v>
      </c>
      <c r="B410" s="27" t="s">
        <v>455</v>
      </c>
      <c r="C410" s="31" t="n">
        <v>1</v>
      </c>
      <c r="D410" s="29" t="n">
        <v>262</v>
      </c>
      <c r="E410" s="28" t="s">
        <v>1360</v>
      </c>
      <c r="F410" s="30" t="s">
        <v>1361</v>
      </c>
      <c r="G410" s="31" t="s">
        <v>1155</v>
      </c>
      <c r="H410" s="31" t="s">
        <v>1285</v>
      </c>
      <c r="I410" s="31" t="s">
        <v>25</v>
      </c>
      <c r="J410" s="28" t="s">
        <v>460</v>
      </c>
      <c r="K410" s="80" t="s">
        <v>1362</v>
      </c>
      <c r="L410" s="34" t="n">
        <v>45775</v>
      </c>
      <c r="M410" s="31" t="n">
        <v>2205</v>
      </c>
      <c r="N410" s="31" t="n">
        <v>2437</v>
      </c>
      <c r="O410" s="31" t="n">
        <v>232</v>
      </c>
      <c r="P410" s="31" t="n">
        <v>225</v>
      </c>
      <c r="Q410" s="31"/>
      <c r="R410" s="35" t="n">
        <f aca="false">合約與計費!$D$4</f>
        <v>0.296</v>
      </c>
      <c r="S410" s="36" t="n">
        <f aca="false">ROUND(P410*R410,0)</f>
        <v>67</v>
      </c>
      <c r="T410" s="37"/>
      <c r="U410" s="31" t="n">
        <v>223</v>
      </c>
      <c r="V410" s="31" t="n">
        <v>264</v>
      </c>
      <c r="W410" s="31" t="n">
        <v>41</v>
      </c>
      <c r="X410" s="31" t="n">
        <v>40</v>
      </c>
      <c r="Y410" s="31"/>
      <c r="Z410" s="38" t="n">
        <f aca="false">合約與計費!$E$4</f>
        <v>2.8</v>
      </c>
      <c r="AA410" s="39" t="n">
        <f aca="false">ROUND(X410*Z410,0)</f>
        <v>112</v>
      </c>
      <c r="AB410" s="40"/>
      <c r="AC410" s="41"/>
      <c r="AD410" s="42"/>
      <c r="AE410" s="43"/>
    </row>
    <row r="411" customFormat="false" ht="16.5" hidden="false" customHeight="true" outlineLevel="0" collapsed="false">
      <c r="A411" s="44" t="n">
        <f aca="false">ROW(A409)</f>
        <v>409</v>
      </c>
      <c r="B411" s="44" t="s">
        <v>462</v>
      </c>
      <c r="C411" s="47" t="n">
        <v>1</v>
      </c>
      <c r="D411" s="29"/>
      <c r="E411" s="45" t="s">
        <v>1363</v>
      </c>
      <c r="F411" s="46" t="s">
        <v>1361</v>
      </c>
      <c r="G411" s="47" t="s">
        <v>1155</v>
      </c>
      <c r="H411" s="47" t="s">
        <v>1285</v>
      </c>
      <c r="I411" s="47" t="s">
        <v>25</v>
      </c>
      <c r="J411" s="45" t="s">
        <v>464</v>
      </c>
      <c r="K411" s="48" t="s">
        <v>1364</v>
      </c>
      <c r="L411" s="49" t="n">
        <v>45775</v>
      </c>
      <c r="M411" s="47" t="n">
        <v>3022</v>
      </c>
      <c r="N411" s="47" t="n">
        <v>3599</v>
      </c>
      <c r="O411" s="47" t="n">
        <v>577</v>
      </c>
      <c r="P411" s="47" t="n">
        <v>560</v>
      </c>
      <c r="Q411" s="47"/>
      <c r="R411" s="50" t="n">
        <f aca="false">合約與計費!$D$4</f>
        <v>0.296</v>
      </c>
      <c r="S411" s="51" t="n">
        <f aca="false">ROUND(P411*R411,0)</f>
        <v>166</v>
      </c>
      <c r="T411" s="52"/>
      <c r="U411" s="47"/>
      <c r="V411" s="47"/>
      <c r="W411" s="53"/>
      <c r="X411" s="47"/>
      <c r="Y411" s="47"/>
      <c r="Z411" s="54"/>
      <c r="AA411" s="55"/>
      <c r="AB411" s="56"/>
      <c r="AC411" s="57"/>
      <c r="AD411" s="42" t="n">
        <v>0.0544</v>
      </c>
      <c r="AE411" s="43" t="n">
        <v>0.9</v>
      </c>
    </row>
    <row r="412" customFormat="false" ht="16.5" hidden="false" customHeight="true" outlineLevel="0" collapsed="false">
      <c r="A412" s="44" t="n">
        <f aca="false">ROW(A410)</f>
        <v>410</v>
      </c>
      <c r="B412" s="44" t="s">
        <v>466</v>
      </c>
      <c r="C412" s="47" t="n">
        <v>1</v>
      </c>
      <c r="D412" s="29"/>
      <c r="E412" s="45" t="s">
        <v>1365</v>
      </c>
      <c r="F412" s="46" t="s">
        <v>1361</v>
      </c>
      <c r="G412" s="47" t="s">
        <v>1155</v>
      </c>
      <c r="H412" s="47" t="s">
        <v>1285</v>
      </c>
      <c r="I412" s="47" t="s">
        <v>25</v>
      </c>
      <c r="J412" s="45" t="s">
        <v>471</v>
      </c>
      <c r="K412" s="48" t="s">
        <v>1366</v>
      </c>
      <c r="L412" s="49" t="n">
        <v>45775</v>
      </c>
      <c r="M412" s="47" t="n">
        <v>2334</v>
      </c>
      <c r="N412" s="47" t="n">
        <v>2656</v>
      </c>
      <c r="O412" s="47" t="n">
        <v>322</v>
      </c>
      <c r="P412" s="47" t="n">
        <v>312</v>
      </c>
      <c r="Q412" s="47"/>
      <c r="R412" s="50" t="n">
        <f aca="false">合約與計費!$D$4</f>
        <v>0.296</v>
      </c>
      <c r="S412" s="51" t="n">
        <f aca="false">ROUND(P412*R412,0)</f>
        <v>92</v>
      </c>
      <c r="T412" s="52"/>
      <c r="U412" s="47"/>
      <c r="V412" s="47"/>
      <c r="W412" s="53"/>
      <c r="X412" s="47"/>
      <c r="Y412" s="47"/>
      <c r="Z412" s="54"/>
      <c r="AA412" s="55"/>
      <c r="AB412" s="56"/>
      <c r="AC412" s="57"/>
      <c r="AD412" s="42" t="n">
        <v>0.0521</v>
      </c>
      <c r="AE412" s="43" t="n">
        <v>1</v>
      </c>
    </row>
    <row r="413" customFormat="false" ht="16.5" hidden="false" customHeight="true" outlineLevel="0" collapsed="false">
      <c r="A413" s="97" t="n">
        <f aca="false">ROW(A411)</f>
        <v>411</v>
      </c>
      <c r="B413" s="97" t="s">
        <v>469</v>
      </c>
      <c r="C413" s="100" t="n">
        <v>1</v>
      </c>
      <c r="D413" s="29"/>
      <c r="E413" s="60" t="s">
        <v>1367</v>
      </c>
      <c r="F413" s="61" t="s">
        <v>1361</v>
      </c>
      <c r="G413" s="62" t="s">
        <v>1155</v>
      </c>
      <c r="H413" s="62" t="s">
        <v>1285</v>
      </c>
      <c r="I413" s="62" t="s">
        <v>25</v>
      </c>
      <c r="J413" s="60" t="s">
        <v>471</v>
      </c>
      <c r="K413" s="63" t="s">
        <v>1368</v>
      </c>
      <c r="L413" s="64" t="n">
        <v>45775</v>
      </c>
      <c r="M413" s="62" t="n">
        <v>4623</v>
      </c>
      <c r="N413" s="62" t="n">
        <v>6510</v>
      </c>
      <c r="O413" s="62" t="n">
        <v>1887</v>
      </c>
      <c r="P413" s="62" t="n">
        <v>1830</v>
      </c>
      <c r="Q413" s="62" t="n">
        <f aca="false">ROUND(SUM(P410:P413),2)</f>
        <v>2927</v>
      </c>
      <c r="R413" s="65" t="n">
        <f aca="false">合約與計費!$D$4</f>
        <v>0.296</v>
      </c>
      <c r="S413" s="66" t="n">
        <f aca="false">ROUND(P413*R413,0)</f>
        <v>542</v>
      </c>
      <c r="T413" s="79" t="n">
        <f aca="false">ROUND(SUM(S410:S413),2)</f>
        <v>867</v>
      </c>
      <c r="U413" s="62"/>
      <c r="V413" s="62"/>
      <c r="W413" s="67"/>
      <c r="X413" s="62"/>
      <c r="Y413" s="62" t="n">
        <f aca="false">ROUND(SUM(X410:X413),2)</f>
        <v>40</v>
      </c>
      <c r="Z413" s="68"/>
      <c r="AA413" s="77"/>
      <c r="AB413" s="78" t="n">
        <f aca="false">ROUND(SUM(AA410:AA413),2)</f>
        <v>112</v>
      </c>
      <c r="AC413" s="69" t="s">
        <v>1369</v>
      </c>
      <c r="AD413" s="42" t="n">
        <v>0.0911</v>
      </c>
      <c r="AE413" s="43" t="n">
        <v>0.6</v>
      </c>
    </row>
    <row r="414" customFormat="false" ht="16.5" hidden="false" customHeight="true" outlineLevel="0" collapsed="false">
      <c r="A414" s="27" t="n">
        <f aca="false">ROW(A412)</f>
        <v>412</v>
      </c>
      <c r="B414" s="27" t="s">
        <v>455</v>
      </c>
      <c r="C414" s="31" t="n">
        <v>1</v>
      </c>
      <c r="D414" s="29" t="n">
        <v>267</v>
      </c>
      <c r="E414" s="28" t="s">
        <v>1370</v>
      </c>
      <c r="F414" s="30" t="s">
        <v>1371</v>
      </c>
      <c r="G414" s="31" t="s">
        <v>1155</v>
      </c>
      <c r="H414" s="31" t="s">
        <v>1285</v>
      </c>
      <c r="I414" s="71" t="s">
        <v>212</v>
      </c>
      <c r="J414" s="28" t="s">
        <v>460</v>
      </c>
      <c r="K414" s="80" t="s">
        <v>1372</v>
      </c>
      <c r="L414" s="34" t="n">
        <v>45679</v>
      </c>
      <c r="M414" s="31" t="n">
        <v>265</v>
      </c>
      <c r="N414" s="31" t="n">
        <v>268</v>
      </c>
      <c r="O414" s="31" t="n">
        <v>3</v>
      </c>
      <c r="P414" s="31" t="n">
        <v>3</v>
      </c>
      <c r="Q414" s="31"/>
      <c r="R414" s="35" t="n">
        <f aca="false">合約與計費!$D$4</f>
        <v>0.296</v>
      </c>
      <c r="S414" s="36" t="n">
        <f aca="false">ROUND(P414*R414,0)</f>
        <v>1</v>
      </c>
      <c r="T414" s="37"/>
      <c r="U414" s="31" t="n">
        <v>306</v>
      </c>
      <c r="V414" s="31" t="n">
        <v>318</v>
      </c>
      <c r="W414" s="31" t="n">
        <v>12</v>
      </c>
      <c r="X414" s="31" t="n">
        <v>12</v>
      </c>
      <c r="Y414" s="31"/>
      <c r="Z414" s="38" t="n">
        <f aca="false">合約與計費!$E$4</f>
        <v>2.8</v>
      </c>
      <c r="AA414" s="39" t="n">
        <f aca="false">ROUND(X414*Z414,0)</f>
        <v>34</v>
      </c>
      <c r="AB414" s="40"/>
      <c r="AC414" s="41"/>
      <c r="AD414" s="42"/>
      <c r="AE414" s="43"/>
    </row>
    <row r="415" customFormat="false" ht="16.5" hidden="false" customHeight="true" outlineLevel="0" collapsed="false">
      <c r="A415" s="59" t="n">
        <f aca="false">ROW(A413)</f>
        <v>413</v>
      </c>
      <c r="B415" s="59" t="s">
        <v>462</v>
      </c>
      <c r="C415" s="62" t="n">
        <v>1</v>
      </c>
      <c r="D415" s="29"/>
      <c r="E415" s="60" t="s">
        <v>1373</v>
      </c>
      <c r="F415" s="61" t="s">
        <v>1371</v>
      </c>
      <c r="G415" s="62" t="s">
        <v>1155</v>
      </c>
      <c r="H415" s="62" t="s">
        <v>1285</v>
      </c>
      <c r="I415" s="76" t="s">
        <v>212</v>
      </c>
      <c r="J415" s="60" t="s">
        <v>464</v>
      </c>
      <c r="K415" s="63" t="s">
        <v>1374</v>
      </c>
      <c r="L415" s="64" t="n">
        <v>45679</v>
      </c>
      <c r="M415" s="62" t="n">
        <v>8986</v>
      </c>
      <c r="N415" s="62" t="n">
        <v>10600</v>
      </c>
      <c r="O415" s="62" t="n">
        <v>1614</v>
      </c>
      <c r="P415" s="62" t="n">
        <v>1566</v>
      </c>
      <c r="Q415" s="62" t="n">
        <f aca="false">ROUND(SUM(P414:P415),2)</f>
        <v>1569</v>
      </c>
      <c r="R415" s="65" t="n">
        <f aca="false">合約與計費!$D$4</f>
        <v>0.296</v>
      </c>
      <c r="S415" s="66" t="n">
        <f aca="false">ROUND(P415*R415,0)</f>
        <v>464</v>
      </c>
      <c r="T415" s="79" t="n">
        <f aca="false">ROUND(SUM(S414:S415),2)</f>
        <v>465</v>
      </c>
      <c r="U415" s="62"/>
      <c r="V415" s="62"/>
      <c r="W415" s="67"/>
      <c r="X415" s="62"/>
      <c r="Y415" s="62" t="n">
        <f aca="false">ROUND(SUM(X414:X415),2)</f>
        <v>12</v>
      </c>
      <c r="Z415" s="68"/>
      <c r="AA415" s="77"/>
      <c r="AB415" s="78" t="n">
        <f aca="false">ROUND(SUM(AA414:AA415),2)</f>
        <v>34</v>
      </c>
      <c r="AC415" s="69"/>
      <c r="AD415" s="42" t="n">
        <v>0.0726</v>
      </c>
      <c r="AE415" s="43" t="n">
        <v>0.2</v>
      </c>
    </row>
    <row r="416" customFormat="false" ht="16.5" hidden="false" customHeight="true" outlineLevel="0" collapsed="false">
      <c r="A416" s="27" t="n">
        <f aca="false">ROW(A414)</f>
        <v>414</v>
      </c>
      <c r="B416" s="27" t="s">
        <v>455</v>
      </c>
      <c r="C416" s="31" t="n">
        <v>1</v>
      </c>
      <c r="D416" s="29" t="n">
        <v>268</v>
      </c>
      <c r="E416" s="28" t="s">
        <v>1375</v>
      </c>
      <c r="F416" s="30" t="s">
        <v>1376</v>
      </c>
      <c r="G416" s="31" t="s">
        <v>1155</v>
      </c>
      <c r="H416" s="31" t="s">
        <v>1285</v>
      </c>
      <c r="I416" s="71" t="s">
        <v>204</v>
      </c>
      <c r="J416" s="28" t="s">
        <v>460</v>
      </c>
      <c r="K416" s="80" t="s">
        <v>1377</v>
      </c>
      <c r="L416" s="34" t="n">
        <v>45740</v>
      </c>
      <c r="M416" s="31" t="n">
        <v>517</v>
      </c>
      <c r="N416" s="31" t="n">
        <v>528</v>
      </c>
      <c r="O416" s="31" t="n">
        <v>11</v>
      </c>
      <c r="P416" s="31" t="n">
        <v>11</v>
      </c>
      <c r="Q416" s="31"/>
      <c r="R416" s="35" t="n">
        <f aca="false">合約與計費!$D$4</f>
        <v>0.296</v>
      </c>
      <c r="S416" s="36" t="n">
        <f aca="false">ROUND(P416*R416,0)</f>
        <v>3</v>
      </c>
      <c r="T416" s="37"/>
      <c r="U416" s="31" t="n">
        <v>296</v>
      </c>
      <c r="V416" s="31" t="n">
        <v>353</v>
      </c>
      <c r="W416" s="31" t="n">
        <v>57</v>
      </c>
      <c r="X416" s="31" t="n">
        <v>55</v>
      </c>
      <c r="Y416" s="31"/>
      <c r="Z416" s="38" t="n">
        <f aca="false">合約與計費!$E$4</f>
        <v>2.8</v>
      </c>
      <c r="AA416" s="39" t="n">
        <f aca="false">ROUND(X416*Z416,0)</f>
        <v>154</v>
      </c>
      <c r="AB416" s="40"/>
      <c r="AC416" s="41"/>
      <c r="AD416" s="42"/>
      <c r="AE416" s="43"/>
    </row>
    <row r="417" customFormat="false" ht="16.5" hidden="false" customHeight="true" outlineLevel="0" collapsed="false">
      <c r="A417" s="59" t="n">
        <f aca="false">ROW(A415)</f>
        <v>415</v>
      </c>
      <c r="B417" s="59" t="s">
        <v>462</v>
      </c>
      <c r="C417" s="62" t="n">
        <v>1</v>
      </c>
      <c r="D417" s="29"/>
      <c r="E417" s="60" t="s">
        <v>1378</v>
      </c>
      <c r="F417" s="61" t="s">
        <v>1376</v>
      </c>
      <c r="G417" s="62" t="s">
        <v>1155</v>
      </c>
      <c r="H417" s="62" t="s">
        <v>1285</v>
      </c>
      <c r="I417" s="76" t="s">
        <v>204</v>
      </c>
      <c r="J417" s="60" t="s">
        <v>464</v>
      </c>
      <c r="K417" s="63" t="s">
        <v>1379</v>
      </c>
      <c r="L417" s="64" t="n">
        <v>45740</v>
      </c>
      <c r="M417" s="62" t="n">
        <v>3039</v>
      </c>
      <c r="N417" s="62" t="n">
        <v>3547</v>
      </c>
      <c r="O417" s="62" t="n">
        <v>508</v>
      </c>
      <c r="P417" s="62" t="n">
        <v>493</v>
      </c>
      <c r="Q417" s="62" t="n">
        <f aca="false">ROUND(SUM(P416:P417),2)</f>
        <v>504</v>
      </c>
      <c r="R417" s="65" t="n">
        <f aca="false">合約與計費!$D$4</f>
        <v>0.296</v>
      </c>
      <c r="S417" s="66" t="n">
        <f aca="false">ROUND(P417*R417,0)</f>
        <v>146</v>
      </c>
      <c r="T417" s="79" t="n">
        <f aca="false">ROUND(SUM(S416:S417),2)</f>
        <v>149</v>
      </c>
      <c r="U417" s="62"/>
      <c r="V417" s="62"/>
      <c r="W417" s="67"/>
      <c r="X417" s="62"/>
      <c r="Y417" s="62" t="n">
        <f aca="false">ROUND(SUM(X416:X417),2)</f>
        <v>55</v>
      </c>
      <c r="Z417" s="68"/>
      <c r="AA417" s="77"/>
      <c r="AB417" s="78" t="n">
        <f aca="false">ROUND(SUM(AA416:AA417),2)</f>
        <v>154</v>
      </c>
      <c r="AC417" s="69"/>
      <c r="AD417" s="42" t="n">
        <v>0.07</v>
      </c>
      <c r="AE417" s="43" t="n">
        <v>0.9</v>
      </c>
    </row>
    <row r="418" customFormat="false" ht="16.5" hidden="false" customHeight="true" outlineLevel="0" collapsed="false">
      <c r="A418" s="27" t="n">
        <f aca="false">ROW(A416)</f>
        <v>416</v>
      </c>
      <c r="B418" s="27" t="s">
        <v>455</v>
      </c>
      <c r="C418" s="31" t="n">
        <v>1</v>
      </c>
      <c r="D418" s="29" t="n">
        <v>53</v>
      </c>
      <c r="E418" s="28" t="s">
        <v>1380</v>
      </c>
      <c r="F418" s="30" t="s">
        <v>1381</v>
      </c>
      <c r="G418" s="31" t="s">
        <v>1155</v>
      </c>
      <c r="H418" s="31" t="s">
        <v>1382</v>
      </c>
      <c r="I418" s="31" t="s">
        <v>58</v>
      </c>
      <c r="J418" s="28" t="s">
        <v>460</v>
      </c>
      <c r="K418" s="80" t="s">
        <v>1383</v>
      </c>
      <c r="L418" s="34" t="n">
        <v>45762</v>
      </c>
      <c r="M418" s="31" t="n">
        <v>66</v>
      </c>
      <c r="N418" s="31" t="n">
        <v>74</v>
      </c>
      <c r="O418" s="31" t="n">
        <v>8</v>
      </c>
      <c r="P418" s="31" t="n">
        <v>8</v>
      </c>
      <c r="Q418" s="31"/>
      <c r="R418" s="35" t="n">
        <f aca="false">合約與計費!$D$4</f>
        <v>0.296</v>
      </c>
      <c r="S418" s="36" t="n">
        <f aca="false">ROUND(P418*R418,0)</f>
        <v>2</v>
      </c>
      <c r="T418" s="37"/>
      <c r="U418" s="31" t="n">
        <v>108</v>
      </c>
      <c r="V418" s="31" t="n">
        <v>155</v>
      </c>
      <c r="W418" s="31" t="n">
        <v>47</v>
      </c>
      <c r="X418" s="31" t="n">
        <v>46</v>
      </c>
      <c r="Y418" s="31"/>
      <c r="Z418" s="38" t="n">
        <f aca="false">合約與計費!$E$4</f>
        <v>2.8</v>
      </c>
      <c r="AA418" s="39" t="n">
        <f aca="false">ROUND(X418*Z418,0)</f>
        <v>129</v>
      </c>
      <c r="AB418" s="40"/>
      <c r="AC418" s="41"/>
      <c r="AD418" s="42"/>
      <c r="AE418" s="43"/>
    </row>
    <row r="419" customFormat="false" ht="16.5" hidden="false" customHeight="true" outlineLevel="0" collapsed="false">
      <c r="A419" s="44" t="n">
        <f aca="false">ROW(A417)</f>
        <v>417</v>
      </c>
      <c r="B419" s="44" t="s">
        <v>462</v>
      </c>
      <c r="C419" s="47" t="n">
        <v>1</v>
      </c>
      <c r="D419" s="29"/>
      <c r="E419" s="45" t="s">
        <v>1384</v>
      </c>
      <c r="F419" s="46" t="s">
        <v>1381</v>
      </c>
      <c r="G419" s="47" t="s">
        <v>1155</v>
      </c>
      <c r="H419" s="47" t="s">
        <v>1382</v>
      </c>
      <c r="I419" s="47" t="s">
        <v>58</v>
      </c>
      <c r="J419" s="45" t="s">
        <v>527</v>
      </c>
      <c r="K419" s="48" t="s">
        <v>1385</v>
      </c>
      <c r="L419" s="49" t="n">
        <v>45762</v>
      </c>
      <c r="M419" s="47" t="n">
        <v>12193</v>
      </c>
      <c r="N419" s="47" t="n">
        <v>14970</v>
      </c>
      <c r="O419" s="47" t="n">
        <v>2777</v>
      </c>
      <c r="P419" s="47" t="n">
        <v>2694</v>
      </c>
      <c r="Q419" s="47"/>
      <c r="R419" s="50" t="n">
        <f aca="false">合約與計費!$D$4</f>
        <v>0.296</v>
      </c>
      <c r="S419" s="51" t="n">
        <f aca="false">ROUND(P419*R419,0)</f>
        <v>797</v>
      </c>
      <c r="T419" s="52"/>
      <c r="U419" s="47"/>
      <c r="V419" s="47"/>
      <c r="W419" s="53"/>
      <c r="X419" s="47"/>
      <c r="Y419" s="47"/>
      <c r="Z419" s="54"/>
      <c r="AA419" s="55"/>
      <c r="AB419" s="56"/>
      <c r="AC419" s="57"/>
      <c r="AD419" s="42"/>
      <c r="AE419" s="43" t="n">
        <v>1</v>
      </c>
    </row>
    <row r="420" customFormat="false" ht="16.5" hidden="false" customHeight="true" outlineLevel="0" collapsed="false">
      <c r="A420" s="44" t="n">
        <f aca="false">ROW(A418)</f>
        <v>418</v>
      </c>
      <c r="B420" s="44" t="s">
        <v>466</v>
      </c>
      <c r="C420" s="47" t="n">
        <v>1</v>
      </c>
      <c r="D420" s="29"/>
      <c r="E420" s="45" t="s">
        <v>1386</v>
      </c>
      <c r="F420" s="46" t="s">
        <v>1381</v>
      </c>
      <c r="G420" s="47" t="s">
        <v>1155</v>
      </c>
      <c r="H420" s="47" t="s">
        <v>1382</v>
      </c>
      <c r="I420" s="47" t="s">
        <v>58</v>
      </c>
      <c r="J420" s="45" t="s">
        <v>527</v>
      </c>
      <c r="K420" s="48" t="s">
        <v>1387</v>
      </c>
      <c r="L420" s="49" t="n">
        <v>45762</v>
      </c>
      <c r="M420" s="47" t="n">
        <v>1910</v>
      </c>
      <c r="N420" s="47" t="n">
        <v>2422</v>
      </c>
      <c r="O420" s="47" t="n">
        <v>512</v>
      </c>
      <c r="P420" s="47" t="n">
        <v>497</v>
      </c>
      <c r="Q420" s="47"/>
      <c r="R420" s="50" t="n">
        <f aca="false">合約與計費!$D$4</f>
        <v>0.296</v>
      </c>
      <c r="S420" s="51" t="n">
        <f aca="false">ROUND(P420*R420,0)</f>
        <v>147</v>
      </c>
      <c r="T420" s="52"/>
      <c r="U420" s="47"/>
      <c r="V420" s="47"/>
      <c r="W420" s="53"/>
      <c r="X420" s="47"/>
      <c r="Y420" s="47"/>
      <c r="Z420" s="54"/>
      <c r="AA420" s="55"/>
      <c r="AB420" s="56"/>
      <c r="AC420" s="57"/>
      <c r="AD420" s="42"/>
      <c r="AE420" s="43" t="n">
        <v>0.1</v>
      </c>
    </row>
    <row r="421" customFormat="false" ht="16.5" hidden="false" customHeight="true" outlineLevel="0" collapsed="false">
      <c r="A421" s="44" t="n">
        <f aca="false">ROW(A419)</f>
        <v>419</v>
      </c>
      <c r="B421" s="44" t="s">
        <v>469</v>
      </c>
      <c r="C421" s="47" t="n">
        <v>1</v>
      </c>
      <c r="D421" s="29"/>
      <c r="E421" s="45" t="s">
        <v>1388</v>
      </c>
      <c r="F421" s="46" t="s">
        <v>1381</v>
      </c>
      <c r="G421" s="47" t="s">
        <v>1155</v>
      </c>
      <c r="H421" s="47" t="s">
        <v>1382</v>
      </c>
      <c r="I421" s="47" t="s">
        <v>58</v>
      </c>
      <c r="J421" s="45" t="s">
        <v>527</v>
      </c>
      <c r="K421" s="48" t="s">
        <v>1389</v>
      </c>
      <c r="L421" s="49" t="n">
        <v>45762</v>
      </c>
      <c r="M421" s="47" t="n">
        <v>13385</v>
      </c>
      <c r="N421" s="47" t="n">
        <v>17125</v>
      </c>
      <c r="O421" s="47" t="n">
        <v>3740</v>
      </c>
      <c r="P421" s="47" t="n">
        <v>3628</v>
      </c>
      <c r="Q421" s="47"/>
      <c r="R421" s="50" t="n">
        <f aca="false">合約與計費!$D$4</f>
        <v>0.296</v>
      </c>
      <c r="S421" s="51" t="n">
        <f aca="false">ROUND(P421*R421,0)</f>
        <v>1074</v>
      </c>
      <c r="T421" s="52"/>
      <c r="U421" s="47"/>
      <c r="V421" s="47"/>
      <c r="W421" s="53"/>
      <c r="X421" s="47"/>
      <c r="Y421" s="47"/>
      <c r="Z421" s="54"/>
      <c r="AA421" s="55"/>
      <c r="AB421" s="56"/>
      <c r="AC421" s="57"/>
      <c r="AD421" s="42"/>
      <c r="AE421" s="43" t="n">
        <v>0.7</v>
      </c>
    </row>
    <row r="422" customFormat="false" ht="16.5" hidden="false" customHeight="true" outlineLevel="0" collapsed="false">
      <c r="A422" s="59" t="n">
        <f aca="false">ROW(A420)</f>
        <v>420</v>
      </c>
      <c r="B422" s="59" t="s">
        <v>473</v>
      </c>
      <c r="C422" s="62" t="n">
        <v>1</v>
      </c>
      <c r="D422" s="29"/>
      <c r="E422" s="60" t="s">
        <v>1390</v>
      </c>
      <c r="F422" s="61" t="s">
        <v>1381</v>
      </c>
      <c r="G422" s="62" t="s">
        <v>1155</v>
      </c>
      <c r="H422" s="62" t="s">
        <v>1382</v>
      </c>
      <c r="I422" s="62" t="s">
        <v>58</v>
      </c>
      <c r="J422" s="60" t="s">
        <v>527</v>
      </c>
      <c r="K422" s="63" t="s">
        <v>1391</v>
      </c>
      <c r="L422" s="64" t="n">
        <v>45762</v>
      </c>
      <c r="M422" s="62" t="n">
        <v>1385</v>
      </c>
      <c r="N422" s="62" t="n">
        <v>1611</v>
      </c>
      <c r="O422" s="62" t="n">
        <v>226</v>
      </c>
      <c r="P422" s="62" t="n">
        <v>219</v>
      </c>
      <c r="Q422" s="62" t="n">
        <f aca="false">ROUND(SUM(P418:P422),2)</f>
        <v>7046</v>
      </c>
      <c r="R422" s="65" t="n">
        <f aca="false">合約與計費!$D$4</f>
        <v>0.296</v>
      </c>
      <c r="S422" s="66" t="n">
        <f aca="false">ROUND(P422*R422,0)</f>
        <v>65</v>
      </c>
      <c r="T422" s="79" t="n">
        <f aca="false">ROUND(SUM(S418:S422),2)</f>
        <v>2085</v>
      </c>
      <c r="U422" s="62"/>
      <c r="V422" s="62"/>
      <c r="W422" s="67"/>
      <c r="X422" s="62"/>
      <c r="Y422" s="62" t="n">
        <f aca="false">ROUND(SUM(X418:X422),2)</f>
        <v>46</v>
      </c>
      <c r="Z422" s="68"/>
      <c r="AA422" s="77"/>
      <c r="AB422" s="78" t="n">
        <f aca="false">ROUND(SUM(AA418:AA422),2)</f>
        <v>129</v>
      </c>
      <c r="AC422" s="69"/>
      <c r="AD422" s="42"/>
      <c r="AE422" s="43" t="n">
        <v>0.4</v>
      </c>
    </row>
    <row r="423" customFormat="false" ht="16.5" hidden="false" customHeight="true" outlineLevel="0" collapsed="false">
      <c r="A423" s="27" t="n">
        <f aca="false">ROW(A421)</f>
        <v>421</v>
      </c>
      <c r="B423" s="27" t="s">
        <v>455</v>
      </c>
      <c r="C423" s="31" t="n">
        <v>1</v>
      </c>
      <c r="D423" s="29" t="n">
        <v>54</v>
      </c>
      <c r="E423" s="28" t="s">
        <v>1392</v>
      </c>
      <c r="F423" s="30" t="s">
        <v>1393</v>
      </c>
      <c r="G423" s="31" t="s">
        <v>1155</v>
      </c>
      <c r="H423" s="31" t="s">
        <v>1382</v>
      </c>
      <c r="I423" s="31" t="s">
        <v>149</v>
      </c>
      <c r="J423" s="28" t="s">
        <v>460</v>
      </c>
      <c r="K423" s="80" t="s">
        <v>1394</v>
      </c>
      <c r="L423" s="34" t="n">
        <v>45748</v>
      </c>
      <c r="M423" s="31" t="n">
        <v>3058</v>
      </c>
      <c r="N423" s="31" t="n">
        <v>3834</v>
      </c>
      <c r="O423" s="47" t="n">
        <v>776</v>
      </c>
      <c r="P423" s="31" t="n">
        <v>753</v>
      </c>
      <c r="Q423" s="31"/>
      <c r="R423" s="35" t="n">
        <f aca="false">合約與計費!$D$4</f>
        <v>0.296</v>
      </c>
      <c r="S423" s="36" t="n">
        <f aca="false">ROUND(P423*R423,0)</f>
        <v>223</v>
      </c>
      <c r="T423" s="37"/>
      <c r="U423" s="31" t="n">
        <v>110</v>
      </c>
      <c r="V423" s="31" t="n">
        <v>144</v>
      </c>
      <c r="W423" s="31" t="n">
        <v>34</v>
      </c>
      <c r="X423" s="31" t="n">
        <v>33</v>
      </c>
      <c r="Y423" s="31"/>
      <c r="Z423" s="38" t="n">
        <f aca="false">合約與計費!$E$4</f>
        <v>2.8</v>
      </c>
      <c r="AA423" s="39" t="n">
        <f aca="false">ROUND(X423*Z423,0)</f>
        <v>92</v>
      </c>
      <c r="AB423" s="40"/>
      <c r="AC423" s="41"/>
      <c r="AD423" s="42"/>
      <c r="AE423" s="43"/>
    </row>
    <row r="424" customFormat="false" ht="16.5" hidden="false" customHeight="true" outlineLevel="0" collapsed="false">
      <c r="A424" s="44" t="n">
        <f aca="false">ROW(A422)</f>
        <v>422</v>
      </c>
      <c r="B424" s="44" t="s">
        <v>462</v>
      </c>
      <c r="C424" s="47" t="n">
        <v>1</v>
      </c>
      <c r="D424" s="29"/>
      <c r="E424" s="45" t="s">
        <v>1395</v>
      </c>
      <c r="F424" s="46" t="s">
        <v>1393</v>
      </c>
      <c r="G424" s="47" t="s">
        <v>1155</v>
      </c>
      <c r="H424" s="47" t="s">
        <v>1382</v>
      </c>
      <c r="I424" s="47" t="s">
        <v>149</v>
      </c>
      <c r="J424" s="45" t="s">
        <v>471</v>
      </c>
      <c r="K424" s="48" t="s">
        <v>1396</v>
      </c>
      <c r="L424" s="49" t="n">
        <v>45748</v>
      </c>
      <c r="M424" s="47" t="n">
        <v>13349</v>
      </c>
      <c r="N424" s="47" t="n">
        <v>16173</v>
      </c>
      <c r="O424" s="47" t="n">
        <v>2824</v>
      </c>
      <c r="P424" s="47" t="n">
        <v>2739</v>
      </c>
      <c r="Q424" s="47"/>
      <c r="R424" s="50" t="n">
        <f aca="false">合約與計費!$D$4</f>
        <v>0.296</v>
      </c>
      <c r="S424" s="51" t="n">
        <f aca="false">ROUND(P424*R424,0)</f>
        <v>811</v>
      </c>
      <c r="T424" s="52"/>
      <c r="U424" s="47"/>
      <c r="V424" s="47"/>
      <c r="W424" s="53"/>
      <c r="X424" s="47"/>
      <c r="Y424" s="47"/>
      <c r="Z424" s="54"/>
      <c r="AA424" s="55"/>
      <c r="AB424" s="56"/>
      <c r="AC424" s="57"/>
      <c r="AD424" s="42" t="n">
        <v>0.0982</v>
      </c>
      <c r="AE424" s="43" t="n">
        <v>1</v>
      </c>
    </row>
    <row r="425" customFormat="false" ht="16.5" hidden="false" customHeight="true" outlineLevel="0" collapsed="false">
      <c r="A425" s="44" t="n">
        <f aca="false">ROW(A423)</f>
        <v>423</v>
      </c>
      <c r="B425" s="44" t="s">
        <v>466</v>
      </c>
      <c r="C425" s="47" t="n">
        <v>1</v>
      </c>
      <c r="D425" s="29"/>
      <c r="E425" s="45" t="s">
        <v>1397</v>
      </c>
      <c r="F425" s="46" t="s">
        <v>1393</v>
      </c>
      <c r="G425" s="47" t="s">
        <v>1155</v>
      </c>
      <c r="H425" s="47" t="s">
        <v>1382</v>
      </c>
      <c r="I425" s="47" t="s">
        <v>149</v>
      </c>
      <c r="J425" s="45" t="s">
        <v>471</v>
      </c>
      <c r="K425" s="48" t="s">
        <v>1398</v>
      </c>
      <c r="L425" s="49" t="n">
        <v>45748</v>
      </c>
      <c r="M425" s="47" t="n">
        <v>1450</v>
      </c>
      <c r="N425" s="47" t="n">
        <v>1699</v>
      </c>
      <c r="O425" s="47" t="n">
        <v>249</v>
      </c>
      <c r="P425" s="47" t="n">
        <v>242</v>
      </c>
      <c r="Q425" s="47"/>
      <c r="R425" s="50" t="n">
        <f aca="false">合約與計費!$D$4</f>
        <v>0.296</v>
      </c>
      <c r="S425" s="51" t="n">
        <f aca="false">ROUND(P425*R425,0)</f>
        <v>72</v>
      </c>
      <c r="T425" s="52"/>
      <c r="U425" s="47"/>
      <c r="V425" s="47"/>
      <c r="W425" s="53"/>
      <c r="X425" s="47"/>
      <c r="Y425" s="47"/>
      <c r="Z425" s="54"/>
      <c r="AA425" s="55"/>
      <c r="AB425" s="56"/>
      <c r="AC425" s="57"/>
      <c r="AD425" s="42" t="n">
        <v>0.3452</v>
      </c>
      <c r="AE425" s="43" t="n">
        <v>0.1</v>
      </c>
    </row>
    <row r="426" customFormat="false" ht="16.5" hidden="false" customHeight="true" outlineLevel="0" collapsed="false">
      <c r="A426" s="44" t="n">
        <f aca="false">ROW(A424)</f>
        <v>424</v>
      </c>
      <c r="B426" s="44" t="s">
        <v>469</v>
      </c>
      <c r="C426" s="47" t="n">
        <v>1</v>
      </c>
      <c r="D426" s="29"/>
      <c r="E426" s="45" t="s">
        <v>1399</v>
      </c>
      <c r="F426" s="46" t="s">
        <v>1393</v>
      </c>
      <c r="G426" s="47" t="s">
        <v>1155</v>
      </c>
      <c r="H426" s="47" t="s">
        <v>1382</v>
      </c>
      <c r="I426" s="47" t="s">
        <v>149</v>
      </c>
      <c r="J426" s="45" t="s">
        <v>471</v>
      </c>
      <c r="K426" s="48" t="s">
        <v>1400</v>
      </c>
      <c r="L426" s="49" t="n">
        <v>45748</v>
      </c>
      <c r="M426" s="47" t="n">
        <v>15150</v>
      </c>
      <c r="N426" s="47" t="n">
        <v>18473</v>
      </c>
      <c r="O426" s="47" t="n">
        <v>3323</v>
      </c>
      <c r="P426" s="47" t="n">
        <v>3223</v>
      </c>
      <c r="Q426" s="47"/>
      <c r="R426" s="50" t="n">
        <f aca="false">合約與計費!$D$4</f>
        <v>0.296</v>
      </c>
      <c r="S426" s="51" t="n">
        <f aca="false">ROUND(P426*R426,0)</f>
        <v>954</v>
      </c>
      <c r="T426" s="52"/>
      <c r="U426" s="47"/>
      <c r="V426" s="47"/>
      <c r="W426" s="53"/>
      <c r="X426" s="47"/>
      <c r="Y426" s="47"/>
      <c r="Z426" s="54"/>
      <c r="AA426" s="55"/>
      <c r="AB426" s="56"/>
      <c r="AC426" s="57"/>
      <c r="AD426" s="42" t="n">
        <v>0.1194</v>
      </c>
      <c r="AE426" s="43" t="n">
        <v>0.6</v>
      </c>
    </row>
    <row r="427" customFormat="false" ht="16.5" hidden="false" customHeight="true" outlineLevel="0" collapsed="false">
      <c r="A427" s="59" t="n">
        <f aca="false">ROW(A425)</f>
        <v>425</v>
      </c>
      <c r="B427" s="59" t="s">
        <v>473</v>
      </c>
      <c r="C427" s="62" t="n">
        <v>1</v>
      </c>
      <c r="D427" s="29"/>
      <c r="E427" s="60" t="s">
        <v>1401</v>
      </c>
      <c r="F427" s="61" t="s">
        <v>1393</v>
      </c>
      <c r="G427" s="62" t="s">
        <v>1155</v>
      </c>
      <c r="H427" s="62" t="s">
        <v>1382</v>
      </c>
      <c r="I427" s="62" t="s">
        <v>149</v>
      </c>
      <c r="J427" s="60" t="s">
        <v>471</v>
      </c>
      <c r="K427" s="63" t="s">
        <v>1402</v>
      </c>
      <c r="L427" s="64" t="n">
        <v>45748</v>
      </c>
      <c r="M427" s="62" t="n">
        <v>563</v>
      </c>
      <c r="N427" s="62" t="n">
        <v>893</v>
      </c>
      <c r="O427" s="62" t="n">
        <v>330</v>
      </c>
      <c r="P427" s="62" t="n">
        <v>320</v>
      </c>
      <c r="Q427" s="62" t="n">
        <f aca="false">ROUND(SUM(P423:P427),2)</f>
        <v>7277</v>
      </c>
      <c r="R427" s="65" t="n">
        <f aca="false">合約與計費!$D$4</f>
        <v>0.296</v>
      </c>
      <c r="S427" s="66" t="n">
        <f aca="false">ROUND(P427*R427,0)</f>
        <v>95</v>
      </c>
      <c r="T427" s="79" t="n">
        <f aca="false">ROUND(SUM(S423:S427),2)</f>
        <v>2155</v>
      </c>
      <c r="U427" s="62"/>
      <c r="V427" s="62"/>
      <c r="W427" s="67"/>
      <c r="X427" s="62"/>
      <c r="Y427" s="62" t="n">
        <f aca="false">ROUND(SUM(X423:X427),2)</f>
        <v>33</v>
      </c>
      <c r="Z427" s="68"/>
      <c r="AA427" s="77"/>
      <c r="AB427" s="78" t="n">
        <f aca="false">ROUND(SUM(AA423:AA427),2)</f>
        <v>92</v>
      </c>
      <c r="AC427" s="69"/>
      <c r="AD427" s="42" t="n">
        <v>0.2367</v>
      </c>
      <c r="AE427" s="43" t="n">
        <v>0.8</v>
      </c>
    </row>
    <row r="428" customFormat="false" ht="16.5" hidden="false" customHeight="true" outlineLevel="0" collapsed="false">
      <c r="A428" s="27" t="n">
        <f aca="false">ROW(A426)</f>
        <v>426</v>
      </c>
      <c r="B428" s="27" t="s">
        <v>455</v>
      </c>
      <c r="C428" s="31" t="n">
        <v>1</v>
      </c>
      <c r="D428" s="29" t="n">
        <v>55</v>
      </c>
      <c r="E428" s="28" t="s">
        <v>1403</v>
      </c>
      <c r="F428" s="30" t="s">
        <v>1404</v>
      </c>
      <c r="G428" s="31" t="s">
        <v>1155</v>
      </c>
      <c r="H428" s="31" t="s">
        <v>1382</v>
      </c>
      <c r="I428" s="31" t="s">
        <v>176</v>
      </c>
      <c r="J428" s="28" t="s">
        <v>460</v>
      </c>
      <c r="K428" s="80" t="s">
        <v>1405</v>
      </c>
      <c r="L428" s="34" t="n">
        <v>45742</v>
      </c>
      <c r="M428" s="31" t="n">
        <v>1177</v>
      </c>
      <c r="N428" s="31" t="n">
        <v>1369</v>
      </c>
      <c r="O428" s="31" t="n">
        <v>192</v>
      </c>
      <c r="P428" s="31" t="n">
        <v>186</v>
      </c>
      <c r="Q428" s="31"/>
      <c r="R428" s="35" t="n">
        <f aca="false">合約與計費!$D$4</f>
        <v>0.296</v>
      </c>
      <c r="S428" s="36" t="n">
        <f aca="false">ROUND(P428*R428,0)</f>
        <v>55</v>
      </c>
      <c r="T428" s="37"/>
      <c r="U428" s="31" t="n">
        <v>167</v>
      </c>
      <c r="V428" s="31" t="n">
        <v>179</v>
      </c>
      <c r="W428" s="31" t="n">
        <v>12</v>
      </c>
      <c r="X428" s="31" t="n">
        <v>12</v>
      </c>
      <c r="Y428" s="31"/>
      <c r="Z428" s="38" t="n">
        <f aca="false">合約與計費!$E$4</f>
        <v>2.8</v>
      </c>
      <c r="AA428" s="39" t="n">
        <f aca="false">ROUND(X428*Z428,0)</f>
        <v>34</v>
      </c>
      <c r="AB428" s="40"/>
      <c r="AC428" s="41"/>
      <c r="AD428" s="42"/>
      <c r="AE428" s="43"/>
    </row>
    <row r="429" customFormat="false" ht="16.5" hidden="false" customHeight="true" outlineLevel="0" collapsed="false">
      <c r="A429" s="44" t="n">
        <f aca="false">ROW(A427)</f>
        <v>427</v>
      </c>
      <c r="B429" s="44" t="s">
        <v>462</v>
      </c>
      <c r="C429" s="47" t="n">
        <v>1</v>
      </c>
      <c r="D429" s="29"/>
      <c r="E429" s="45" t="s">
        <v>1406</v>
      </c>
      <c r="F429" s="46" t="s">
        <v>1404</v>
      </c>
      <c r="G429" s="47" t="s">
        <v>1155</v>
      </c>
      <c r="H429" s="47" t="s">
        <v>1382</v>
      </c>
      <c r="I429" s="47" t="s">
        <v>176</v>
      </c>
      <c r="J429" s="45" t="s">
        <v>471</v>
      </c>
      <c r="K429" s="48" t="s">
        <v>1407</v>
      </c>
      <c r="L429" s="49" t="n">
        <v>45742</v>
      </c>
      <c r="M429" s="47" t="n">
        <v>2978</v>
      </c>
      <c r="N429" s="47" t="n">
        <v>3319</v>
      </c>
      <c r="O429" s="47" t="n">
        <v>341</v>
      </c>
      <c r="P429" s="47" t="n">
        <v>331</v>
      </c>
      <c r="Q429" s="47"/>
      <c r="R429" s="50" t="n">
        <f aca="false">合約與計費!$D$4</f>
        <v>0.296</v>
      </c>
      <c r="S429" s="51" t="n">
        <f aca="false">ROUND(P429*R429,0)</f>
        <v>98</v>
      </c>
      <c r="T429" s="52"/>
      <c r="U429" s="47"/>
      <c r="V429" s="47"/>
      <c r="W429" s="53"/>
      <c r="X429" s="47"/>
      <c r="Y429" s="47"/>
      <c r="Z429" s="54"/>
      <c r="AA429" s="55"/>
      <c r="AB429" s="56"/>
      <c r="AC429" s="57"/>
      <c r="AD429" s="42" t="n">
        <v>0.0457</v>
      </c>
      <c r="AE429" s="43" t="n">
        <v>1</v>
      </c>
    </row>
    <row r="430" customFormat="false" ht="16.5" hidden="false" customHeight="true" outlineLevel="0" collapsed="false">
      <c r="A430" s="44" t="n">
        <f aca="false">ROW(A428)</f>
        <v>428</v>
      </c>
      <c r="B430" s="44" t="s">
        <v>466</v>
      </c>
      <c r="C430" s="47" t="n">
        <v>1</v>
      </c>
      <c r="D430" s="29"/>
      <c r="E430" s="45" t="s">
        <v>1408</v>
      </c>
      <c r="F430" s="46" t="s">
        <v>1404</v>
      </c>
      <c r="G430" s="47" t="s">
        <v>1155</v>
      </c>
      <c r="H430" s="47" t="s">
        <v>1382</v>
      </c>
      <c r="I430" s="47" t="s">
        <v>176</v>
      </c>
      <c r="J430" s="45" t="s">
        <v>471</v>
      </c>
      <c r="K430" s="48" t="s">
        <v>1409</v>
      </c>
      <c r="L430" s="49" t="n">
        <v>45742</v>
      </c>
      <c r="M430" s="47" t="n">
        <v>17093</v>
      </c>
      <c r="N430" s="47" t="n">
        <v>19337</v>
      </c>
      <c r="O430" s="47" t="n">
        <v>2244</v>
      </c>
      <c r="P430" s="47" t="n">
        <v>2177</v>
      </c>
      <c r="Q430" s="47"/>
      <c r="R430" s="50" t="n">
        <f aca="false">合約與計費!$D$4</f>
        <v>0.296</v>
      </c>
      <c r="S430" s="51" t="n">
        <f aca="false">ROUND(P430*R430,0)</f>
        <v>644</v>
      </c>
      <c r="T430" s="52"/>
      <c r="U430" s="47"/>
      <c r="V430" s="47"/>
      <c r="W430" s="53"/>
      <c r="X430" s="47"/>
      <c r="Y430" s="47"/>
      <c r="Z430" s="54"/>
      <c r="AA430" s="55"/>
      <c r="AB430" s="56"/>
      <c r="AC430" s="57"/>
      <c r="AD430" s="42" t="n">
        <v>0.0863</v>
      </c>
      <c r="AE430" s="43" t="n">
        <v>0.6</v>
      </c>
    </row>
    <row r="431" customFormat="false" ht="16.5" hidden="false" customHeight="true" outlineLevel="0" collapsed="false">
      <c r="A431" s="44" t="n">
        <f aca="false">ROW(A429)</f>
        <v>429</v>
      </c>
      <c r="B431" s="44" t="s">
        <v>469</v>
      </c>
      <c r="C431" s="47" t="n">
        <v>1</v>
      </c>
      <c r="D431" s="29"/>
      <c r="E431" s="45" t="s">
        <v>1410</v>
      </c>
      <c r="F431" s="46" t="s">
        <v>1404</v>
      </c>
      <c r="G431" s="47" t="s">
        <v>1155</v>
      </c>
      <c r="H431" s="47" t="s">
        <v>1382</v>
      </c>
      <c r="I431" s="47" t="s">
        <v>176</v>
      </c>
      <c r="J431" s="45" t="s">
        <v>471</v>
      </c>
      <c r="K431" s="48" t="s">
        <v>1411</v>
      </c>
      <c r="L431" s="49" t="n">
        <v>45742</v>
      </c>
      <c r="M431" s="47" t="n">
        <v>18283</v>
      </c>
      <c r="N431" s="47" t="n">
        <v>20527</v>
      </c>
      <c r="O431" s="47" t="n">
        <v>2244</v>
      </c>
      <c r="P431" s="47" t="n">
        <v>2177</v>
      </c>
      <c r="Q431" s="47"/>
      <c r="R431" s="50" t="n">
        <f aca="false">合約與計費!$D$4</f>
        <v>0.296</v>
      </c>
      <c r="S431" s="51" t="n">
        <f aca="false">ROUND(P431*R431,0)</f>
        <v>644</v>
      </c>
      <c r="T431" s="52"/>
      <c r="U431" s="47"/>
      <c r="V431" s="47"/>
      <c r="W431" s="53"/>
      <c r="X431" s="47"/>
      <c r="Y431" s="47"/>
      <c r="Z431" s="54"/>
      <c r="AA431" s="55"/>
      <c r="AB431" s="56"/>
      <c r="AC431" s="57"/>
      <c r="AD431" s="42" t="n">
        <v>0.0959</v>
      </c>
      <c r="AE431" s="43" t="n">
        <v>0.2</v>
      </c>
    </row>
    <row r="432" customFormat="false" ht="16.5" hidden="false" customHeight="true" outlineLevel="0" collapsed="false">
      <c r="A432" s="59" t="n">
        <f aca="false">ROW(A430)</f>
        <v>430</v>
      </c>
      <c r="B432" s="59" t="s">
        <v>473</v>
      </c>
      <c r="C432" s="62" t="n">
        <v>1</v>
      </c>
      <c r="D432" s="29"/>
      <c r="E432" s="60" t="s">
        <v>1412</v>
      </c>
      <c r="F432" s="61" t="s">
        <v>1404</v>
      </c>
      <c r="G432" s="62" t="s">
        <v>1155</v>
      </c>
      <c r="H432" s="62" t="s">
        <v>1382</v>
      </c>
      <c r="I432" s="62" t="s">
        <v>176</v>
      </c>
      <c r="J432" s="60" t="s">
        <v>471</v>
      </c>
      <c r="K432" s="63" t="s">
        <v>1413</v>
      </c>
      <c r="L432" s="64" t="n">
        <v>45742</v>
      </c>
      <c r="M432" s="62" t="n">
        <v>4239</v>
      </c>
      <c r="N432" s="62" t="n">
        <v>4742</v>
      </c>
      <c r="O432" s="62" t="n">
        <v>503</v>
      </c>
      <c r="P432" s="62" t="n">
        <v>488</v>
      </c>
      <c r="Q432" s="62" t="n">
        <f aca="false">ROUND(SUM(P428:P432),2)</f>
        <v>5359</v>
      </c>
      <c r="R432" s="65" t="n">
        <f aca="false">合約與計費!$D$4</f>
        <v>0.296</v>
      </c>
      <c r="S432" s="66" t="n">
        <f aca="false">ROUND(P432*R432,0)</f>
        <v>144</v>
      </c>
      <c r="T432" s="79" t="n">
        <f aca="false">ROUND(SUM(S428:S432),2)</f>
        <v>1585</v>
      </c>
      <c r="U432" s="62"/>
      <c r="V432" s="62"/>
      <c r="W432" s="67"/>
      <c r="X432" s="62"/>
      <c r="Y432" s="62" t="n">
        <f aca="false">ROUND(SUM(X428:X432),2)</f>
        <v>12</v>
      </c>
      <c r="Z432" s="68"/>
      <c r="AA432" s="77"/>
      <c r="AB432" s="78" t="n">
        <f aca="false">ROUND(SUM(AA428:AA432),2)</f>
        <v>34</v>
      </c>
      <c r="AC432" s="69"/>
      <c r="AD432" s="42" t="n">
        <v>0.0541</v>
      </c>
      <c r="AE432" s="43" t="n">
        <v>0.9</v>
      </c>
    </row>
    <row r="433" customFormat="false" ht="16.5" hidden="false" customHeight="true" outlineLevel="0" collapsed="false">
      <c r="A433" s="27" t="n">
        <f aca="false">ROW(A431)</f>
        <v>431</v>
      </c>
      <c r="B433" s="27" t="s">
        <v>455</v>
      </c>
      <c r="C433" s="31" t="n">
        <v>1</v>
      </c>
      <c r="D433" s="29" t="n">
        <v>57</v>
      </c>
      <c r="E433" s="28" t="s">
        <v>1414</v>
      </c>
      <c r="F433" s="30" t="s">
        <v>1415</v>
      </c>
      <c r="G433" s="31" t="s">
        <v>1155</v>
      </c>
      <c r="H433" s="31" t="s">
        <v>1382</v>
      </c>
      <c r="I433" s="31" t="s">
        <v>326</v>
      </c>
      <c r="J433" s="28" t="s">
        <v>460</v>
      </c>
      <c r="K433" s="80" t="s">
        <v>1416</v>
      </c>
      <c r="L433" s="34" t="n">
        <v>45770</v>
      </c>
      <c r="M433" s="31" t="n">
        <v>94</v>
      </c>
      <c r="N433" s="31" t="n">
        <v>133</v>
      </c>
      <c r="O433" s="31" t="n">
        <v>39</v>
      </c>
      <c r="P433" s="31" t="n">
        <v>38</v>
      </c>
      <c r="Q433" s="31"/>
      <c r="R433" s="35" t="n">
        <f aca="false">合約與計費!$D$4</f>
        <v>0.296</v>
      </c>
      <c r="S433" s="36" t="n">
        <f aca="false">ROUND(P433*R433,0)</f>
        <v>11</v>
      </c>
      <c r="T433" s="37"/>
      <c r="U433" s="31" t="n">
        <v>112</v>
      </c>
      <c r="V433" s="31" t="n">
        <v>142</v>
      </c>
      <c r="W433" s="31" t="n">
        <v>30</v>
      </c>
      <c r="X433" s="31" t="n">
        <v>29</v>
      </c>
      <c r="Y433" s="31"/>
      <c r="Z433" s="38" t="n">
        <f aca="false">合約與計費!$E$4</f>
        <v>2.8</v>
      </c>
      <c r="AA433" s="39" t="n">
        <f aca="false">ROUND(X433*Z433,0)</f>
        <v>81</v>
      </c>
      <c r="AB433" s="40"/>
      <c r="AC433" s="41"/>
      <c r="AD433" s="42"/>
      <c r="AE433" s="43"/>
    </row>
    <row r="434" customFormat="false" ht="16.5" hidden="false" customHeight="true" outlineLevel="0" collapsed="false">
      <c r="A434" s="44" t="n">
        <f aca="false">ROW(A432)</f>
        <v>432</v>
      </c>
      <c r="B434" s="44" t="s">
        <v>462</v>
      </c>
      <c r="C434" s="47" t="n">
        <v>1</v>
      </c>
      <c r="D434" s="29"/>
      <c r="E434" s="45" t="s">
        <v>1417</v>
      </c>
      <c r="F434" s="46" t="s">
        <v>1415</v>
      </c>
      <c r="G434" s="47" t="s">
        <v>1155</v>
      </c>
      <c r="H434" s="47" t="s">
        <v>1382</v>
      </c>
      <c r="I434" s="47" t="s">
        <v>326</v>
      </c>
      <c r="J434" s="45" t="s">
        <v>471</v>
      </c>
      <c r="K434" s="48" t="s">
        <v>1418</v>
      </c>
      <c r="L434" s="49" t="n">
        <v>45770</v>
      </c>
      <c r="M434" s="47" t="n">
        <v>12307</v>
      </c>
      <c r="N434" s="47" t="n">
        <v>15827</v>
      </c>
      <c r="O434" s="47" t="n">
        <v>3520</v>
      </c>
      <c r="P434" s="47" t="n">
        <v>3414</v>
      </c>
      <c r="Q434" s="47"/>
      <c r="R434" s="50" t="n">
        <f aca="false">合約與計費!$D$4</f>
        <v>0.296</v>
      </c>
      <c r="S434" s="51" t="n">
        <f aca="false">ROUND(P434*R434,0)</f>
        <v>1011</v>
      </c>
      <c r="T434" s="52"/>
      <c r="U434" s="47"/>
      <c r="V434" s="47"/>
      <c r="W434" s="53"/>
      <c r="X434" s="47"/>
      <c r="Y434" s="47"/>
      <c r="Z434" s="54"/>
      <c r="AA434" s="55"/>
      <c r="AB434" s="56"/>
      <c r="AC434" s="57"/>
      <c r="AD434" s="42" t="n">
        <v>0.0922</v>
      </c>
      <c r="AE434" s="43" t="n">
        <v>0.3</v>
      </c>
    </row>
    <row r="435" customFormat="false" ht="16.5" hidden="false" customHeight="true" outlineLevel="0" collapsed="false">
      <c r="A435" s="44" t="n">
        <f aca="false">ROW(A433)</f>
        <v>433</v>
      </c>
      <c r="B435" s="44" t="s">
        <v>466</v>
      </c>
      <c r="C435" s="47" t="n">
        <v>1</v>
      </c>
      <c r="D435" s="29"/>
      <c r="E435" s="45" t="s">
        <v>1419</v>
      </c>
      <c r="F435" s="46" t="s">
        <v>1415</v>
      </c>
      <c r="G435" s="47" t="s">
        <v>1155</v>
      </c>
      <c r="H435" s="47" t="s">
        <v>1382</v>
      </c>
      <c r="I435" s="47" t="s">
        <v>326</v>
      </c>
      <c r="J435" s="45" t="s">
        <v>471</v>
      </c>
      <c r="K435" s="48" t="s">
        <v>1420</v>
      </c>
      <c r="L435" s="49" t="n">
        <v>45770</v>
      </c>
      <c r="M435" s="47" t="n">
        <v>1256</v>
      </c>
      <c r="N435" s="47" t="n">
        <v>1574</v>
      </c>
      <c r="O435" s="47" t="n">
        <v>318</v>
      </c>
      <c r="P435" s="47" t="n">
        <v>308</v>
      </c>
      <c r="Q435" s="47"/>
      <c r="R435" s="50" t="n">
        <f aca="false">合約與計費!$D$4</f>
        <v>0.296</v>
      </c>
      <c r="S435" s="51" t="n">
        <f aca="false">ROUND(P435*R435,0)</f>
        <v>91</v>
      </c>
      <c r="T435" s="52"/>
      <c r="U435" s="47"/>
      <c r="V435" s="47"/>
      <c r="W435" s="53"/>
      <c r="X435" s="47"/>
      <c r="Y435" s="47"/>
      <c r="Z435" s="54"/>
      <c r="AA435" s="55"/>
      <c r="AB435" s="56"/>
      <c r="AC435" s="57"/>
      <c r="AD435" s="42" t="n">
        <v>0.0447</v>
      </c>
      <c r="AE435" s="43" t="n">
        <v>0.5</v>
      </c>
    </row>
    <row r="436" customFormat="false" ht="16.5" hidden="false" customHeight="true" outlineLevel="0" collapsed="false">
      <c r="A436" s="59" t="n">
        <f aca="false">ROW(A434)</f>
        <v>434</v>
      </c>
      <c r="B436" s="59" t="s">
        <v>469</v>
      </c>
      <c r="C436" s="62" t="n">
        <v>1</v>
      </c>
      <c r="D436" s="29"/>
      <c r="E436" s="60" t="s">
        <v>1421</v>
      </c>
      <c r="F436" s="61" t="s">
        <v>1415</v>
      </c>
      <c r="G436" s="62" t="s">
        <v>1155</v>
      </c>
      <c r="H436" s="62" t="s">
        <v>1382</v>
      </c>
      <c r="I436" s="62" t="s">
        <v>326</v>
      </c>
      <c r="J436" s="60" t="s">
        <v>471</v>
      </c>
      <c r="K436" s="63" t="s">
        <v>1422</v>
      </c>
      <c r="L436" s="64" t="n">
        <v>45770</v>
      </c>
      <c r="M436" s="62" t="n">
        <v>8922</v>
      </c>
      <c r="N436" s="62" t="n">
        <v>11477</v>
      </c>
      <c r="O436" s="62" t="n">
        <v>2555</v>
      </c>
      <c r="P436" s="62" t="n">
        <v>2478</v>
      </c>
      <c r="Q436" s="62" t="n">
        <f aca="false">ROUND(SUM(P433:P436),2)</f>
        <v>6238</v>
      </c>
      <c r="R436" s="65" t="n">
        <f aca="false">合約與計費!$D$4</f>
        <v>0.296</v>
      </c>
      <c r="S436" s="66" t="n">
        <f aca="false">ROUND(P436*R436,0)</f>
        <v>733</v>
      </c>
      <c r="T436" s="79" t="n">
        <f aca="false">ROUND(SUM(S433:S436),2)</f>
        <v>1846</v>
      </c>
      <c r="U436" s="62"/>
      <c r="V436" s="62"/>
      <c r="W436" s="67"/>
      <c r="X436" s="62"/>
      <c r="Y436" s="62" t="n">
        <f aca="false">ROUND(SUM(X433:X436),2)</f>
        <v>29</v>
      </c>
      <c r="Z436" s="68"/>
      <c r="AA436" s="77"/>
      <c r="AB436" s="78" t="n">
        <f aca="false">ROUND(SUM(AA433:AA436),2)</f>
        <v>81</v>
      </c>
      <c r="AC436" s="69"/>
      <c r="AD436" s="42" t="n">
        <v>0.1121</v>
      </c>
      <c r="AE436" s="43" t="n">
        <v>0.1</v>
      </c>
    </row>
    <row r="437" customFormat="false" ht="16.5" hidden="false" customHeight="true" outlineLevel="0" collapsed="false">
      <c r="A437" s="27" t="n">
        <f aca="false">ROW(A435)</f>
        <v>435</v>
      </c>
      <c r="B437" s="27" t="s">
        <v>455</v>
      </c>
      <c r="C437" s="31" t="n">
        <v>1</v>
      </c>
      <c r="D437" s="29" t="n">
        <v>58</v>
      </c>
      <c r="E437" s="28" t="s">
        <v>1423</v>
      </c>
      <c r="F437" s="30" t="s">
        <v>1424</v>
      </c>
      <c r="G437" s="31" t="s">
        <v>1155</v>
      </c>
      <c r="H437" s="31" t="s">
        <v>1382</v>
      </c>
      <c r="I437" s="31" t="s">
        <v>386</v>
      </c>
      <c r="J437" s="28" t="s">
        <v>460</v>
      </c>
      <c r="K437" s="80" t="s">
        <v>1425</v>
      </c>
      <c r="L437" s="34" t="n">
        <v>45762</v>
      </c>
      <c r="M437" s="31" t="n">
        <v>2903</v>
      </c>
      <c r="N437" s="31" t="n">
        <v>3771</v>
      </c>
      <c r="O437" s="31" t="n">
        <v>868</v>
      </c>
      <c r="P437" s="31" t="n">
        <v>842</v>
      </c>
      <c r="Q437" s="31"/>
      <c r="R437" s="35" t="n">
        <f aca="false">合約與計費!$D$4</f>
        <v>0.296</v>
      </c>
      <c r="S437" s="36" t="n">
        <f aca="false">ROUND(P437*R437,0)</f>
        <v>249</v>
      </c>
      <c r="T437" s="37"/>
      <c r="U437" s="31" t="n">
        <v>759</v>
      </c>
      <c r="V437" s="31" t="n">
        <v>1016</v>
      </c>
      <c r="W437" s="31" t="n">
        <v>257</v>
      </c>
      <c r="X437" s="31" t="n">
        <v>249</v>
      </c>
      <c r="Y437" s="31"/>
      <c r="Z437" s="38" t="n">
        <f aca="false">合約與計費!$E$4</f>
        <v>2.8</v>
      </c>
      <c r="AA437" s="39" t="n">
        <f aca="false">ROUND(X437*Z437,0)</f>
        <v>697</v>
      </c>
      <c r="AB437" s="40"/>
      <c r="AC437" s="41"/>
      <c r="AD437" s="42"/>
      <c r="AE437" s="43"/>
    </row>
    <row r="438" customFormat="false" ht="16.5" hidden="false" customHeight="true" outlineLevel="0" collapsed="false">
      <c r="A438" s="44" t="n">
        <f aca="false">ROW(A436)</f>
        <v>436</v>
      </c>
      <c r="B438" s="44" t="s">
        <v>462</v>
      </c>
      <c r="C438" s="47" t="n">
        <v>1</v>
      </c>
      <c r="D438" s="29"/>
      <c r="E438" s="45" t="s">
        <v>1426</v>
      </c>
      <c r="F438" s="46" t="s">
        <v>1424</v>
      </c>
      <c r="G438" s="47" t="s">
        <v>1155</v>
      </c>
      <c r="H438" s="47" t="s">
        <v>1382</v>
      </c>
      <c r="I438" s="47" t="s">
        <v>386</v>
      </c>
      <c r="J438" s="45" t="s">
        <v>527</v>
      </c>
      <c r="K438" s="48" t="s">
        <v>1427</v>
      </c>
      <c r="L438" s="49" t="n">
        <v>45762</v>
      </c>
      <c r="M438" s="47" t="n">
        <v>14143</v>
      </c>
      <c r="N438" s="47" t="n">
        <v>18186</v>
      </c>
      <c r="O438" s="47" t="n">
        <v>4043</v>
      </c>
      <c r="P438" s="47" t="n">
        <v>3922</v>
      </c>
      <c r="Q438" s="47"/>
      <c r="R438" s="50" t="n">
        <f aca="false">合約與計費!$D$4</f>
        <v>0.296</v>
      </c>
      <c r="S438" s="51" t="n">
        <f aca="false">ROUND(P438*R438,0)</f>
        <v>1161</v>
      </c>
      <c r="T438" s="52"/>
      <c r="U438" s="47"/>
      <c r="V438" s="47"/>
      <c r="W438" s="53"/>
      <c r="X438" s="47"/>
      <c r="Y438" s="47"/>
      <c r="Z438" s="54"/>
      <c r="AA438" s="55"/>
      <c r="AB438" s="56"/>
      <c r="AC438" s="57"/>
      <c r="AD438" s="42"/>
      <c r="AE438" s="43"/>
    </row>
    <row r="439" customFormat="false" ht="16.5" hidden="false" customHeight="true" outlineLevel="0" collapsed="false">
      <c r="A439" s="44" t="n">
        <f aca="false">ROW(A437)</f>
        <v>437</v>
      </c>
      <c r="B439" s="44" t="s">
        <v>466</v>
      </c>
      <c r="C439" s="47" t="n">
        <v>1</v>
      </c>
      <c r="D439" s="29"/>
      <c r="E439" s="45" t="s">
        <v>1428</v>
      </c>
      <c r="F439" s="46" t="s">
        <v>1424</v>
      </c>
      <c r="G439" s="47" t="s">
        <v>1155</v>
      </c>
      <c r="H439" s="47" t="s">
        <v>1382</v>
      </c>
      <c r="I439" s="47" t="s">
        <v>386</v>
      </c>
      <c r="J439" s="45" t="s">
        <v>527</v>
      </c>
      <c r="K439" s="48" t="s">
        <v>1429</v>
      </c>
      <c r="L439" s="49" t="n">
        <v>45762</v>
      </c>
      <c r="M439" s="47" t="n">
        <v>462</v>
      </c>
      <c r="N439" s="47" t="n">
        <v>718</v>
      </c>
      <c r="O439" s="47" t="n">
        <v>256</v>
      </c>
      <c r="P439" s="47" t="n">
        <v>248</v>
      </c>
      <c r="Q439" s="47"/>
      <c r="R439" s="50" t="n">
        <f aca="false">合約與計費!$D$4</f>
        <v>0.296</v>
      </c>
      <c r="S439" s="51" t="n">
        <f aca="false">ROUND(P439*R439,0)</f>
        <v>73</v>
      </c>
      <c r="T439" s="52"/>
      <c r="U439" s="47"/>
      <c r="V439" s="47"/>
      <c r="W439" s="53"/>
      <c r="X439" s="47"/>
      <c r="Y439" s="47"/>
      <c r="Z439" s="54"/>
      <c r="AA439" s="55"/>
      <c r="AB439" s="56"/>
      <c r="AC439" s="57"/>
      <c r="AD439" s="42"/>
      <c r="AE439" s="43"/>
    </row>
    <row r="440" customFormat="false" ht="16.5" hidden="false" customHeight="true" outlineLevel="0" collapsed="false">
      <c r="A440" s="44" t="n">
        <f aca="false">ROW(A438)</f>
        <v>438</v>
      </c>
      <c r="B440" s="44" t="s">
        <v>469</v>
      </c>
      <c r="C440" s="47" t="n">
        <v>1</v>
      </c>
      <c r="D440" s="29"/>
      <c r="E440" s="45" t="s">
        <v>1430</v>
      </c>
      <c r="F440" s="46" t="s">
        <v>1424</v>
      </c>
      <c r="G440" s="47" t="s">
        <v>1155</v>
      </c>
      <c r="H440" s="47" t="s">
        <v>1382</v>
      </c>
      <c r="I440" s="47" t="s">
        <v>386</v>
      </c>
      <c r="J440" s="45" t="s">
        <v>527</v>
      </c>
      <c r="K440" s="48" t="s">
        <v>1431</v>
      </c>
      <c r="L440" s="49" t="n">
        <v>45762</v>
      </c>
      <c r="M440" s="47" t="n">
        <v>18061</v>
      </c>
      <c r="N440" s="47" t="n">
        <v>22410</v>
      </c>
      <c r="O440" s="47" t="n">
        <v>4349</v>
      </c>
      <c r="P440" s="47" t="n">
        <v>4219</v>
      </c>
      <c r="Q440" s="47"/>
      <c r="R440" s="50" t="n">
        <f aca="false">合約與計費!$D$4</f>
        <v>0.296</v>
      </c>
      <c r="S440" s="51" t="n">
        <f aca="false">ROUND(P440*R440,0)</f>
        <v>1249</v>
      </c>
      <c r="T440" s="52"/>
      <c r="U440" s="47"/>
      <c r="V440" s="47"/>
      <c r="W440" s="53"/>
      <c r="X440" s="47"/>
      <c r="Y440" s="47"/>
      <c r="Z440" s="54"/>
      <c r="AA440" s="55"/>
      <c r="AB440" s="56"/>
      <c r="AC440" s="57"/>
      <c r="AD440" s="42"/>
      <c r="AE440" s="43"/>
    </row>
    <row r="441" customFormat="false" ht="16.5" hidden="false" customHeight="true" outlineLevel="0" collapsed="false">
      <c r="A441" s="44" t="n">
        <f aca="false">ROW(A439)</f>
        <v>439</v>
      </c>
      <c r="B441" s="44" t="s">
        <v>473</v>
      </c>
      <c r="C441" s="47" t="n">
        <v>1</v>
      </c>
      <c r="D441" s="29"/>
      <c r="E441" s="45" t="s">
        <v>1432</v>
      </c>
      <c r="F441" s="46" t="s">
        <v>1424</v>
      </c>
      <c r="G441" s="47" t="s">
        <v>1155</v>
      </c>
      <c r="H441" s="47" t="s">
        <v>1382</v>
      </c>
      <c r="I441" s="47" t="s">
        <v>386</v>
      </c>
      <c r="J441" s="45" t="s">
        <v>527</v>
      </c>
      <c r="K441" s="48" t="s">
        <v>1433</v>
      </c>
      <c r="L441" s="49" t="n">
        <v>45762</v>
      </c>
      <c r="M441" s="47" t="n">
        <v>1907</v>
      </c>
      <c r="N441" s="47" t="n">
        <v>2335</v>
      </c>
      <c r="O441" s="47" t="n">
        <v>428</v>
      </c>
      <c r="P441" s="47" t="n">
        <v>415</v>
      </c>
      <c r="Q441" s="47"/>
      <c r="R441" s="50" t="n">
        <f aca="false">合約與計費!$D$4</f>
        <v>0.296</v>
      </c>
      <c r="S441" s="51" t="n">
        <f aca="false">ROUND(P441*R441,0)</f>
        <v>123</v>
      </c>
      <c r="T441" s="52"/>
      <c r="U441" s="47"/>
      <c r="V441" s="47"/>
      <c r="W441" s="53"/>
      <c r="X441" s="47"/>
      <c r="Y441" s="47"/>
      <c r="Z441" s="54"/>
      <c r="AA441" s="55"/>
      <c r="AB441" s="56"/>
      <c r="AC441" s="57"/>
      <c r="AD441" s="42"/>
      <c r="AE441" s="43"/>
    </row>
    <row r="442" customFormat="false" ht="16.5" hidden="false" customHeight="true" outlineLevel="0" collapsed="false">
      <c r="A442" s="59" t="n">
        <f aca="false">ROW(A440)</f>
        <v>440</v>
      </c>
      <c r="B442" s="59" t="s">
        <v>476</v>
      </c>
      <c r="C442" s="62" t="n">
        <v>1</v>
      </c>
      <c r="D442" s="29"/>
      <c r="E442" s="60" t="s">
        <v>1434</v>
      </c>
      <c r="F442" s="61" t="s">
        <v>1424</v>
      </c>
      <c r="G442" s="62" t="s">
        <v>1155</v>
      </c>
      <c r="H442" s="62" t="s">
        <v>1382</v>
      </c>
      <c r="I442" s="62" t="s">
        <v>386</v>
      </c>
      <c r="J442" s="60" t="s">
        <v>527</v>
      </c>
      <c r="K442" s="63" t="s">
        <v>1435</v>
      </c>
      <c r="L442" s="64" t="n">
        <v>45762</v>
      </c>
      <c r="M442" s="62" t="n">
        <v>8</v>
      </c>
      <c r="N442" s="62"/>
      <c r="O442" s="62"/>
      <c r="P442" s="62" t="n">
        <v>0</v>
      </c>
      <c r="Q442" s="62" t="n">
        <f aca="false">ROUND(SUM(P437:P442),2)</f>
        <v>9646</v>
      </c>
      <c r="R442" s="65" t="n">
        <f aca="false">合約與計費!$D$4</f>
        <v>0.296</v>
      </c>
      <c r="S442" s="66" t="n">
        <f aca="false">ROUND(P442*R442,0)</f>
        <v>0</v>
      </c>
      <c r="T442" s="79" t="n">
        <f aca="false">ROUND(SUM(S437:S442),2)</f>
        <v>2855</v>
      </c>
      <c r="U442" s="62"/>
      <c r="V442" s="62"/>
      <c r="W442" s="67"/>
      <c r="X442" s="62"/>
      <c r="Y442" s="62" t="n">
        <f aca="false">ROUND(SUM(X437:X442),2)</f>
        <v>249</v>
      </c>
      <c r="Z442" s="68"/>
      <c r="AA442" s="77"/>
      <c r="AB442" s="78" t="n">
        <f aca="false">ROUND(SUM(AA437:AA442),2)</f>
        <v>697</v>
      </c>
      <c r="AC442" s="69" t="s">
        <v>1436</v>
      </c>
      <c r="AD442" s="42"/>
      <c r="AE442" s="43"/>
    </row>
    <row r="443" customFormat="false" ht="16.5" hidden="false" customHeight="true" outlineLevel="0" collapsed="false">
      <c r="A443" s="27" t="n">
        <f aca="false">ROW(A441)</f>
        <v>441</v>
      </c>
      <c r="B443" s="27" t="s">
        <v>455</v>
      </c>
      <c r="C443" s="31" t="n">
        <v>1</v>
      </c>
      <c r="D443" s="29" t="n">
        <v>59</v>
      </c>
      <c r="E443" s="28" t="s">
        <v>1437</v>
      </c>
      <c r="F443" s="30" t="s">
        <v>1438</v>
      </c>
      <c r="G443" s="31" t="s">
        <v>1155</v>
      </c>
      <c r="H443" s="31" t="s">
        <v>1382</v>
      </c>
      <c r="I443" s="31" t="s">
        <v>408</v>
      </c>
      <c r="J443" s="28" t="s">
        <v>460</v>
      </c>
      <c r="K443" s="80" t="s">
        <v>1439</v>
      </c>
      <c r="L443" s="34" t="n">
        <v>45776</v>
      </c>
      <c r="M443" s="31" t="n">
        <v>611</v>
      </c>
      <c r="N443" s="31" t="n">
        <v>756</v>
      </c>
      <c r="O443" s="31" t="n">
        <v>145</v>
      </c>
      <c r="P443" s="31" t="n">
        <v>141</v>
      </c>
      <c r="Q443" s="31"/>
      <c r="R443" s="35" t="n">
        <f aca="false">合約與計費!$D$4</f>
        <v>0.296</v>
      </c>
      <c r="S443" s="36" t="n">
        <f aca="false">ROUND(P443*R443,0)</f>
        <v>42</v>
      </c>
      <c r="T443" s="37"/>
      <c r="U443" s="31" t="n">
        <v>310</v>
      </c>
      <c r="V443" s="31" t="n">
        <v>381</v>
      </c>
      <c r="W443" s="31" t="n">
        <v>71</v>
      </c>
      <c r="X443" s="31" t="n">
        <v>69</v>
      </c>
      <c r="Y443" s="31"/>
      <c r="Z443" s="38" t="n">
        <f aca="false">合約與計費!$E$4</f>
        <v>2.8</v>
      </c>
      <c r="AA443" s="39" t="n">
        <f aca="false">ROUND(X443*Z443,0)</f>
        <v>193</v>
      </c>
      <c r="AB443" s="40"/>
      <c r="AC443" s="41"/>
      <c r="AD443" s="42"/>
      <c r="AE443" s="43"/>
    </row>
    <row r="444" customFormat="false" ht="16.5" hidden="false" customHeight="true" outlineLevel="0" collapsed="false">
      <c r="A444" s="44" t="n">
        <f aca="false">ROW(A442)</f>
        <v>442</v>
      </c>
      <c r="B444" s="44" t="s">
        <v>462</v>
      </c>
      <c r="C444" s="47" t="n">
        <v>1</v>
      </c>
      <c r="D444" s="29"/>
      <c r="E444" s="45" t="s">
        <v>1440</v>
      </c>
      <c r="F444" s="46" t="s">
        <v>1438</v>
      </c>
      <c r="G444" s="47" t="s">
        <v>1155</v>
      </c>
      <c r="H444" s="47" t="s">
        <v>1382</v>
      </c>
      <c r="I444" s="47" t="s">
        <v>408</v>
      </c>
      <c r="J444" s="45" t="s">
        <v>471</v>
      </c>
      <c r="K444" s="48" t="s">
        <v>1441</v>
      </c>
      <c r="L444" s="49" t="n">
        <v>45776</v>
      </c>
      <c r="M444" s="47" t="n">
        <v>8839</v>
      </c>
      <c r="N444" s="47" t="n">
        <v>11141</v>
      </c>
      <c r="O444" s="47" t="n">
        <v>2302</v>
      </c>
      <c r="P444" s="47" t="n">
        <v>2233</v>
      </c>
      <c r="Q444" s="47"/>
      <c r="R444" s="50" t="n">
        <f aca="false">合約與計費!$D$4</f>
        <v>0.296</v>
      </c>
      <c r="S444" s="51" t="n">
        <f aca="false">ROUND(P444*R444,0)</f>
        <v>661</v>
      </c>
      <c r="T444" s="52"/>
      <c r="U444" s="47"/>
      <c r="V444" s="47"/>
      <c r="W444" s="53"/>
      <c r="X444" s="47"/>
      <c r="Y444" s="47"/>
      <c r="Z444" s="54"/>
      <c r="AA444" s="55"/>
      <c r="AB444" s="56"/>
      <c r="AC444" s="57"/>
      <c r="AD444" s="42" t="n">
        <v>0.0814</v>
      </c>
      <c r="AE444" s="43" t="n">
        <v>0.1</v>
      </c>
    </row>
    <row r="445" customFormat="false" ht="16.5" hidden="false" customHeight="true" outlineLevel="0" collapsed="false">
      <c r="A445" s="44" t="n">
        <f aca="false">ROW(A443)</f>
        <v>443</v>
      </c>
      <c r="B445" s="44" t="s">
        <v>466</v>
      </c>
      <c r="C445" s="47" t="n">
        <v>1</v>
      </c>
      <c r="D445" s="29"/>
      <c r="E445" s="45" t="s">
        <v>1442</v>
      </c>
      <c r="F445" s="46" t="s">
        <v>1438</v>
      </c>
      <c r="G445" s="47" t="s">
        <v>1155</v>
      </c>
      <c r="H445" s="47" t="s">
        <v>1382</v>
      </c>
      <c r="I445" s="47" t="s">
        <v>408</v>
      </c>
      <c r="J445" s="45" t="s">
        <v>471</v>
      </c>
      <c r="K445" s="48" t="s">
        <v>1443</v>
      </c>
      <c r="L445" s="49" t="n">
        <v>45776</v>
      </c>
      <c r="M445" s="47" t="n">
        <v>15252</v>
      </c>
      <c r="N445" s="47" t="n">
        <v>20493</v>
      </c>
      <c r="O445" s="47" t="n">
        <v>5241</v>
      </c>
      <c r="P445" s="47" t="n">
        <v>5084</v>
      </c>
      <c r="Q445" s="47"/>
      <c r="R445" s="50" t="n">
        <f aca="false">合約與計費!$D$4</f>
        <v>0.296</v>
      </c>
      <c r="S445" s="51" t="n">
        <f aca="false">ROUND(P445*R445,0)</f>
        <v>1505</v>
      </c>
      <c r="T445" s="52"/>
      <c r="U445" s="47"/>
      <c r="V445" s="47"/>
      <c r="W445" s="53"/>
      <c r="X445" s="47"/>
      <c r="Y445" s="47"/>
      <c r="Z445" s="54"/>
      <c r="AA445" s="55"/>
      <c r="AB445" s="56"/>
      <c r="AC445" s="57"/>
      <c r="AD445" s="42" t="n">
        <v>0.1003</v>
      </c>
      <c r="AE445" s="43" t="n">
        <v>0.8</v>
      </c>
    </row>
    <row r="446" customFormat="false" ht="16.5" hidden="false" customHeight="true" outlineLevel="0" collapsed="false">
      <c r="A446" s="59" t="n">
        <f aca="false">ROW(A444)</f>
        <v>444</v>
      </c>
      <c r="B446" s="59" t="s">
        <v>469</v>
      </c>
      <c r="C446" s="62" t="n">
        <v>1</v>
      </c>
      <c r="D446" s="29"/>
      <c r="E446" s="60" t="s">
        <v>1444</v>
      </c>
      <c r="F446" s="61" t="s">
        <v>1438</v>
      </c>
      <c r="G446" s="62" t="s">
        <v>1155</v>
      </c>
      <c r="H446" s="62" t="s">
        <v>1382</v>
      </c>
      <c r="I446" s="62" t="s">
        <v>408</v>
      </c>
      <c r="J446" s="60" t="s">
        <v>471</v>
      </c>
      <c r="K446" s="63" t="s">
        <v>1445</v>
      </c>
      <c r="L446" s="64" t="n">
        <v>45776</v>
      </c>
      <c r="M446" s="62" t="n">
        <v>2133</v>
      </c>
      <c r="N446" s="62" t="n">
        <v>2622</v>
      </c>
      <c r="O446" s="62" t="n">
        <v>489</v>
      </c>
      <c r="P446" s="62" t="n">
        <v>474</v>
      </c>
      <c r="Q446" s="62" t="n">
        <f aca="false">ROUND(SUM(P443:P446),2)</f>
        <v>7932</v>
      </c>
      <c r="R446" s="65" t="n">
        <f aca="false">合約與計費!$D$4</f>
        <v>0.296</v>
      </c>
      <c r="S446" s="66" t="n">
        <f aca="false">ROUND(P446*R446,0)</f>
        <v>140</v>
      </c>
      <c r="T446" s="79" t="n">
        <f aca="false">ROUND(SUM(S443:S446),2)</f>
        <v>2348</v>
      </c>
      <c r="U446" s="62"/>
      <c r="V446" s="62"/>
      <c r="W446" s="67"/>
      <c r="X446" s="62"/>
      <c r="Y446" s="62" t="n">
        <f aca="false">ROUND(SUM(X443:X446),2)</f>
        <v>69</v>
      </c>
      <c r="Z446" s="68"/>
      <c r="AA446" s="77"/>
      <c r="AB446" s="78" t="n">
        <f aca="false">ROUND(SUM(AA443:AA446),2)</f>
        <v>193</v>
      </c>
      <c r="AC446" s="69"/>
      <c r="AD446" s="42" t="n">
        <v>0.048</v>
      </c>
      <c r="AE446" s="43" t="n">
        <v>0.9</v>
      </c>
    </row>
    <row r="447" customFormat="false" ht="16.5" hidden="false" customHeight="true" outlineLevel="0" collapsed="false">
      <c r="A447" s="27" t="n">
        <f aca="false">ROW(A445)</f>
        <v>445</v>
      </c>
      <c r="B447" s="27" t="s">
        <v>455</v>
      </c>
      <c r="C447" s="31" t="n">
        <v>1</v>
      </c>
      <c r="D447" s="29" t="n">
        <v>258</v>
      </c>
      <c r="E447" s="28" t="s">
        <v>1446</v>
      </c>
      <c r="F447" s="30" t="s">
        <v>1447</v>
      </c>
      <c r="G447" s="31" t="s">
        <v>1155</v>
      </c>
      <c r="H447" s="31" t="s">
        <v>1382</v>
      </c>
      <c r="I447" s="71" t="s">
        <v>148</v>
      </c>
      <c r="J447" s="28" t="s">
        <v>460</v>
      </c>
      <c r="K447" s="80" t="s">
        <v>1448</v>
      </c>
      <c r="L447" s="34" t="n">
        <v>45748</v>
      </c>
      <c r="M447" s="31" t="n">
        <v>274</v>
      </c>
      <c r="N447" s="31" t="n">
        <v>326</v>
      </c>
      <c r="O447" s="31" t="n">
        <v>52</v>
      </c>
      <c r="P447" s="31" t="n">
        <v>50</v>
      </c>
      <c r="Q447" s="31"/>
      <c r="R447" s="35" t="n">
        <f aca="false">合約與計費!$D$4</f>
        <v>0.296</v>
      </c>
      <c r="S447" s="36" t="n">
        <f aca="false">ROUND(P447*R447,0)</f>
        <v>15</v>
      </c>
      <c r="T447" s="37"/>
      <c r="U447" s="31" t="n">
        <v>556</v>
      </c>
      <c r="V447" s="31" t="n">
        <v>638</v>
      </c>
      <c r="W447" s="31" t="n">
        <v>82</v>
      </c>
      <c r="X447" s="31" t="n">
        <v>80</v>
      </c>
      <c r="Y447" s="31"/>
      <c r="Z447" s="38" t="n">
        <f aca="false">合約與計費!$E$4</f>
        <v>2.8</v>
      </c>
      <c r="AA447" s="39" t="n">
        <f aca="false">ROUND(X447*Z447,0)</f>
        <v>224</v>
      </c>
      <c r="AB447" s="40"/>
      <c r="AC447" s="41"/>
      <c r="AD447" s="42"/>
      <c r="AE447" s="43"/>
    </row>
    <row r="448" customFormat="false" ht="16.5" hidden="false" customHeight="true" outlineLevel="0" collapsed="false">
      <c r="A448" s="44" t="n">
        <f aca="false">ROW(A446)</f>
        <v>446</v>
      </c>
      <c r="B448" s="44" t="s">
        <v>462</v>
      </c>
      <c r="C448" s="47" t="n">
        <v>1</v>
      </c>
      <c r="D448" s="29"/>
      <c r="E448" s="45" t="s">
        <v>1449</v>
      </c>
      <c r="F448" s="46" t="s">
        <v>1447</v>
      </c>
      <c r="G448" s="47" t="s">
        <v>1155</v>
      </c>
      <c r="H448" s="47" t="s">
        <v>1382</v>
      </c>
      <c r="I448" s="73" t="s">
        <v>148</v>
      </c>
      <c r="J448" s="45" t="s">
        <v>464</v>
      </c>
      <c r="K448" s="48" t="s">
        <v>1450</v>
      </c>
      <c r="L448" s="49" t="n">
        <v>45748</v>
      </c>
      <c r="M448" s="47" t="n">
        <v>9634</v>
      </c>
      <c r="N448" s="47" t="n">
        <v>11071</v>
      </c>
      <c r="O448" s="47" t="n">
        <v>1437</v>
      </c>
      <c r="P448" s="47" t="n">
        <v>1394</v>
      </c>
      <c r="Q448" s="47"/>
      <c r="R448" s="50" t="n">
        <f aca="false">合約與計費!$D$4</f>
        <v>0.296</v>
      </c>
      <c r="S448" s="51" t="n">
        <f aca="false">ROUND(P448*R448,0)</f>
        <v>413</v>
      </c>
      <c r="T448" s="52"/>
      <c r="U448" s="47"/>
      <c r="V448" s="47"/>
      <c r="W448" s="53"/>
      <c r="X448" s="47"/>
      <c r="Y448" s="47"/>
      <c r="Z448" s="54"/>
      <c r="AA448" s="55"/>
      <c r="AB448" s="56"/>
      <c r="AC448" s="57"/>
      <c r="AD448" s="42"/>
      <c r="AE448" s="43" t="n">
        <v>0.3</v>
      </c>
    </row>
    <row r="449" customFormat="false" ht="16.5" hidden="false" customHeight="true" outlineLevel="0" collapsed="false">
      <c r="A449" s="44" t="n">
        <f aca="false">ROW(A447)</f>
        <v>447</v>
      </c>
      <c r="B449" s="44" t="s">
        <v>466</v>
      </c>
      <c r="C449" s="47" t="n">
        <v>1</v>
      </c>
      <c r="D449" s="29"/>
      <c r="E449" s="45" t="s">
        <v>1451</v>
      </c>
      <c r="F449" s="46" t="s">
        <v>1447</v>
      </c>
      <c r="G449" s="47" t="s">
        <v>1155</v>
      </c>
      <c r="H449" s="47" t="s">
        <v>1382</v>
      </c>
      <c r="I449" s="73" t="s">
        <v>148</v>
      </c>
      <c r="J449" s="45" t="s">
        <v>471</v>
      </c>
      <c r="K449" s="48" t="s">
        <v>1452</v>
      </c>
      <c r="L449" s="49" t="n">
        <v>45748</v>
      </c>
      <c r="M449" s="47" t="n">
        <v>13142</v>
      </c>
      <c r="N449" s="47" t="n">
        <v>15062</v>
      </c>
      <c r="O449" s="47" t="n">
        <v>1920</v>
      </c>
      <c r="P449" s="47" t="n">
        <v>1862</v>
      </c>
      <c r="Q449" s="47"/>
      <c r="R449" s="50" t="n">
        <f aca="false">合約與計費!$D$4</f>
        <v>0.296</v>
      </c>
      <c r="S449" s="51" t="n">
        <f aca="false">ROUND(P449*R449,0)</f>
        <v>551</v>
      </c>
      <c r="T449" s="52"/>
      <c r="U449" s="47"/>
      <c r="V449" s="47"/>
      <c r="W449" s="53"/>
      <c r="X449" s="47"/>
      <c r="Y449" s="47"/>
      <c r="Z449" s="54"/>
      <c r="AA449" s="55"/>
      <c r="AB449" s="56"/>
      <c r="AC449" s="57"/>
      <c r="AD449" s="42"/>
      <c r="AE449" s="43" t="n">
        <v>0.5</v>
      </c>
    </row>
    <row r="450" customFormat="false" ht="16.5" hidden="false" customHeight="true" outlineLevel="0" collapsed="false">
      <c r="A450" s="44" t="n">
        <f aca="false">ROW(A448)</f>
        <v>448</v>
      </c>
      <c r="B450" s="44" t="s">
        <v>469</v>
      </c>
      <c r="C450" s="47" t="n">
        <v>1</v>
      </c>
      <c r="D450" s="29"/>
      <c r="E450" s="45" t="s">
        <v>1453</v>
      </c>
      <c r="F450" s="46" t="s">
        <v>1447</v>
      </c>
      <c r="G450" s="47" t="s">
        <v>1155</v>
      </c>
      <c r="H450" s="47" t="s">
        <v>1382</v>
      </c>
      <c r="I450" s="73" t="s">
        <v>148</v>
      </c>
      <c r="J450" s="45" t="s">
        <v>471</v>
      </c>
      <c r="K450" s="48" t="s">
        <v>1454</v>
      </c>
      <c r="L450" s="49" t="n">
        <v>45748</v>
      </c>
      <c r="M450" s="47" t="n">
        <v>8955</v>
      </c>
      <c r="N450" s="47" t="n">
        <v>10911</v>
      </c>
      <c r="O450" s="47" t="n">
        <v>1956</v>
      </c>
      <c r="P450" s="47" t="n">
        <v>1897</v>
      </c>
      <c r="Q450" s="47"/>
      <c r="R450" s="50" t="n">
        <f aca="false">合約與計費!$D$4</f>
        <v>0.296</v>
      </c>
      <c r="S450" s="51" t="n">
        <f aca="false">ROUND(P450*R450,0)</f>
        <v>562</v>
      </c>
      <c r="T450" s="52"/>
      <c r="U450" s="47"/>
      <c r="V450" s="47"/>
      <c r="W450" s="53"/>
      <c r="X450" s="47"/>
      <c r="Y450" s="47"/>
      <c r="Z450" s="54"/>
      <c r="AA450" s="55"/>
      <c r="AB450" s="56"/>
      <c r="AC450" s="57"/>
      <c r="AD450" s="42"/>
      <c r="AE450" s="43" t="n">
        <v>0.6</v>
      </c>
    </row>
    <row r="451" customFormat="false" ht="16.5" hidden="false" customHeight="true" outlineLevel="0" collapsed="false">
      <c r="A451" s="44" t="n">
        <f aca="false">ROW(A449)</f>
        <v>449</v>
      </c>
      <c r="B451" s="44" t="s">
        <v>473</v>
      </c>
      <c r="C451" s="47" t="n">
        <v>1</v>
      </c>
      <c r="D451" s="29"/>
      <c r="E451" s="45" t="s">
        <v>1455</v>
      </c>
      <c r="F451" s="46" t="s">
        <v>1447</v>
      </c>
      <c r="G451" s="47" t="s">
        <v>1155</v>
      </c>
      <c r="H451" s="47" t="s">
        <v>1382</v>
      </c>
      <c r="I451" s="73" t="s">
        <v>148</v>
      </c>
      <c r="J451" s="45" t="s">
        <v>471</v>
      </c>
      <c r="K451" s="48" t="s">
        <v>1456</v>
      </c>
      <c r="L451" s="49" t="n">
        <v>45748</v>
      </c>
      <c r="M451" s="47" t="n">
        <v>15592</v>
      </c>
      <c r="N451" s="47" t="n">
        <v>19208</v>
      </c>
      <c r="O451" s="47" t="n">
        <v>3616</v>
      </c>
      <c r="P451" s="47" t="n">
        <v>3508</v>
      </c>
      <c r="Q451" s="47"/>
      <c r="R451" s="50" t="n">
        <f aca="false">合約與計費!$D$4</f>
        <v>0.296</v>
      </c>
      <c r="S451" s="51" t="n">
        <f aca="false">ROUND(P451*R451,0)</f>
        <v>1038</v>
      </c>
      <c r="T451" s="52"/>
      <c r="U451" s="47"/>
      <c r="V451" s="47"/>
      <c r="W451" s="53"/>
      <c r="X451" s="47"/>
      <c r="Y451" s="47"/>
      <c r="Z451" s="54"/>
      <c r="AA451" s="55"/>
      <c r="AB451" s="56"/>
      <c r="AC451" s="57"/>
      <c r="AD451" s="42"/>
      <c r="AE451" s="43" t="n">
        <v>0.5</v>
      </c>
    </row>
    <row r="452" customFormat="false" ht="16.5" hidden="false" customHeight="true" outlineLevel="0" collapsed="false">
      <c r="A452" s="59" t="n">
        <f aca="false">ROW(A450)</f>
        <v>450</v>
      </c>
      <c r="B452" s="59" t="s">
        <v>476</v>
      </c>
      <c r="C452" s="62" t="n">
        <v>1</v>
      </c>
      <c r="D452" s="29"/>
      <c r="E452" s="60" t="s">
        <v>1457</v>
      </c>
      <c r="F452" s="61" t="s">
        <v>1447</v>
      </c>
      <c r="G452" s="62" t="s">
        <v>1155</v>
      </c>
      <c r="H452" s="62" t="s">
        <v>1382</v>
      </c>
      <c r="I452" s="76" t="s">
        <v>148</v>
      </c>
      <c r="J452" s="60" t="s">
        <v>471</v>
      </c>
      <c r="K452" s="63" t="s">
        <v>1458</v>
      </c>
      <c r="L452" s="64" t="n">
        <v>45748</v>
      </c>
      <c r="M452" s="62" t="n">
        <v>11433</v>
      </c>
      <c r="N452" s="62" t="n">
        <v>13617</v>
      </c>
      <c r="O452" s="47" t="n">
        <v>2184</v>
      </c>
      <c r="P452" s="47" t="n">
        <v>2118</v>
      </c>
      <c r="Q452" s="47" t="n">
        <f aca="false">ROUND(SUM(P447:P452),2)</f>
        <v>10829</v>
      </c>
      <c r="R452" s="65" t="n">
        <f aca="false">合約與計費!$D$4</f>
        <v>0.296</v>
      </c>
      <c r="S452" s="66" t="n">
        <f aca="false">ROUND(P452*R452,0)</f>
        <v>627</v>
      </c>
      <c r="T452" s="52" t="n">
        <f aca="false">ROUND(SUM(S447:S452),2)</f>
        <v>3206</v>
      </c>
      <c r="U452" s="62"/>
      <c r="V452" s="62"/>
      <c r="W452" s="67"/>
      <c r="X452" s="62"/>
      <c r="Y452" s="62" t="n">
        <f aca="false">ROUND(SUM(X447:X452),2)</f>
        <v>80</v>
      </c>
      <c r="Z452" s="68"/>
      <c r="AA452" s="77"/>
      <c r="AB452" s="78" t="n">
        <f aca="false">ROUND(SUM(AA447:AA452),2)</f>
        <v>224</v>
      </c>
      <c r="AC452" s="69"/>
      <c r="AD452" s="42"/>
      <c r="AE452" s="43" t="n">
        <v>0.6</v>
      </c>
    </row>
    <row r="453" customFormat="false" ht="16.5" hidden="false" customHeight="true" outlineLevel="0" collapsed="false">
      <c r="A453" s="27" t="n">
        <f aca="false">ROW(A451)</f>
        <v>451</v>
      </c>
      <c r="B453" s="27" t="s">
        <v>455</v>
      </c>
      <c r="C453" s="31" t="n">
        <v>1</v>
      </c>
      <c r="D453" s="29" t="n">
        <v>259</v>
      </c>
      <c r="E453" s="28" t="s">
        <v>1459</v>
      </c>
      <c r="F453" s="30" t="s">
        <v>1460</v>
      </c>
      <c r="G453" s="31" t="s">
        <v>1155</v>
      </c>
      <c r="H453" s="31" t="s">
        <v>1382</v>
      </c>
      <c r="I453" s="71" t="s">
        <v>246</v>
      </c>
      <c r="J453" s="28" t="s">
        <v>460</v>
      </c>
      <c r="K453" s="80" t="s">
        <v>1461</v>
      </c>
      <c r="L453" s="34" t="n">
        <v>45770</v>
      </c>
      <c r="M453" s="31" t="n">
        <v>29</v>
      </c>
      <c r="N453" s="31" t="n">
        <v>32</v>
      </c>
      <c r="O453" s="31" t="n">
        <v>3</v>
      </c>
      <c r="P453" s="31" t="n">
        <v>3</v>
      </c>
      <c r="Q453" s="31"/>
      <c r="R453" s="35" t="n">
        <f aca="false">合約與計費!$D$4</f>
        <v>0.296</v>
      </c>
      <c r="S453" s="36" t="n">
        <f aca="false">ROUND(P453*R453,0)</f>
        <v>1</v>
      </c>
      <c r="T453" s="37"/>
      <c r="U453" s="31" t="n">
        <v>220</v>
      </c>
      <c r="V453" s="31" t="n">
        <v>259</v>
      </c>
      <c r="W453" s="31" t="n">
        <v>39</v>
      </c>
      <c r="X453" s="31" t="n">
        <v>38</v>
      </c>
      <c r="Y453" s="31"/>
      <c r="Z453" s="38" t="n">
        <f aca="false">合約與計費!$E$4</f>
        <v>2.8</v>
      </c>
      <c r="AA453" s="39" t="n">
        <f aca="false">ROUND(X453*Z453,0)</f>
        <v>106</v>
      </c>
      <c r="AB453" s="40"/>
      <c r="AC453" s="41"/>
      <c r="AD453" s="42"/>
      <c r="AE453" s="43"/>
    </row>
    <row r="454" customFormat="false" ht="16.5" hidden="false" customHeight="true" outlineLevel="0" collapsed="false">
      <c r="A454" s="59" t="n">
        <f aca="false">ROW(A452)</f>
        <v>452</v>
      </c>
      <c r="B454" s="59" t="s">
        <v>462</v>
      </c>
      <c r="C454" s="62" t="n">
        <v>1</v>
      </c>
      <c r="D454" s="29"/>
      <c r="E454" s="60" t="s">
        <v>1462</v>
      </c>
      <c r="F454" s="61" t="s">
        <v>1460</v>
      </c>
      <c r="G454" s="62" t="s">
        <v>1155</v>
      </c>
      <c r="H454" s="62" t="s">
        <v>1382</v>
      </c>
      <c r="I454" s="76" t="s">
        <v>246</v>
      </c>
      <c r="J454" s="60" t="s">
        <v>464</v>
      </c>
      <c r="K454" s="63" t="s">
        <v>1463</v>
      </c>
      <c r="L454" s="64" t="n">
        <v>45770</v>
      </c>
      <c r="M454" s="62" t="n">
        <v>3368</v>
      </c>
      <c r="N454" s="62" t="n">
        <v>4125</v>
      </c>
      <c r="O454" s="62" t="n">
        <v>757</v>
      </c>
      <c r="P454" s="62" t="n">
        <v>734</v>
      </c>
      <c r="Q454" s="62" t="n">
        <f aca="false">ROUND(SUM(P453:P454),2)</f>
        <v>737</v>
      </c>
      <c r="R454" s="65" t="n">
        <f aca="false">合約與計費!$D$4</f>
        <v>0.296</v>
      </c>
      <c r="S454" s="66" t="n">
        <f aca="false">ROUND(P454*R454,0)</f>
        <v>217</v>
      </c>
      <c r="T454" s="79" t="n">
        <f aca="false">ROUND(SUM(S453:S454),2)</f>
        <v>218</v>
      </c>
      <c r="U454" s="62"/>
      <c r="V454" s="62"/>
      <c r="W454" s="67"/>
      <c r="X454" s="62"/>
      <c r="Y454" s="62" t="n">
        <f aca="false">ROUND(SUM(X453:X454),2)</f>
        <v>38</v>
      </c>
      <c r="Z454" s="68"/>
      <c r="AA454" s="77"/>
      <c r="AB454" s="78" t="n">
        <f aca="false">ROUND(SUM(AA453:AA454),2)</f>
        <v>106</v>
      </c>
      <c r="AC454" s="69"/>
      <c r="AD454" s="42" t="n">
        <v>0.0828</v>
      </c>
      <c r="AE454" s="43" t="n">
        <v>0.8</v>
      </c>
    </row>
    <row r="455" customFormat="false" ht="16.5" hidden="false" customHeight="true" outlineLevel="0" collapsed="false">
      <c r="A455" s="27" t="n">
        <f aca="false">ROW(A453)</f>
        <v>453</v>
      </c>
      <c r="B455" s="27" t="s">
        <v>455</v>
      </c>
      <c r="C455" s="31" t="n">
        <v>1</v>
      </c>
      <c r="D455" s="29" t="n">
        <v>260</v>
      </c>
      <c r="E455" s="28" t="s">
        <v>1464</v>
      </c>
      <c r="F455" s="30" t="s">
        <v>1465</v>
      </c>
      <c r="G455" s="31" t="s">
        <v>1155</v>
      </c>
      <c r="H455" s="31" t="s">
        <v>1382</v>
      </c>
      <c r="I455" s="71" t="s">
        <v>313</v>
      </c>
      <c r="J455" s="28" t="s">
        <v>460</v>
      </c>
      <c r="K455" s="80" t="s">
        <v>1466</v>
      </c>
      <c r="L455" s="34" t="n">
        <v>45749</v>
      </c>
      <c r="M455" s="31" t="n">
        <v>1379</v>
      </c>
      <c r="N455" s="31" t="n">
        <v>2009</v>
      </c>
      <c r="O455" s="31" t="n">
        <v>630</v>
      </c>
      <c r="P455" s="31" t="n">
        <v>611</v>
      </c>
      <c r="Q455" s="31"/>
      <c r="R455" s="35" t="n">
        <f aca="false">合約與計費!$D$4</f>
        <v>0.296</v>
      </c>
      <c r="S455" s="36" t="n">
        <f aca="false">ROUND(P455*R455,0)</f>
        <v>181</v>
      </c>
      <c r="T455" s="37"/>
      <c r="U455" s="31" t="n">
        <v>298</v>
      </c>
      <c r="V455" s="31" t="n">
        <v>392</v>
      </c>
      <c r="W455" s="31" t="n">
        <v>94</v>
      </c>
      <c r="X455" s="31" t="n">
        <v>91</v>
      </c>
      <c r="Y455" s="31"/>
      <c r="Z455" s="38" t="n">
        <f aca="false">合約與計費!$E$4</f>
        <v>2.8</v>
      </c>
      <c r="AA455" s="39" t="n">
        <f aca="false">ROUND(X455*Z455,0)</f>
        <v>255</v>
      </c>
      <c r="AB455" s="40"/>
      <c r="AC455" s="41"/>
      <c r="AD455" s="42"/>
      <c r="AE455" s="43"/>
    </row>
    <row r="456" customFormat="false" ht="16.5" hidden="false" customHeight="true" outlineLevel="0" collapsed="false">
      <c r="A456" s="44" t="n">
        <f aca="false">ROW(A454)</f>
        <v>454</v>
      </c>
      <c r="B456" s="44" t="s">
        <v>462</v>
      </c>
      <c r="C456" s="47" t="n">
        <v>1</v>
      </c>
      <c r="D456" s="29"/>
      <c r="E456" s="45" t="s">
        <v>1467</v>
      </c>
      <c r="F456" s="46" t="s">
        <v>1465</v>
      </c>
      <c r="G456" s="47" t="s">
        <v>1155</v>
      </c>
      <c r="H456" s="47" t="s">
        <v>1382</v>
      </c>
      <c r="I456" s="73" t="s">
        <v>313</v>
      </c>
      <c r="J456" s="45" t="s">
        <v>464</v>
      </c>
      <c r="K456" s="48" t="s">
        <v>1468</v>
      </c>
      <c r="L456" s="49" t="n">
        <v>45749</v>
      </c>
      <c r="M456" s="47" t="n">
        <v>3437</v>
      </c>
      <c r="N456" s="47" t="n">
        <v>4072</v>
      </c>
      <c r="O456" s="47" t="n">
        <v>635</v>
      </c>
      <c r="P456" s="47" t="n">
        <v>616</v>
      </c>
      <c r="Q456" s="47"/>
      <c r="R456" s="50" t="n">
        <f aca="false">合約與計費!$D$4</f>
        <v>0.296</v>
      </c>
      <c r="S456" s="51" t="n">
        <f aca="false">ROUND(P456*R456,0)</f>
        <v>182</v>
      </c>
      <c r="T456" s="52"/>
      <c r="U456" s="47"/>
      <c r="V456" s="47"/>
      <c r="W456" s="53"/>
      <c r="X456" s="47"/>
      <c r="Y456" s="47"/>
      <c r="Z456" s="54"/>
      <c r="AA456" s="55"/>
      <c r="AB456" s="56"/>
      <c r="AC456" s="57"/>
      <c r="AD456" s="42" t="n">
        <v>0.0667</v>
      </c>
      <c r="AE456" s="43" t="n">
        <v>0.9</v>
      </c>
    </row>
    <row r="457" customFormat="false" ht="16.5" hidden="false" customHeight="true" outlineLevel="0" collapsed="false">
      <c r="A457" s="44" t="n">
        <f aca="false">ROW(A455)</f>
        <v>455</v>
      </c>
      <c r="B457" s="44" t="s">
        <v>466</v>
      </c>
      <c r="C457" s="47" t="n">
        <v>1</v>
      </c>
      <c r="D457" s="29"/>
      <c r="E457" s="45" t="s">
        <v>1469</v>
      </c>
      <c r="F457" s="46" t="s">
        <v>1465</v>
      </c>
      <c r="G457" s="47" t="s">
        <v>1155</v>
      </c>
      <c r="H457" s="47" t="s">
        <v>1382</v>
      </c>
      <c r="I457" s="73" t="s">
        <v>313</v>
      </c>
      <c r="J457" s="45" t="s">
        <v>471</v>
      </c>
      <c r="K457" s="48" t="s">
        <v>1470</v>
      </c>
      <c r="L457" s="49" t="n">
        <v>45749</v>
      </c>
      <c r="M457" s="47" t="n">
        <v>18476</v>
      </c>
      <c r="N457" s="47" t="n">
        <v>20910</v>
      </c>
      <c r="O457" s="47" t="n">
        <v>2434</v>
      </c>
      <c r="P457" s="47" t="n">
        <v>2361</v>
      </c>
      <c r="Q457" s="47"/>
      <c r="R457" s="50" t="n">
        <f aca="false">合約與計費!$D$4</f>
        <v>0.296</v>
      </c>
      <c r="S457" s="51" t="n">
        <f aca="false">ROUND(P457*R457,0)</f>
        <v>699</v>
      </c>
      <c r="T457" s="52"/>
      <c r="U457" s="47"/>
      <c r="V457" s="47"/>
      <c r="W457" s="53"/>
      <c r="X457" s="47"/>
      <c r="Y457" s="47"/>
      <c r="Z457" s="54"/>
      <c r="AA457" s="55"/>
      <c r="AB457" s="56"/>
      <c r="AC457" s="57"/>
      <c r="AD457" s="42" t="n">
        <v>0.0814</v>
      </c>
      <c r="AE457" s="43" t="n">
        <v>0.6</v>
      </c>
    </row>
    <row r="458" customFormat="false" ht="16.5" hidden="false" customHeight="true" outlineLevel="0" collapsed="false">
      <c r="A458" s="44" t="n">
        <f aca="false">ROW(A456)</f>
        <v>456</v>
      </c>
      <c r="B458" s="44" t="s">
        <v>469</v>
      </c>
      <c r="C458" s="47" t="n">
        <v>1</v>
      </c>
      <c r="D458" s="29"/>
      <c r="E458" s="45" t="s">
        <v>1471</v>
      </c>
      <c r="F458" s="46" t="s">
        <v>1465</v>
      </c>
      <c r="G458" s="47" t="s">
        <v>1155</v>
      </c>
      <c r="H458" s="47" t="s">
        <v>1382</v>
      </c>
      <c r="I458" s="73" t="s">
        <v>313</v>
      </c>
      <c r="J458" s="45" t="s">
        <v>471</v>
      </c>
      <c r="K458" s="48" t="s">
        <v>1472</v>
      </c>
      <c r="L458" s="49" t="n">
        <v>45749</v>
      </c>
      <c r="M458" s="47" t="n">
        <v>1569</v>
      </c>
      <c r="N458" s="47" t="n">
        <v>1869</v>
      </c>
      <c r="O458" s="47" t="n">
        <v>300</v>
      </c>
      <c r="P458" s="47" t="n">
        <v>291</v>
      </c>
      <c r="Q458" s="47"/>
      <c r="R458" s="50" t="n">
        <f aca="false">合約與計費!$D$4</f>
        <v>0.296</v>
      </c>
      <c r="S458" s="51" t="n">
        <f aca="false">ROUND(P458*R458,0)</f>
        <v>86</v>
      </c>
      <c r="T458" s="52"/>
      <c r="U458" s="47"/>
      <c r="V458" s="47"/>
      <c r="W458" s="53"/>
      <c r="X458" s="47"/>
      <c r="Y458" s="47"/>
      <c r="Z458" s="54"/>
      <c r="AA458" s="55"/>
      <c r="AB458" s="56"/>
      <c r="AC458" s="57"/>
      <c r="AD458" s="42" t="n">
        <v>0.288</v>
      </c>
      <c r="AE458" s="43" t="n">
        <v>0.2</v>
      </c>
    </row>
    <row r="459" customFormat="false" ht="16.5" hidden="false" customHeight="true" outlineLevel="0" collapsed="false">
      <c r="A459" s="59" t="n">
        <f aca="false">ROW(A457)</f>
        <v>457</v>
      </c>
      <c r="B459" s="59" t="s">
        <v>473</v>
      </c>
      <c r="C459" s="62" t="n">
        <v>1</v>
      </c>
      <c r="D459" s="29"/>
      <c r="E459" s="60" t="s">
        <v>1473</v>
      </c>
      <c r="F459" s="61" t="s">
        <v>1465</v>
      </c>
      <c r="G459" s="62" t="s">
        <v>1155</v>
      </c>
      <c r="H459" s="62" t="s">
        <v>1382</v>
      </c>
      <c r="I459" s="76" t="s">
        <v>313</v>
      </c>
      <c r="J459" s="60" t="s">
        <v>471</v>
      </c>
      <c r="K459" s="63" t="s">
        <v>1474</v>
      </c>
      <c r="L459" s="64" t="n">
        <v>45749</v>
      </c>
      <c r="M459" s="62" t="n">
        <v>13714</v>
      </c>
      <c r="N459" s="62" t="n">
        <v>15966</v>
      </c>
      <c r="O459" s="62" t="n">
        <v>2252</v>
      </c>
      <c r="P459" s="62" t="n">
        <v>2184</v>
      </c>
      <c r="Q459" s="62" t="n">
        <f aca="false">ROUND(SUM(P455:P459),2)</f>
        <v>6063</v>
      </c>
      <c r="R459" s="65" t="n">
        <f aca="false">合約與計費!$D$4</f>
        <v>0.296</v>
      </c>
      <c r="S459" s="66" t="n">
        <f aca="false">ROUND(P459*R459,0)</f>
        <v>646</v>
      </c>
      <c r="T459" s="79" t="n">
        <f aca="false">ROUND(SUM(S455:S459),2)</f>
        <v>1794</v>
      </c>
      <c r="U459" s="62"/>
      <c r="V459" s="62"/>
      <c r="W459" s="67"/>
      <c r="X459" s="62"/>
      <c r="Y459" s="62" t="n">
        <f aca="false">ROUND(SUM(X455:X459),2)</f>
        <v>91</v>
      </c>
      <c r="Z459" s="68"/>
      <c r="AA459" s="77"/>
      <c r="AB459" s="78" t="n">
        <f aca="false">ROUND(SUM(AA455:AA459),2)</f>
        <v>255</v>
      </c>
      <c r="AC459" s="69"/>
      <c r="AD459" s="42" t="n">
        <v>0.1017</v>
      </c>
      <c r="AE459" s="43" t="n">
        <v>0.2</v>
      </c>
    </row>
    <row r="460" customFormat="false" ht="16.5" hidden="false" customHeight="true" outlineLevel="0" collapsed="false">
      <c r="A460" s="27" t="n">
        <f aca="false">ROW(A458)</f>
        <v>458</v>
      </c>
      <c r="B460" s="27" t="s">
        <v>455</v>
      </c>
      <c r="C460" s="31" t="n">
        <v>1</v>
      </c>
      <c r="D460" s="29" t="n">
        <v>46</v>
      </c>
      <c r="E460" s="28" t="s">
        <v>1475</v>
      </c>
      <c r="F460" s="30" t="s">
        <v>1476</v>
      </c>
      <c r="G460" s="31" t="s">
        <v>1155</v>
      </c>
      <c r="H460" s="31" t="s">
        <v>1477</v>
      </c>
      <c r="I460" s="31" t="s">
        <v>21</v>
      </c>
      <c r="J460" s="28" t="s">
        <v>460</v>
      </c>
      <c r="K460" s="80" t="s">
        <v>1478</v>
      </c>
      <c r="L460" s="34" t="n">
        <v>45770</v>
      </c>
      <c r="M460" s="31" t="n">
        <v>1798</v>
      </c>
      <c r="N460" s="31" t="n">
        <v>2031</v>
      </c>
      <c r="O460" s="31" t="n">
        <v>233</v>
      </c>
      <c r="P460" s="31" t="n">
        <v>226</v>
      </c>
      <c r="Q460" s="31"/>
      <c r="R460" s="35" t="n">
        <f aca="false">合約與計費!$D$4</f>
        <v>0.296</v>
      </c>
      <c r="S460" s="36" t="n">
        <f aca="false">ROUND(P460*R460,0)</f>
        <v>67</v>
      </c>
      <c r="T460" s="37"/>
      <c r="U460" s="31" t="n">
        <v>109</v>
      </c>
      <c r="V460" s="31" t="n">
        <v>174</v>
      </c>
      <c r="W460" s="31" t="n">
        <v>65</v>
      </c>
      <c r="X460" s="31" t="n">
        <v>63</v>
      </c>
      <c r="Y460" s="31"/>
      <c r="Z460" s="38" t="n">
        <f aca="false">合約與計費!$E$4</f>
        <v>2.8</v>
      </c>
      <c r="AA460" s="39" t="n">
        <f aca="false">ROUND(X460*Z460,0)</f>
        <v>176</v>
      </c>
      <c r="AB460" s="40"/>
      <c r="AC460" s="41"/>
      <c r="AD460" s="42"/>
      <c r="AE460" s="43"/>
    </row>
    <row r="461" customFormat="false" ht="16.5" hidden="false" customHeight="true" outlineLevel="0" collapsed="false">
      <c r="A461" s="44" t="n">
        <f aca="false">ROW(A459)</f>
        <v>459</v>
      </c>
      <c r="B461" s="44" t="s">
        <v>462</v>
      </c>
      <c r="C461" s="47" t="n">
        <v>1</v>
      </c>
      <c r="D461" s="29"/>
      <c r="E461" s="45" t="s">
        <v>1479</v>
      </c>
      <c r="F461" s="46" t="s">
        <v>1476</v>
      </c>
      <c r="G461" s="47" t="s">
        <v>1155</v>
      </c>
      <c r="H461" s="47" t="s">
        <v>1477</v>
      </c>
      <c r="I461" s="47" t="s">
        <v>21</v>
      </c>
      <c r="J461" s="45" t="s">
        <v>471</v>
      </c>
      <c r="K461" s="48" t="s">
        <v>1480</v>
      </c>
      <c r="L461" s="165" t="n">
        <v>45852</v>
      </c>
      <c r="M461" s="166" t="n">
        <v>13561</v>
      </c>
      <c r="N461" s="166" t="n">
        <v>14442</v>
      </c>
      <c r="O461" s="166" t="n">
        <v>881</v>
      </c>
      <c r="P461" s="166" t="n">
        <v>855</v>
      </c>
      <c r="Q461" s="166"/>
      <c r="R461" s="50" t="n">
        <f aca="false">合約與計費!$D$4</f>
        <v>0.296</v>
      </c>
      <c r="S461" s="51" t="n">
        <f aca="false">ROUND(P461*R461,0)</f>
        <v>253</v>
      </c>
      <c r="T461" s="167"/>
      <c r="U461" s="166"/>
      <c r="V461" s="166"/>
      <c r="W461" s="53"/>
      <c r="X461" s="47"/>
      <c r="Y461" s="166"/>
      <c r="Z461" s="54"/>
      <c r="AA461" s="168"/>
      <c r="AB461" s="169"/>
      <c r="AC461" s="170" t="s">
        <v>1481</v>
      </c>
      <c r="AD461" s="42" t="n">
        <v>0.1239</v>
      </c>
      <c r="AE461" s="43" t="n">
        <v>0.9</v>
      </c>
    </row>
    <row r="462" customFormat="false" ht="16.5" hidden="false" customHeight="true" outlineLevel="0" collapsed="false">
      <c r="A462" s="59" t="n">
        <f aca="false">ROW(A460)</f>
        <v>460</v>
      </c>
      <c r="B462" s="59" t="s">
        <v>466</v>
      </c>
      <c r="C462" s="62" t="n">
        <v>1</v>
      </c>
      <c r="D462" s="29"/>
      <c r="E462" s="60" t="s">
        <v>1482</v>
      </c>
      <c r="F462" s="61" t="s">
        <v>1476</v>
      </c>
      <c r="G462" s="62" t="s">
        <v>1155</v>
      </c>
      <c r="H462" s="62" t="s">
        <v>1477</v>
      </c>
      <c r="I462" s="62" t="s">
        <v>21</v>
      </c>
      <c r="J462" s="60" t="s">
        <v>471</v>
      </c>
      <c r="K462" s="63" t="s">
        <v>1483</v>
      </c>
      <c r="L462" s="64" t="n">
        <v>45770</v>
      </c>
      <c r="M462" s="62" t="n">
        <v>8356</v>
      </c>
      <c r="N462" s="62" t="n">
        <v>10443</v>
      </c>
      <c r="O462" s="62" t="n">
        <v>2087</v>
      </c>
      <c r="P462" s="62" t="n">
        <v>2024</v>
      </c>
      <c r="Q462" s="62" t="n">
        <f aca="false">ROUND(SUM(P460:P462),2)</f>
        <v>3105</v>
      </c>
      <c r="R462" s="65" t="n">
        <f aca="false">合約與計費!$D$4</f>
        <v>0.296</v>
      </c>
      <c r="S462" s="66" t="n">
        <f aca="false">ROUND(P462*R462,0)</f>
        <v>599</v>
      </c>
      <c r="T462" s="79" t="n">
        <f aca="false">ROUND(SUM(S460:S462),2)</f>
        <v>919</v>
      </c>
      <c r="U462" s="62"/>
      <c r="V462" s="62"/>
      <c r="W462" s="67"/>
      <c r="X462" s="62"/>
      <c r="Y462" s="62" t="n">
        <f aca="false">ROUND(SUM(X460:X462),2)</f>
        <v>63</v>
      </c>
      <c r="Z462" s="68"/>
      <c r="AA462" s="77"/>
      <c r="AB462" s="78" t="n">
        <f aca="false">ROUND(SUM(AA460:AA462),2)</f>
        <v>176</v>
      </c>
      <c r="AC462" s="69"/>
      <c r="AD462" s="42" t="n">
        <v>0.1384</v>
      </c>
      <c r="AE462" s="43" t="n">
        <v>0.3</v>
      </c>
    </row>
    <row r="463" customFormat="false" ht="16.5" hidden="false" customHeight="true" outlineLevel="0" collapsed="false">
      <c r="A463" s="27" t="n">
        <f aca="false">ROW(A461)</f>
        <v>461</v>
      </c>
      <c r="B463" s="27" t="s">
        <v>455</v>
      </c>
      <c r="C463" s="31" t="n">
        <v>1</v>
      </c>
      <c r="D463" s="29" t="n">
        <v>47</v>
      </c>
      <c r="E463" s="28" t="s">
        <v>1484</v>
      </c>
      <c r="F463" s="30" t="s">
        <v>1485</v>
      </c>
      <c r="G463" s="31" t="s">
        <v>1155</v>
      </c>
      <c r="H463" s="31" t="s">
        <v>1477</v>
      </c>
      <c r="I463" s="31" t="s">
        <v>99</v>
      </c>
      <c r="J463" s="28" t="s">
        <v>460</v>
      </c>
      <c r="K463" s="80" t="s">
        <v>1486</v>
      </c>
      <c r="L463" s="34" t="n">
        <v>45770</v>
      </c>
      <c r="M463" s="31" t="n">
        <v>372</v>
      </c>
      <c r="N463" s="31" t="n">
        <v>549</v>
      </c>
      <c r="O463" s="31" t="n">
        <v>177</v>
      </c>
      <c r="P463" s="31" t="n">
        <v>172</v>
      </c>
      <c r="Q463" s="31"/>
      <c r="R463" s="35" t="n">
        <f aca="false">合約與計費!$D$4</f>
        <v>0.296</v>
      </c>
      <c r="S463" s="36" t="n">
        <f aca="false">ROUND(P463*R463,0)</f>
        <v>51</v>
      </c>
      <c r="T463" s="37"/>
      <c r="U463" s="31" t="n">
        <v>76</v>
      </c>
      <c r="V463" s="31" t="n">
        <v>111</v>
      </c>
      <c r="W463" s="31" t="n">
        <v>35</v>
      </c>
      <c r="X463" s="31" t="n">
        <v>34</v>
      </c>
      <c r="Y463" s="31"/>
      <c r="Z463" s="38" t="n">
        <f aca="false">合約與計費!$E$4</f>
        <v>2.8</v>
      </c>
      <c r="AA463" s="39" t="n">
        <f aca="false">ROUND(X463*Z463,0)</f>
        <v>95</v>
      </c>
      <c r="AB463" s="40"/>
      <c r="AC463" s="41"/>
      <c r="AD463" s="42"/>
      <c r="AE463" s="43"/>
    </row>
    <row r="464" customFormat="false" ht="16.5" hidden="false" customHeight="true" outlineLevel="0" collapsed="false">
      <c r="A464" s="44" t="n">
        <f aca="false">ROW(A462)</f>
        <v>462</v>
      </c>
      <c r="B464" s="44" t="s">
        <v>462</v>
      </c>
      <c r="C464" s="47" t="n">
        <v>1</v>
      </c>
      <c r="D464" s="29"/>
      <c r="E464" s="45" t="s">
        <v>1487</v>
      </c>
      <c r="F464" s="46" t="s">
        <v>1485</v>
      </c>
      <c r="G464" s="47" t="s">
        <v>1155</v>
      </c>
      <c r="H464" s="47" t="s">
        <v>1477</v>
      </c>
      <c r="I464" s="47" t="s">
        <v>99</v>
      </c>
      <c r="J464" s="45" t="s">
        <v>471</v>
      </c>
      <c r="K464" s="48" t="s">
        <v>1488</v>
      </c>
      <c r="L464" s="49" t="n">
        <v>45770</v>
      </c>
      <c r="M464" s="47" t="n">
        <v>6672</v>
      </c>
      <c r="N464" s="47" t="n">
        <v>8361</v>
      </c>
      <c r="O464" s="47" t="n">
        <v>1689</v>
      </c>
      <c r="P464" s="47" t="n">
        <v>1638</v>
      </c>
      <c r="Q464" s="47"/>
      <c r="R464" s="50" t="n">
        <f aca="false">合約與計費!$D$4</f>
        <v>0.296</v>
      </c>
      <c r="S464" s="51" t="n">
        <f aca="false">ROUND(P464*R464,0)</f>
        <v>485</v>
      </c>
      <c r="T464" s="52"/>
      <c r="U464" s="47"/>
      <c r="V464" s="47"/>
      <c r="W464" s="53"/>
      <c r="X464" s="47"/>
      <c r="Y464" s="47"/>
      <c r="Z464" s="54"/>
      <c r="AA464" s="55"/>
      <c r="AB464" s="56"/>
      <c r="AC464" s="57"/>
      <c r="AD464" s="42" t="n">
        <v>0.3412</v>
      </c>
      <c r="AE464" s="43" t="n">
        <v>0.1</v>
      </c>
    </row>
    <row r="465" customFormat="false" ht="16.5" hidden="false" customHeight="true" outlineLevel="0" collapsed="false">
      <c r="A465" s="44" t="n">
        <f aca="false">ROW(A463)</f>
        <v>463</v>
      </c>
      <c r="B465" s="44" t="s">
        <v>466</v>
      </c>
      <c r="C465" s="47" t="n">
        <v>1</v>
      </c>
      <c r="D465" s="29"/>
      <c r="E465" s="45" t="s">
        <v>1489</v>
      </c>
      <c r="F465" s="46" t="s">
        <v>1485</v>
      </c>
      <c r="G465" s="47" t="s">
        <v>1155</v>
      </c>
      <c r="H465" s="47" t="s">
        <v>1477</v>
      </c>
      <c r="I465" s="47" t="s">
        <v>99</v>
      </c>
      <c r="J465" s="45" t="s">
        <v>471</v>
      </c>
      <c r="K465" s="48" t="s">
        <v>1490</v>
      </c>
      <c r="L465" s="49" t="n">
        <v>45770</v>
      </c>
      <c r="M465" s="47" t="n">
        <v>9307</v>
      </c>
      <c r="N465" s="47" t="n">
        <v>11616</v>
      </c>
      <c r="O465" s="47" t="n">
        <v>2309</v>
      </c>
      <c r="P465" s="47" t="n">
        <v>2240</v>
      </c>
      <c r="Q465" s="47"/>
      <c r="R465" s="50" t="n">
        <f aca="false">合約與計費!$D$4</f>
        <v>0.296</v>
      </c>
      <c r="S465" s="51" t="n">
        <f aca="false">ROUND(P465*R465,0)</f>
        <v>663</v>
      </c>
      <c r="T465" s="52"/>
      <c r="U465" s="47"/>
      <c r="V465" s="47"/>
      <c r="W465" s="53"/>
      <c r="X465" s="47"/>
      <c r="Y465" s="47"/>
      <c r="Z465" s="54"/>
      <c r="AA465" s="55"/>
      <c r="AB465" s="56"/>
      <c r="AC465" s="57"/>
      <c r="AD465" s="42" t="n">
        <v>0.1036</v>
      </c>
      <c r="AE465" s="43" t="n">
        <v>0.7</v>
      </c>
    </row>
    <row r="466" customFormat="false" ht="16.5" hidden="false" customHeight="true" outlineLevel="0" collapsed="false">
      <c r="A466" s="59" t="n">
        <f aca="false">ROW(A464)</f>
        <v>464</v>
      </c>
      <c r="B466" s="59" t="s">
        <v>469</v>
      </c>
      <c r="C466" s="62" t="n">
        <v>1</v>
      </c>
      <c r="D466" s="29"/>
      <c r="E466" s="60" t="s">
        <v>1491</v>
      </c>
      <c r="F466" s="61" t="s">
        <v>1485</v>
      </c>
      <c r="G466" s="62" t="s">
        <v>1155</v>
      </c>
      <c r="H466" s="62" t="s">
        <v>1477</v>
      </c>
      <c r="I466" s="62" t="s">
        <v>99</v>
      </c>
      <c r="J466" s="60" t="s">
        <v>471</v>
      </c>
      <c r="K466" s="63" t="s">
        <v>1492</v>
      </c>
      <c r="L466" s="64" t="n">
        <v>45770</v>
      </c>
      <c r="M466" s="62" t="n">
        <v>8704</v>
      </c>
      <c r="N466" s="62" t="n">
        <v>10918</v>
      </c>
      <c r="O466" s="62" t="n">
        <v>2214</v>
      </c>
      <c r="P466" s="62" t="n">
        <v>2148</v>
      </c>
      <c r="Q466" s="62" t="n">
        <f aca="false">ROUND(SUM(P463:P466),2)</f>
        <v>6198</v>
      </c>
      <c r="R466" s="65" t="n">
        <f aca="false">合約與計費!$D$4</f>
        <v>0.296</v>
      </c>
      <c r="S466" s="66" t="n">
        <f aca="false">ROUND(P466*R466,0)</f>
        <v>636</v>
      </c>
      <c r="T466" s="79" t="n">
        <f aca="false">ROUND(SUM(S463:S466),2)</f>
        <v>1835</v>
      </c>
      <c r="U466" s="62"/>
      <c r="V466" s="62"/>
      <c r="W466" s="67"/>
      <c r="X466" s="62"/>
      <c r="Y466" s="62" t="n">
        <f aca="false">ROUND(SUM(X463:X466),2)</f>
        <v>34</v>
      </c>
      <c r="Z466" s="68"/>
      <c r="AA466" s="77"/>
      <c r="AB466" s="78" t="n">
        <f aca="false">ROUND(SUM(AA463:AA466),2)</f>
        <v>95</v>
      </c>
      <c r="AC466" s="69"/>
      <c r="AD466" s="42" t="n">
        <v>0.0998</v>
      </c>
      <c r="AE466" s="43" t="n">
        <v>1</v>
      </c>
    </row>
    <row r="467" customFormat="false" ht="16.5" hidden="false" customHeight="true" outlineLevel="0" collapsed="false">
      <c r="A467" s="27" t="n">
        <f aca="false">ROW(A465)</f>
        <v>465</v>
      </c>
      <c r="B467" s="27" t="s">
        <v>455</v>
      </c>
      <c r="C467" s="31" t="n">
        <v>1</v>
      </c>
      <c r="D467" s="29" t="n">
        <v>65</v>
      </c>
      <c r="E467" s="28" t="s">
        <v>1493</v>
      </c>
      <c r="F467" s="30" t="s">
        <v>1494</v>
      </c>
      <c r="G467" s="31" t="s">
        <v>1155</v>
      </c>
      <c r="H467" s="31" t="s">
        <v>1477</v>
      </c>
      <c r="I467" s="31" t="s">
        <v>348</v>
      </c>
      <c r="J467" s="86" t="s">
        <v>460</v>
      </c>
      <c r="K467" s="88" t="s">
        <v>1495</v>
      </c>
      <c r="L467" s="89" t="n">
        <v>45764</v>
      </c>
      <c r="M467" s="32" t="n">
        <v>3518</v>
      </c>
      <c r="N467" s="32" t="n">
        <v>4344</v>
      </c>
      <c r="O467" s="32" t="n">
        <v>826</v>
      </c>
      <c r="P467" s="32" t="n">
        <v>801</v>
      </c>
      <c r="Q467" s="32"/>
      <c r="R467" s="90" t="n">
        <f aca="false">合約與計費!$D$4</f>
        <v>0.296</v>
      </c>
      <c r="S467" s="91" t="n">
        <f aca="false">ROUND(P467*R467,0)</f>
        <v>237</v>
      </c>
      <c r="T467" s="92"/>
      <c r="U467" s="32" t="n">
        <v>321</v>
      </c>
      <c r="V467" s="32" t="n">
        <v>380</v>
      </c>
      <c r="W467" s="32" t="n">
        <v>59</v>
      </c>
      <c r="X467" s="32" t="n">
        <v>57</v>
      </c>
      <c r="Y467" s="32"/>
      <c r="Z467" s="93" t="n">
        <f aca="false">合約與計費!$E$4</f>
        <v>2.8</v>
      </c>
      <c r="AA467" s="94" t="n">
        <f aca="false">ROUND(X467*Z467,0)</f>
        <v>160</v>
      </c>
      <c r="AB467" s="95"/>
      <c r="AC467" s="96"/>
      <c r="AD467" s="42"/>
      <c r="AE467" s="43"/>
    </row>
    <row r="468" customFormat="false" ht="16.5" hidden="false" customHeight="true" outlineLevel="0" collapsed="false">
      <c r="A468" s="44" t="n">
        <f aca="false">ROW(A466)</f>
        <v>466</v>
      </c>
      <c r="B468" s="44" t="s">
        <v>462</v>
      </c>
      <c r="C468" s="47" t="n">
        <v>1</v>
      </c>
      <c r="D468" s="29"/>
      <c r="E468" s="45" t="s">
        <v>1496</v>
      </c>
      <c r="F468" s="46" t="s">
        <v>1494</v>
      </c>
      <c r="G468" s="47" t="s">
        <v>1155</v>
      </c>
      <c r="H468" s="47" t="s">
        <v>1477</v>
      </c>
      <c r="I468" s="47" t="s">
        <v>348</v>
      </c>
      <c r="J468" s="98" t="s">
        <v>464</v>
      </c>
      <c r="K468" s="101" t="s">
        <v>1497</v>
      </c>
      <c r="L468" s="102" t="n">
        <v>45764</v>
      </c>
      <c r="M468" s="100" t="n">
        <v>3746</v>
      </c>
      <c r="N468" s="100" t="n">
        <v>4314</v>
      </c>
      <c r="O468" s="100" t="n">
        <v>568</v>
      </c>
      <c r="P468" s="100" t="n">
        <v>551</v>
      </c>
      <c r="Q468" s="100"/>
      <c r="R468" s="103" t="n">
        <f aca="false">合約與計費!$D$4</f>
        <v>0.296</v>
      </c>
      <c r="S468" s="104" t="n">
        <f aca="false">ROUND(P468*R468,0)</f>
        <v>163</v>
      </c>
      <c r="T468" s="105"/>
      <c r="U468" s="100"/>
      <c r="V468" s="100"/>
      <c r="W468" s="106"/>
      <c r="X468" s="100"/>
      <c r="Y468" s="100"/>
      <c r="Z468" s="107"/>
      <c r="AA468" s="108"/>
      <c r="AB468" s="109"/>
      <c r="AC468" s="110"/>
      <c r="AD468" s="42" t="n">
        <v>0.0614</v>
      </c>
      <c r="AE468" s="43" t="n">
        <v>0.9</v>
      </c>
    </row>
    <row r="469" customFormat="false" ht="16.5" hidden="false" customHeight="true" outlineLevel="0" collapsed="false">
      <c r="A469" s="44" t="n">
        <f aca="false">ROW(A467)</f>
        <v>467</v>
      </c>
      <c r="B469" s="44" t="s">
        <v>466</v>
      </c>
      <c r="C469" s="47" t="n">
        <v>1</v>
      </c>
      <c r="D469" s="29"/>
      <c r="E469" s="45" t="s">
        <v>1498</v>
      </c>
      <c r="F469" s="46" t="s">
        <v>1494</v>
      </c>
      <c r="G469" s="47" t="s">
        <v>1155</v>
      </c>
      <c r="H469" s="47" t="s">
        <v>1477</v>
      </c>
      <c r="I469" s="47" t="s">
        <v>348</v>
      </c>
      <c r="J469" s="98" t="s">
        <v>527</v>
      </c>
      <c r="K469" s="101" t="s">
        <v>1499</v>
      </c>
      <c r="L469" s="102" t="n">
        <v>45764</v>
      </c>
      <c r="M469" s="100" t="n">
        <v>3697</v>
      </c>
      <c r="N469" s="100" t="n">
        <v>4293</v>
      </c>
      <c r="O469" s="100" t="n">
        <v>596</v>
      </c>
      <c r="P469" s="100" t="n">
        <v>578</v>
      </c>
      <c r="Q469" s="100"/>
      <c r="R469" s="103" t="n">
        <f aca="false">合約與計費!$D$4</f>
        <v>0.296</v>
      </c>
      <c r="S469" s="104" t="n">
        <f aca="false">ROUND(P469*R469,0)</f>
        <v>171</v>
      </c>
      <c r="T469" s="105"/>
      <c r="U469" s="100"/>
      <c r="V469" s="100"/>
      <c r="W469" s="106"/>
      <c r="X469" s="100"/>
      <c r="Y469" s="100"/>
      <c r="Z469" s="107"/>
      <c r="AA469" s="108"/>
      <c r="AB469" s="109"/>
      <c r="AC469" s="110"/>
      <c r="AD469" s="42"/>
      <c r="AE469" s="43"/>
    </row>
    <row r="470" customFormat="false" ht="16.5" hidden="false" customHeight="true" outlineLevel="0" collapsed="false">
      <c r="A470" s="44" t="n">
        <f aca="false">ROW(A468)</f>
        <v>468</v>
      </c>
      <c r="B470" s="44" t="s">
        <v>469</v>
      </c>
      <c r="C470" s="47" t="n">
        <v>1</v>
      </c>
      <c r="D470" s="29"/>
      <c r="E470" s="45" t="s">
        <v>1500</v>
      </c>
      <c r="F470" s="46" t="s">
        <v>1494</v>
      </c>
      <c r="G470" s="47" t="s">
        <v>1155</v>
      </c>
      <c r="H470" s="47" t="s">
        <v>1477</v>
      </c>
      <c r="I470" s="47" t="s">
        <v>348</v>
      </c>
      <c r="J470" s="45" t="s">
        <v>527</v>
      </c>
      <c r="K470" s="48" t="s">
        <v>1501</v>
      </c>
      <c r="L470" s="49" t="n">
        <v>45764</v>
      </c>
      <c r="M470" s="47" t="n">
        <v>14</v>
      </c>
      <c r="N470" s="47" t="n">
        <v>15</v>
      </c>
      <c r="O470" s="47" t="n">
        <v>1</v>
      </c>
      <c r="P470" s="47" t="n">
        <v>1</v>
      </c>
      <c r="Q470" s="47"/>
      <c r="R470" s="50" t="n">
        <f aca="false">合約與計費!$D$4</f>
        <v>0.296</v>
      </c>
      <c r="S470" s="51" t="n">
        <f aca="false">ROUND(P470*R470,0)</f>
        <v>0</v>
      </c>
      <c r="T470" s="52"/>
      <c r="U470" s="47"/>
      <c r="V470" s="47"/>
      <c r="W470" s="53"/>
      <c r="X470" s="47"/>
      <c r="Y470" s="47"/>
      <c r="Z470" s="54"/>
      <c r="AA470" s="55"/>
      <c r="AB470" s="56"/>
      <c r="AC470" s="57"/>
      <c r="AD470" s="42"/>
      <c r="AE470" s="43"/>
    </row>
    <row r="471" customFormat="false" ht="16.5" hidden="false" customHeight="true" outlineLevel="0" collapsed="false">
      <c r="A471" s="44" t="n">
        <f aca="false">ROW(A469)</f>
        <v>469</v>
      </c>
      <c r="B471" s="44" t="s">
        <v>473</v>
      </c>
      <c r="C471" s="47" t="n">
        <v>1</v>
      </c>
      <c r="D471" s="29"/>
      <c r="E471" s="45" t="s">
        <v>1502</v>
      </c>
      <c r="F471" s="46" t="s">
        <v>1494</v>
      </c>
      <c r="G471" s="47" t="s">
        <v>1155</v>
      </c>
      <c r="H471" s="47" t="s">
        <v>1477</v>
      </c>
      <c r="I471" s="47" t="s">
        <v>348</v>
      </c>
      <c r="J471" s="45" t="s">
        <v>527</v>
      </c>
      <c r="K471" s="48" t="s">
        <v>1503</v>
      </c>
      <c r="L471" s="49" t="n">
        <v>45764</v>
      </c>
      <c r="M471" s="47" t="n">
        <v>3476</v>
      </c>
      <c r="N471" s="47" t="n">
        <v>4014</v>
      </c>
      <c r="O471" s="47" t="n">
        <v>538</v>
      </c>
      <c r="P471" s="47" t="n">
        <v>522</v>
      </c>
      <c r="Q471" s="47"/>
      <c r="R471" s="50" t="n">
        <f aca="false">合約與計費!$D$4</f>
        <v>0.296</v>
      </c>
      <c r="S471" s="51" t="n">
        <f aca="false">ROUND(P471*R471,0)</f>
        <v>155</v>
      </c>
      <c r="T471" s="52"/>
      <c r="U471" s="47"/>
      <c r="V471" s="47"/>
      <c r="W471" s="53"/>
      <c r="X471" s="47"/>
      <c r="Y471" s="47"/>
      <c r="Z471" s="54"/>
      <c r="AA471" s="55"/>
      <c r="AB471" s="56"/>
      <c r="AC471" s="57"/>
      <c r="AD471" s="42"/>
      <c r="AE471" s="43"/>
    </row>
    <row r="472" customFormat="false" ht="16.5" hidden="false" customHeight="true" outlineLevel="0" collapsed="false">
      <c r="A472" s="44" t="n">
        <f aca="false">ROW(A470)</f>
        <v>470</v>
      </c>
      <c r="B472" s="44" t="s">
        <v>476</v>
      </c>
      <c r="C472" s="47" t="n">
        <v>1</v>
      </c>
      <c r="D472" s="29"/>
      <c r="E472" s="45" t="s">
        <v>1504</v>
      </c>
      <c r="F472" s="46" t="s">
        <v>1494</v>
      </c>
      <c r="G472" s="47" t="s">
        <v>1155</v>
      </c>
      <c r="H472" s="47" t="s">
        <v>1477</v>
      </c>
      <c r="I472" s="47" t="s">
        <v>348</v>
      </c>
      <c r="J472" s="45" t="s">
        <v>527</v>
      </c>
      <c r="K472" s="48" t="s">
        <v>1505</v>
      </c>
      <c r="L472" s="49" t="n">
        <v>45764</v>
      </c>
      <c r="M472" s="47" t="n">
        <v>4752</v>
      </c>
      <c r="N472" s="47" t="n">
        <v>5646</v>
      </c>
      <c r="O472" s="47" t="n">
        <v>894</v>
      </c>
      <c r="P472" s="47" t="n">
        <v>867</v>
      </c>
      <c r="Q472" s="47"/>
      <c r="R472" s="50" t="n">
        <f aca="false">合約與計費!$D$4</f>
        <v>0.296</v>
      </c>
      <c r="S472" s="51" t="n">
        <f aca="false">ROUND(P472*R472,0)</f>
        <v>257</v>
      </c>
      <c r="T472" s="52"/>
      <c r="U472" s="47"/>
      <c r="V472" s="47"/>
      <c r="W472" s="53"/>
      <c r="X472" s="47"/>
      <c r="Y472" s="47"/>
      <c r="Z472" s="54"/>
      <c r="AA472" s="55"/>
      <c r="AB472" s="56"/>
      <c r="AC472" s="57"/>
      <c r="AD472" s="42"/>
      <c r="AE472" s="43"/>
    </row>
    <row r="473" customFormat="false" ht="16.5" hidden="false" customHeight="true" outlineLevel="0" collapsed="false">
      <c r="A473" s="44" t="n">
        <f aca="false">ROW(A471)</f>
        <v>471</v>
      </c>
      <c r="B473" s="44" t="s">
        <v>479</v>
      </c>
      <c r="C473" s="47" t="n">
        <v>1</v>
      </c>
      <c r="D473" s="29"/>
      <c r="E473" s="45" t="s">
        <v>1506</v>
      </c>
      <c r="F473" s="46" t="s">
        <v>1494</v>
      </c>
      <c r="G473" s="47" t="s">
        <v>1155</v>
      </c>
      <c r="H473" s="47" t="s">
        <v>1477</v>
      </c>
      <c r="I473" s="47" t="s">
        <v>348</v>
      </c>
      <c r="J473" s="45" t="s">
        <v>527</v>
      </c>
      <c r="K473" s="48" t="s">
        <v>1507</v>
      </c>
      <c r="L473" s="49" t="n">
        <v>45764</v>
      </c>
      <c r="M473" s="47" t="n">
        <v>10</v>
      </c>
      <c r="N473" s="47" t="n">
        <v>11</v>
      </c>
      <c r="O473" s="47" t="n">
        <v>1</v>
      </c>
      <c r="P473" s="47" t="n">
        <v>1</v>
      </c>
      <c r="Q473" s="47"/>
      <c r="R473" s="50" t="n">
        <f aca="false">合約與計費!$D$4</f>
        <v>0.296</v>
      </c>
      <c r="S473" s="51" t="n">
        <f aca="false">ROUND(P473*R473,0)</f>
        <v>0</v>
      </c>
      <c r="T473" s="52"/>
      <c r="U473" s="47"/>
      <c r="V473" s="47"/>
      <c r="W473" s="53"/>
      <c r="X473" s="47"/>
      <c r="Y473" s="47"/>
      <c r="Z473" s="54"/>
      <c r="AA473" s="55"/>
      <c r="AB473" s="56"/>
      <c r="AC473" s="57"/>
      <c r="AD473" s="42"/>
      <c r="AE473" s="43"/>
    </row>
    <row r="474" customFormat="false" ht="16.5" hidden="false" customHeight="true" outlineLevel="0" collapsed="false">
      <c r="A474" s="44" t="n">
        <f aca="false">ROW(A472)</f>
        <v>472</v>
      </c>
      <c r="B474" s="44" t="s">
        <v>482</v>
      </c>
      <c r="C474" s="47" t="n">
        <v>1</v>
      </c>
      <c r="D474" s="29"/>
      <c r="E474" s="45" t="s">
        <v>1508</v>
      </c>
      <c r="F474" s="46" t="s">
        <v>1494</v>
      </c>
      <c r="G474" s="47" t="s">
        <v>1155</v>
      </c>
      <c r="H474" s="47" t="s">
        <v>1477</v>
      </c>
      <c r="I474" s="47" t="s">
        <v>348</v>
      </c>
      <c r="J474" s="45" t="s">
        <v>527</v>
      </c>
      <c r="K474" s="48" t="s">
        <v>1509</v>
      </c>
      <c r="L474" s="49" t="n">
        <v>45764</v>
      </c>
      <c r="M474" s="47" t="n">
        <v>3791</v>
      </c>
      <c r="N474" s="47" t="n">
        <v>4357</v>
      </c>
      <c r="O474" s="47" t="n">
        <v>566</v>
      </c>
      <c r="P474" s="47" t="n">
        <v>549</v>
      </c>
      <c r="Q474" s="47"/>
      <c r="R474" s="50" t="n">
        <f aca="false">合約與計費!$D$4</f>
        <v>0.296</v>
      </c>
      <c r="S474" s="51" t="n">
        <f aca="false">ROUND(P474*R474,0)</f>
        <v>163</v>
      </c>
      <c r="T474" s="52"/>
      <c r="U474" s="47"/>
      <c r="V474" s="47"/>
      <c r="W474" s="53"/>
      <c r="X474" s="47"/>
      <c r="Y474" s="47"/>
      <c r="Z474" s="54"/>
      <c r="AA474" s="55"/>
      <c r="AB474" s="56"/>
      <c r="AC474" s="57"/>
      <c r="AD474" s="42"/>
      <c r="AE474" s="43"/>
    </row>
    <row r="475" customFormat="false" ht="16.5" hidden="false" customHeight="true" outlineLevel="0" collapsed="false">
      <c r="A475" s="44" t="n">
        <f aca="false">ROW(A473)</f>
        <v>473</v>
      </c>
      <c r="B475" s="44" t="s">
        <v>485</v>
      </c>
      <c r="C475" s="47" t="n">
        <v>1</v>
      </c>
      <c r="D475" s="29"/>
      <c r="E475" s="45" t="s">
        <v>1510</v>
      </c>
      <c r="F475" s="46" t="s">
        <v>1494</v>
      </c>
      <c r="G475" s="47" t="s">
        <v>1155</v>
      </c>
      <c r="H475" s="47" t="s">
        <v>1477</v>
      </c>
      <c r="I475" s="47" t="s">
        <v>348</v>
      </c>
      <c r="J475" s="45" t="s">
        <v>527</v>
      </c>
      <c r="K475" s="48" t="s">
        <v>1511</v>
      </c>
      <c r="L475" s="49" t="n">
        <v>45764</v>
      </c>
      <c r="M475" s="47" t="n">
        <v>5057</v>
      </c>
      <c r="N475" s="47" t="n">
        <v>5816</v>
      </c>
      <c r="O475" s="47" t="n">
        <v>759</v>
      </c>
      <c r="P475" s="47" t="n">
        <v>736</v>
      </c>
      <c r="Q475" s="47"/>
      <c r="R475" s="50" t="n">
        <f aca="false">合約與計費!$D$4</f>
        <v>0.296</v>
      </c>
      <c r="S475" s="51" t="n">
        <f aca="false">ROUND(P475*R475,0)</f>
        <v>218</v>
      </c>
      <c r="T475" s="52"/>
      <c r="U475" s="47"/>
      <c r="V475" s="47"/>
      <c r="W475" s="53"/>
      <c r="X475" s="47"/>
      <c r="Y475" s="47"/>
      <c r="Z475" s="54"/>
      <c r="AA475" s="55"/>
      <c r="AB475" s="56"/>
      <c r="AC475" s="57"/>
      <c r="AD475" s="42"/>
      <c r="AE475" s="43"/>
    </row>
    <row r="476" customFormat="false" ht="16.5" hidden="false" customHeight="true" outlineLevel="0" collapsed="false">
      <c r="A476" s="44" t="n">
        <f aca="false">ROW(A474)</f>
        <v>474</v>
      </c>
      <c r="B476" s="44" t="n">
        <v>10</v>
      </c>
      <c r="C476" s="47" t="n">
        <v>1</v>
      </c>
      <c r="D476" s="29"/>
      <c r="E476" s="45" t="s">
        <v>1512</v>
      </c>
      <c r="F476" s="46" t="s">
        <v>1494</v>
      </c>
      <c r="G476" s="47" t="s">
        <v>1155</v>
      </c>
      <c r="H476" s="47" t="s">
        <v>1477</v>
      </c>
      <c r="I476" s="47" t="s">
        <v>348</v>
      </c>
      <c r="J476" s="45" t="s">
        <v>527</v>
      </c>
      <c r="K476" s="48" t="s">
        <v>1513</v>
      </c>
      <c r="L476" s="49" t="n">
        <v>45764</v>
      </c>
      <c r="M476" s="47" t="n">
        <v>6546</v>
      </c>
      <c r="N476" s="47" t="n">
        <v>7752</v>
      </c>
      <c r="O476" s="47" t="n">
        <v>1206</v>
      </c>
      <c r="P476" s="47" t="n">
        <v>1170</v>
      </c>
      <c r="Q476" s="47"/>
      <c r="R476" s="50" t="n">
        <f aca="false">合約與計費!$D$4</f>
        <v>0.296</v>
      </c>
      <c r="S476" s="51" t="n">
        <f aca="false">ROUND(P476*R476,0)</f>
        <v>346</v>
      </c>
      <c r="T476" s="52"/>
      <c r="U476" s="47"/>
      <c r="V476" s="47"/>
      <c r="W476" s="53"/>
      <c r="X476" s="47"/>
      <c r="Y476" s="47"/>
      <c r="Z476" s="54"/>
      <c r="AA476" s="55"/>
      <c r="AB476" s="56"/>
      <c r="AC476" s="57"/>
      <c r="AD476" s="42"/>
      <c r="AE476" s="43"/>
    </row>
    <row r="477" customFormat="false" ht="16.5" hidden="false" customHeight="true" outlineLevel="0" collapsed="false">
      <c r="A477" s="44" t="n">
        <f aca="false">ROW(A475)</f>
        <v>475</v>
      </c>
      <c r="B477" s="44" t="n">
        <v>11</v>
      </c>
      <c r="C477" s="47" t="n">
        <v>1</v>
      </c>
      <c r="D477" s="29"/>
      <c r="E477" s="45" t="s">
        <v>1514</v>
      </c>
      <c r="F477" s="46" t="s">
        <v>1494</v>
      </c>
      <c r="G477" s="47" t="s">
        <v>1155</v>
      </c>
      <c r="H477" s="47" t="s">
        <v>1477</v>
      </c>
      <c r="I477" s="47" t="s">
        <v>348</v>
      </c>
      <c r="J477" s="45" t="s">
        <v>527</v>
      </c>
      <c r="K477" s="48" t="s">
        <v>1515</v>
      </c>
      <c r="L477" s="49" t="n">
        <v>45764</v>
      </c>
      <c r="M477" s="47" t="n">
        <v>4785</v>
      </c>
      <c r="N477" s="47" t="n">
        <v>5573</v>
      </c>
      <c r="O477" s="47" t="n">
        <v>788</v>
      </c>
      <c r="P477" s="47" t="n">
        <v>764</v>
      </c>
      <c r="Q477" s="47"/>
      <c r="R477" s="50" t="n">
        <f aca="false">合約與計費!$D$4</f>
        <v>0.296</v>
      </c>
      <c r="S477" s="51" t="n">
        <f aca="false">ROUND(P477*R477,0)</f>
        <v>226</v>
      </c>
      <c r="T477" s="52"/>
      <c r="U477" s="47"/>
      <c r="V477" s="47"/>
      <c r="W477" s="53"/>
      <c r="X477" s="47"/>
      <c r="Y477" s="47"/>
      <c r="Z477" s="54"/>
      <c r="AA477" s="55"/>
      <c r="AB477" s="56"/>
      <c r="AC477" s="57"/>
      <c r="AD477" s="42"/>
      <c r="AE477" s="43"/>
    </row>
    <row r="478" customFormat="false" ht="16.5" hidden="false" customHeight="true" outlineLevel="0" collapsed="false">
      <c r="A478" s="44" t="n">
        <f aca="false">ROW(A476)</f>
        <v>476</v>
      </c>
      <c r="B478" s="44" t="n">
        <v>12</v>
      </c>
      <c r="C478" s="47" t="n">
        <v>1</v>
      </c>
      <c r="D478" s="29"/>
      <c r="E478" s="45" t="s">
        <v>1516</v>
      </c>
      <c r="F478" s="46" t="s">
        <v>1494</v>
      </c>
      <c r="G478" s="47" t="s">
        <v>1155</v>
      </c>
      <c r="H478" s="47" t="s">
        <v>1477</v>
      </c>
      <c r="I478" s="47" t="s">
        <v>348</v>
      </c>
      <c r="J478" s="45" t="s">
        <v>527</v>
      </c>
      <c r="K478" s="48" t="s">
        <v>1517</v>
      </c>
      <c r="L478" s="49" t="n">
        <v>45764</v>
      </c>
      <c r="M478" s="47" t="n">
        <v>6754</v>
      </c>
      <c r="N478" s="47" t="n">
        <v>7281</v>
      </c>
      <c r="O478" s="47" t="n">
        <v>527</v>
      </c>
      <c r="P478" s="47" t="n">
        <v>511</v>
      </c>
      <c r="Q478" s="47"/>
      <c r="R478" s="50" t="n">
        <f aca="false">合約與計費!$D$4</f>
        <v>0.296</v>
      </c>
      <c r="S478" s="51" t="n">
        <f aca="false">ROUND(P478*R478,0)</f>
        <v>151</v>
      </c>
      <c r="T478" s="52"/>
      <c r="U478" s="47"/>
      <c r="V478" s="47"/>
      <c r="W478" s="53"/>
      <c r="X478" s="47"/>
      <c r="Y478" s="47"/>
      <c r="Z478" s="54"/>
      <c r="AA478" s="55"/>
      <c r="AB478" s="56"/>
      <c r="AC478" s="57"/>
      <c r="AD478" s="42"/>
      <c r="AE478" s="43"/>
    </row>
    <row r="479" customFormat="false" ht="16.5" hidden="false" customHeight="true" outlineLevel="0" collapsed="false">
      <c r="A479" s="44" t="n">
        <f aca="false">ROW(A477)</f>
        <v>477</v>
      </c>
      <c r="B479" s="44" t="n">
        <v>13</v>
      </c>
      <c r="C479" s="47" t="n">
        <v>1</v>
      </c>
      <c r="D479" s="29"/>
      <c r="E479" s="45" t="s">
        <v>1518</v>
      </c>
      <c r="F479" s="46" t="s">
        <v>1494</v>
      </c>
      <c r="G479" s="47" t="s">
        <v>1155</v>
      </c>
      <c r="H479" s="47" t="s">
        <v>1477</v>
      </c>
      <c r="I479" s="47" t="s">
        <v>348</v>
      </c>
      <c r="J479" s="45" t="s">
        <v>527</v>
      </c>
      <c r="K479" s="48" t="s">
        <v>1519</v>
      </c>
      <c r="L479" s="49" t="n">
        <v>45764</v>
      </c>
      <c r="M479" s="47" t="n">
        <v>6017</v>
      </c>
      <c r="N479" s="47" t="n">
        <v>6768</v>
      </c>
      <c r="O479" s="47" t="n">
        <v>751</v>
      </c>
      <c r="P479" s="47" t="n">
        <v>728</v>
      </c>
      <c r="Q479" s="47"/>
      <c r="R479" s="50" t="n">
        <f aca="false">合約與計費!$D$4</f>
        <v>0.296</v>
      </c>
      <c r="S479" s="51" t="n">
        <f aca="false">ROUND(P479*R479,0)</f>
        <v>215</v>
      </c>
      <c r="T479" s="52"/>
      <c r="U479" s="47"/>
      <c r="V479" s="47"/>
      <c r="W479" s="53"/>
      <c r="X479" s="47"/>
      <c r="Y479" s="47"/>
      <c r="Z479" s="54"/>
      <c r="AA479" s="55"/>
      <c r="AB479" s="56"/>
      <c r="AC479" s="57"/>
      <c r="AD479" s="42"/>
      <c r="AE479" s="43"/>
    </row>
    <row r="480" customFormat="false" ht="16.5" hidden="false" customHeight="true" outlineLevel="0" collapsed="false">
      <c r="A480" s="44" t="n">
        <f aca="false">ROW(A478)</f>
        <v>478</v>
      </c>
      <c r="B480" s="44" t="n">
        <v>14</v>
      </c>
      <c r="C480" s="47" t="n">
        <v>1</v>
      </c>
      <c r="D480" s="29"/>
      <c r="E480" s="45" t="s">
        <v>1520</v>
      </c>
      <c r="F480" s="46" t="s">
        <v>1494</v>
      </c>
      <c r="G480" s="47" t="s">
        <v>1155</v>
      </c>
      <c r="H480" s="47" t="s">
        <v>1477</v>
      </c>
      <c r="I480" s="47" t="s">
        <v>348</v>
      </c>
      <c r="J480" s="45" t="s">
        <v>527</v>
      </c>
      <c r="K480" s="48" t="s">
        <v>1521</v>
      </c>
      <c r="L480" s="49" t="n">
        <v>45764</v>
      </c>
      <c r="M480" s="47" t="n">
        <v>5819</v>
      </c>
      <c r="N480" s="47" t="n">
        <v>6769</v>
      </c>
      <c r="O480" s="47" t="n">
        <v>950</v>
      </c>
      <c r="P480" s="47" t="n">
        <v>922</v>
      </c>
      <c r="Q480" s="47"/>
      <c r="R480" s="50" t="n">
        <f aca="false">合約與計費!$D$4</f>
        <v>0.296</v>
      </c>
      <c r="S480" s="51" t="n">
        <f aca="false">ROUND(P480*R480,0)</f>
        <v>273</v>
      </c>
      <c r="T480" s="52"/>
      <c r="U480" s="47"/>
      <c r="V480" s="47"/>
      <c r="W480" s="53"/>
      <c r="X480" s="47"/>
      <c r="Y480" s="47"/>
      <c r="Z480" s="54"/>
      <c r="AA480" s="55"/>
      <c r="AB480" s="56"/>
      <c r="AC480" s="57"/>
      <c r="AD480" s="42"/>
      <c r="AE480" s="43"/>
    </row>
    <row r="481" customFormat="false" ht="16.5" hidden="false" customHeight="true" outlineLevel="0" collapsed="false">
      <c r="A481" s="111" t="n">
        <f aca="false">ROW(A479)</f>
        <v>479</v>
      </c>
      <c r="B481" s="111" t="n">
        <v>15</v>
      </c>
      <c r="C481" s="114" t="n">
        <v>1</v>
      </c>
      <c r="D481" s="29"/>
      <c r="E481" s="112" t="s">
        <v>1522</v>
      </c>
      <c r="F481" s="113" t="s">
        <v>1494</v>
      </c>
      <c r="G481" s="114" t="s">
        <v>1155</v>
      </c>
      <c r="H481" s="114" t="s">
        <v>1477</v>
      </c>
      <c r="I481" s="114" t="s">
        <v>348</v>
      </c>
      <c r="J481" s="45" t="s">
        <v>527</v>
      </c>
      <c r="K481" s="48" t="s">
        <v>1523</v>
      </c>
      <c r="L481" s="49" t="n">
        <v>45764</v>
      </c>
      <c r="M481" s="47" t="n">
        <v>5919</v>
      </c>
      <c r="N481" s="47" t="n">
        <v>6944</v>
      </c>
      <c r="O481" s="114" t="n">
        <v>1025</v>
      </c>
      <c r="P481" s="114" t="n">
        <v>994</v>
      </c>
      <c r="Q481" s="114" t="n">
        <f aca="false">ROUND(SUM(P467:P481),2)</f>
        <v>9695</v>
      </c>
      <c r="R481" s="117" t="n">
        <f aca="false">合約與計費!$D$4</f>
        <v>0.296</v>
      </c>
      <c r="S481" s="118" t="n">
        <f aca="false">ROUND(P481*R481,0)</f>
        <v>294</v>
      </c>
      <c r="T481" s="119" t="n">
        <f aca="false">ROUND(SUM(S467:S481),2)</f>
        <v>2869</v>
      </c>
      <c r="U481" s="47"/>
      <c r="V481" s="47"/>
      <c r="W481" s="53"/>
      <c r="X481" s="47"/>
      <c r="Y481" s="114" t="n">
        <f aca="false">ROUND(SUM(X467:X481),2)</f>
        <v>57</v>
      </c>
      <c r="Z481" s="121"/>
      <c r="AA481" s="122"/>
      <c r="AB481" s="123" t="n">
        <f aca="false">ROUND(SUM(AA467:AA481),2)</f>
        <v>160</v>
      </c>
      <c r="AC481" s="57"/>
      <c r="AD481" s="42"/>
      <c r="AE481" s="43"/>
    </row>
    <row r="482" customFormat="false" ht="16.5" hidden="false" customHeight="true" outlineLevel="0" collapsed="false">
      <c r="A482" s="84" t="n">
        <f aca="false">ROW(A480)</f>
        <v>480</v>
      </c>
      <c r="B482" s="84" t="s">
        <v>455</v>
      </c>
      <c r="C482" s="32" t="n">
        <v>1</v>
      </c>
      <c r="D482" s="85" t="n">
        <v>66</v>
      </c>
      <c r="E482" s="86" t="s">
        <v>1524</v>
      </c>
      <c r="F482" s="87" t="s">
        <v>1525</v>
      </c>
      <c r="G482" s="32" t="s">
        <v>1155</v>
      </c>
      <c r="H482" s="32" t="s">
        <v>1477</v>
      </c>
      <c r="I482" s="32" t="s">
        <v>349</v>
      </c>
      <c r="J482" s="86" t="s">
        <v>460</v>
      </c>
      <c r="K482" s="88" t="s">
        <v>1526</v>
      </c>
      <c r="L482" s="89" t="n">
        <v>45770</v>
      </c>
      <c r="M482" s="32" t="n">
        <v>1767</v>
      </c>
      <c r="N482" s="32" t="n">
        <v>2136</v>
      </c>
      <c r="O482" s="32" t="n">
        <v>369</v>
      </c>
      <c r="P482" s="32" t="n">
        <v>358</v>
      </c>
      <c r="Q482" s="32"/>
      <c r="R482" s="90" t="n">
        <f aca="false">合約與計費!$D$4</f>
        <v>0.296</v>
      </c>
      <c r="S482" s="91" t="n">
        <f aca="false">ROUND(P482*R482,0)</f>
        <v>106</v>
      </c>
      <c r="T482" s="92"/>
      <c r="U482" s="32" t="n">
        <v>41</v>
      </c>
      <c r="V482" s="32" t="n">
        <v>46</v>
      </c>
      <c r="W482" s="32" t="n">
        <v>5</v>
      </c>
      <c r="X482" s="32" t="n">
        <v>5</v>
      </c>
      <c r="Y482" s="32"/>
      <c r="Z482" s="93" t="n">
        <f aca="false">合約與計費!$E$4</f>
        <v>2.8</v>
      </c>
      <c r="AA482" s="94" t="n">
        <f aca="false">ROUND(X482*Z482,0)</f>
        <v>14</v>
      </c>
      <c r="AB482" s="95"/>
      <c r="AC482" s="96"/>
      <c r="AD482" s="42"/>
      <c r="AE482" s="43"/>
    </row>
    <row r="483" customFormat="false" ht="16.5" hidden="false" customHeight="true" outlineLevel="0" collapsed="false">
      <c r="A483" s="97" t="n">
        <f aca="false">ROW(A481)</f>
        <v>481</v>
      </c>
      <c r="B483" s="97" t="s">
        <v>462</v>
      </c>
      <c r="C483" s="100" t="n">
        <v>1</v>
      </c>
      <c r="D483" s="85"/>
      <c r="E483" s="98" t="s">
        <v>1527</v>
      </c>
      <c r="F483" s="99" t="s">
        <v>1525</v>
      </c>
      <c r="G483" s="100" t="s">
        <v>1155</v>
      </c>
      <c r="H483" s="100" t="s">
        <v>1477</v>
      </c>
      <c r="I483" s="100" t="s">
        <v>349</v>
      </c>
      <c r="J483" s="98" t="s">
        <v>471</v>
      </c>
      <c r="K483" s="101" t="s">
        <v>1528</v>
      </c>
      <c r="L483" s="102" t="n">
        <v>45770</v>
      </c>
      <c r="M483" s="100" t="n">
        <v>1996</v>
      </c>
      <c r="N483" s="100" t="n">
        <v>2359</v>
      </c>
      <c r="O483" s="100" t="n">
        <v>363</v>
      </c>
      <c r="P483" s="100" t="n">
        <v>352</v>
      </c>
      <c r="Q483" s="100"/>
      <c r="R483" s="103" t="n">
        <f aca="false">合約與計費!$D$4</f>
        <v>0.296</v>
      </c>
      <c r="S483" s="104" t="n">
        <f aca="false">ROUND(P483*R483,0)</f>
        <v>104</v>
      </c>
      <c r="T483" s="105"/>
      <c r="U483" s="100"/>
      <c r="V483" s="100"/>
      <c r="W483" s="106"/>
      <c r="X483" s="100"/>
      <c r="Y483" s="100"/>
      <c r="Z483" s="107"/>
      <c r="AA483" s="108"/>
      <c r="AB483" s="109"/>
      <c r="AC483" s="110"/>
      <c r="AD483" s="42" t="n">
        <v>0.2336</v>
      </c>
      <c r="AE483" s="43" t="n">
        <v>0.6</v>
      </c>
    </row>
    <row r="484" customFormat="false" ht="16.5" hidden="false" customHeight="true" outlineLevel="0" collapsed="false">
      <c r="A484" s="97" t="n">
        <f aca="false">ROW(A482)</f>
        <v>482</v>
      </c>
      <c r="B484" s="97" t="s">
        <v>466</v>
      </c>
      <c r="C484" s="100" t="n">
        <v>1</v>
      </c>
      <c r="D484" s="85"/>
      <c r="E484" s="98" t="s">
        <v>1529</v>
      </c>
      <c r="F484" s="99" t="s">
        <v>1525</v>
      </c>
      <c r="G484" s="100" t="s">
        <v>1155</v>
      </c>
      <c r="H484" s="100" t="s">
        <v>1477</v>
      </c>
      <c r="I484" s="100" t="s">
        <v>349</v>
      </c>
      <c r="J484" s="98" t="s">
        <v>471</v>
      </c>
      <c r="K484" s="101" t="s">
        <v>1530</v>
      </c>
      <c r="L484" s="102" t="n">
        <v>45770</v>
      </c>
      <c r="M484" s="100" t="n">
        <v>7854</v>
      </c>
      <c r="N484" s="100" t="n">
        <v>9480</v>
      </c>
      <c r="O484" s="100" t="n">
        <v>1626</v>
      </c>
      <c r="P484" s="100" t="n">
        <v>1577</v>
      </c>
      <c r="Q484" s="100"/>
      <c r="R484" s="103" t="n">
        <f aca="false">合約與計費!$D$4</f>
        <v>0.296</v>
      </c>
      <c r="S484" s="104" t="n">
        <f aca="false">ROUND(P484*R484,0)</f>
        <v>467</v>
      </c>
      <c r="T484" s="105"/>
      <c r="U484" s="100"/>
      <c r="V484" s="100"/>
      <c r="W484" s="106"/>
      <c r="X484" s="100"/>
      <c r="Y484" s="100"/>
      <c r="Z484" s="107"/>
      <c r="AA484" s="108"/>
      <c r="AB484" s="109"/>
      <c r="AC484" s="110"/>
      <c r="AD484" s="42" t="n">
        <v>0.0968</v>
      </c>
      <c r="AE484" s="43" t="n">
        <v>0.3</v>
      </c>
    </row>
    <row r="485" customFormat="false" ht="16.5" hidden="false" customHeight="true" outlineLevel="0" collapsed="false">
      <c r="A485" s="111" t="n">
        <f aca="false">ROW(A483)</f>
        <v>483</v>
      </c>
      <c r="B485" s="111" t="s">
        <v>469</v>
      </c>
      <c r="C485" s="114" t="n">
        <v>1</v>
      </c>
      <c r="D485" s="85"/>
      <c r="E485" s="112" t="s">
        <v>1531</v>
      </c>
      <c r="F485" s="113" t="s">
        <v>1525</v>
      </c>
      <c r="G485" s="114" t="s">
        <v>1155</v>
      </c>
      <c r="H485" s="114" t="s">
        <v>1477</v>
      </c>
      <c r="I485" s="114" t="s">
        <v>349</v>
      </c>
      <c r="J485" s="112" t="s">
        <v>471</v>
      </c>
      <c r="K485" s="115" t="s">
        <v>1532</v>
      </c>
      <c r="L485" s="116" t="n">
        <v>45770</v>
      </c>
      <c r="M485" s="114" t="n">
        <v>4498</v>
      </c>
      <c r="N485" s="114" t="n">
        <v>5334</v>
      </c>
      <c r="O485" s="114" t="n">
        <v>836</v>
      </c>
      <c r="P485" s="114" t="n">
        <v>811</v>
      </c>
      <c r="Q485" s="114" t="n">
        <f aca="false">ROUND(SUM(P482:P485),2)</f>
        <v>3098</v>
      </c>
      <c r="R485" s="117" t="n">
        <f aca="false">合約與計費!$D$4</f>
        <v>0.296</v>
      </c>
      <c r="S485" s="118" t="n">
        <f aca="false">ROUND(P485*R485,0)</f>
        <v>240</v>
      </c>
      <c r="T485" s="119" t="n">
        <f aca="false">ROUND(SUM(S482:S485),2)</f>
        <v>917</v>
      </c>
      <c r="U485" s="114"/>
      <c r="V485" s="114"/>
      <c r="W485" s="120"/>
      <c r="X485" s="114"/>
      <c r="Y485" s="114" t="n">
        <f aca="false">ROUND(SUM(X482:X485),2)</f>
        <v>5</v>
      </c>
      <c r="Z485" s="121"/>
      <c r="AA485" s="122"/>
      <c r="AB485" s="123" t="n">
        <f aca="false">ROUND(SUM(AA482:AA485),2)</f>
        <v>14</v>
      </c>
      <c r="AC485" s="124"/>
      <c r="AD485" s="42" t="n">
        <v>0.0881</v>
      </c>
      <c r="AE485" s="43" t="n">
        <v>0.6</v>
      </c>
    </row>
    <row r="486" customFormat="false" ht="16.5" hidden="false" customHeight="true" outlineLevel="0" collapsed="false">
      <c r="A486" s="84" t="n">
        <f aca="false">ROW(A484)</f>
        <v>484</v>
      </c>
      <c r="B486" s="84" t="s">
        <v>455</v>
      </c>
      <c r="C486" s="32" t="n">
        <v>1</v>
      </c>
      <c r="D486" s="85" t="n">
        <v>67</v>
      </c>
      <c r="E486" s="86" t="s">
        <v>1533</v>
      </c>
      <c r="F486" s="87" t="s">
        <v>1534</v>
      </c>
      <c r="G486" s="32" t="s">
        <v>1155</v>
      </c>
      <c r="H486" s="32" t="s">
        <v>1477</v>
      </c>
      <c r="I486" s="32" t="s">
        <v>350</v>
      </c>
      <c r="J486" s="86" t="s">
        <v>460</v>
      </c>
      <c r="K486" s="88" t="s">
        <v>1535</v>
      </c>
      <c r="L486" s="89" t="n">
        <v>45756</v>
      </c>
      <c r="M486" s="32" t="n">
        <v>1775</v>
      </c>
      <c r="N486" s="32" t="n">
        <v>2040</v>
      </c>
      <c r="O486" s="32" t="n">
        <v>265</v>
      </c>
      <c r="P486" s="32" t="n">
        <v>257</v>
      </c>
      <c r="Q486" s="32"/>
      <c r="R486" s="90" t="n">
        <f aca="false">合約與計費!$D$4</f>
        <v>0.296</v>
      </c>
      <c r="S486" s="91" t="n">
        <f aca="false">ROUND(P486*R486,0)</f>
        <v>76</v>
      </c>
      <c r="T486" s="92"/>
      <c r="U486" s="32" t="n">
        <v>129</v>
      </c>
      <c r="V486" s="32" t="n">
        <v>150</v>
      </c>
      <c r="W486" s="32" t="n">
        <v>21</v>
      </c>
      <c r="X486" s="32" t="n">
        <v>20</v>
      </c>
      <c r="Y486" s="32"/>
      <c r="Z486" s="93" t="n">
        <f aca="false">合約與計費!$E$4</f>
        <v>2.8</v>
      </c>
      <c r="AA486" s="94" t="n">
        <f aca="false">ROUND(X486*Z486,0)</f>
        <v>56</v>
      </c>
      <c r="AB486" s="95"/>
      <c r="AC486" s="96"/>
      <c r="AD486" s="42"/>
      <c r="AE486" s="43"/>
    </row>
    <row r="487" customFormat="false" ht="16.5" hidden="false" customHeight="true" outlineLevel="0" collapsed="false">
      <c r="A487" s="97" t="n">
        <f aca="false">ROW(A485)</f>
        <v>485</v>
      </c>
      <c r="B487" s="97" t="s">
        <v>462</v>
      </c>
      <c r="C487" s="100" t="n">
        <v>1</v>
      </c>
      <c r="D487" s="85"/>
      <c r="E487" s="98" t="s">
        <v>1536</v>
      </c>
      <c r="F487" s="99" t="s">
        <v>1534</v>
      </c>
      <c r="G487" s="100" t="s">
        <v>1155</v>
      </c>
      <c r="H487" s="100" t="s">
        <v>1477</v>
      </c>
      <c r="I487" s="100" t="s">
        <v>350</v>
      </c>
      <c r="J487" s="98" t="s">
        <v>471</v>
      </c>
      <c r="K487" s="101" t="s">
        <v>1537</v>
      </c>
      <c r="L487" s="102" t="n">
        <v>45756</v>
      </c>
      <c r="M487" s="100" t="n">
        <v>12174</v>
      </c>
      <c r="N487" s="100" t="n">
        <v>14590</v>
      </c>
      <c r="O487" s="100" t="n">
        <v>2416</v>
      </c>
      <c r="P487" s="100" t="n">
        <v>2344</v>
      </c>
      <c r="Q487" s="100"/>
      <c r="R487" s="103" t="n">
        <f aca="false">合約與計費!$D$4</f>
        <v>0.296</v>
      </c>
      <c r="S487" s="104" t="n">
        <f aca="false">ROUND(P487*R487,0)</f>
        <v>694</v>
      </c>
      <c r="T487" s="105"/>
      <c r="U487" s="100"/>
      <c r="V487" s="100"/>
      <c r="W487" s="106"/>
      <c r="X487" s="100"/>
      <c r="Y487" s="100"/>
      <c r="Z487" s="107"/>
      <c r="AA487" s="108"/>
      <c r="AB487" s="109"/>
      <c r="AC487" s="110"/>
      <c r="AD487" s="42" t="n">
        <v>0.0931</v>
      </c>
      <c r="AE487" s="43" t="n">
        <v>0.3</v>
      </c>
    </row>
    <row r="488" customFormat="false" ht="16.5" hidden="false" customHeight="true" outlineLevel="0" collapsed="false">
      <c r="A488" s="97" t="n">
        <f aca="false">ROW(A486)</f>
        <v>486</v>
      </c>
      <c r="B488" s="97" t="s">
        <v>466</v>
      </c>
      <c r="C488" s="100" t="n">
        <v>1</v>
      </c>
      <c r="D488" s="85"/>
      <c r="E488" s="98" t="s">
        <v>1538</v>
      </c>
      <c r="F488" s="99" t="s">
        <v>1534</v>
      </c>
      <c r="G488" s="100" t="s">
        <v>1155</v>
      </c>
      <c r="H488" s="100" t="s">
        <v>1477</v>
      </c>
      <c r="I488" s="100" t="s">
        <v>350</v>
      </c>
      <c r="J488" s="98" t="s">
        <v>471</v>
      </c>
      <c r="K488" s="101" t="s">
        <v>1539</v>
      </c>
      <c r="L488" s="102" t="n">
        <v>45756</v>
      </c>
      <c r="M488" s="100" t="n">
        <v>7082</v>
      </c>
      <c r="N488" s="100" t="n">
        <v>8511</v>
      </c>
      <c r="O488" s="100" t="n">
        <v>1429</v>
      </c>
      <c r="P488" s="100" t="n">
        <v>1386</v>
      </c>
      <c r="Q488" s="100"/>
      <c r="R488" s="103" t="n">
        <f aca="false">合約與計費!$D$4</f>
        <v>0.296</v>
      </c>
      <c r="S488" s="104" t="n">
        <f aca="false">ROUND(P488*R488,0)</f>
        <v>410</v>
      </c>
      <c r="T488" s="105"/>
      <c r="U488" s="100"/>
      <c r="V488" s="100"/>
      <c r="W488" s="106"/>
      <c r="X488" s="100"/>
      <c r="Y488" s="100"/>
      <c r="Z488" s="107"/>
      <c r="AA488" s="108"/>
      <c r="AB488" s="109"/>
      <c r="AC488" s="110"/>
      <c r="AD488" s="42" t="n">
        <v>0.0958</v>
      </c>
      <c r="AE488" s="43" t="n">
        <v>0.2</v>
      </c>
    </row>
    <row r="489" customFormat="false" ht="16.5" hidden="false" customHeight="true" outlineLevel="0" collapsed="false">
      <c r="A489" s="111" t="n">
        <f aca="false">ROW(A487)</f>
        <v>487</v>
      </c>
      <c r="B489" s="111" t="s">
        <v>469</v>
      </c>
      <c r="C489" s="114" t="n">
        <v>1</v>
      </c>
      <c r="D489" s="85"/>
      <c r="E489" s="112" t="s">
        <v>1540</v>
      </c>
      <c r="F489" s="113" t="s">
        <v>1534</v>
      </c>
      <c r="G489" s="114" t="s">
        <v>1155</v>
      </c>
      <c r="H489" s="114" t="s">
        <v>1477</v>
      </c>
      <c r="I489" s="114" t="s">
        <v>350</v>
      </c>
      <c r="J489" s="112" t="s">
        <v>471</v>
      </c>
      <c r="K489" s="115" t="s">
        <v>1541</v>
      </c>
      <c r="L489" s="116" t="n">
        <v>45756</v>
      </c>
      <c r="M489" s="114" t="n">
        <v>1798</v>
      </c>
      <c r="N489" s="114" t="n">
        <v>2159</v>
      </c>
      <c r="O489" s="114" t="n">
        <v>361</v>
      </c>
      <c r="P489" s="114" t="n">
        <v>350</v>
      </c>
      <c r="Q489" s="114" t="n">
        <f aca="false">ROUND(SUM(P486:P489),2)</f>
        <v>4337</v>
      </c>
      <c r="R489" s="117" t="n">
        <f aca="false">合約與計費!$D$4</f>
        <v>0.296</v>
      </c>
      <c r="S489" s="118" t="n">
        <f aca="false">ROUND(P489*R489,0)</f>
        <v>104</v>
      </c>
      <c r="T489" s="119" t="n">
        <f aca="false">ROUND(SUM(S486:S489),2)</f>
        <v>1284</v>
      </c>
      <c r="U489" s="114"/>
      <c r="V489" s="114"/>
      <c r="W489" s="120"/>
      <c r="X489" s="114"/>
      <c r="Y489" s="114" t="n">
        <f aca="false">ROUND(SUM(X486:X489),2)</f>
        <v>20</v>
      </c>
      <c r="Z489" s="121"/>
      <c r="AA489" s="122"/>
      <c r="AB489" s="123" t="n">
        <f aca="false">ROUND(SUM(AA486:AA489),2)</f>
        <v>56</v>
      </c>
      <c r="AC489" s="124"/>
      <c r="AD489" s="42" t="n">
        <v>0.0458</v>
      </c>
      <c r="AE489" s="43" t="n">
        <v>0.2</v>
      </c>
    </row>
    <row r="490" customFormat="false" ht="16.5" hidden="false" customHeight="true" outlineLevel="0" collapsed="false">
      <c r="A490" s="84" t="n">
        <f aca="false">ROW(A488)</f>
        <v>488</v>
      </c>
      <c r="B490" s="84" t="s">
        <v>455</v>
      </c>
      <c r="C490" s="32" t="n">
        <v>1</v>
      </c>
      <c r="D490" s="85" t="n">
        <v>68</v>
      </c>
      <c r="E490" s="86" t="s">
        <v>1542</v>
      </c>
      <c r="F490" s="87" t="s">
        <v>1543</v>
      </c>
      <c r="G490" s="32" t="s">
        <v>1155</v>
      </c>
      <c r="H490" s="32" t="s">
        <v>1477</v>
      </c>
      <c r="I490" s="32" t="s">
        <v>351</v>
      </c>
      <c r="J490" s="86" t="s">
        <v>460</v>
      </c>
      <c r="K490" s="88" t="s">
        <v>1544</v>
      </c>
      <c r="L490" s="89" t="n">
        <v>45777</v>
      </c>
      <c r="M490" s="32" t="n">
        <v>1056</v>
      </c>
      <c r="N490" s="32" t="n">
        <v>1209</v>
      </c>
      <c r="O490" s="32" t="n">
        <v>153</v>
      </c>
      <c r="P490" s="32" t="n">
        <v>148</v>
      </c>
      <c r="Q490" s="32"/>
      <c r="R490" s="90" t="n">
        <f aca="false">合約與計費!$D$4</f>
        <v>0.296</v>
      </c>
      <c r="S490" s="91" t="n">
        <f aca="false">ROUND(P490*R490,0)</f>
        <v>44</v>
      </c>
      <c r="T490" s="92"/>
      <c r="U490" s="32" t="n">
        <v>70</v>
      </c>
      <c r="V490" s="32" t="n">
        <v>74</v>
      </c>
      <c r="W490" s="32" t="n">
        <v>4</v>
      </c>
      <c r="X490" s="32" t="n">
        <v>4</v>
      </c>
      <c r="Y490" s="32"/>
      <c r="Z490" s="93" t="n">
        <f aca="false">合約與計費!$E$4</f>
        <v>2.8</v>
      </c>
      <c r="AA490" s="94" t="n">
        <f aca="false">ROUND(X490*Z490,0)</f>
        <v>11</v>
      </c>
      <c r="AB490" s="95"/>
      <c r="AC490" s="96"/>
      <c r="AD490" s="42"/>
      <c r="AE490" s="43"/>
    </row>
    <row r="491" customFormat="false" ht="16.5" hidden="false" customHeight="true" outlineLevel="0" collapsed="false">
      <c r="A491" s="97" t="n">
        <f aca="false">ROW(A489)</f>
        <v>489</v>
      </c>
      <c r="B491" s="97" t="s">
        <v>462</v>
      </c>
      <c r="C491" s="100" t="n">
        <v>1</v>
      </c>
      <c r="D491" s="85"/>
      <c r="E491" s="98" t="s">
        <v>1545</v>
      </c>
      <c r="F491" s="99" t="s">
        <v>1543</v>
      </c>
      <c r="G491" s="100" t="s">
        <v>1155</v>
      </c>
      <c r="H491" s="100" t="s">
        <v>1477</v>
      </c>
      <c r="I491" s="100" t="s">
        <v>351</v>
      </c>
      <c r="J491" s="98" t="s">
        <v>464</v>
      </c>
      <c r="K491" s="171" t="s">
        <v>1546</v>
      </c>
      <c r="L491" s="102" t="n">
        <v>45777</v>
      </c>
      <c r="M491" s="100" t="n">
        <v>880</v>
      </c>
      <c r="N491" s="100" t="n">
        <v>1098</v>
      </c>
      <c r="O491" s="100" t="n">
        <v>218</v>
      </c>
      <c r="P491" s="100" t="n">
        <v>211</v>
      </c>
      <c r="Q491" s="100"/>
      <c r="R491" s="103" t="n">
        <f aca="false">合約與計費!$D$4</f>
        <v>0.296</v>
      </c>
      <c r="S491" s="104" t="n">
        <f aca="false">ROUND(P491*R491,0)</f>
        <v>62</v>
      </c>
      <c r="T491" s="105"/>
      <c r="U491" s="100"/>
      <c r="V491" s="100"/>
      <c r="W491" s="106"/>
      <c r="X491" s="100"/>
      <c r="Y491" s="100"/>
      <c r="Z491" s="107"/>
      <c r="AA491" s="108"/>
      <c r="AB491" s="109"/>
      <c r="AC491" s="110"/>
      <c r="AD491" s="42" t="n">
        <v>0.0581</v>
      </c>
      <c r="AE491" s="43" t="n">
        <v>0.6</v>
      </c>
    </row>
    <row r="492" customFormat="false" ht="16.5" hidden="false" customHeight="true" outlineLevel="0" collapsed="false">
      <c r="A492" s="97" t="n">
        <f aca="false">ROW(A490)</f>
        <v>490</v>
      </c>
      <c r="B492" s="97" t="s">
        <v>466</v>
      </c>
      <c r="C492" s="100" t="n">
        <v>1</v>
      </c>
      <c r="D492" s="85"/>
      <c r="E492" s="98" t="s">
        <v>1547</v>
      </c>
      <c r="F492" s="99" t="s">
        <v>1543</v>
      </c>
      <c r="G492" s="100" t="s">
        <v>1155</v>
      </c>
      <c r="H492" s="100" t="s">
        <v>1477</v>
      </c>
      <c r="I492" s="100" t="s">
        <v>351</v>
      </c>
      <c r="J492" s="98" t="s">
        <v>471</v>
      </c>
      <c r="K492" s="101" t="s">
        <v>1548</v>
      </c>
      <c r="L492" s="102" t="n">
        <v>45777</v>
      </c>
      <c r="M492" s="100" t="n">
        <v>6479</v>
      </c>
      <c r="N492" s="100" t="n">
        <v>8039</v>
      </c>
      <c r="O492" s="100" t="n">
        <v>1560</v>
      </c>
      <c r="P492" s="100" t="n">
        <v>1513</v>
      </c>
      <c r="Q492" s="100"/>
      <c r="R492" s="103" t="n">
        <f aca="false">合約與計費!$D$4</f>
        <v>0.296</v>
      </c>
      <c r="S492" s="104" t="n">
        <f aca="false">ROUND(P492*R492,0)</f>
        <v>448</v>
      </c>
      <c r="T492" s="105"/>
      <c r="U492" s="100"/>
      <c r="V492" s="100"/>
      <c r="W492" s="106"/>
      <c r="X492" s="100"/>
      <c r="Y492" s="100"/>
      <c r="Z492" s="107"/>
      <c r="AA492" s="108"/>
      <c r="AB492" s="109"/>
      <c r="AC492" s="110"/>
      <c r="AD492" s="42" t="n">
        <v>0.1139</v>
      </c>
      <c r="AE492" s="43" t="n">
        <v>0.1</v>
      </c>
    </row>
    <row r="493" customFormat="false" ht="16.5" hidden="false" customHeight="true" outlineLevel="0" collapsed="false">
      <c r="A493" s="97" t="n">
        <f aca="false">ROW(A491)</f>
        <v>491</v>
      </c>
      <c r="B493" s="97" t="s">
        <v>469</v>
      </c>
      <c r="C493" s="100" t="n">
        <v>1</v>
      </c>
      <c r="D493" s="85"/>
      <c r="E493" s="98" t="s">
        <v>1549</v>
      </c>
      <c r="F493" s="99" t="s">
        <v>1543</v>
      </c>
      <c r="G493" s="100" t="s">
        <v>1155</v>
      </c>
      <c r="H493" s="100" t="s">
        <v>1477</v>
      </c>
      <c r="I493" s="100" t="s">
        <v>351</v>
      </c>
      <c r="J493" s="98" t="s">
        <v>471</v>
      </c>
      <c r="K493" s="101" t="s">
        <v>1550</v>
      </c>
      <c r="L493" s="102" t="n">
        <v>45777</v>
      </c>
      <c r="M493" s="100" t="n">
        <v>1567</v>
      </c>
      <c r="N493" s="100" t="n">
        <v>1812</v>
      </c>
      <c r="O493" s="100" t="n">
        <v>245</v>
      </c>
      <c r="P493" s="100" t="n">
        <v>238</v>
      </c>
      <c r="Q493" s="100"/>
      <c r="R493" s="103" t="n">
        <f aca="false">合約與計費!$D$4</f>
        <v>0.296</v>
      </c>
      <c r="S493" s="104" t="n">
        <f aca="false">ROUND(P493*R493,0)</f>
        <v>70</v>
      </c>
      <c r="T493" s="105"/>
      <c r="U493" s="100"/>
      <c r="V493" s="100"/>
      <c r="W493" s="106"/>
      <c r="X493" s="100"/>
      <c r="Y493" s="100"/>
      <c r="Z493" s="107"/>
      <c r="AA493" s="108"/>
      <c r="AB493" s="109"/>
      <c r="AC493" s="110"/>
      <c r="AD493" s="42" t="n">
        <v>0.043</v>
      </c>
      <c r="AE493" s="43" t="n">
        <v>0.5</v>
      </c>
    </row>
    <row r="494" customFormat="false" ht="16.5" hidden="false" customHeight="true" outlineLevel="0" collapsed="false">
      <c r="A494" s="111" t="n">
        <f aca="false">ROW(A492)</f>
        <v>492</v>
      </c>
      <c r="B494" s="111" t="s">
        <v>473</v>
      </c>
      <c r="C494" s="114" t="n">
        <v>1</v>
      </c>
      <c r="D494" s="85"/>
      <c r="E494" s="112" t="s">
        <v>1551</v>
      </c>
      <c r="F494" s="113" t="s">
        <v>1543</v>
      </c>
      <c r="G494" s="114" t="s">
        <v>1155</v>
      </c>
      <c r="H494" s="114" t="s">
        <v>1477</v>
      </c>
      <c r="I494" s="114" t="s">
        <v>351</v>
      </c>
      <c r="J494" s="112" t="s">
        <v>471</v>
      </c>
      <c r="K494" s="115" t="s">
        <v>1552</v>
      </c>
      <c r="L494" s="116" t="n">
        <v>45777</v>
      </c>
      <c r="M494" s="114" t="n">
        <v>10115</v>
      </c>
      <c r="N494" s="114" t="n">
        <v>12178</v>
      </c>
      <c r="O494" s="114" t="n">
        <v>2063</v>
      </c>
      <c r="P494" s="114" t="n">
        <v>2001</v>
      </c>
      <c r="Q494" s="114" t="n">
        <f aca="false">ROUND(SUM(P490:P494),2)</f>
        <v>4111</v>
      </c>
      <c r="R494" s="117" t="n">
        <f aca="false">合約與計費!$D$4</f>
        <v>0.296</v>
      </c>
      <c r="S494" s="118" t="n">
        <f aca="false">ROUND(P494*R494,0)</f>
        <v>592</v>
      </c>
      <c r="T494" s="119" t="n">
        <f aca="false">ROUND(SUM(S490:S494),2)</f>
        <v>1216</v>
      </c>
      <c r="U494" s="114"/>
      <c r="V494" s="114"/>
      <c r="W494" s="120"/>
      <c r="X494" s="114"/>
      <c r="Y494" s="114" t="n">
        <f aca="false">ROUND(SUM(X490:X494),2)</f>
        <v>4</v>
      </c>
      <c r="Z494" s="121"/>
      <c r="AA494" s="122"/>
      <c r="AB494" s="123" t="n">
        <f aca="false">ROUND(SUM(AA490:AA494),2)</f>
        <v>11</v>
      </c>
      <c r="AC494" s="124"/>
      <c r="AD494" s="42" t="n">
        <v>0.0964</v>
      </c>
      <c r="AE494" s="43" t="n">
        <v>0.8</v>
      </c>
    </row>
    <row r="495" customFormat="false" ht="16.5" hidden="false" customHeight="true" outlineLevel="0" collapsed="false">
      <c r="A495" s="84" t="n">
        <f aca="false">ROW(A493)</f>
        <v>493</v>
      </c>
      <c r="B495" s="84" t="s">
        <v>455</v>
      </c>
      <c r="C495" s="32" t="n">
        <v>1</v>
      </c>
      <c r="D495" s="84" t="n">
        <v>261</v>
      </c>
      <c r="E495" s="86" t="s">
        <v>1553</v>
      </c>
      <c r="F495" s="87" t="s">
        <v>1554</v>
      </c>
      <c r="G495" s="32" t="s">
        <v>1155</v>
      </c>
      <c r="H495" s="32" t="s">
        <v>1477</v>
      </c>
      <c r="I495" s="32" t="s">
        <v>395</v>
      </c>
      <c r="J495" s="86" t="s">
        <v>460</v>
      </c>
      <c r="K495" s="88" t="s">
        <v>1555</v>
      </c>
      <c r="L495" s="89" t="n">
        <v>45741</v>
      </c>
      <c r="M495" s="32" t="n">
        <v>28</v>
      </c>
      <c r="N495" s="32" t="n">
        <v>42</v>
      </c>
      <c r="O495" s="32" t="n">
        <v>14</v>
      </c>
      <c r="P495" s="32" t="n">
        <v>14</v>
      </c>
      <c r="Q495" s="32"/>
      <c r="R495" s="90" t="n">
        <f aca="false">合約與計費!$D$4</f>
        <v>0.296</v>
      </c>
      <c r="S495" s="91" t="n">
        <f aca="false">ROUND(P495*R495,0)</f>
        <v>4</v>
      </c>
      <c r="T495" s="92"/>
      <c r="U495" s="32" t="n">
        <v>280</v>
      </c>
      <c r="V495" s="32" t="n">
        <v>327</v>
      </c>
      <c r="W495" s="32" t="n">
        <v>47</v>
      </c>
      <c r="X495" s="32" t="n">
        <v>46</v>
      </c>
      <c r="Y495" s="32"/>
      <c r="Z495" s="93" t="n">
        <f aca="false">合約與計費!$E$4</f>
        <v>2.8</v>
      </c>
      <c r="AA495" s="94" t="n">
        <f aca="false">ROUND(X495*Z495,0)</f>
        <v>129</v>
      </c>
      <c r="AB495" s="95"/>
      <c r="AC495" s="96"/>
      <c r="AD495" s="42"/>
      <c r="AE495" s="43"/>
    </row>
    <row r="496" customFormat="false" ht="16.5" hidden="false" customHeight="true" outlineLevel="0" collapsed="false">
      <c r="A496" s="97" t="n">
        <f aca="false">ROW(A494)</f>
        <v>494</v>
      </c>
      <c r="B496" s="97" t="s">
        <v>462</v>
      </c>
      <c r="C496" s="100" t="n">
        <v>1</v>
      </c>
      <c r="D496" s="84"/>
      <c r="E496" s="98" t="s">
        <v>1556</v>
      </c>
      <c r="F496" s="99" t="s">
        <v>1554</v>
      </c>
      <c r="G496" s="100" t="s">
        <v>1155</v>
      </c>
      <c r="H496" s="100" t="s">
        <v>1477</v>
      </c>
      <c r="I496" s="100" t="s">
        <v>395</v>
      </c>
      <c r="J496" s="98" t="s">
        <v>464</v>
      </c>
      <c r="K496" s="101" t="s">
        <v>1557</v>
      </c>
      <c r="L496" s="102" t="n">
        <v>45741</v>
      </c>
      <c r="M496" s="100" t="n">
        <v>5237</v>
      </c>
      <c r="N496" s="100" t="n">
        <v>6157</v>
      </c>
      <c r="O496" s="100" t="n">
        <v>920</v>
      </c>
      <c r="P496" s="100" t="n">
        <v>892</v>
      </c>
      <c r="Q496" s="100"/>
      <c r="R496" s="103" t="n">
        <f aca="false">合約與計費!$D$4</f>
        <v>0.296</v>
      </c>
      <c r="S496" s="104" t="n">
        <f aca="false">ROUND(P496*R496,0)</f>
        <v>264</v>
      </c>
      <c r="T496" s="105"/>
      <c r="U496" s="100"/>
      <c r="V496" s="100"/>
      <c r="W496" s="106"/>
      <c r="X496" s="100"/>
      <c r="Y496" s="100"/>
      <c r="Z496" s="107"/>
      <c r="AA496" s="108"/>
      <c r="AB496" s="109"/>
      <c r="AC496" s="110"/>
      <c r="AD496" s="42" t="n">
        <v>0.069</v>
      </c>
      <c r="AE496" s="43" t="n">
        <v>0.7</v>
      </c>
    </row>
    <row r="497" customFormat="false" ht="16.5" hidden="false" customHeight="true" outlineLevel="0" collapsed="false">
      <c r="A497" s="97" t="n">
        <f aca="false">ROW(A495)</f>
        <v>495</v>
      </c>
      <c r="B497" s="97" t="s">
        <v>466</v>
      </c>
      <c r="C497" s="100" t="n">
        <v>1</v>
      </c>
      <c r="D497" s="84"/>
      <c r="E497" s="98" t="s">
        <v>1558</v>
      </c>
      <c r="F497" s="99" t="s">
        <v>1554</v>
      </c>
      <c r="G497" s="100" t="s">
        <v>1155</v>
      </c>
      <c r="H497" s="100" t="s">
        <v>1477</v>
      </c>
      <c r="I497" s="100" t="s">
        <v>395</v>
      </c>
      <c r="J497" s="98" t="s">
        <v>471</v>
      </c>
      <c r="K497" s="101" t="s">
        <v>1559</v>
      </c>
      <c r="L497" s="102" t="n">
        <v>45741</v>
      </c>
      <c r="M497" s="100" t="n">
        <v>3931</v>
      </c>
      <c r="N497" s="100" t="n">
        <v>4423</v>
      </c>
      <c r="O497" s="100" t="n">
        <v>492</v>
      </c>
      <c r="P497" s="100" t="n">
        <v>477</v>
      </c>
      <c r="Q497" s="100" t="n">
        <f aca="false">ROUND(SUM(P495:P497),2)</f>
        <v>1383</v>
      </c>
      <c r="R497" s="103" t="n">
        <f aca="false">合約與計費!$D$4</f>
        <v>0.296</v>
      </c>
      <c r="S497" s="104" t="n">
        <f aca="false">ROUND(P497*R497,0)</f>
        <v>141</v>
      </c>
      <c r="T497" s="105" t="n">
        <f aca="false">ROUND(SUM(S495:S497),2)</f>
        <v>409</v>
      </c>
      <c r="U497" s="100"/>
      <c r="V497" s="100"/>
      <c r="W497" s="106"/>
      <c r="X497" s="100"/>
      <c r="Y497" s="100" t="n">
        <f aca="false">ROUND(SUM(X495:X497),2)</f>
        <v>46</v>
      </c>
      <c r="Z497" s="107"/>
      <c r="AA497" s="108"/>
      <c r="AB497" s="109" t="n">
        <f aca="false">ROUND(SUM(AA495:AA497),2)</f>
        <v>129</v>
      </c>
      <c r="AC497" s="110"/>
      <c r="AD497" s="42" t="n">
        <v>0.049</v>
      </c>
      <c r="AE497" s="43" t="n">
        <v>1</v>
      </c>
    </row>
    <row r="498" customFormat="false" ht="16.5" hidden="false" customHeight="true" outlineLevel="0" collapsed="false">
      <c r="A498" s="84" t="n">
        <f aca="false">ROW(A496)</f>
        <v>496</v>
      </c>
      <c r="B498" s="84" t="s">
        <v>455</v>
      </c>
      <c r="C498" s="32" t="n">
        <v>1</v>
      </c>
      <c r="D498" s="85" t="n">
        <v>263</v>
      </c>
      <c r="E498" s="86" t="s">
        <v>1560</v>
      </c>
      <c r="F498" s="87" t="s">
        <v>1561</v>
      </c>
      <c r="G498" s="32" t="s">
        <v>1155</v>
      </c>
      <c r="H498" s="32" t="s">
        <v>1477</v>
      </c>
      <c r="I498" s="172" t="s">
        <v>20</v>
      </c>
      <c r="J498" s="86" t="s">
        <v>460</v>
      </c>
      <c r="K498" s="88" t="s">
        <v>1562</v>
      </c>
      <c r="L498" s="89" t="n">
        <v>45770</v>
      </c>
      <c r="M498" s="32" t="n">
        <v>3795</v>
      </c>
      <c r="N498" s="32" t="n">
        <v>4498</v>
      </c>
      <c r="O498" s="32" t="n">
        <v>703</v>
      </c>
      <c r="P498" s="32" t="n">
        <v>682</v>
      </c>
      <c r="Q498" s="32"/>
      <c r="R498" s="90" t="n">
        <f aca="false">合約與計費!$D$4</f>
        <v>0.296</v>
      </c>
      <c r="S498" s="91" t="n">
        <f aca="false">ROUND(P498*R498,0)</f>
        <v>202</v>
      </c>
      <c r="T498" s="92"/>
      <c r="U498" s="32" t="n">
        <v>848</v>
      </c>
      <c r="V498" s="32" t="n">
        <v>992</v>
      </c>
      <c r="W498" s="32" t="n">
        <v>144</v>
      </c>
      <c r="X498" s="32" t="n">
        <v>140</v>
      </c>
      <c r="Y498" s="32"/>
      <c r="Z498" s="93" t="n">
        <f aca="false">合約與計費!$E$4</f>
        <v>2.8</v>
      </c>
      <c r="AA498" s="94" t="n">
        <f aca="false">ROUND(X498*Z498,0)</f>
        <v>392</v>
      </c>
      <c r="AB498" s="95"/>
      <c r="AC498" s="96"/>
      <c r="AD498" s="42"/>
      <c r="AE498" s="43"/>
    </row>
    <row r="499" customFormat="false" ht="16.5" hidden="false" customHeight="true" outlineLevel="0" collapsed="false">
      <c r="A499" s="111" t="n">
        <f aca="false">ROW(A497)</f>
        <v>497</v>
      </c>
      <c r="B499" s="111" t="s">
        <v>462</v>
      </c>
      <c r="C499" s="114" t="n">
        <v>1</v>
      </c>
      <c r="D499" s="85"/>
      <c r="E499" s="112" t="s">
        <v>1563</v>
      </c>
      <c r="F499" s="113" t="s">
        <v>1561</v>
      </c>
      <c r="G499" s="114" t="s">
        <v>1155</v>
      </c>
      <c r="H499" s="114" t="s">
        <v>1477</v>
      </c>
      <c r="I499" s="173" t="s">
        <v>20</v>
      </c>
      <c r="J499" s="112" t="s">
        <v>464</v>
      </c>
      <c r="K499" s="115" t="s">
        <v>1564</v>
      </c>
      <c r="L499" s="116" t="n">
        <v>45770</v>
      </c>
      <c r="M499" s="114" t="n">
        <v>2275</v>
      </c>
      <c r="N499" s="114" t="n">
        <v>2550</v>
      </c>
      <c r="O499" s="114" t="n">
        <v>275</v>
      </c>
      <c r="P499" s="114" t="n">
        <v>267</v>
      </c>
      <c r="Q499" s="114" t="n">
        <f aca="false">ROUND(SUM(P498:P499),2)</f>
        <v>949</v>
      </c>
      <c r="R499" s="117" t="n">
        <f aca="false">合約與計費!$D$4</f>
        <v>0.296</v>
      </c>
      <c r="S499" s="118" t="n">
        <f aca="false">ROUND(P499*R499,0)</f>
        <v>79</v>
      </c>
      <c r="T499" s="119" t="n">
        <f aca="false">ROUND(SUM(S498:S499),2)</f>
        <v>281</v>
      </c>
      <c r="U499" s="114"/>
      <c r="V499" s="114"/>
      <c r="W499" s="120"/>
      <c r="X499" s="114"/>
      <c r="Y499" s="114" t="n">
        <f aca="false">ROUND(SUM(X498:X499),2)</f>
        <v>140</v>
      </c>
      <c r="Z499" s="121"/>
      <c r="AA499" s="122"/>
      <c r="AB499" s="123" t="n">
        <f aca="false">ROUND(SUM(AA498:AA499),2)</f>
        <v>392</v>
      </c>
      <c r="AC499" s="124"/>
      <c r="AD499" s="42" t="n">
        <v>0.061</v>
      </c>
      <c r="AE499" s="43" t="n">
        <v>1</v>
      </c>
    </row>
    <row r="500" customFormat="false" ht="16.5" hidden="false" customHeight="true" outlineLevel="0" collapsed="false">
      <c r="A500" s="84" t="n">
        <f aca="false">ROW(A498)</f>
        <v>498</v>
      </c>
      <c r="B500" s="84" t="s">
        <v>455</v>
      </c>
      <c r="C500" s="32" t="n">
        <v>1</v>
      </c>
      <c r="D500" s="85" t="n">
        <v>265</v>
      </c>
      <c r="E500" s="86" t="s">
        <v>1565</v>
      </c>
      <c r="F500" s="87" t="s">
        <v>1566</v>
      </c>
      <c r="G500" s="32" t="s">
        <v>1155</v>
      </c>
      <c r="H500" s="32" t="s">
        <v>1477</v>
      </c>
      <c r="I500" s="172" t="s">
        <v>251</v>
      </c>
      <c r="J500" s="86" t="s">
        <v>460</v>
      </c>
      <c r="K500" s="88" t="s">
        <v>1567</v>
      </c>
      <c r="L500" s="89" t="n">
        <v>45785</v>
      </c>
      <c r="M500" s="32" t="n">
        <v>124</v>
      </c>
      <c r="N500" s="32" t="n">
        <v>149</v>
      </c>
      <c r="O500" s="32" t="n">
        <v>25</v>
      </c>
      <c r="P500" s="32" t="n">
        <v>24</v>
      </c>
      <c r="Q500" s="32"/>
      <c r="R500" s="90" t="n">
        <f aca="false">合約與計費!$D$4</f>
        <v>0.296</v>
      </c>
      <c r="S500" s="91" t="n">
        <f aca="false">ROUND(P500*R500,0)</f>
        <v>7</v>
      </c>
      <c r="T500" s="92"/>
      <c r="U500" s="32" t="n">
        <v>194</v>
      </c>
      <c r="V500" s="32" t="n">
        <v>234</v>
      </c>
      <c r="W500" s="32" t="n">
        <v>40</v>
      </c>
      <c r="X500" s="32" t="n">
        <v>39</v>
      </c>
      <c r="Y500" s="32"/>
      <c r="Z500" s="93" t="n">
        <f aca="false">合約與計費!$E$4</f>
        <v>2.8</v>
      </c>
      <c r="AA500" s="94" t="n">
        <f aca="false">ROUND(X500*Z500,0)</f>
        <v>109</v>
      </c>
      <c r="AB500" s="95"/>
      <c r="AC500" s="96"/>
      <c r="AD500" s="42"/>
      <c r="AE500" s="43"/>
    </row>
    <row r="501" customFormat="false" ht="16.5" hidden="false" customHeight="true" outlineLevel="0" collapsed="false">
      <c r="A501" s="111" t="n">
        <f aca="false">ROW(A499)</f>
        <v>499</v>
      </c>
      <c r="B501" s="111" t="s">
        <v>462</v>
      </c>
      <c r="C501" s="114" t="n">
        <v>1</v>
      </c>
      <c r="D501" s="85"/>
      <c r="E501" s="112" t="s">
        <v>1568</v>
      </c>
      <c r="F501" s="113" t="s">
        <v>1566</v>
      </c>
      <c r="G501" s="114" t="s">
        <v>1155</v>
      </c>
      <c r="H501" s="114" t="s">
        <v>1477</v>
      </c>
      <c r="I501" s="173" t="s">
        <v>251</v>
      </c>
      <c r="J501" s="112" t="s">
        <v>464</v>
      </c>
      <c r="K501" s="115" t="s">
        <v>1569</v>
      </c>
      <c r="L501" s="116" t="n">
        <v>45785</v>
      </c>
      <c r="M501" s="114" t="n">
        <v>2273</v>
      </c>
      <c r="N501" s="114" t="n">
        <v>2547</v>
      </c>
      <c r="O501" s="114" t="n">
        <v>274</v>
      </c>
      <c r="P501" s="114" t="n">
        <v>266</v>
      </c>
      <c r="Q501" s="114" t="n">
        <f aca="false">ROUND(SUM(P500:P501),2)</f>
        <v>290</v>
      </c>
      <c r="R501" s="117" t="n">
        <f aca="false">合約與計費!$D$4</f>
        <v>0.296</v>
      </c>
      <c r="S501" s="118" t="n">
        <f aca="false">ROUND(P501*R501,0)</f>
        <v>79</v>
      </c>
      <c r="T501" s="119" t="n">
        <f aca="false">ROUND(SUM(S500:S501),2)</f>
        <v>86</v>
      </c>
      <c r="U501" s="114"/>
      <c r="V501" s="114"/>
      <c r="W501" s="120"/>
      <c r="X501" s="114"/>
      <c r="Y501" s="114" t="n">
        <f aca="false">ROUND(SUM(X500:X501),2)</f>
        <v>39</v>
      </c>
      <c r="Z501" s="121"/>
      <c r="AA501" s="122"/>
      <c r="AB501" s="123" t="n">
        <f aca="false">ROUND(SUM(AA500:AA501),2)</f>
        <v>109</v>
      </c>
      <c r="AC501" s="124"/>
      <c r="AD501" s="42" t="n">
        <v>0.0813</v>
      </c>
      <c r="AE501" s="43" t="n">
        <v>1</v>
      </c>
    </row>
    <row r="502" customFormat="false" ht="16.5" hidden="false" customHeight="true" outlineLevel="0" collapsed="false">
      <c r="A502" s="84" t="n">
        <f aca="false">ROW(A500)</f>
        <v>500</v>
      </c>
      <c r="B502" s="84" t="s">
        <v>455</v>
      </c>
      <c r="C502" s="32" t="n">
        <v>1</v>
      </c>
      <c r="D502" s="85" t="n">
        <v>2</v>
      </c>
      <c r="E502" s="86" t="s">
        <v>1570</v>
      </c>
      <c r="F502" s="87" t="s">
        <v>1571</v>
      </c>
      <c r="G502" s="32" t="s">
        <v>1155</v>
      </c>
      <c r="H502" s="32" t="s">
        <v>1572</v>
      </c>
      <c r="I502" s="32" t="s">
        <v>18</v>
      </c>
      <c r="J502" s="86" t="s">
        <v>460</v>
      </c>
      <c r="K502" s="88" t="s">
        <v>1573</v>
      </c>
      <c r="L502" s="89" t="n">
        <v>45742</v>
      </c>
      <c r="M502" s="32" t="n">
        <v>73</v>
      </c>
      <c r="N502" s="32" t="n">
        <v>110</v>
      </c>
      <c r="O502" s="32" t="n">
        <v>37</v>
      </c>
      <c r="P502" s="32" t="n">
        <v>36</v>
      </c>
      <c r="Q502" s="32"/>
      <c r="R502" s="90" t="n">
        <f aca="false">合約與計費!$D$4</f>
        <v>0.296</v>
      </c>
      <c r="S502" s="91" t="n">
        <f aca="false">ROUND(P502*R502,0)</f>
        <v>11</v>
      </c>
      <c r="T502" s="92"/>
      <c r="U502" s="32" t="n">
        <v>162</v>
      </c>
      <c r="V502" s="32" t="n">
        <v>229</v>
      </c>
      <c r="W502" s="32" t="n">
        <v>67</v>
      </c>
      <c r="X502" s="32" t="n">
        <v>65</v>
      </c>
      <c r="Y502" s="32"/>
      <c r="Z502" s="93" t="n">
        <f aca="false">合約與計費!$E$4</f>
        <v>2.8</v>
      </c>
      <c r="AA502" s="94" t="n">
        <f aca="false">ROUND(X502*Z502,0)</f>
        <v>182</v>
      </c>
      <c r="AB502" s="95"/>
      <c r="AC502" s="96"/>
      <c r="AD502" s="42"/>
      <c r="AE502" s="43"/>
    </row>
    <row r="503" customFormat="false" ht="16.5" hidden="false" customHeight="true" outlineLevel="0" collapsed="false">
      <c r="A503" s="97" t="n">
        <f aca="false">ROW(A501)</f>
        <v>501</v>
      </c>
      <c r="B503" s="97" t="s">
        <v>462</v>
      </c>
      <c r="C503" s="100" t="n">
        <v>1</v>
      </c>
      <c r="D503" s="85"/>
      <c r="E503" s="98" t="s">
        <v>1574</v>
      </c>
      <c r="F503" s="99" t="s">
        <v>1571</v>
      </c>
      <c r="G503" s="100" t="s">
        <v>1155</v>
      </c>
      <c r="H503" s="100" t="s">
        <v>1572</v>
      </c>
      <c r="I503" s="100" t="s">
        <v>18</v>
      </c>
      <c r="J503" s="98" t="s">
        <v>464</v>
      </c>
      <c r="K503" s="101" t="s">
        <v>1575</v>
      </c>
      <c r="L503" s="102" t="n">
        <v>45742</v>
      </c>
      <c r="M503" s="100" t="n">
        <v>7452</v>
      </c>
      <c r="N503" s="100" t="n">
        <v>8300</v>
      </c>
      <c r="O503" s="100" t="n">
        <v>848</v>
      </c>
      <c r="P503" s="100" t="n">
        <v>823</v>
      </c>
      <c r="Q503" s="100"/>
      <c r="R503" s="103" t="n">
        <f aca="false">合約與計費!$D$4</f>
        <v>0.296</v>
      </c>
      <c r="S503" s="104" t="n">
        <f aca="false">ROUND(P503*R503,0)</f>
        <v>244</v>
      </c>
      <c r="T503" s="105"/>
      <c r="U503" s="100"/>
      <c r="V503" s="100"/>
      <c r="W503" s="106"/>
      <c r="X503" s="100"/>
      <c r="Y503" s="100"/>
      <c r="Z503" s="107"/>
      <c r="AA503" s="108"/>
      <c r="AB503" s="109"/>
      <c r="AC503" s="110"/>
      <c r="AD503" s="42" t="n">
        <v>0.0563</v>
      </c>
      <c r="AE503" s="43" t="n">
        <v>0.6</v>
      </c>
    </row>
    <row r="504" customFormat="false" ht="16.5" hidden="false" customHeight="true" outlineLevel="0" collapsed="false">
      <c r="A504" s="97" t="n">
        <f aca="false">ROW(A502)</f>
        <v>502</v>
      </c>
      <c r="B504" s="97" t="s">
        <v>466</v>
      </c>
      <c r="C504" s="100" t="n">
        <v>1</v>
      </c>
      <c r="D504" s="85"/>
      <c r="E504" s="98" t="s">
        <v>1576</v>
      </c>
      <c r="F504" s="99" t="s">
        <v>1571</v>
      </c>
      <c r="G504" s="100" t="s">
        <v>1155</v>
      </c>
      <c r="H504" s="100" t="s">
        <v>1572</v>
      </c>
      <c r="I504" s="100" t="s">
        <v>18</v>
      </c>
      <c r="J504" s="98" t="s">
        <v>471</v>
      </c>
      <c r="K504" s="101" t="s">
        <v>1577</v>
      </c>
      <c r="L504" s="102" t="n">
        <v>45742</v>
      </c>
      <c r="M504" s="100" t="n">
        <v>1948</v>
      </c>
      <c r="N504" s="100" t="n">
        <v>2281</v>
      </c>
      <c r="O504" s="100" t="n">
        <v>333</v>
      </c>
      <c r="P504" s="100" t="n">
        <v>323</v>
      </c>
      <c r="Q504" s="100"/>
      <c r="R504" s="103" t="n">
        <f aca="false">合約與計費!$D$4</f>
        <v>0.296</v>
      </c>
      <c r="S504" s="104" t="n">
        <f aca="false">ROUND(P504*R504,0)</f>
        <v>96</v>
      </c>
      <c r="T504" s="105"/>
      <c r="U504" s="100"/>
      <c r="V504" s="100"/>
      <c r="W504" s="106"/>
      <c r="X504" s="100"/>
      <c r="Y504" s="100"/>
      <c r="Z504" s="107"/>
      <c r="AA504" s="108"/>
      <c r="AB504" s="109"/>
      <c r="AC504" s="110"/>
      <c r="AD504" s="42" t="n">
        <v>0.0552</v>
      </c>
      <c r="AE504" s="43" t="n">
        <v>0.9</v>
      </c>
    </row>
    <row r="505" customFormat="false" ht="16.5" hidden="false" customHeight="true" outlineLevel="0" collapsed="false">
      <c r="A505" s="97" t="n">
        <f aca="false">ROW(A503)</f>
        <v>503</v>
      </c>
      <c r="B505" s="97" t="s">
        <v>469</v>
      </c>
      <c r="C505" s="100" t="n">
        <v>1</v>
      </c>
      <c r="D505" s="85"/>
      <c r="E505" s="98" t="s">
        <v>1578</v>
      </c>
      <c r="F505" s="99" t="s">
        <v>1571</v>
      </c>
      <c r="G505" s="100" t="s">
        <v>1155</v>
      </c>
      <c r="H505" s="100" t="s">
        <v>1572</v>
      </c>
      <c r="I505" s="100" t="s">
        <v>18</v>
      </c>
      <c r="J505" s="98" t="s">
        <v>471</v>
      </c>
      <c r="K505" s="101" t="s">
        <v>1579</v>
      </c>
      <c r="L505" s="102" t="n">
        <v>45742</v>
      </c>
      <c r="M505" s="100" t="n">
        <v>4530</v>
      </c>
      <c r="N505" s="100" t="n">
        <v>5301</v>
      </c>
      <c r="O505" s="100" t="n">
        <v>771</v>
      </c>
      <c r="P505" s="100" t="n">
        <v>748</v>
      </c>
      <c r="Q505" s="100"/>
      <c r="R505" s="103" t="n">
        <f aca="false">合約與計費!$D$4</f>
        <v>0.296</v>
      </c>
      <c r="S505" s="104" t="n">
        <f aca="false">ROUND(P505*R505,0)</f>
        <v>221</v>
      </c>
      <c r="T505" s="105"/>
      <c r="U505" s="100"/>
      <c r="V505" s="100"/>
      <c r="W505" s="106"/>
      <c r="X505" s="100"/>
      <c r="Y505" s="100"/>
      <c r="Z505" s="107"/>
      <c r="AA505" s="108"/>
      <c r="AB505" s="109"/>
      <c r="AC505" s="110"/>
      <c r="AD505" s="42" t="n">
        <v>0.0753</v>
      </c>
      <c r="AE505" s="43" t="n">
        <v>0.7</v>
      </c>
    </row>
    <row r="506" customFormat="false" ht="16.5" hidden="false" customHeight="true" outlineLevel="0" collapsed="false">
      <c r="A506" s="97" t="n">
        <f aca="false">ROW(A504)</f>
        <v>504</v>
      </c>
      <c r="B506" s="97" t="s">
        <v>473</v>
      </c>
      <c r="C506" s="100" t="n">
        <v>1</v>
      </c>
      <c r="D506" s="85"/>
      <c r="E506" s="98" t="s">
        <v>1580</v>
      </c>
      <c r="F506" s="99" t="s">
        <v>1571</v>
      </c>
      <c r="G506" s="100" t="s">
        <v>1155</v>
      </c>
      <c r="H506" s="100" t="s">
        <v>1572</v>
      </c>
      <c r="I506" s="100" t="s">
        <v>18</v>
      </c>
      <c r="J506" s="98" t="s">
        <v>471</v>
      </c>
      <c r="K506" s="101" t="s">
        <v>1581</v>
      </c>
      <c r="L506" s="102" t="n">
        <v>45742</v>
      </c>
      <c r="M506" s="100" t="n">
        <v>5308</v>
      </c>
      <c r="N506" s="100" t="n">
        <v>6189</v>
      </c>
      <c r="O506" s="100" t="n">
        <v>881</v>
      </c>
      <c r="P506" s="100" t="n">
        <v>855</v>
      </c>
      <c r="Q506" s="100"/>
      <c r="R506" s="103" t="n">
        <f aca="false">合約與計費!$D$4</f>
        <v>0.296</v>
      </c>
      <c r="S506" s="104" t="n">
        <f aca="false">ROUND(P506*R506,0)</f>
        <v>253</v>
      </c>
      <c r="T506" s="105"/>
      <c r="U506" s="100"/>
      <c r="V506" s="100"/>
      <c r="W506" s="106"/>
      <c r="X506" s="100"/>
      <c r="Y506" s="100"/>
      <c r="Z506" s="107"/>
      <c r="AA506" s="108"/>
      <c r="AB506" s="109"/>
      <c r="AC506" s="110"/>
      <c r="AD506" s="42" t="n">
        <v>0.098</v>
      </c>
      <c r="AE506" s="43" t="n">
        <v>0.5</v>
      </c>
    </row>
    <row r="507" customFormat="false" ht="16.5" hidden="false" customHeight="true" outlineLevel="0" collapsed="false">
      <c r="A507" s="97" t="n">
        <f aca="false">ROW(A505)</f>
        <v>505</v>
      </c>
      <c r="B507" s="97" t="s">
        <v>476</v>
      </c>
      <c r="C507" s="100" t="n">
        <v>1</v>
      </c>
      <c r="D507" s="85"/>
      <c r="E507" s="98" t="s">
        <v>1582</v>
      </c>
      <c r="F507" s="99" t="s">
        <v>1571</v>
      </c>
      <c r="G507" s="100" t="s">
        <v>1155</v>
      </c>
      <c r="H507" s="100" t="s">
        <v>1572</v>
      </c>
      <c r="I507" s="100" t="s">
        <v>18</v>
      </c>
      <c r="J507" s="98" t="s">
        <v>471</v>
      </c>
      <c r="K507" s="101" t="s">
        <v>1583</v>
      </c>
      <c r="L507" s="102" t="n">
        <v>45742</v>
      </c>
      <c r="M507" s="100" t="n">
        <v>4277</v>
      </c>
      <c r="N507" s="100" t="n">
        <v>5116</v>
      </c>
      <c r="O507" s="100" t="n">
        <v>839</v>
      </c>
      <c r="P507" s="100" t="n">
        <v>814</v>
      </c>
      <c r="Q507" s="100"/>
      <c r="R507" s="103" t="n">
        <f aca="false">合約與計費!$D$4</f>
        <v>0.296</v>
      </c>
      <c r="S507" s="104" t="n">
        <f aca="false">ROUND(P507*R507,0)</f>
        <v>241</v>
      </c>
      <c r="T507" s="105"/>
      <c r="U507" s="100"/>
      <c r="V507" s="100"/>
      <c r="W507" s="106"/>
      <c r="X507" s="100"/>
      <c r="Y507" s="100"/>
      <c r="Z507" s="107"/>
      <c r="AA507" s="108"/>
      <c r="AB507" s="109"/>
      <c r="AC507" s="110"/>
      <c r="AD507" s="42" t="n">
        <v>0.0902</v>
      </c>
      <c r="AE507" s="43" t="n">
        <v>0.6</v>
      </c>
    </row>
    <row r="508" customFormat="false" ht="16.5" hidden="false" customHeight="true" outlineLevel="0" collapsed="false">
      <c r="A508" s="97" t="n">
        <f aca="false">ROW(A506)</f>
        <v>506</v>
      </c>
      <c r="B508" s="97" t="s">
        <v>479</v>
      </c>
      <c r="C508" s="100" t="n">
        <v>1</v>
      </c>
      <c r="D508" s="85"/>
      <c r="E508" s="98" t="s">
        <v>1584</v>
      </c>
      <c r="F508" s="99" t="s">
        <v>1571</v>
      </c>
      <c r="G508" s="100" t="s">
        <v>1155</v>
      </c>
      <c r="H508" s="100" t="s">
        <v>1572</v>
      </c>
      <c r="I508" s="100" t="s">
        <v>18</v>
      </c>
      <c r="J508" s="98" t="s">
        <v>471</v>
      </c>
      <c r="K508" s="101" t="s">
        <v>1585</v>
      </c>
      <c r="L508" s="102" t="n">
        <v>45742</v>
      </c>
      <c r="M508" s="100" t="n">
        <v>5235</v>
      </c>
      <c r="N508" s="100" t="n">
        <v>6254</v>
      </c>
      <c r="O508" s="100" t="n">
        <v>1019</v>
      </c>
      <c r="P508" s="100" t="n">
        <v>988</v>
      </c>
      <c r="Q508" s="100"/>
      <c r="R508" s="103" t="n">
        <f aca="false">合約與計費!$D$4</f>
        <v>0.296</v>
      </c>
      <c r="S508" s="104" t="n">
        <f aca="false">ROUND(P508*R508,0)</f>
        <v>292</v>
      </c>
      <c r="T508" s="105"/>
      <c r="U508" s="100"/>
      <c r="V508" s="100"/>
      <c r="W508" s="106"/>
      <c r="X508" s="100"/>
      <c r="Y508" s="100"/>
      <c r="Z508" s="107"/>
      <c r="AA508" s="108"/>
      <c r="AB508" s="109"/>
      <c r="AC508" s="110"/>
      <c r="AD508" s="42" t="n">
        <v>0.1486</v>
      </c>
      <c r="AE508" s="43" t="n">
        <v>0.2</v>
      </c>
    </row>
    <row r="509" customFormat="false" ht="16.5" hidden="false" customHeight="true" outlineLevel="0" collapsed="false">
      <c r="A509" s="97" t="n">
        <f aca="false">ROW(A507)</f>
        <v>507</v>
      </c>
      <c r="B509" s="97" t="s">
        <v>482</v>
      </c>
      <c r="C509" s="100" t="n">
        <v>1</v>
      </c>
      <c r="D509" s="85"/>
      <c r="E509" s="98" t="s">
        <v>1586</v>
      </c>
      <c r="F509" s="99" t="s">
        <v>1571</v>
      </c>
      <c r="G509" s="100" t="s">
        <v>1155</v>
      </c>
      <c r="H509" s="100" t="s">
        <v>1572</v>
      </c>
      <c r="I509" s="100" t="s">
        <v>18</v>
      </c>
      <c r="J509" s="98" t="s">
        <v>471</v>
      </c>
      <c r="K509" s="101" t="s">
        <v>1587</v>
      </c>
      <c r="L509" s="102" t="n">
        <v>45742</v>
      </c>
      <c r="M509" s="100" t="n">
        <v>4859</v>
      </c>
      <c r="N509" s="100" t="n">
        <v>5251</v>
      </c>
      <c r="O509" s="100" t="n">
        <v>392</v>
      </c>
      <c r="P509" s="100" t="n">
        <v>380</v>
      </c>
      <c r="Q509" s="100"/>
      <c r="R509" s="103" t="n">
        <f aca="false">合約與計費!$D$4</f>
        <v>0.296</v>
      </c>
      <c r="S509" s="104" t="n">
        <f aca="false">ROUND(P509*R509,0)</f>
        <v>112</v>
      </c>
      <c r="T509" s="105"/>
      <c r="U509" s="100"/>
      <c r="V509" s="100"/>
      <c r="W509" s="106"/>
      <c r="X509" s="100"/>
      <c r="Y509" s="100"/>
      <c r="Z509" s="107"/>
      <c r="AA509" s="108"/>
      <c r="AB509" s="109"/>
      <c r="AC509" s="110"/>
      <c r="AD509" s="42" t="n">
        <v>0.0952</v>
      </c>
      <c r="AE509" s="43" t="n">
        <v>0.6</v>
      </c>
    </row>
    <row r="510" customFormat="false" ht="16.5" hidden="false" customHeight="true" outlineLevel="0" collapsed="false">
      <c r="A510" s="97" t="n">
        <f aca="false">ROW(A508)</f>
        <v>508</v>
      </c>
      <c r="B510" s="97" t="s">
        <v>485</v>
      </c>
      <c r="C510" s="100" t="n">
        <v>1</v>
      </c>
      <c r="D510" s="85"/>
      <c r="E510" s="98" t="s">
        <v>1588</v>
      </c>
      <c r="F510" s="99" t="s">
        <v>1571</v>
      </c>
      <c r="G510" s="100" t="s">
        <v>1155</v>
      </c>
      <c r="H510" s="100" t="s">
        <v>1572</v>
      </c>
      <c r="I510" s="100" t="s">
        <v>18</v>
      </c>
      <c r="J510" s="98" t="s">
        <v>471</v>
      </c>
      <c r="K510" s="101" t="s">
        <v>1589</v>
      </c>
      <c r="L510" s="102" t="n">
        <v>45742</v>
      </c>
      <c r="M510" s="100" t="n">
        <v>8250</v>
      </c>
      <c r="N510" s="100" t="n">
        <v>9362</v>
      </c>
      <c r="O510" s="100" t="n">
        <v>1112</v>
      </c>
      <c r="P510" s="100" t="n">
        <v>1079</v>
      </c>
      <c r="Q510" s="100"/>
      <c r="R510" s="103" t="n">
        <f aca="false">合約與計費!$D$4</f>
        <v>0.296</v>
      </c>
      <c r="S510" s="104" t="n">
        <f aca="false">ROUND(P510*R510,0)</f>
        <v>319</v>
      </c>
      <c r="T510" s="105"/>
      <c r="U510" s="100"/>
      <c r="V510" s="100"/>
      <c r="W510" s="106"/>
      <c r="X510" s="100"/>
      <c r="Y510" s="100"/>
      <c r="Z510" s="107"/>
      <c r="AA510" s="108"/>
      <c r="AB510" s="109"/>
      <c r="AC510" s="110"/>
      <c r="AD510" s="42" t="n">
        <v>0.0933</v>
      </c>
      <c r="AE510" s="43" t="n">
        <v>0.2</v>
      </c>
    </row>
    <row r="511" customFormat="false" ht="16.5" hidden="false" customHeight="true" outlineLevel="0" collapsed="false">
      <c r="A511" s="97" t="n">
        <f aca="false">ROW(A509)</f>
        <v>509</v>
      </c>
      <c r="B511" s="97" t="n">
        <v>10</v>
      </c>
      <c r="C511" s="100" t="n">
        <v>1</v>
      </c>
      <c r="D511" s="85"/>
      <c r="E511" s="98" t="s">
        <v>1590</v>
      </c>
      <c r="F511" s="99" t="s">
        <v>1571</v>
      </c>
      <c r="G511" s="100" t="s">
        <v>1155</v>
      </c>
      <c r="H511" s="100" t="s">
        <v>1572</v>
      </c>
      <c r="I511" s="100" t="s">
        <v>18</v>
      </c>
      <c r="J511" s="98" t="s">
        <v>471</v>
      </c>
      <c r="K511" s="101" t="s">
        <v>1591</v>
      </c>
      <c r="L511" s="102" t="n">
        <v>45742</v>
      </c>
      <c r="M511" s="100" t="n">
        <v>334</v>
      </c>
      <c r="N511" s="100" t="n">
        <v>420</v>
      </c>
      <c r="O511" s="100" t="n">
        <v>86</v>
      </c>
      <c r="P511" s="100" t="n">
        <v>83</v>
      </c>
      <c r="Q511" s="100"/>
      <c r="R511" s="103" t="n">
        <f aca="false">合約與計費!$D$4</f>
        <v>0.296</v>
      </c>
      <c r="S511" s="104" t="n">
        <f aca="false">ROUND(P511*R511,0)</f>
        <v>25</v>
      </c>
      <c r="T511" s="105"/>
      <c r="U511" s="100"/>
      <c r="V511" s="100"/>
      <c r="W511" s="106"/>
      <c r="X511" s="100"/>
      <c r="Y511" s="100"/>
      <c r="Z511" s="107"/>
      <c r="AA511" s="108"/>
      <c r="AB511" s="109"/>
      <c r="AC511" s="110"/>
      <c r="AD511" s="42" t="n">
        <v>0.08</v>
      </c>
      <c r="AE511" s="43" t="n">
        <v>0.8</v>
      </c>
    </row>
    <row r="512" customFormat="false" ht="16.5" hidden="false" customHeight="true" outlineLevel="0" collapsed="false">
      <c r="A512" s="97" t="n">
        <f aca="false">ROW(A510)</f>
        <v>510</v>
      </c>
      <c r="B512" s="97" t="n">
        <v>11</v>
      </c>
      <c r="C512" s="100" t="n">
        <v>1</v>
      </c>
      <c r="D512" s="85"/>
      <c r="E512" s="98" t="s">
        <v>1592</v>
      </c>
      <c r="F512" s="99" t="s">
        <v>1571</v>
      </c>
      <c r="G512" s="100" t="s">
        <v>1155</v>
      </c>
      <c r="H512" s="100" t="s">
        <v>1572</v>
      </c>
      <c r="I512" s="100" t="s">
        <v>18</v>
      </c>
      <c r="J512" s="98" t="s">
        <v>471</v>
      </c>
      <c r="K512" s="101" t="s">
        <v>1593</v>
      </c>
      <c r="L512" s="102" t="n">
        <v>45742</v>
      </c>
      <c r="M512" s="100" t="n">
        <v>2006</v>
      </c>
      <c r="N512" s="100" t="n">
        <v>2458</v>
      </c>
      <c r="O512" s="100" t="n">
        <v>452</v>
      </c>
      <c r="P512" s="100" t="n">
        <v>438</v>
      </c>
      <c r="Q512" s="100"/>
      <c r="R512" s="103" t="n">
        <f aca="false">合約與計費!$D$4</f>
        <v>0.296</v>
      </c>
      <c r="S512" s="104" t="n">
        <f aca="false">ROUND(P512*R512,0)</f>
        <v>130</v>
      </c>
      <c r="T512" s="105"/>
      <c r="U512" s="100"/>
      <c r="V512" s="100"/>
      <c r="W512" s="106"/>
      <c r="X512" s="100"/>
      <c r="Y512" s="100"/>
      <c r="Z512" s="107"/>
      <c r="AA512" s="108"/>
      <c r="AB512" s="109"/>
      <c r="AC512" s="110"/>
      <c r="AD512" s="42" t="n">
        <v>0.0871</v>
      </c>
      <c r="AE512" s="43" t="n">
        <v>0.9</v>
      </c>
    </row>
    <row r="513" customFormat="false" ht="16.5" hidden="false" customHeight="true" outlineLevel="0" collapsed="false">
      <c r="A513" s="97" t="n">
        <f aca="false">ROW(A511)</f>
        <v>511</v>
      </c>
      <c r="B513" s="97" t="n">
        <v>12</v>
      </c>
      <c r="C513" s="100" t="n">
        <v>1</v>
      </c>
      <c r="D513" s="85"/>
      <c r="E513" s="98" t="s">
        <v>1594</v>
      </c>
      <c r="F513" s="99" t="s">
        <v>1571</v>
      </c>
      <c r="G513" s="100" t="s">
        <v>1155</v>
      </c>
      <c r="H513" s="100" t="s">
        <v>1572</v>
      </c>
      <c r="I513" s="100" t="s">
        <v>18</v>
      </c>
      <c r="J513" s="98" t="s">
        <v>471</v>
      </c>
      <c r="K513" s="101" t="s">
        <v>1595</v>
      </c>
      <c r="L513" s="102" t="n">
        <v>45742</v>
      </c>
      <c r="M513" s="100" t="n">
        <v>6215</v>
      </c>
      <c r="N513" s="100" t="n">
        <v>6993</v>
      </c>
      <c r="O513" s="100" t="n">
        <v>778</v>
      </c>
      <c r="P513" s="100" t="n">
        <v>755</v>
      </c>
      <c r="Q513" s="100"/>
      <c r="R513" s="103" t="n">
        <f aca="false">合約與計費!$D$4</f>
        <v>0.296</v>
      </c>
      <c r="S513" s="104" t="n">
        <f aca="false">ROUND(P513*R513,0)</f>
        <v>223</v>
      </c>
      <c r="T513" s="105"/>
      <c r="U513" s="100"/>
      <c r="V513" s="100"/>
      <c r="W513" s="106"/>
      <c r="X513" s="100"/>
      <c r="Y513" s="100"/>
      <c r="Z513" s="107"/>
      <c r="AA513" s="108"/>
      <c r="AB513" s="109"/>
      <c r="AC513" s="110"/>
      <c r="AD513" s="42" t="n">
        <v>0.0836</v>
      </c>
      <c r="AE513" s="43" t="n">
        <v>0.5</v>
      </c>
    </row>
    <row r="514" customFormat="false" ht="16.5" hidden="false" customHeight="true" outlineLevel="0" collapsed="false">
      <c r="A514" s="97" t="n">
        <f aca="false">ROW(A512)</f>
        <v>512</v>
      </c>
      <c r="B514" s="97" t="n">
        <v>13</v>
      </c>
      <c r="C514" s="100" t="n">
        <v>1</v>
      </c>
      <c r="D514" s="85"/>
      <c r="E514" s="98" t="s">
        <v>1596</v>
      </c>
      <c r="F514" s="99" t="s">
        <v>1571</v>
      </c>
      <c r="G514" s="100" t="s">
        <v>1155</v>
      </c>
      <c r="H514" s="100" t="s">
        <v>1572</v>
      </c>
      <c r="I514" s="100" t="s">
        <v>18</v>
      </c>
      <c r="J514" s="98" t="s">
        <v>471</v>
      </c>
      <c r="K514" s="101" t="s">
        <v>1597</v>
      </c>
      <c r="L514" s="102" t="n">
        <v>45742</v>
      </c>
      <c r="M514" s="100" t="n">
        <v>4512</v>
      </c>
      <c r="N514" s="100" t="n">
        <v>5414</v>
      </c>
      <c r="O514" s="100" t="n">
        <v>902</v>
      </c>
      <c r="P514" s="100" t="n">
        <v>875</v>
      </c>
      <c r="Q514" s="100"/>
      <c r="R514" s="103" t="n">
        <f aca="false">合約與計費!$D$4</f>
        <v>0.296</v>
      </c>
      <c r="S514" s="104" t="n">
        <f aca="false">ROUND(P514*R514,0)</f>
        <v>259</v>
      </c>
      <c r="T514" s="105"/>
      <c r="U514" s="100"/>
      <c r="V514" s="100"/>
      <c r="W514" s="106"/>
      <c r="X514" s="100"/>
      <c r="Y514" s="100"/>
      <c r="Z514" s="107"/>
      <c r="AA514" s="108"/>
      <c r="AB514" s="109"/>
      <c r="AC514" s="110"/>
      <c r="AD514" s="42" t="n">
        <v>0.0921</v>
      </c>
      <c r="AE514" s="43" t="n">
        <v>0.6</v>
      </c>
    </row>
    <row r="515" customFormat="false" ht="16.5" hidden="false" customHeight="true" outlineLevel="0" collapsed="false">
      <c r="A515" s="97" t="n">
        <f aca="false">ROW(A513)</f>
        <v>513</v>
      </c>
      <c r="B515" s="97" t="n">
        <v>14</v>
      </c>
      <c r="C515" s="100" t="n">
        <v>1</v>
      </c>
      <c r="D515" s="85"/>
      <c r="E515" s="98" t="s">
        <v>1598</v>
      </c>
      <c r="F515" s="99" t="s">
        <v>1571</v>
      </c>
      <c r="G515" s="100" t="s">
        <v>1155</v>
      </c>
      <c r="H515" s="100" t="s">
        <v>1572</v>
      </c>
      <c r="I515" s="100" t="s">
        <v>18</v>
      </c>
      <c r="J515" s="98" t="s">
        <v>471</v>
      </c>
      <c r="K515" s="101" t="s">
        <v>1599</v>
      </c>
      <c r="L515" s="102" t="n">
        <v>45742</v>
      </c>
      <c r="M515" s="100" t="n">
        <v>7244</v>
      </c>
      <c r="N515" s="100" t="n">
        <v>8310</v>
      </c>
      <c r="O515" s="100" t="n">
        <v>1066</v>
      </c>
      <c r="P515" s="100" t="n">
        <v>1034</v>
      </c>
      <c r="Q515" s="100"/>
      <c r="R515" s="103" t="n">
        <f aca="false">合約與計費!$D$4</f>
        <v>0.296</v>
      </c>
      <c r="S515" s="104" t="n">
        <f aca="false">ROUND(P515*R515,0)</f>
        <v>306</v>
      </c>
      <c r="T515" s="105"/>
      <c r="U515" s="100"/>
      <c r="V515" s="100"/>
      <c r="W515" s="106"/>
      <c r="X515" s="100"/>
      <c r="Y515" s="100"/>
      <c r="Z515" s="107"/>
      <c r="AA515" s="108"/>
      <c r="AB515" s="109"/>
      <c r="AC515" s="110"/>
      <c r="AD515" s="42" t="n">
        <v>0.0545</v>
      </c>
      <c r="AE515" s="43" t="n">
        <v>0.7</v>
      </c>
    </row>
    <row r="516" customFormat="false" ht="16.5" hidden="false" customHeight="true" outlineLevel="0" collapsed="false">
      <c r="A516" s="97" t="n">
        <f aca="false">ROW(A514)</f>
        <v>514</v>
      </c>
      <c r="B516" s="97" t="n">
        <v>15</v>
      </c>
      <c r="C516" s="100" t="n">
        <v>1</v>
      </c>
      <c r="D516" s="85"/>
      <c r="E516" s="98" t="s">
        <v>1600</v>
      </c>
      <c r="F516" s="99" t="s">
        <v>1571</v>
      </c>
      <c r="G516" s="100" t="s">
        <v>1155</v>
      </c>
      <c r="H516" s="100" t="s">
        <v>1572</v>
      </c>
      <c r="I516" s="100" t="s">
        <v>18</v>
      </c>
      <c r="J516" s="98" t="s">
        <v>471</v>
      </c>
      <c r="K516" s="101" t="s">
        <v>1601</v>
      </c>
      <c r="L516" s="102" t="n">
        <v>45742</v>
      </c>
      <c r="M516" s="100" t="n">
        <v>4394</v>
      </c>
      <c r="N516" s="100" t="n">
        <v>5149</v>
      </c>
      <c r="O516" s="100" t="n">
        <v>755</v>
      </c>
      <c r="P516" s="100" t="n">
        <v>732</v>
      </c>
      <c r="Q516" s="100"/>
      <c r="R516" s="103" t="n">
        <f aca="false">合約與計費!$D$4</f>
        <v>0.296</v>
      </c>
      <c r="S516" s="104" t="n">
        <f aca="false">ROUND(P516*R516,0)</f>
        <v>217</v>
      </c>
      <c r="T516" s="105"/>
      <c r="U516" s="100"/>
      <c r="V516" s="100"/>
      <c r="W516" s="106"/>
      <c r="X516" s="100"/>
      <c r="Y516" s="100"/>
      <c r="Z516" s="107"/>
      <c r="AA516" s="108"/>
      <c r="AB516" s="109"/>
      <c r="AC516" s="110"/>
      <c r="AD516" s="42" t="n">
        <v>0.0811</v>
      </c>
      <c r="AE516" s="43" t="n">
        <v>0.7</v>
      </c>
    </row>
    <row r="517" customFormat="false" ht="16.5" hidden="false" customHeight="true" outlineLevel="0" collapsed="false">
      <c r="A517" s="97" t="n">
        <f aca="false">ROW(A515)</f>
        <v>515</v>
      </c>
      <c r="B517" s="97" t="n">
        <v>16</v>
      </c>
      <c r="C517" s="100" t="n">
        <v>1</v>
      </c>
      <c r="D517" s="85"/>
      <c r="E517" s="98" t="s">
        <v>1602</v>
      </c>
      <c r="F517" s="99" t="s">
        <v>1571</v>
      </c>
      <c r="G517" s="100" t="s">
        <v>1155</v>
      </c>
      <c r="H517" s="100" t="s">
        <v>1572</v>
      </c>
      <c r="I517" s="100" t="s">
        <v>18</v>
      </c>
      <c r="J517" s="98" t="s">
        <v>471</v>
      </c>
      <c r="K517" s="101" t="s">
        <v>1603</v>
      </c>
      <c r="L517" s="102" t="n">
        <v>45742</v>
      </c>
      <c r="M517" s="100" t="n">
        <v>4475</v>
      </c>
      <c r="N517" s="100" t="n">
        <v>5021</v>
      </c>
      <c r="O517" s="100" t="n">
        <v>546</v>
      </c>
      <c r="P517" s="100" t="n">
        <v>530</v>
      </c>
      <c r="Q517" s="100"/>
      <c r="R517" s="103" t="n">
        <f aca="false">合約與計費!$D$4</f>
        <v>0.296</v>
      </c>
      <c r="S517" s="104" t="n">
        <f aca="false">ROUND(P517*R517,0)</f>
        <v>157</v>
      </c>
      <c r="T517" s="105"/>
      <c r="U517" s="100"/>
      <c r="V517" s="100"/>
      <c r="W517" s="106"/>
      <c r="X517" s="100"/>
      <c r="Y517" s="100"/>
      <c r="Z517" s="107"/>
      <c r="AA517" s="108"/>
      <c r="AB517" s="109"/>
      <c r="AC517" s="110"/>
      <c r="AD517" s="42" t="n">
        <v>0.0952</v>
      </c>
      <c r="AE517" s="43" t="n">
        <v>0.6</v>
      </c>
    </row>
    <row r="518" customFormat="false" ht="16.5" hidden="false" customHeight="true" outlineLevel="0" collapsed="false">
      <c r="A518" s="97" t="n">
        <f aca="false">ROW(A516)</f>
        <v>516</v>
      </c>
      <c r="B518" s="97" t="n">
        <v>17</v>
      </c>
      <c r="C518" s="100" t="n">
        <v>1</v>
      </c>
      <c r="D518" s="85"/>
      <c r="E518" s="98" t="s">
        <v>1604</v>
      </c>
      <c r="F518" s="99" t="s">
        <v>1571</v>
      </c>
      <c r="G518" s="100" t="s">
        <v>1155</v>
      </c>
      <c r="H518" s="100" t="s">
        <v>1572</v>
      </c>
      <c r="I518" s="100" t="s">
        <v>18</v>
      </c>
      <c r="J518" s="98" t="s">
        <v>471</v>
      </c>
      <c r="K518" s="101" t="s">
        <v>1605</v>
      </c>
      <c r="L518" s="102" t="n">
        <v>45742</v>
      </c>
      <c r="M518" s="100" t="n">
        <v>1630</v>
      </c>
      <c r="N518" s="100" t="n">
        <v>1741</v>
      </c>
      <c r="O518" s="100" t="n">
        <v>111</v>
      </c>
      <c r="P518" s="100" t="n">
        <v>108</v>
      </c>
      <c r="Q518" s="100"/>
      <c r="R518" s="103" t="n">
        <f aca="false">合約與計費!$D$4</f>
        <v>0.296</v>
      </c>
      <c r="S518" s="104" t="n">
        <f aca="false">ROUND(P518*R518,0)</f>
        <v>32</v>
      </c>
      <c r="T518" s="105"/>
      <c r="U518" s="100"/>
      <c r="V518" s="100"/>
      <c r="W518" s="106"/>
      <c r="X518" s="100"/>
      <c r="Y518" s="100"/>
      <c r="Z518" s="107"/>
      <c r="AA518" s="108"/>
      <c r="AB518" s="109"/>
      <c r="AC518" s="110"/>
      <c r="AD518" s="42" t="n">
        <v>0.1441</v>
      </c>
      <c r="AE518" s="43" t="n">
        <v>0.1</v>
      </c>
    </row>
    <row r="519" customFormat="false" ht="16.5" hidden="false" customHeight="true" outlineLevel="0" collapsed="false">
      <c r="A519" s="97" t="n">
        <f aca="false">ROW(A517)</f>
        <v>517</v>
      </c>
      <c r="B519" s="97" t="n">
        <v>18</v>
      </c>
      <c r="C519" s="100" t="n">
        <v>1</v>
      </c>
      <c r="D519" s="85"/>
      <c r="E519" s="98" t="s">
        <v>1606</v>
      </c>
      <c r="F519" s="99" t="s">
        <v>1571</v>
      </c>
      <c r="G519" s="100" t="s">
        <v>1155</v>
      </c>
      <c r="H519" s="100" t="s">
        <v>1572</v>
      </c>
      <c r="I519" s="100" t="s">
        <v>18</v>
      </c>
      <c r="J519" s="98" t="s">
        <v>471</v>
      </c>
      <c r="K519" s="101" t="s">
        <v>1607</v>
      </c>
      <c r="L519" s="102" t="n">
        <v>45742</v>
      </c>
      <c r="M519" s="100" t="n">
        <v>4291</v>
      </c>
      <c r="N519" s="100" t="n">
        <v>4800</v>
      </c>
      <c r="O519" s="100" t="n">
        <v>509</v>
      </c>
      <c r="P519" s="100" t="n">
        <v>494</v>
      </c>
      <c r="Q519" s="100"/>
      <c r="R519" s="103" t="n">
        <f aca="false">合約與計費!$D$4</f>
        <v>0.296</v>
      </c>
      <c r="S519" s="104" t="n">
        <f aca="false">ROUND(P519*R519,0)</f>
        <v>146</v>
      </c>
      <c r="T519" s="105"/>
      <c r="U519" s="100"/>
      <c r="V519" s="100"/>
      <c r="W519" s="106"/>
      <c r="X519" s="100"/>
      <c r="Y519" s="100"/>
      <c r="Z519" s="107"/>
      <c r="AA519" s="108"/>
      <c r="AB519" s="109"/>
      <c r="AC519" s="110"/>
      <c r="AD519" s="42" t="n">
        <v>0.1002</v>
      </c>
      <c r="AE519" s="43" t="n">
        <v>0.7</v>
      </c>
    </row>
    <row r="520" customFormat="false" ht="16.5" hidden="false" customHeight="true" outlineLevel="0" collapsed="false">
      <c r="A520" s="97" t="n">
        <f aca="false">ROW(A518)</f>
        <v>518</v>
      </c>
      <c r="B520" s="97" t="n">
        <v>19</v>
      </c>
      <c r="C520" s="100" t="n">
        <v>1</v>
      </c>
      <c r="D520" s="85"/>
      <c r="E520" s="98" t="s">
        <v>1608</v>
      </c>
      <c r="F520" s="99" t="s">
        <v>1571</v>
      </c>
      <c r="G520" s="100" t="s">
        <v>1155</v>
      </c>
      <c r="H520" s="100" t="s">
        <v>1572</v>
      </c>
      <c r="I520" s="100" t="s">
        <v>18</v>
      </c>
      <c r="J520" s="98" t="s">
        <v>471</v>
      </c>
      <c r="K520" s="101" t="s">
        <v>1609</v>
      </c>
      <c r="L520" s="102" t="n">
        <v>45742</v>
      </c>
      <c r="M520" s="100" t="n">
        <v>2209</v>
      </c>
      <c r="N520" s="100" t="n">
        <v>2519</v>
      </c>
      <c r="O520" s="100" t="n">
        <v>310</v>
      </c>
      <c r="P520" s="100" t="n">
        <v>301</v>
      </c>
      <c r="Q520" s="100"/>
      <c r="R520" s="103" t="n">
        <f aca="false">合約與計費!$D$4</f>
        <v>0.296</v>
      </c>
      <c r="S520" s="104" t="n">
        <f aca="false">ROUND(P520*R520,0)</f>
        <v>89</v>
      </c>
      <c r="T520" s="105"/>
      <c r="U520" s="100"/>
      <c r="V520" s="100"/>
      <c r="W520" s="106"/>
      <c r="X520" s="100"/>
      <c r="Y520" s="100"/>
      <c r="Z520" s="107"/>
      <c r="AA520" s="108"/>
      <c r="AB520" s="109"/>
      <c r="AC520" s="110"/>
      <c r="AD520" s="42" t="n">
        <v>0.0473</v>
      </c>
      <c r="AE520" s="43" t="n">
        <v>0.1</v>
      </c>
    </row>
    <row r="521" customFormat="false" ht="16.5" hidden="false" customHeight="true" outlineLevel="0" collapsed="false">
      <c r="A521" s="97" t="n">
        <f aca="false">ROW(A519)</f>
        <v>519</v>
      </c>
      <c r="B521" s="97" t="n">
        <v>20</v>
      </c>
      <c r="C521" s="100" t="n">
        <v>1</v>
      </c>
      <c r="D521" s="85"/>
      <c r="E521" s="98" t="s">
        <v>1610</v>
      </c>
      <c r="F521" s="99" t="s">
        <v>1571</v>
      </c>
      <c r="G521" s="100" t="s">
        <v>1155</v>
      </c>
      <c r="H521" s="100" t="s">
        <v>1572</v>
      </c>
      <c r="I521" s="100" t="s">
        <v>18</v>
      </c>
      <c r="J521" s="98" t="s">
        <v>471</v>
      </c>
      <c r="K521" s="101" t="s">
        <v>1611</v>
      </c>
      <c r="L521" s="102" t="n">
        <v>45742</v>
      </c>
      <c r="M521" s="100" t="n">
        <v>3618</v>
      </c>
      <c r="N521" s="100" t="n">
        <v>3775</v>
      </c>
      <c r="O521" s="100" t="n">
        <v>157</v>
      </c>
      <c r="P521" s="100" t="n">
        <v>152</v>
      </c>
      <c r="Q521" s="100"/>
      <c r="R521" s="103" t="n">
        <f aca="false">合約與計費!$D$4</f>
        <v>0.296</v>
      </c>
      <c r="S521" s="104" t="n">
        <f aca="false">ROUND(P521*R521,0)</f>
        <v>45</v>
      </c>
      <c r="T521" s="105"/>
      <c r="U521" s="100"/>
      <c r="V521" s="100"/>
      <c r="W521" s="106"/>
      <c r="X521" s="100"/>
      <c r="Y521" s="100"/>
      <c r="Z521" s="107"/>
      <c r="AA521" s="108"/>
      <c r="AB521" s="109"/>
      <c r="AC521" s="110"/>
      <c r="AD521" s="42" t="n">
        <v>0.1835</v>
      </c>
      <c r="AE521" s="43" t="n">
        <v>0.6</v>
      </c>
    </row>
    <row r="522" customFormat="false" ht="16.5" hidden="false" customHeight="true" outlineLevel="0" collapsed="false">
      <c r="A522" s="111" t="n">
        <f aca="false">ROW(A520)</f>
        <v>520</v>
      </c>
      <c r="B522" s="111" t="n">
        <v>21</v>
      </c>
      <c r="C522" s="114" t="n">
        <v>1</v>
      </c>
      <c r="D522" s="85"/>
      <c r="E522" s="112" t="s">
        <v>1612</v>
      </c>
      <c r="F522" s="113" t="s">
        <v>1571</v>
      </c>
      <c r="G522" s="114" t="s">
        <v>1155</v>
      </c>
      <c r="H522" s="114" t="s">
        <v>1572</v>
      </c>
      <c r="I522" s="114" t="s">
        <v>18</v>
      </c>
      <c r="J522" s="112" t="s">
        <v>471</v>
      </c>
      <c r="K522" s="115" t="s">
        <v>1613</v>
      </c>
      <c r="L522" s="116" t="n">
        <v>45742</v>
      </c>
      <c r="M522" s="114" t="n">
        <v>4394</v>
      </c>
      <c r="N522" s="114" t="n">
        <v>4990</v>
      </c>
      <c r="O522" s="114" t="n">
        <v>596</v>
      </c>
      <c r="P522" s="114" t="n">
        <v>578</v>
      </c>
      <c r="Q522" s="114" t="n">
        <f aca="false">ROUND(SUM(P502:P522),2)</f>
        <v>12126</v>
      </c>
      <c r="R522" s="117" t="n">
        <f aca="false">合約與計費!$D$4</f>
        <v>0.296</v>
      </c>
      <c r="S522" s="118" t="n">
        <f aca="false">ROUND(P522*R522,0)</f>
        <v>171</v>
      </c>
      <c r="T522" s="119" t="n">
        <f aca="false">ROUND(SUM(S502:S522),2)</f>
        <v>3589</v>
      </c>
      <c r="U522" s="114"/>
      <c r="V522" s="114"/>
      <c r="W522" s="120"/>
      <c r="X522" s="114"/>
      <c r="Y522" s="114" t="n">
        <f aca="false">ROUND(SUM(X502:X522),2)</f>
        <v>65</v>
      </c>
      <c r="Z522" s="121"/>
      <c r="AA522" s="122"/>
      <c r="AB522" s="123" t="n">
        <f aca="false">ROUND(SUM(AA502:AA522),2)</f>
        <v>182</v>
      </c>
      <c r="AC522" s="124"/>
      <c r="AD522" s="42" t="n">
        <v>0.1197</v>
      </c>
      <c r="AE522" s="43" t="n">
        <v>0.5</v>
      </c>
    </row>
    <row r="523" customFormat="false" ht="16.5" hidden="false" customHeight="true" outlineLevel="0" collapsed="false">
      <c r="A523" s="84" t="n">
        <f aca="false">ROW(A521)</f>
        <v>521</v>
      </c>
      <c r="B523" s="84" t="s">
        <v>455</v>
      </c>
      <c r="C523" s="32" t="n">
        <v>1</v>
      </c>
      <c r="D523" s="85" t="n">
        <v>60</v>
      </c>
      <c r="E523" s="86" t="s">
        <v>1614</v>
      </c>
      <c r="F523" s="87" t="s">
        <v>1615</v>
      </c>
      <c r="G523" s="32" t="s">
        <v>1155</v>
      </c>
      <c r="H523" s="32" t="s">
        <v>1572</v>
      </c>
      <c r="I523" s="32" t="s">
        <v>19</v>
      </c>
      <c r="J523" s="86" t="s">
        <v>460</v>
      </c>
      <c r="K523" s="88" t="s">
        <v>1616</v>
      </c>
      <c r="L523" s="89" t="n">
        <v>45741</v>
      </c>
      <c r="M523" s="32" t="n">
        <v>1382</v>
      </c>
      <c r="N523" s="32" t="n">
        <v>1521</v>
      </c>
      <c r="O523" s="32" t="n">
        <v>139</v>
      </c>
      <c r="P523" s="32" t="n">
        <v>135</v>
      </c>
      <c r="Q523" s="32"/>
      <c r="R523" s="90" t="n">
        <f aca="false">合約與計費!$D$4</f>
        <v>0.296</v>
      </c>
      <c r="S523" s="91" t="n">
        <f aca="false">ROUND(P523*R523,0)</f>
        <v>40</v>
      </c>
      <c r="T523" s="92"/>
      <c r="U523" s="32" t="n">
        <v>113</v>
      </c>
      <c r="V523" s="32" t="n">
        <v>119</v>
      </c>
      <c r="W523" s="32" t="n">
        <v>6</v>
      </c>
      <c r="X523" s="32" t="n">
        <v>6</v>
      </c>
      <c r="Y523" s="32"/>
      <c r="Z523" s="93" t="n">
        <f aca="false">合約與計費!$E$4</f>
        <v>2.8</v>
      </c>
      <c r="AA523" s="94" t="n">
        <f aca="false">ROUND(X523*Z523,0)</f>
        <v>17</v>
      </c>
      <c r="AB523" s="95"/>
      <c r="AC523" s="96"/>
      <c r="AD523" s="42"/>
      <c r="AE523" s="43"/>
    </row>
    <row r="524" customFormat="false" ht="16.5" hidden="false" customHeight="true" outlineLevel="0" collapsed="false">
      <c r="A524" s="97" t="n">
        <f aca="false">ROW(A522)</f>
        <v>522</v>
      </c>
      <c r="B524" s="97" t="s">
        <v>462</v>
      </c>
      <c r="C524" s="100" t="n">
        <v>1</v>
      </c>
      <c r="D524" s="85"/>
      <c r="E524" s="98" t="s">
        <v>1617</v>
      </c>
      <c r="F524" s="99" t="s">
        <v>1615</v>
      </c>
      <c r="G524" s="100" t="s">
        <v>1155</v>
      </c>
      <c r="H524" s="100" t="s">
        <v>1572</v>
      </c>
      <c r="I524" s="100" t="s">
        <v>19</v>
      </c>
      <c r="J524" s="98" t="s">
        <v>471</v>
      </c>
      <c r="K524" s="101" t="s">
        <v>1618</v>
      </c>
      <c r="L524" s="102" t="n">
        <v>45741</v>
      </c>
      <c r="M524" s="100" t="n">
        <v>2048</v>
      </c>
      <c r="N524" s="100" t="n">
        <v>2373</v>
      </c>
      <c r="O524" s="100" t="n">
        <v>325</v>
      </c>
      <c r="P524" s="100" t="n">
        <v>315</v>
      </c>
      <c r="Q524" s="100"/>
      <c r="R524" s="103" t="n">
        <f aca="false">合約與計費!$D$4</f>
        <v>0.296</v>
      </c>
      <c r="S524" s="104" t="n">
        <f aca="false">ROUND(P524*R524,0)</f>
        <v>93</v>
      </c>
      <c r="T524" s="105"/>
      <c r="U524" s="100"/>
      <c r="V524" s="100"/>
      <c r="W524" s="106"/>
      <c r="X524" s="100"/>
      <c r="Y524" s="100"/>
      <c r="Z524" s="107"/>
      <c r="AA524" s="108"/>
      <c r="AB524" s="109"/>
      <c r="AC524" s="110"/>
      <c r="AD524" s="42" t="n">
        <v>0.0643</v>
      </c>
      <c r="AE524" s="43" t="n">
        <v>0.2</v>
      </c>
    </row>
    <row r="525" customFormat="false" ht="16.5" hidden="false" customHeight="true" outlineLevel="0" collapsed="false">
      <c r="A525" s="97" t="n">
        <f aca="false">ROW(A523)</f>
        <v>523</v>
      </c>
      <c r="B525" s="97" t="s">
        <v>466</v>
      </c>
      <c r="C525" s="100" t="n">
        <v>1</v>
      </c>
      <c r="D525" s="85"/>
      <c r="E525" s="98" t="s">
        <v>1619</v>
      </c>
      <c r="F525" s="99" t="s">
        <v>1615</v>
      </c>
      <c r="G525" s="100" t="s">
        <v>1155</v>
      </c>
      <c r="H525" s="100" t="s">
        <v>1572</v>
      </c>
      <c r="I525" s="100" t="s">
        <v>19</v>
      </c>
      <c r="J525" s="98" t="s">
        <v>471</v>
      </c>
      <c r="K525" s="101" t="s">
        <v>1620</v>
      </c>
      <c r="L525" s="102" t="n">
        <v>45741</v>
      </c>
      <c r="M525" s="100" t="n">
        <v>17908</v>
      </c>
      <c r="N525" s="100" t="n">
        <v>20967</v>
      </c>
      <c r="O525" s="100" t="n">
        <v>3059</v>
      </c>
      <c r="P525" s="100" t="n">
        <v>2967</v>
      </c>
      <c r="Q525" s="100"/>
      <c r="R525" s="103" t="n">
        <f aca="false">合約與計費!$D$4</f>
        <v>0.296</v>
      </c>
      <c r="S525" s="104" t="n">
        <f aca="false">ROUND(P525*R525,0)</f>
        <v>878</v>
      </c>
      <c r="T525" s="105"/>
      <c r="U525" s="100"/>
      <c r="V525" s="100"/>
      <c r="W525" s="106"/>
      <c r="X525" s="100"/>
      <c r="Y525" s="100"/>
      <c r="Z525" s="107"/>
      <c r="AA525" s="108"/>
      <c r="AB525" s="109"/>
      <c r="AC525" s="110"/>
      <c r="AD525" s="42" t="n">
        <v>0.1001</v>
      </c>
      <c r="AE525" s="43" t="n">
        <v>0.6</v>
      </c>
    </row>
    <row r="526" customFormat="false" ht="16.5" hidden="false" customHeight="true" outlineLevel="0" collapsed="false">
      <c r="A526" s="97" t="n">
        <f aca="false">ROW(A524)</f>
        <v>524</v>
      </c>
      <c r="B526" s="97" t="s">
        <v>469</v>
      </c>
      <c r="C526" s="100" t="n">
        <v>1</v>
      </c>
      <c r="D526" s="85"/>
      <c r="E526" s="98" t="s">
        <v>1621</v>
      </c>
      <c r="F526" s="99" t="s">
        <v>1615</v>
      </c>
      <c r="G526" s="100" t="s">
        <v>1155</v>
      </c>
      <c r="H526" s="100" t="s">
        <v>1572</v>
      </c>
      <c r="I526" s="100" t="s">
        <v>19</v>
      </c>
      <c r="J526" s="98" t="s">
        <v>471</v>
      </c>
      <c r="K526" s="101" t="s">
        <v>1622</v>
      </c>
      <c r="L526" s="102" t="n">
        <v>45741</v>
      </c>
      <c r="M526" s="100" t="n">
        <v>6670</v>
      </c>
      <c r="N526" s="100" t="n">
        <v>7589</v>
      </c>
      <c r="O526" s="100" t="n">
        <v>919</v>
      </c>
      <c r="P526" s="100" t="n">
        <v>891</v>
      </c>
      <c r="Q526" s="100"/>
      <c r="R526" s="103" t="n">
        <f aca="false">合約與計費!$D$4</f>
        <v>0.296</v>
      </c>
      <c r="S526" s="104" t="n">
        <f aca="false">ROUND(P526*R526,0)</f>
        <v>264</v>
      </c>
      <c r="T526" s="105"/>
      <c r="U526" s="100"/>
      <c r="V526" s="100"/>
      <c r="W526" s="106"/>
      <c r="X526" s="100"/>
      <c r="Y526" s="100"/>
      <c r="Z526" s="107"/>
      <c r="AA526" s="108"/>
      <c r="AB526" s="109"/>
      <c r="AC526" s="110"/>
      <c r="AD526" s="42" t="n">
        <v>0.1006</v>
      </c>
      <c r="AE526" s="43" t="n">
        <v>0.2</v>
      </c>
    </row>
    <row r="527" customFormat="false" ht="16.5" hidden="false" customHeight="true" outlineLevel="0" collapsed="false">
      <c r="A527" s="111" t="n">
        <f aca="false">ROW(A525)</f>
        <v>525</v>
      </c>
      <c r="B527" s="111" t="s">
        <v>473</v>
      </c>
      <c r="C527" s="114" t="n">
        <v>1</v>
      </c>
      <c r="D527" s="85"/>
      <c r="E527" s="112" t="s">
        <v>1623</v>
      </c>
      <c r="F527" s="113" t="s">
        <v>1615</v>
      </c>
      <c r="G527" s="114" t="s">
        <v>1155</v>
      </c>
      <c r="H527" s="114" t="s">
        <v>1572</v>
      </c>
      <c r="I527" s="114" t="s">
        <v>19</v>
      </c>
      <c r="J527" s="112" t="s">
        <v>471</v>
      </c>
      <c r="K527" s="115" t="s">
        <v>1624</v>
      </c>
      <c r="L527" s="116" t="n">
        <v>45741</v>
      </c>
      <c r="M527" s="114" t="n">
        <v>2166</v>
      </c>
      <c r="N527" s="114" t="n">
        <v>2423</v>
      </c>
      <c r="O527" s="114" t="n">
        <v>257</v>
      </c>
      <c r="P527" s="114" t="n">
        <v>249</v>
      </c>
      <c r="Q527" s="114" t="n">
        <f aca="false">ROUND(SUM(P523:P527),2)</f>
        <v>4557</v>
      </c>
      <c r="R527" s="117" t="n">
        <f aca="false">合約與計費!$D$4</f>
        <v>0.296</v>
      </c>
      <c r="S527" s="118" t="n">
        <f aca="false">ROUND(P527*R527,0)</f>
        <v>74</v>
      </c>
      <c r="T527" s="119" t="n">
        <f aca="false">ROUND(SUM(S523:S527),2)</f>
        <v>1349</v>
      </c>
      <c r="U527" s="114"/>
      <c r="V527" s="114"/>
      <c r="W527" s="120"/>
      <c r="X527" s="114"/>
      <c r="Y527" s="114" t="n">
        <f aca="false">ROUND(SUM(X523:X527),2)</f>
        <v>6</v>
      </c>
      <c r="Z527" s="121"/>
      <c r="AA527" s="122"/>
      <c r="AB527" s="123" t="n">
        <f aca="false">ROUND(SUM(AA523:AA527),2)</f>
        <v>17</v>
      </c>
      <c r="AC527" s="124"/>
      <c r="AD527" s="42" t="n">
        <v>0.0641</v>
      </c>
      <c r="AE527" s="43" t="n">
        <v>1</v>
      </c>
    </row>
    <row r="528" customFormat="false" ht="16.5" hidden="false" customHeight="true" outlineLevel="0" collapsed="false">
      <c r="A528" s="84" t="n">
        <f aca="false">ROW(A526)</f>
        <v>526</v>
      </c>
      <c r="B528" s="84" t="s">
        <v>455</v>
      </c>
      <c r="C528" s="32" t="n">
        <v>1</v>
      </c>
      <c r="D528" s="85" t="n">
        <v>61</v>
      </c>
      <c r="E528" s="86" t="s">
        <v>1625</v>
      </c>
      <c r="F528" s="87" t="s">
        <v>1626</v>
      </c>
      <c r="G528" s="32" t="s">
        <v>1155</v>
      </c>
      <c r="H528" s="32" t="s">
        <v>1572</v>
      </c>
      <c r="I528" s="32" t="s">
        <v>205</v>
      </c>
      <c r="J528" s="86" t="s">
        <v>460</v>
      </c>
      <c r="K528" s="88" t="s">
        <v>1627</v>
      </c>
      <c r="L528" s="89" t="n">
        <v>45771</v>
      </c>
      <c r="M528" s="32" t="n">
        <v>929</v>
      </c>
      <c r="N528" s="32" t="n">
        <v>1000</v>
      </c>
      <c r="O528" s="32" t="n">
        <v>71</v>
      </c>
      <c r="P528" s="32" t="n">
        <v>69</v>
      </c>
      <c r="Q528" s="32"/>
      <c r="R528" s="90" t="n">
        <f aca="false">合約與計費!$D$4</f>
        <v>0.296</v>
      </c>
      <c r="S528" s="91" t="n">
        <f aca="false">ROUND(P528*R528,0)</f>
        <v>20</v>
      </c>
      <c r="T528" s="92"/>
      <c r="U528" s="32" t="n">
        <v>81</v>
      </c>
      <c r="V528" s="32" t="n">
        <v>89</v>
      </c>
      <c r="W528" s="32" t="n">
        <v>8</v>
      </c>
      <c r="X528" s="32" t="n">
        <v>8</v>
      </c>
      <c r="Y528" s="32"/>
      <c r="Z528" s="93" t="n">
        <f aca="false">合約與計費!$E$4</f>
        <v>2.8</v>
      </c>
      <c r="AA528" s="94" t="n">
        <f aca="false">ROUND(X528*Z528,0)</f>
        <v>22</v>
      </c>
      <c r="AB528" s="95"/>
      <c r="AC528" s="96"/>
      <c r="AD528" s="42"/>
      <c r="AE528" s="43"/>
    </row>
    <row r="529" customFormat="false" ht="16.5" hidden="false" customHeight="true" outlineLevel="0" collapsed="false">
      <c r="A529" s="97" t="n">
        <f aca="false">ROW(A527)</f>
        <v>527</v>
      </c>
      <c r="B529" s="97" t="s">
        <v>462</v>
      </c>
      <c r="C529" s="100" t="n">
        <v>1</v>
      </c>
      <c r="D529" s="85"/>
      <c r="E529" s="98" t="s">
        <v>1628</v>
      </c>
      <c r="F529" s="99" t="s">
        <v>1626</v>
      </c>
      <c r="G529" s="100" t="s">
        <v>1155</v>
      </c>
      <c r="H529" s="100" t="s">
        <v>1572</v>
      </c>
      <c r="I529" s="100" t="s">
        <v>205</v>
      </c>
      <c r="J529" s="98" t="s">
        <v>464</v>
      </c>
      <c r="K529" s="101" t="s">
        <v>1629</v>
      </c>
      <c r="L529" s="102" t="n">
        <v>45771</v>
      </c>
      <c r="M529" s="100" t="n">
        <v>681</v>
      </c>
      <c r="N529" s="100" t="n">
        <v>888</v>
      </c>
      <c r="O529" s="100" t="n">
        <v>207</v>
      </c>
      <c r="P529" s="100" t="n">
        <v>201</v>
      </c>
      <c r="Q529" s="100"/>
      <c r="R529" s="103" t="n">
        <f aca="false">合約與計費!$D$4</f>
        <v>0.296</v>
      </c>
      <c r="S529" s="104" t="n">
        <f aca="false">ROUND(P529*R529,0)</f>
        <v>59</v>
      </c>
      <c r="T529" s="105"/>
      <c r="U529" s="100"/>
      <c r="V529" s="100"/>
      <c r="W529" s="106"/>
      <c r="X529" s="100"/>
      <c r="Y529" s="100"/>
      <c r="Z529" s="107"/>
      <c r="AA529" s="108"/>
      <c r="AB529" s="109"/>
      <c r="AC529" s="110"/>
      <c r="AD529" s="42" t="n">
        <v>0.0834</v>
      </c>
      <c r="AE529" s="43" t="n">
        <v>0.5</v>
      </c>
    </row>
    <row r="530" customFormat="false" ht="16.5" hidden="false" customHeight="true" outlineLevel="0" collapsed="false">
      <c r="A530" s="97" t="n">
        <f aca="false">ROW(A528)</f>
        <v>528</v>
      </c>
      <c r="B530" s="97" t="s">
        <v>466</v>
      </c>
      <c r="C530" s="100" t="n">
        <v>1</v>
      </c>
      <c r="D530" s="85"/>
      <c r="E530" s="98" t="s">
        <v>1630</v>
      </c>
      <c r="F530" s="99" t="s">
        <v>1626</v>
      </c>
      <c r="G530" s="100" t="s">
        <v>1155</v>
      </c>
      <c r="H530" s="100" t="s">
        <v>1572</v>
      </c>
      <c r="I530" s="100" t="s">
        <v>205</v>
      </c>
      <c r="J530" s="98" t="s">
        <v>471</v>
      </c>
      <c r="K530" s="101" t="s">
        <v>1631</v>
      </c>
      <c r="L530" s="102" t="n">
        <v>45771</v>
      </c>
      <c r="M530" s="100" t="n">
        <v>5908</v>
      </c>
      <c r="N530" s="100" t="n">
        <v>7220</v>
      </c>
      <c r="O530" s="100" t="n">
        <v>1312</v>
      </c>
      <c r="P530" s="100" t="n">
        <v>1273</v>
      </c>
      <c r="Q530" s="100"/>
      <c r="R530" s="103" t="n">
        <f aca="false">合約與計費!$D$4</f>
        <v>0.296</v>
      </c>
      <c r="S530" s="104" t="n">
        <f aca="false">ROUND(P530*R530,0)</f>
        <v>377</v>
      </c>
      <c r="T530" s="105"/>
      <c r="U530" s="100"/>
      <c r="V530" s="100"/>
      <c r="W530" s="106"/>
      <c r="X530" s="100"/>
      <c r="Y530" s="100"/>
      <c r="Z530" s="107"/>
      <c r="AA530" s="108"/>
      <c r="AB530" s="109"/>
      <c r="AC530" s="110"/>
      <c r="AD530" s="42" t="n">
        <v>0.2162</v>
      </c>
      <c r="AE530" s="43" t="n">
        <v>0.5</v>
      </c>
    </row>
    <row r="531" customFormat="false" ht="16.5" hidden="false" customHeight="true" outlineLevel="0" collapsed="false">
      <c r="A531" s="97" t="n">
        <f aca="false">ROW(A529)</f>
        <v>529</v>
      </c>
      <c r="B531" s="97" t="s">
        <v>469</v>
      </c>
      <c r="C531" s="100" t="n">
        <v>1</v>
      </c>
      <c r="D531" s="85"/>
      <c r="E531" s="98" t="s">
        <v>1632</v>
      </c>
      <c r="F531" s="99" t="s">
        <v>1626</v>
      </c>
      <c r="G531" s="100" t="s">
        <v>1155</v>
      </c>
      <c r="H531" s="100" t="s">
        <v>1572</v>
      </c>
      <c r="I531" s="100" t="s">
        <v>205</v>
      </c>
      <c r="J531" s="98" t="s">
        <v>471</v>
      </c>
      <c r="K531" s="101" t="s">
        <v>1633</v>
      </c>
      <c r="L531" s="102" t="n">
        <v>45771</v>
      </c>
      <c r="M531" s="100" t="n">
        <v>2160</v>
      </c>
      <c r="N531" s="100" t="n">
        <v>2482</v>
      </c>
      <c r="O531" s="100" t="n">
        <v>322</v>
      </c>
      <c r="P531" s="100" t="n">
        <v>312</v>
      </c>
      <c r="Q531" s="100"/>
      <c r="R531" s="103" t="n">
        <f aca="false">合約與計費!$D$4</f>
        <v>0.296</v>
      </c>
      <c r="S531" s="104" t="n">
        <f aca="false">ROUND(P531*R531,0)</f>
        <v>92</v>
      </c>
      <c r="T531" s="105"/>
      <c r="U531" s="100"/>
      <c r="V531" s="100"/>
      <c r="W531" s="106"/>
      <c r="X531" s="100"/>
      <c r="Y531" s="100"/>
      <c r="Z531" s="107"/>
      <c r="AA531" s="108"/>
      <c r="AB531" s="109"/>
      <c r="AC531" s="110"/>
      <c r="AD531" s="42" t="n">
        <v>0.0477</v>
      </c>
      <c r="AE531" s="43" t="n">
        <v>1</v>
      </c>
    </row>
    <row r="532" customFormat="false" ht="16.5" hidden="false" customHeight="true" outlineLevel="0" collapsed="false">
      <c r="A532" s="111" t="n">
        <f aca="false">ROW(A530)</f>
        <v>530</v>
      </c>
      <c r="B532" s="111" t="s">
        <v>473</v>
      </c>
      <c r="C532" s="114" t="n">
        <v>1</v>
      </c>
      <c r="D532" s="85"/>
      <c r="E532" s="112" t="s">
        <v>1634</v>
      </c>
      <c r="F532" s="113" t="s">
        <v>1626</v>
      </c>
      <c r="G532" s="114" t="s">
        <v>1155</v>
      </c>
      <c r="H532" s="114" t="s">
        <v>1572</v>
      </c>
      <c r="I532" s="114" t="s">
        <v>205</v>
      </c>
      <c r="J532" s="112" t="s">
        <v>471</v>
      </c>
      <c r="K532" s="115" t="s">
        <v>1635</v>
      </c>
      <c r="L532" s="116" t="n">
        <v>45771</v>
      </c>
      <c r="M532" s="114" t="n">
        <v>5001</v>
      </c>
      <c r="N532" s="114" t="n">
        <v>5790</v>
      </c>
      <c r="O532" s="100" t="n">
        <v>789</v>
      </c>
      <c r="P532" s="100" t="n">
        <v>765</v>
      </c>
      <c r="Q532" s="100" t="n">
        <f aca="false">ROUND(SUM(P528:P532),2)</f>
        <v>2620</v>
      </c>
      <c r="R532" s="117" t="n">
        <f aca="false">合約與計費!$D$4</f>
        <v>0.296</v>
      </c>
      <c r="S532" s="118" t="n">
        <f aca="false">ROUND(P532*R532,0)</f>
        <v>226</v>
      </c>
      <c r="T532" s="105" t="n">
        <f aca="false">ROUND(SUM(S528:S532),2)</f>
        <v>774</v>
      </c>
      <c r="U532" s="114"/>
      <c r="V532" s="114"/>
      <c r="W532" s="120"/>
      <c r="X532" s="114"/>
      <c r="Y532" s="100" t="n">
        <f aca="false">ROUND(SUM(X528:X532),2)</f>
        <v>8</v>
      </c>
      <c r="Z532" s="121"/>
      <c r="AA532" s="108"/>
      <c r="AB532" s="109" t="n">
        <f aca="false">ROUND(SUM(AA528:AA532),2)</f>
        <v>22</v>
      </c>
      <c r="AC532" s="124"/>
      <c r="AD532" s="42" t="n">
        <v>0.2561</v>
      </c>
      <c r="AE532" s="43" t="n">
        <v>0.3</v>
      </c>
    </row>
    <row r="533" customFormat="false" ht="16.5" hidden="false" customHeight="true" outlineLevel="0" collapsed="false">
      <c r="A533" s="84" t="n">
        <f aca="false">ROW(A531)</f>
        <v>531</v>
      </c>
      <c r="B533" s="84" t="s">
        <v>455</v>
      </c>
      <c r="C533" s="32" t="n">
        <v>1</v>
      </c>
      <c r="D533" s="85" t="n">
        <v>62</v>
      </c>
      <c r="E533" s="86" t="s">
        <v>1636</v>
      </c>
      <c r="F533" s="87" t="s">
        <v>1637</v>
      </c>
      <c r="G533" s="32" t="s">
        <v>1155</v>
      </c>
      <c r="H533" s="32" t="s">
        <v>1572</v>
      </c>
      <c r="I533" s="32" t="s">
        <v>218</v>
      </c>
      <c r="J533" s="86" t="s">
        <v>460</v>
      </c>
      <c r="K533" s="174" t="s">
        <v>1638</v>
      </c>
      <c r="L533" s="89" t="n">
        <v>45782</v>
      </c>
      <c r="M533" s="32" t="n">
        <v>676</v>
      </c>
      <c r="N533" s="32" t="n">
        <v>804</v>
      </c>
      <c r="O533" s="32" t="n">
        <v>128</v>
      </c>
      <c r="P533" s="32" t="n">
        <v>124</v>
      </c>
      <c r="Q533" s="32"/>
      <c r="R533" s="90" t="n">
        <f aca="false">合約與計費!$D$4</f>
        <v>0.296</v>
      </c>
      <c r="S533" s="91" t="n">
        <f aca="false">ROUND(P533*R533,0)</f>
        <v>37</v>
      </c>
      <c r="T533" s="92"/>
      <c r="U533" s="32" t="n">
        <v>201</v>
      </c>
      <c r="V533" s="32" t="n">
        <v>231</v>
      </c>
      <c r="W533" s="32" t="n">
        <v>30</v>
      </c>
      <c r="X533" s="32" t="n">
        <v>29</v>
      </c>
      <c r="Y533" s="32"/>
      <c r="Z533" s="93" t="n">
        <f aca="false">合約與計費!$E$4</f>
        <v>2.8</v>
      </c>
      <c r="AA533" s="94" t="n">
        <f aca="false">ROUND(X533*Z533,0)</f>
        <v>81</v>
      </c>
      <c r="AB533" s="95"/>
      <c r="AC533" s="96"/>
      <c r="AD533" s="42"/>
      <c r="AE533" s="43"/>
    </row>
    <row r="534" customFormat="false" ht="16.5" hidden="false" customHeight="true" outlineLevel="0" collapsed="false">
      <c r="A534" s="97" t="n">
        <f aca="false">ROW(A532)</f>
        <v>532</v>
      </c>
      <c r="B534" s="97" t="s">
        <v>462</v>
      </c>
      <c r="C534" s="100" t="n">
        <v>1</v>
      </c>
      <c r="D534" s="85"/>
      <c r="E534" s="98" t="s">
        <v>1639</v>
      </c>
      <c r="F534" s="99" t="s">
        <v>1637</v>
      </c>
      <c r="G534" s="100" t="s">
        <v>1155</v>
      </c>
      <c r="H534" s="100" t="s">
        <v>1572</v>
      </c>
      <c r="I534" s="100" t="s">
        <v>218</v>
      </c>
      <c r="J534" s="98" t="s">
        <v>471</v>
      </c>
      <c r="K534" s="101" t="s">
        <v>1640</v>
      </c>
      <c r="L534" s="102" t="n">
        <v>45782</v>
      </c>
      <c r="M534" s="100" t="n">
        <v>1462</v>
      </c>
      <c r="N534" s="100" t="n">
        <v>1731</v>
      </c>
      <c r="O534" s="100" t="n">
        <v>269</v>
      </c>
      <c r="P534" s="100" t="n">
        <v>261</v>
      </c>
      <c r="Q534" s="100"/>
      <c r="R534" s="103" t="n">
        <f aca="false">合約與計費!$D$4</f>
        <v>0.296</v>
      </c>
      <c r="S534" s="104" t="n">
        <f aca="false">ROUND(P534*R534,0)</f>
        <v>77</v>
      </c>
      <c r="T534" s="105"/>
      <c r="U534" s="100"/>
      <c r="V534" s="100"/>
      <c r="W534" s="106"/>
      <c r="X534" s="100"/>
      <c r="Y534" s="100"/>
      <c r="Z534" s="107"/>
      <c r="AA534" s="108"/>
      <c r="AB534" s="109"/>
      <c r="AC534" s="110"/>
      <c r="AD534" s="42" t="n">
        <v>0.0721</v>
      </c>
      <c r="AE534" s="43" t="n">
        <v>0.1</v>
      </c>
    </row>
    <row r="535" customFormat="false" ht="16.5" hidden="false" customHeight="true" outlineLevel="0" collapsed="false">
      <c r="A535" s="97" t="n">
        <f aca="false">ROW(A533)</f>
        <v>533</v>
      </c>
      <c r="B535" s="97" t="s">
        <v>466</v>
      </c>
      <c r="C535" s="100" t="n">
        <v>1</v>
      </c>
      <c r="D535" s="85"/>
      <c r="E535" s="98" t="s">
        <v>1641</v>
      </c>
      <c r="F535" s="99" t="s">
        <v>1637</v>
      </c>
      <c r="G535" s="100" t="s">
        <v>1155</v>
      </c>
      <c r="H535" s="100" t="s">
        <v>1572</v>
      </c>
      <c r="I535" s="100" t="s">
        <v>218</v>
      </c>
      <c r="J535" s="98" t="s">
        <v>471</v>
      </c>
      <c r="K535" s="101" t="s">
        <v>1642</v>
      </c>
      <c r="L535" s="102" t="n">
        <v>45782</v>
      </c>
      <c r="M535" s="100" t="n">
        <v>12129</v>
      </c>
      <c r="N535" s="100" t="n">
        <v>15292</v>
      </c>
      <c r="O535" s="100" t="n">
        <v>3163</v>
      </c>
      <c r="P535" s="100" t="n">
        <v>3068</v>
      </c>
      <c r="Q535" s="100"/>
      <c r="R535" s="103" t="n">
        <f aca="false">合約與計費!$D$4</f>
        <v>0.296</v>
      </c>
      <c r="S535" s="104" t="n">
        <f aca="false">ROUND(P535*R535,0)</f>
        <v>908</v>
      </c>
      <c r="T535" s="105"/>
      <c r="U535" s="100"/>
      <c r="V535" s="100"/>
      <c r="W535" s="106"/>
      <c r="X535" s="100"/>
      <c r="Y535" s="100"/>
      <c r="Z535" s="107"/>
      <c r="AA535" s="108"/>
      <c r="AB535" s="109"/>
      <c r="AC535" s="110"/>
      <c r="AD535" s="42" t="n">
        <v>0.1063</v>
      </c>
      <c r="AE535" s="43" t="n">
        <v>0.2</v>
      </c>
    </row>
    <row r="536" customFormat="false" ht="16.5" hidden="false" customHeight="true" outlineLevel="0" collapsed="false">
      <c r="A536" s="97" t="n">
        <f aca="false">ROW(A534)</f>
        <v>534</v>
      </c>
      <c r="B536" s="97" t="s">
        <v>469</v>
      </c>
      <c r="C536" s="100" t="n">
        <v>1</v>
      </c>
      <c r="D536" s="85"/>
      <c r="E536" s="98" t="s">
        <v>1643</v>
      </c>
      <c r="F536" s="99" t="s">
        <v>1637</v>
      </c>
      <c r="G536" s="100" t="s">
        <v>1155</v>
      </c>
      <c r="H536" s="100" t="s">
        <v>1572</v>
      </c>
      <c r="I536" s="100" t="s">
        <v>218</v>
      </c>
      <c r="J536" s="98" t="s">
        <v>471</v>
      </c>
      <c r="K536" s="101" t="s">
        <v>1644</v>
      </c>
      <c r="L536" s="102" t="n">
        <v>45782</v>
      </c>
      <c r="M536" s="100" t="n">
        <v>15417</v>
      </c>
      <c r="N536" s="100" t="n">
        <v>18774</v>
      </c>
      <c r="O536" s="100" t="n">
        <v>3357</v>
      </c>
      <c r="P536" s="100" t="n">
        <v>3256</v>
      </c>
      <c r="Q536" s="100"/>
      <c r="R536" s="103" t="n">
        <f aca="false">合約與計費!$D$4</f>
        <v>0.296</v>
      </c>
      <c r="S536" s="104" t="n">
        <f aca="false">ROUND(P536*R536,0)</f>
        <v>964</v>
      </c>
      <c r="T536" s="105"/>
      <c r="U536" s="100"/>
      <c r="V536" s="100"/>
      <c r="W536" s="106"/>
      <c r="X536" s="100"/>
      <c r="Y536" s="100"/>
      <c r="Z536" s="107"/>
      <c r="AA536" s="108"/>
      <c r="AB536" s="109"/>
      <c r="AC536" s="110"/>
      <c r="AD536" s="42" t="n">
        <v>0.1142</v>
      </c>
      <c r="AE536" s="43" t="n">
        <v>0.6</v>
      </c>
    </row>
    <row r="537" customFormat="false" ht="16.5" hidden="false" customHeight="true" outlineLevel="0" collapsed="false">
      <c r="A537" s="111" t="n">
        <f aca="false">ROW(A535)</f>
        <v>535</v>
      </c>
      <c r="B537" s="111" t="s">
        <v>473</v>
      </c>
      <c r="C537" s="114" t="n">
        <v>1</v>
      </c>
      <c r="D537" s="85"/>
      <c r="E537" s="112" t="s">
        <v>1645</v>
      </c>
      <c r="F537" s="113" t="s">
        <v>1637</v>
      </c>
      <c r="G537" s="114" t="s">
        <v>1155</v>
      </c>
      <c r="H537" s="114" t="s">
        <v>1572</v>
      </c>
      <c r="I537" s="114" t="s">
        <v>218</v>
      </c>
      <c r="J537" s="112" t="s">
        <v>471</v>
      </c>
      <c r="K537" s="115" t="s">
        <v>1646</v>
      </c>
      <c r="L537" s="116" t="n">
        <v>45782</v>
      </c>
      <c r="M537" s="114" t="n">
        <v>2214</v>
      </c>
      <c r="N537" s="114" t="n">
        <v>2762</v>
      </c>
      <c r="O537" s="114" t="n">
        <v>548</v>
      </c>
      <c r="P537" s="114" t="n">
        <v>532</v>
      </c>
      <c r="Q537" s="114" t="n">
        <f aca="false">ROUND(SUM(P533:P537),2)</f>
        <v>7241</v>
      </c>
      <c r="R537" s="117" t="n">
        <f aca="false">合約與計費!$D$4</f>
        <v>0.296</v>
      </c>
      <c r="S537" s="118" t="n">
        <f aca="false">ROUND(P537*R537,0)</f>
        <v>157</v>
      </c>
      <c r="T537" s="119" t="n">
        <f aca="false">ROUND(SUM(S533:S537),2)</f>
        <v>2143</v>
      </c>
      <c r="U537" s="114"/>
      <c r="V537" s="114"/>
      <c r="W537" s="120"/>
      <c r="X537" s="114"/>
      <c r="Y537" s="114" t="n">
        <f aca="false">ROUND(SUM(X533:X537),2)</f>
        <v>29</v>
      </c>
      <c r="Z537" s="121"/>
      <c r="AA537" s="122"/>
      <c r="AB537" s="123" t="n">
        <f aca="false">ROUND(SUM(AA533:AA537),2)</f>
        <v>81</v>
      </c>
      <c r="AC537" s="124"/>
      <c r="AD537" s="42" t="n">
        <v>0.0455</v>
      </c>
      <c r="AE537" s="43" t="n">
        <v>0.1</v>
      </c>
    </row>
    <row r="538" customFormat="false" ht="16.5" hidden="false" customHeight="true" outlineLevel="0" collapsed="false">
      <c r="A538" s="84" t="n">
        <f aca="false">ROW(A536)</f>
        <v>536</v>
      </c>
      <c r="B538" s="84" t="s">
        <v>455</v>
      </c>
      <c r="C538" s="32" t="n">
        <v>1</v>
      </c>
      <c r="D538" s="85" t="n">
        <v>63</v>
      </c>
      <c r="E538" s="86" t="s">
        <v>1647</v>
      </c>
      <c r="F538" s="87" t="s">
        <v>1648</v>
      </c>
      <c r="G538" s="32" t="s">
        <v>1155</v>
      </c>
      <c r="H538" s="32" t="s">
        <v>1572</v>
      </c>
      <c r="I538" s="32" t="s">
        <v>277</v>
      </c>
      <c r="J538" s="86" t="s">
        <v>460</v>
      </c>
      <c r="K538" s="88" t="s">
        <v>1649</v>
      </c>
      <c r="L538" s="89" t="n">
        <v>45771</v>
      </c>
      <c r="M538" s="32" t="n">
        <v>2250</v>
      </c>
      <c r="N538" s="32" t="n">
        <v>2683</v>
      </c>
      <c r="O538" s="32" t="n">
        <v>433</v>
      </c>
      <c r="P538" s="32" t="n">
        <v>420</v>
      </c>
      <c r="Q538" s="32"/>
      <c r="R538" s="90" t="n">
        <f aca="false">合約與計費!$D$4</f>
        <v>0.296</v>
      </c>
      <c r="S538" s="91" t="n">
        <f aca="false">ROUND(P538*R538,0)</f>
        <v>124</v>
      </c>
      <c r="T538" s="92"/>
      <c r="U538" s="32" t="n">
        <v>84</v>
      </c>
      <c r="V538" s="32" t="n">
        <v>89</v>
      </c>
      <c r="W538" s="32" t="n">
        <v>5</v>
      </c>
      <c r="X538" s="32" t="n">
        <v>5</v>
      </c>
      <c r="Y538" s="32"/>
      <c r="Z538" s="93" t="n">
        <f aca="false">合約與計費!$E$4</f>
        <v>2.8</v>
      </c>
      <c r="AA538" s="94" t="n">
        <f aca="false">ROUND(X538*Z538,0)</f>
        <v>14</v>
      </c>
      <c r="AB538" s="95"/>
      <c r="AC538" s="96"/>
      <c r="AD538" s="42"/>
      <c r="AE538" s="43"/>
    </row>
    <row r="539" customFormat="false" ht="16.5" hidden="false" customHeight="true" outlineLevel="0" collapsed="false">
      <c r="A539" s="97" t="n">
        <f aca="false">ROW(A537)</f>
        <v>537</v>
      </c>
      <c r="B539" s="97" t="s">
        <v>462</v>
      </c>
      <c r="C539" s="100" t="n">
        <v>1</v>
      </c>
      <c r="D539" s="85"/>
      <c r="E539" s="98" t="s">
        <v>1650</v>
      </c>
      <c r="F539" s="99" t="s">
        <v>1648</v>
      </c>
      <c r="G539" s="100" t="s">
        <v>1155</v>
      </c>
      <c r="H539" s="100" t="s">
        <v>1572</v>
      </c>
      <c r="I539" s="100" t="s">
        <v>277</v>
      </c>
      <c r="J539" s="98" t="s">
        <v>471</v>
      </c>
      <c r="K539" s="101" t="s">
        <v>1651</v>
      </c>
      <c r="L539" s="102" t="n">
        <v>45771</v>
      </c>
      <c r="M539" s="100" t="n">
        <v>9322</v>
      </c>
      <c r="N539" s="100" t="n">
        <v>11364</v>
      </c>
      <c r="O539" s="100" t="n">
        <v>2042</v>
      </c>
      <c r="P539" s="100" t="n">
        <v>1981</v>
      </c>
      <c r="Q539" s="100"/>
      <c r="R539" s="103" t="n">
        <f aca="false">合約與計費!$D$4</f>
        <v>0.296</v>
      </c>
      <c r="S539" s="104" t="n">
        <f aca="false">ROUND(P539*R539,0)</f>
        <v>586</v>
      </c>
      <c r="T539" s="105"/>
      <c r="U539" s="100"/>
      <c r="V539" s="100"/>
      <c r="W539" s="106"/>
      <c r="X539" s="100"/>
      <c r="Y539" s="100"/>
      <c r="Z539" s="107"/>
      <c r="AA539" s="108"/>
      <c r="AB539" s="109"/>
      <c r="AC539" s="110"/>
      <c r="AD539" s="42" t="n">
        <v>0.098</v>
      </c>
      <c r="AE539" s="43" t="n">
        <v>0.2</v>
      </c>
    </row>
    <row r="540" customFormat="false" ht="16.5" hidden="false" customHeight="true" outlineLevel="0" collapsed="false">
      <c r="A540" s="97" t="n">
        <f aca="false">ROW(A538)</f>
        <v>538</v>
      </c>
      <c r="B540" s="97" t="s">
        <v>466</v>
      </c>
      <c r="C540" s="100" t="n">
        <v>1</v>
      </c>
      <c r="D540" s="85"/>
      <c r="E540" s="98" t="s">
        <v>1652</v>
      </c>
      <c r="F540" s="99" t="s">
        <v>1648</v>
      </c>
      <c r="G540" s="100" t="s">
        <v>1155</v>
      </c>
      <c r="H540" s="100" t="s">
        <v>1572</v>
      </c>
      <c r="I540" s="100" t="s">
        <v>277</v>
      </c>
      <c r="J540" s="98" t="s">
        <v>471</v>
      </c>
      <c r="K540" s="101" t="s">
        <v>1653</v>
      </c>
      <c r="L540" s="102" t="n">
        <v>45771</v>
      </c>
      <c r="M540" s="100" t="n">
        <v>2224</v>
      </c>
      <c r="N540" s="100" t="n">
        <v>2648</v>
      </c>
      <c r="O540" s="100" t="n">
        <v>424</v>
      </c>
      <c r="P540" s="100" t="n">
        <v>411</v>
      </c>
      <c r="Q540" s="100"/>
      <c r="R540" s="103" t="n">
        <f aca="false">合約與計費!$D$4</f>
        <v>0.296</v>
      </c>
      <c r="S540" s="104" t="n">
        <f aca="false">ROUND(P540*R540,0)</f>
        <v>122</v>
      </c>
      <c r="T540" s="105"/>
      <c r="U540" s="100"/>
      <c r="V540" s="100"/>
      <c r="W540" s="106"/>
      <c r="X540" s="100"/>
      <c r="Y540" s="100"/>
      <c r="Z540" s="107"/>
      <c r="AA540" s="108"/>
      <c r="AB540" s="109"/>
      <c r="AC540" s="110"/>
      <c r="AD540" s="42" t="n">
        <v>0.0457</v>
      </c>
      <c r="AE540" s="43" t="n">
        <v>1</v>
      </c>
    </row>
    <row r="541" customFormat="false" ht="16.5" hidden="false" customHeight="true" outlineLevel="0" collapsed="false">
      <c r="A541" s="111" t="n">
        <f aca="false">ROW(A539)</f>
        <v>539</v>
      </c>
      <c r="B541" s="111" t="s">
        <v>469</v>
      </c>
      <c r="C541" s="114" t="n">
        <v>1</v>
      </c>
      <c r="D541" s="85"/>
      <c r="E541" s="112" t="s">
        <v>1654</v>
      </c>
      <c r="F541" s="113" t="s">
        <v>1648</v>
      </c>
      <c r="G541" s="114" t="s">
        <v>1155</v>
      </c>
      <c r="H541" s="114" t="s">
        <v>1572</v>
      </c>
      <c r="I541" s="114" t="s">
        <v>277</v>
      </c>
      <c r="J541" s="112" t="s">
        <v>471</v>
      </c>
      <c r="K541" s="115" t="s">
        <v>1655</v>
      </c>
      <c r="L541" s="116" t="n">
        <v>45771</v>
      </c>
      <c r="M541" s="114" t="n">
        <v>3618</v>
      </c>
      <c r="N541" s="114" t="n">
        <v>4391</v>
      </c>
      <c r="O541" s="114" t="n">
        <v>773</v>
      </c>
      <c r="P541" s="114" t="n">
        <v>750</v>
      </c>
      <c r="Q541" s="114" t="n">
        <f aca="false">ROUND(SUM(P538:P541),2)</f>
        <v>3562</v>
      </c>
      <c r="R541" s="117" t="n">
        <f aca="false">合約與計費!$D$4</f>
        <v>0.296</v>
      </c>
      <c r="S541" s="118" t="n">
        <f aca="false">ROUND(P541*R541,0)</f>
        <v>222</v>
      </c>
      <c r="T541" s="119" t="n">
        <f aca="false">ROUND(SUM(S538:S541),2)</f>
        <v>1054</v>
      </c>
      <c r="U541" s="114"/>
      <c r="V541" s="114"/>
      <c r="W541" s="120"/>
      <c r="X541" s="114"/>
      <c r="Y541" s="114" t="n">
        <f aca="false">ROUND(SUM(X538:X541),2)</f>
        <v>5</v>
      </c>
      <c r="Z541" s="121"/>
      <c r="AA541" s="122"/>
      <c r="AB541" s="123" t="n">
        <f aca="false">ROUND(SUM(AA538:AA541),2)</f>
        <v>14</v>
      </c>
      <c r="AC541" s="124"/>
      <c r="AD541" s="42" t="n">
        <v>0.1822</v>
      </c>
      <c r="AE541" s="43" t="n">
        <v>0.3</v>
      </c>
    </row>
    <row r="542" customFormat="false" ht="16.5" hidden="false" customHeight="true" outlineLevel="0" collapsed="false">
      <c r="A542" s="84" t="n">
        <f aca="false">ROW(A540)</f>
        <v>540</v>
      </c>
      <c r="B542" s="84" t="s">
        <v>455</v>
      </c>
      <c r="C542" s="32" t="n">
        <v>1</v>
      </c>
      <c r="D542" s="85" t="n">
        <v>64</v>
      </c>
      <c r="E542" s="86" t="s">
        <v>1656</v>
      </c>
      <c r="F542" s="87" t="s">
        <v>1657</v>
      </c>
      <c r="G542" s="32" t="s">
        <v>1155</v>
      </c>
      <c r="H542" s="32" t="s">
        <v>1572</v>
      </c>
      <c r="I542" s="32" t="s">
        <v>336</v>
      </c>
      <c r="J542" s="86" t="s">
        <v>460</v>
      </c>
      <c r="K542" s="88" t="s">
        <v>1658</v>
      </c>
      <c r="L542" s="89" t="n">
        <v>45748</v>
      </c>
      <c r="M542" s="32" t="n">
        <v>2542</v>
      </c>
      <c r="N542" s="32" t="n">
        <v>2818</v>
      </c>
      <c r="O542" s="32" t="n">
        <v>276</v>
      </c>
      <c r="P542" s="32" t="n">
        <v>268</v>
      </c>
      <c r="Q542" s="32"/>
      <c r="R542" s="90" t="n">
        <f aca="false">合約與計費!$D$4</f>
        <v>0.296</v>
      </c>
      <c r="S542" s="91" t="n">
        <f aca="false">ROUND(P542*R542,0)</f>
        <v>79</v>
      </c>
      <c r="T542" s="92"/>
      <c r="U542" s="32" t="n">
        <v>96</v>
      </c>
      <c r="V542" s="32" t="n">
        <v>105</v>
      </c>
      <c r="W542" s="32" t="n">
        <v>9</v>
      </c>
      <c r="X542" s="32" t="n">
        <v>9</v>
      </c>
      <c r="Y542" s="32"/>
      <c r="Z542" s="93" t="n">
        <f aca="false">合約與計費!$E$4</f>
        <v>2.8</v>
      </c>
      <c r="AA542" s="94" t="n">
        <f aca="false">ROUND(X542*Z542,0)</f>
        <v>25</v>
      </c>
      <c r="AB542" s="95"/>
      <c r="AC542" s="96"/>
      <c r="AD542" s="42"/>
      <c r="AE542" s="43"/>
    </row>
    <row r="543" customFormat="false" ht="16.5" hidden="false" customHeight="true" outlineLevel="0" collapsed="false">
      <c r="A543" s="97" t="n">
        <f aca="false">ROW(A541)</f>
        <v>541</v>
      </c>
      <c r="B543" s="97" t="s">
        <v>462</v>
      </c>
      <c r="C543" s="100" t="n">
        <v>1</v>
      </c>
      <c r="D543" s="85"/>
      <c r="E543" s="98" t="s">
        <v>1659</v>
      </c>
      <c r="F543" s="99" t="s">
        <v>1657</v>
      </c>
      <c r="G543" s="100" t="s">
        <v>1155</v>
      </c>
      <c r="H543" s="100" t="s">
        <v>1572</v>
      </c>
      <c r="I543" s="100" t="s">
        <v>336</v>
      </c>
      <c r="J543" s="98" t="s">
        <v>464</v>
      </c>
      <c r="K543" s="101" t="s">
        <v>1660</v>
      </c>
      <c r="L543" s="102" t="n">
        <v>45748</v>
      </c>
      <c r="M543" s="100" t="n">
        <v>1087</v>
      </c>
      <c r="N543" s="100" t="n">
        <v>1364</v>
      </c>
      <c r="O543" s="100" t="n">
        <v>277</v>
      </c>
      <c r="P543" s="100" t="n">
        <v>269</v>
      </c>
      <c r="Q543" s="100"/>
      <c r="R543" s="103" t="n">
        <f aca="false">合約與計費!$D$4</f>
        <v>0.296</v>
      </c>
      <c r="S543" s="104" t="n">
        <f aca="false">ROUND(P543*R543,0)</f>
        <v>80</v>
      </c>
      <c r="T543" s="105"/>
      <c r="U543" s="100"/>
      <c r="V543" s="100"/>
      <c r="W543" s="106"/>
      <c r="X543" s="100"/>
      <c r="Y543" s="100"/>
      <c r="Z543" s="107"/>
      <c r="AA543" s="108"/>
      <c r="AB543" s="109"/>
      <c r="AC543" s="110"/>
      <c r="AD543" s="42" t="n">
        <v>0.0696</v>
      </c>
      <c r="AE543" s="43" t="n">
        <v>0.2</v>
      </c>
    </row>
    <row r="544" customFormat="false" ht="16.5" hidden="false" customHeight="true" outlineLevel="0" collapsed="false">
      <c r="A544" s="97" t="n">
        <f aca="false">ROW(A542)</f>
        <v>542</v>
      </c>
      <c r="B544" s="97" t="s">
        <v>466</v>
      </c>
      <c r="C544" s="100" t="n">
        <v>1</v>
      </c>
      <c r="D544" s="85"/>
      <c r="E544" s="98" t="s">
        <v>1661</v>
      </c>
      <c r="F544" s="99" t="s">
        <v>1657</v>
      </c>
      <c r="G544" s="100" t="s">
        <v>1155</v>
      </c>
      <c r="H544" s="100" t="s">
        <v>1572</v>
      </c>
      <c r="I544" s="100" t="s">
        <v>336</v>
      </c>
      <c r="J544" s="98" t="s">
        <v>471</v>
      </c>
      <c r="K544" s="101" t="s">
        <v>1662</v>
      </c>
      <c r="L544" s="102" t="n">
        <v>45748</v>
      </c>
      <c r="M544" s="100" t="n">
        <v>19</v>
      </c>
      <c r="N544" s="100" t="n">
        <v>28</v>
      </c>
      <c r="O544" s="100" t="n">
        <v>9</v>
      </c>
      <c r="P544" s="100" t="n">
        <v>9</v>
      </c>
      <c r="Q544" s="100"/>
      <c r="R544" s="103" t="n">
        <f aca="false">合約與計費!$D$4</f>
        <v>0.296</v>
      </c>
      <c r="S544" s="104" t="n">
        <f aca="false">ROUND(P544*R544,0)</f>
        <v>3</v>
      </c>
      <c r="T544" s="105"/>
      <c r="U544" s="100"/>
      <c r="V544" s="100"/>
      <c r="W544" s="106"/>
      <c r="X544" s="100"/>
      <c r="Y544" s="100"/>
      <c r="Z544" s="107"/>
      <c r="AA544" s="108"/>
      <c r="AB544" s="109"/>
      <c r="AC544" s="110"/>
      <c r="AD544" s="42" t="n">
        <v>0.0306</v>
      </c>
      <c r="AE544" s="43" t="n">
        <v>1</v>
      </c>
    </row>
    <row r="545" customFormat="false" ht="16.5" hidden="false" customHeight="true" outlineLevel="0" collapsed="false">
      <c r="A545" s="97" t="n">
        <f aca="false">ROW(A543)</f>
        <v>543</v>
      </c>
      <c r="B545" s="97" t="s">
        <v>469</v>
      </c>
      <c r="C545" s="100" t="n">
        <v>1</v>
      </c>
      <c r="D545" s="85"/>
      <c r="E545" s="98" t="s">
        <v>1663</v>
      </c>
      <c r="F545" s="99" t="s">
        <v>1657</v>
      </c>
      <c r="G545" s="100" t="s">
        <v>1155</v>
      </c>
      <c r="H545" s="100" t="s">
        <v>1572</v>
      </c>
      <c r="I545" s="100" t="s">
        <v>336</v>
      </c>
      <c r="J545" s="98" t="s">
        <v>471</v>
      </c>
      <c r="K545" s="101" t="s">
        <v>1664</v>
      </c>
      <c r="L545" s="102" t="n">
        <v>45748</v>
      </c>
      <c r="M545" s="100" t="n">
        <v>11434</v>
      </c>
      <c r="N545" s="100" t="n">
        <v>13216</v>
      </c>
      <c r="O545" s="100" t="n">
        <v>1782</v>
      </c>
      <c r="P545" s="100" t="n">
        <v>1729</v>
      </c>
      <c r="Q545" s="100"/>
      <c r="R545" s="103" t="n">
        <f aca="false">合約與計費!$D$4</f>
        <v>0.296</v>
      </c>
      <c r="S545" s="104" t="n">
        <f aca="false">ROUND(P545*R545,0)</f>
        <v>512</v>
      </c>
      <c r="T545" s="105"/>
      <c r="U545" s="100"/>
      <c r="V545" s="100"/>
      <c r="W545" s="106"/>
      <c r="X545" s="100"/>
      <c r="Y545" s="100"/>
      <c r="Z545" s="107"/>
      <c r="AA545" s="108"/>
      <c r="AB545" s="109"/>
      <c r="AC545" s="110"/>
      <c r="AD545" s="42" t="n">
        <v>0.0895</v>
      </c>
      <c r="AE545" s="43" t="n">
        <v>0.3</v>
      </c>
    </row>
    <row r="546" customFormat="false" ht="16.5" hidden="false" customHeight="true" outlineLevel="0" collapsed="false">
      <c r="A546" s="97" t="n">
        <f aca="false">ROW(A544)</f>
        <v>544</v>
      </c>
      <c r="B546" s="97" t="s">
        <v>473</v>
      </c>
      <c r="C546" s="100" t="n">
        <v>1</v>
      </c>
      <c r="D546" s="85"/>
      <c r="E546" s="98" t="s">
        <v>1665</v>
      </c>
      <c r="F546" s="99" t="s">
        <v>1657</v>
      </c>
      <c r="G546" s="100" t="s">
        <v>1155</v>
      </c>
      <c r="H546" s="100" t="s">
        <v>1572</v>
      </c>
      <c r="I546" s="100" t="s">
        <v>336</v>
      </c>
      <c r="J546" s="98" t="s">
        <v>471</v>
      </c>
      <c r="K546" s="101" t="s">
        <v>1666</v>
      </c>
      <c r="L546" s="102" t="n">
        <v>45748</v>
      </c>
      <c r="M546" s="100" t="n">
        <v>12391</v>
      </c>
      <c r="N546" s="100" t="n">
        <v>15100</v>
      </c>
      <c r="O546" s="100" t="n">
        <v>2709</v>
      </c>
      <c r="P546" s="100" t="n">
        <v>2628</v>
      </c>
      <c r="Q546" s="100"/>
      <c r="R546" s="103" t="n">
        <f aca="false">合約與計費!$D$4</f>
        <v>0.296</v>
      </c>
      <c r="S546" s="104" t="n">
        <f aca="false">ROUND(P546*R546,0)</f>
        <v>778</v>
      </c>
      <c r="T546" s="105"/>
      <c r="U546" s="100"/>
      <c r="V546" s="100"/>
      <c r="W546" s="106"/>
      <c r="X546" s="100"/>
      <c r="Y546" s="100"/>
      <c r="Z546" s="107"/>
      <c r="AA546" s="108"/>
      <c r="AB546" s="109"/>
      <c r="AC546" s="110"/>
      <c r="AD546" s="42" t="n">
        <v>0.1039</v>
      </c>
      <c r="AE546" s="43" t="n">
        <v>0.2</v>
      </c>
    </row>
    <row r="547" customFormat="false" ht="16.5" hidden="false" customHeight="true" outlineLevel="0" collapsed="false">
      <c r="A547" s="111" t="n">
        <f aca="false">ROW(A545)</f>
        <v>545</v>
      </c>
      <c r="B547" s="111" t="s">
        <v>476</v>
      </c>
      <c r="C547" s="114" t="n">
        <v>1</v>
      </c>
      <c r="D547" s="85"/>
      <c r="E547" s="112" t="s">
        <v>1667</v>
      </c>
      <c r="F547" s="113" t="s">
        <v>1657</v>
      </c>
      <c r="G547" s="114" t="s">
        <v>1155</v>
      </c>
      <c r="H547" s="114" t="s">
        <v>1572</v>
      </c>
      <c r="I547" s="114" t="s">
        <v>336</v>
      </c>
      <c r="J547" s="112" t="s">
        <v>471</v>
      </c>
      <c r="K547" s="115" t="s">
        <v>1668</v>
      </c>
      <c r="L547" s="116" t="n">
        <v>45748</v>
      </c>
      <c r="M547" s="114" t="n">
        <v>2515</v>
      </c>
      <c r="N547" s="114" t="n">
        <v>2923</v>
      </c>
      <c r="O547" s="114" t="n">
        <v>408</v>
      </c>
      <c r="P547" s="114" t="n">
        <v>396</v>
      </c>
      <c r="Q547" s="114" t="n">
        <f aca="false">ROUND(SUM(P542:P547),2)</f>
        <v>5299</v>
      </c>
      <c r="R547" s="117" t="n">
        <f aca="false">合約與計費!$D$4</f>
        <v>0.296</v>
      </c>
      <c r="S547" s="118" t="n">
        <f aca="false">ROUND(P547*R547,0)</f>
        <v>117</v>
      </c>
      <c r="T547" s="119" t="n">
        <f aca="false">ROUND(SUM(S542:S547),2)</f>
        <v>1569</v>
      </c>
      <c r="U547" s="114"/>
      <c r="V547" s="114"/>
      <c r="W547" s="120"/>
      <c r="X547" s="114"/>
      <c r="Y547" s="114" t="n">
        <f aca="false">ROUND(SUM(X542:X547),2)</f>
        <v>9</v>
      </c>
      <c r="Z547" s="121"/>
      <c r="AA547" s="122"/>
      <c r="AB547" s="123" t="n">
        <f aca="false">ROUND(SUM(AA542:AA547),2)</f>
        <v>25</v>
      </c>
      <c r="AC547" s="124"/>
      <c r="AD547" s="42" t="n">
        <v>0.0454</v>
      </c>
      <c r="AE547" s="43" t="n">
        <v>0.1</v>
      </c>
    </row>
    <row r="548" customFormat="false" ht="16.5" hidden="false" customHeight="true" outlineLevel="0" collapsed="false">
      <c r="A548" s="84" t="n">
        <f aca="false">ROW(A546)</f>
        <v>546</v>
      </c>
      <c r="B548" s="84" t="s">
        <v>455</v>
      </c>
      <c r="C548" s="32" t="n">
        <v>1</v>
      </c>
      <c r="D548" s="85" t="n">
        <v>69</v>
      </c>
      <c r="E548" s="86" t="s">
        <v>1669</v>
      </c>
      <c r="F548" s="87" t="s">
        <v>1670</v>
      </c>
      <c r="G548" s="32" t="s">
        <v>1155</v>
      </c>
      <c r="H548" s="32" t="s">
        <v>1572</v>
      </c>
      <c r="I548" s="32" t="s">
        <v>421</v>
      </c>
      <c r="J548" s="86" t="s">
        <v>460</v>
      </c>
      <c r="K548" s="88" t="s">
        <v>1671</v>
      </c>
      <c r="L548" s="89" t="n">
        <v>45722</v>
      </c>
      <c r="M548" s="32" t="n">
        <v>2569</v>
      </c>
      <c r="N548" s="32" t="n">
        <v>3024</v>
      </c>
      <c r="O548" s="32" t="n">
        <v>455</v>
      </c>
      <c r="P548" s="32" t="n">
        <v>441</v>
      </c>
      <c r="Q548" s="32"/>
      <c r="R548" s="90" t="n">
        <f aca="false">合約與計費!$D$4</f>
        <v>0.296</v>
      </c>
      <c r="S548" s="91" t="n">
        <f aca="false">ROUND(P548*R548,0)</f>
        <v>131</v>
      </c>
      <c r="T548" s="92"/>
      <c r="U548" s="32" t="n">
        <v>59</v>
      </c>
      <c r="V548" s="32" t="n">
        <v>67</v>
      </c>
      <c r="W548" s="32" t="n">
        <v>8</v>
      </c>
      <c r="X548" s="32" t="n">
        <v>8</v>
      </c>
      <c r="Y548" s="32"/>
      <c r="Z548" s="93" t="n">
        <f aca="false">合約與計費!$E$4</f>
        <v>2.8</v>
      </c>
      <c r="AA548" s="94" t="n">
        <f aca="false">ROUND(X548*Z548,0)</f>
        <v>22</v>
      </c>
      <c r="AB548" s="95"/>
      <c r="AC548" s="96"/>
      <c r="AD548" s="42"/>
      <c r="AE548" s="43"/>
    </row>
    <row r="549" customFormat="false" ht="16.5" hidden="false" customHeight="true" outlineLevel="0" collapsed="false">
      <c r="A549" s="97" t="n">
        <f aca="false">ROW(A547)</f>
        <v>547</v>
      </c>
      <c r="B549" s="97" t="s">
        <v>462</v>
      </c>
      <c r="C549" s="100" t="n">
        <v>1</v>
      </c>
      <c r="D549" s="85"/>
      <c r="E549" s="98" t="s">
        <v>1672</v>
      </c>
      <c r="F549" s="99" t="s">
        <v>1670</v>
      </c>
      <c r="G549" s="100" t="s">
        <v>1155</v>
      </c>
      <c r="H549" s="100" t="s">
        <v>1572</v>
      </c>
      <c r="I549" s="100" t="s">
        <v>421</v>
      </c>
      <c r="J549" s="98" t="s">
        <v>471</v>
      </c>
      <c r="K549" s="101" t="s">
        <v>1673</v>
      </c>
      <c r="L549" s="102" t="n">
        <v>45722</v>
      </c>
      <c r="M549" s="100" t="n">
        <v>2636</v>
      </c>
      <c r="N549" s="100" t="n">
        <v>3065</v>
      </c>
      <c r="O549" s="100" t="n">
        <v>429</v>
      </c>
      <c r="P549" s="100" t="n">
        <v>416</v>
      </c>
      <c r="Q549" s="100"/>
      <c r="R549" s="103" t="n">
        <f aca="false">合約與計費!$D$4</f>
        <v>0.296</v>
      </c>
      <c r="S549" s="104" t="n">
        <f aca="false">ROUND(P549*R549,0)</f>
        <v>123</v>
      </c>
      <c r="T549" s="105"/>
      <c r="U549" s="100"/>
      <c r="V549" s="100"/>
      <c r="W549" s="106"/>
      <c r="X549" s="100"/>
      <c r="Y549" s="100"/>
      <c r="Z549" s="107"/>
      <c r="AA549" s="108"/>
      <c r="AB549" s="109"/>
      <c r="AC549" s="110"/>
      <c r="AD549" s="42"/>
      <c r="AE549" s="43"/>
    </row>
    <row r="550" customFormat="false" ht="16.5" hidden="false" customHeight="true" outlineLevel="0" collapsed="false">
      <c r="A550" s="97" t="n">
        <f aca="false">ROW(A548)</f>
        <v>548</v>
      </c>
      <c r="B550" s="97" t="s">
        <v>466</v>
      </c>
      <c r="C550" s="100" t="n">
        <v>1</v>
      </c>
      <c r="D550" s="85"/>
      <c r="E550" s="98" t="s">
        <v>1674</v>
      </c>
      <c r="F550" s="99" t="s">
        <v>1670</v>
      </c>
      <c r="G550" s="100" t="s">
        <v>1155</v>
      </c>
      <c r="H550" s="100" t="s">
        <v>1572</v>
      </c>
      <c r="I550" s="100" t="s">
        <v>421</v>
      </c>
      <c r="J550" s="98" t="s">
        <v>471</v>
      </c>
      <c r="K550" s="101" t="s">
        <v>1675</v>
      </c>
      <c r="L550" s="102" t="n">
        <v>45722</v>
      </c>
      <c r="M550" s="100" t="n">
        <v>19436</v>
      </c>
      <c r="N550" s="100" t="n">
        <v>22102</v>
      </c>
      <c r="O550" s="100" t="n">
        <v>2666</v>
      </c>
      <c r="P550" s="100" t="n">
        <v>2586</v>
      </c>
      <c r="Q550" s="100"/>
      <c r="R550" s="103" t="n">
        <f aca="false">合約與計費!$D$4</f>
        <v>0.296</v>
      </c>
      <c r="S550" s="104" t="n">
        <f aca="false">ROUND(P550*R550,0)</f>
        <v>765</v>
      </c>
      <c r="T550" s="105"/>
      <c r="U550" s="100"/>
      <c r="V550" s="100"/>
      <c r="W550" s="106"/>
      <c r="X550" s="100"/>
      <c r="Y550" s="100"/>
      <c r="Z550" s="107"/>
      <c r="AA550" s="108"/>
      <c r="AB550" s="109"/>
      <c r="AC550" s="110"/>
      <c r="AD550" s="42"/>
      <c r="AE550" s="43"/>
    </row>
    <row r="551" customFormat="false" ht="16.5" hidden="false" customHeight="true" outlineLevel="0" collapsed="false">
      <c r="A551" s="111" t="n">
        <f aca="false">ROW(A549)</f>
        <v>549</v>
      </c>
      <c r="B551" s="111" t="s">
        <v>469</v>
      </c>
      <c r="C551" s="114" t="n">
        <v>1</v>
      </c>
      <c r="D551" s="85"/>
      <c r="E551" s="112" t="s">
        <v>1676</v>
      </c>
      <c r="F551" s="113" t="s">
        <v>1670</v>
      </c>
      <c r="G551" s="114" t="s">
        <v>1155</v>
      </c>
      <c r="H551" s="114" t="s">
        <v>1572</v>
      </c>
      <c r="I551" s="114" t="s">
        <v>421</v>
      </c>
      <c r="J551" s="112" t="s">
        <v>471</v>
      </c>
      <c r="K551" s="115" t="s">
        <v>1677</v>
      </c>
      <c r="L551" s="116" t="n">
        <v>45722</v>
      </c>
      <c r="M551" s="114" t="n">
        <v>7106</v>
      </c>
      <c r="N551" s="114" t="n">
        <v>8245</v>
      </c>
      <c r="O551" s="114" t="n">
        <v>1139</v>
      </c>
      <c r="P551" s="114" t="n">
        <v>1105</v>
      </c>
      <c r="Q551" s="114" t="n">
        <f aca="false">ROUND(SUM(P548:P551),2)</f>
        <v>4548</v>
      </c>
      <c r="R551" s="117" t="n">
        <f aca="false">合約與計費!$D$4</f>
        <v>0.296</v>
      </c>
      <c r="S551" s="118" t="n">
        <f aca="false">ROUND(P551*R551,0)</f>
        <v>327</v>
      </c>
      <c r="T551" s="119" t="n">
        <f aca="false">ROUND(SUM(S548:S551),2)</f>
        <v>1346</v>
      </c>
      <c r="U551" s="114"/>
      <c r="V551" s="114"/>
      <c r="W551" s="120"/>
      <c r="X551" s="114"/>
      <c r="Y551" s="114" t="n">
        <f aca="false">ROUND(SUM(X548:X551),2)</f>
        <v>8</v>
      </c>
      <c r="Z551" s="121"/>
      <c r="AA551" s="122"/>
      <c r="AB551" s="123" t="n">
        <f aca="false">ROUND(SUM(AA548:AA551),2)</f>
        <v>22</v>
      </c>
      <c r="AC551" s="124"/>
      <c r="AD551" s="42"/>
      <c r="AE551" s="43"/>
    </row>
    <row r="552" customFormat="false" ht="16.5" hidden="false" customHeight="true" outlineLevel="0" collapsed="false">
      <c r="A552" s="84" t="n">
        <f aca="false">ROW(A550)</f>
        <v>550</v>
      </c>
      <c r="B552" s="84" t="s">
        <v>455</v>
      </c>
      <c r="C552" s="32" t="n">
        <v>1</v>
      </c>
      <c r="D552" s="85" t="n">
        <v>264</v>
      </c>
      <c r="E552" s="86" t="s">
        <v>1678</v>
      </c>
      <c r="F552" s="87" t="s">
        <v>1679</v>
      </c>
      <c r="G552" s="32" t="s">
        <v>1155</v>
      </c>
      <c r="H552" s="32" t="s">
        <v>1572</v>
      </c>
      <c r="I552" s="172" t="s">
        <v>420</v>
      </c>
      <c r="J552" s="86" t="s">
        <v>460</v>
      </c>
      <c r="K552" s="88" t="s">
        <v>1680</v>
      </c>
      <c r="L552" s="89" t="n">
        <v>45735</v>
      </c>
      <c r="M552" s="32" t="n">
        <v>336</v>
      </c>
      <c r="N552" s="32" t="n">
        <v>360</v>
      </c>
      <c r="O552" s="32" t="n">
        <v>24</v>
      </c>
      <c r="P552" s="32" t="n">
        <v>23</v>
      </c>
      <c r="Q552" s="32"/>
      <c r="R552" s="90" t="n">
        <f aca="false">合約與計費!$D$4</f>
        <v>0.296</v>
      </c>
      <c r="S552" s="91" t="n">
        <f aca="false">ROUND(P552*R552,0)</f>
        <v>7</v>
      </c>
      <c r="T552" s="92"/>
      <c r="U552" s="32" t="n">
        <v>369</v>
      </c>
      <c r="V552" s="32" t="n">
        <v>394</v>
      </c>
      <c r="W552" s="32" t="n">
        <v>25</v>
      </c>
      <c r="X552" s="32" t="n">
        <v>24</v>
      </c>
      <c r="Y552" s="32"/>
      <c r="Z552" s="93" t="n">
        <f aca="false">合約與計費!$E$4</f>
        <v>2.8</v>
      </c>
      <c r="AA552" s="94" t="n">
        <f aca="false">ROUND(X552*Z552,0)</f>
        <v>67</v>
      </c>
      <c r="AB552" s="95"/>
      <c r="AC552" s="96"/>
      <c r="AD552" s="42"/>
      <c r="AE552" s="43"/>
    </row>
    <row r="553" customFormat="false" ht="16.5" hidden="false" customHeight="true" outlineLevel="0" collapsed="false">
      <c r="A553" s="111" t="n">
        <f aca="false">ROW(A551)</f>
        <v>551</v>
      </c>
      <c r="B553" s="111" t="s">
        <v>462</v>
      </c>
      <c r="C553" s="114" t="n">
        <v>1</v>
      </c>
      <c r="D553" s="85"/>
      <c r="E553" s="112" t="s">
        <v>1681</v>
      </c>
      <c r="F553" s="113" t="s">
        <v>1679</v>
      </c>
      <c r="G553" s="114" t="s">
        <v>1155</v>
      </c>
      <c r="H553" s="114" t="s">
        <v>1572</v>
      </c>
      <c r="I553" s="173" t="s">
        <v>420</v>
      </c>
      <c r="J553" s="112" t="s">
        <v>464</v>
      </c>
      <c r="K553" s="115" t="s">
        <v>1682</v>
      </c>
      <c r="L553" s="116" t="n">
        <v>45735</v>
      </c>
      <c r="M553" s="114" t="n">
        <v>4691</v>
      </c>
      <c r="N553" s="114" t="n">
        <v>5677</v>
      </c>
      <c r="O553" s="114" t="n">
        <v>986</v>
      </c>
      <c r="P553" s="114" t="n">
        <v>956</v>
      </c>
      <c r="Q553" s="114" t="n">
        <f aca="false">ROUND(SUM(P552:P553),2)</f>
        <v>979</v>
      </c>
      <c r="R553" s="117" t="n">
        <f aca="false">合約與計費!$D$4</f>
        <v>0.296</v>
      </c>
      <c r="S553" s="118" t="n">
        <f aca="false">ROUND(P553*R553,0)</f>
        <v>283</v>
      </c>
      <c r="T553" s="119" t="n">
        <f aca="false">ROUND(SUM(S552:S553),2)</f>
        <v>290</v>
      </c>
      <c r="U553" s="114"/>
      <c r="V553" s="114"/>
      <c r="W553" s="120"/>
      <c r="X553" s="114"/>
      <c r="Y553" s="114" t="n">
        <f aca="false">ROUND(SUM(X552:X553),2)</f>
        <v>24</v>
      </c>
      <c r="Z553" s="121"/>
      <c r="AA553" s="122"/>
      <c r="AB553" s="123" t="n">
        <f aca="false">ROUND(SUM(AA552:AA553),2)</f>
        <v>67</v>
      </c>
      <c r="AC553" s="124"/>
      <c r="AD553" s="42" t="n">
        <v>0.068</v>
      </c>
      <c r="AE553" s="43" t="n">
        <v>0.7</v>
      </c>
    </row>
    <row r="554" customFormat="false" ht="16.5" hidden="false" customHeight="true" outlineLevel="0" collapsed="false">
      <c r="A554" s="84" t="n">
        <f aca="false">ROW(A552)</f>
        <v>552</v>
      </c>
      <c r="B554" s="84" t="s">
        <v>455</v>
      </c>
      <c r="C554" s="32" t="n">
        <v>1</v>
      </c>
      <c r="D554" s="85" t="n">
        <v>266</v>
      </c>
      <c r="E554" s="86" t="s">
        <v>1683</v>
      </c>
      <c r="F554" s="87" t="s">
        <v>1684</v>
      </c>
      <c r="G554" s="32" t="s">
        <v>1155</v>
      </c>
      <c r="H554" s="32" t="s">
        <v>1572</v>
      </c>
      <c r="I554" s="172" t="s">
        <v>217</v>
      </c>
      <c r="J554" s="86" t="s">
        <v>460</v>
      </c>
      <c r="K554" s="88" t="s">
        <v>1685</v>
      </c>
      <c r="L554" s="89" t="n">
        <v>45782</v>
      </c>
      <c r="M554" s="32" t="n">
        <v>142</v>
      </c>
      <c r="N554" s="32" t="n">
        <v>157</v>
      </c>
      <c r="O554" s="32" t="n">
        <v>15</v>
      </c>
      <c r="P554" s="32" t="n">
        <v>15</v>
      </c>
      <c r="Q554" s="32"/>
      <c r="R554" s="90" t="n">
        <f aca="false">合約與計費!$D$4</f>
        <v>0.296</v>
      </c>
      <c r="S554" s="91" t="n">
        <f aca="false">ROUND(P554*R554,0)</f>
        <v>4</v>
      </c>
      <c r="T554" s="92"/>
      <c r="U554" s="32" t="n">
        <v>39</v>
      </c>
      <c r="V554" s="32" t="n">
        <v>59</v>
      </c>
      <c r="W554" s="32" t="n">
        <v>20</v>
      </c>
      <c r="X554" s="32" t="n">
        <v>19</v>
      </c>
      <c r="Y554" s="32"/>
      <c r="Z554" s="93" t="n">
        <f aca="false">合約與計費!$E$4</f>
        <v>2.8</v>
      </c>
      <c r="AA554" s="94" t="n">
        <f aca="false">ROUND(X554*Z554,0)</f>
        <v>53</v>
      </c>
      <c r="AB554" s="95"/>
      <c r="AC554" s="96"/>
      <c r="AD554" s="42"/>
      <c r="AE554" s="43"/>
    </row>
    <row r="555" customFormat="false" ht="16.5" hidden="false" customHeight="true" outlineLevel="0" collapsed="false">
      <c r="A555" s="111" t="n">
        <f aca="false">ROW(A553)</f>
        <v>553</v>
      </c>
      <c r="B555" s="111" t="s">
        <v>462</v>
      </c>
      <c r="C555" s="114" t="n">
        <v>1</v>
      </c>
      <c r="D555" s="85"/>
      <c r="E555" s="112" t="s">
        <v>1686</v>
      </c>
      <c r="F555" s="113" t="s">
        <v>1684</v>
      </c>
      <c r="G555" s="114" t="s">
        <v>1155</v>
      </c>
      <c r="H555" s="114" t="s">
        <v>1572</v>
      </c>
      <c r="I555" s="173" t="s">
        <v>217</v>
      </c>
      <c r="J555" s="112" t="s">
        <v>464</v>
      </c>
      <c r="K555" s="115" t="s">
        <v>1687</v>
      </c>
      <c r="L555" s="116" t="n">
        <v>45782</v>
      </c>
      <c r="M555" s="114" t="n">
        <v>7012</v>
      </c>
      <c r="N555" s="114" t="n">
        <v>8474</v>
      </c>
      <c r="O555" s="114" t="n">
        <v>1462</v>
      </c>
      <c r="P555" s="114" t="n">
        <v>1418</v>
      </c>
      <c r="Q555" s="114" t="n">
        <f aca="false">ROUND(SUM(P554:P555),2)</f>
        <v>1433</v>
      </c>
      <c r="R555" s="117" t="n">
        <f aca="false">合約與計費!$D$4</f>
        <v>0.296</v>
      </c>
      <c r="S555" s="118" t="n">
        <f aca="false">ROUND(P555*R555,0)</f>
        <v>420</v>
      </c>
      <c r="T555" s="119" t="n">
        <f aca="false">ROUND(SUM(S554:S555),2)</f>
        <v>424</v>
      </c>
      <c r="U555" s="114"/>
      <c r="V555" s="114"/>
      <c r="W555" s="120"/>
      <c r="X555" s="114"/>
      <c r="Y555" s="114" t="n">
        <f aca="false">ROUND(SUM(X554:X555),2)</f>
        <v>19</v>
      </c>
      <c r="Z555" s="121"/>
      <c r="AA555" s="122"/>
      <c r="AB555" s="123" t="n">
        <f aca="false">ROUND(SUM(AA554:AA555),2)</f>
        <v>53</v>
      </c>
      <c r="AC555" s="124"/>
      <c r="AD555" s="42" t="n">
        <v>0.0735</v>
      </c>
      <c r="AE555" s="43" t="n">
        <v>0.7</v>
      </c>
    </row>
    <row r="556" customFormat="false" ht="16.5" hidden="false" customHeight="true" outlineLevel="0" collapsed="false">
      <c r="A556" s="84" t="n">
        <f aca="false">ROW(A554)</f>
        <v>554</v>
      </c>
      <c r="B556" s="84" t="s">
        <v>455</v>
      </c>
      <c r="C556" s="32" t="n">
        <v>1</v>
      </c>
      <c r="D556" s="85" t="n">
        <v>269</v>
      </c>
      <c r="E556" s="86" t="s">
        <v>1688</v>
      </c>
      <c r="F556" s="87" t="s">
        <v>1689</v>
      </c>
      <c r="G556" s="32" t="s">
        <v>1155</v>
      </c>
      <c r="H556" s="32" t="s">
        <v>1572</v>
      </c>
      <c r="I556" s="172" t="s">
        <v>65</v>
      </c>
      <c r="J556" s="86" t="s">
        <v>460</v>
      </c>
      <c r="K556" s="88" t="s">
        <v>1690</v>
      </c>
      <c r="L556" s="89" t="n">
        <v>45769</v>
      </c>
      <c r="M556" s="32" t="n">
        <v>2473</v>
      </c>
      <c r="N556" s="32" t="n">
        <v>2842</v>
      </c>
      <c r="O556" s="32" t="n">
        <v>369</v>
      </c>
      <c r="P556" s="32" t="n">
        <v>358</v>
      </c>
      <c r="Q556" s="32"/>
      <c r="R556" s="90" t="n">
        <f aca="false">合約與計費!$D$4</f>
        <v>0.296</v>
      </c>
      <c r="S556" s="91" t="n">
        <f aca="false">ROUND(P556*R556,0)</f>
        <v>106</v>
      </c>
      <c r="T556" s="92"/>
      <c r="U556" s="32" t="n">
        <v>108</v>
      </c>
      <c r="V556" s="32" t="n">
        <v>168</v>
      </c>
      <c r="W556" s="32" t="n">
        <v>60</v>
      </c>
      <c r="X556" s="32" t="n">
        <v>58</v>
      </c>
      <c r="Y556" s="32"/>
      <c r="Z556" s="93" t="n">
        <f aca="false">合約與計費!$E$4</f>
        <v>2.8</v>
      </c>
      <c r="AA556" s="94" t="n">
        <f aca="false">ROUND(X556*Z556,0)</f>
        <v>162</v>
      </c>
      <c r="AB556" s="95"/>
      <c r="AC556" s="96"/>
      <c r="AD556" s="42"/>
      <c r="AE556" s="43"/>
    </row>
    <row r="557" customFormat="false" ht="16.5" hidden="false" customHeight="true" outlineLevel="0" collapsed="false">
      <c r="A557" s="97" t="n">
        <f aca="false">ROW(A555)</f>
        <v>555</v>
      </c>
      <c r="B557" s="97" t="s">
        <v>462</v>
      </c>
      <c r="C557" s="100" t="n">
        <v>1</v>
      </c>
      <c r="D557" s="85"/>
      <c r="E557" s="98" t="s">
        <v>1691</v>
      </c>
      <c r="F557" s="99" t="s">
        <v>1689</v>
      </c>
      <c r="G557" s="100" t="s">
        <v>1155</v>
      </c>
      <c r="H557" s="100" t="s">
        <v>1572</v>
      </c>
      <c r="I557" s="175" t="s">
        <v>65</v>
      </c>
      <c r="J557" s="98" t="s">
        <v>464</v>
      </c>
      <c r="K557" s="101" t="s">
        <v>1692</v>
      </c>
      <c r="L557" s="102" t="n">
        <v>45769</v>
      </c>
      <c r="M557" s="100" t="n">
        <v>2415</v>
      </c>
      <c r="N557" s="100" t="n">
        <v>2774</v>
      </c>
      <c r="O557" s="100" t="n">
        <v>359</v>
      </c>
      <c r="P557" s="100" t="n">
        <v>348</v>
      </c>
      <c r="Q557" s="100"/>
      <c r="R557" s="103" t="n">
        <f aca="false">合約與計費!$D$4</f>
        <v>0.296</v>
      </c>
      <c r="S557" s="104" t="n">
        <f aca="false">ROUND(P557*R557,0)</f>
        <v>103</v>
      </c>
      <c r="T557" s="105"/>
      <c r="U557" s="100"/>
      <c r="V557" s="100"/>
      <c r="W557" s="106"/>
      <c r="X557" s="100"/>
      <c r="Y557" s="100"/>
      <c r="Z557" s="107"/>
      <c r="AA557" s="108"/>
      <c r="AB557" s="109"/>
      <c r="AC557" s="110"/>
      <c r="AD557" s="42" t="n">
        <v>0.0659</v>
      </c>
      <c r="AE557" s="43" t="n">
        <v>1</v>
      </c>
    </row>
    <row r="558" customFormat="false" ht="16.5" hidden="false" customHeight="true" outlineLevel="0" collapsed="false">
      <c r="A558" s="111" t="n">
        <f aca="false">ROW(A556)</f>
        <v>556</v>
      </c>
      <c r="B558" s="111" t="s">
        <v>466</v>
      </c>
      <c r="C558" s="114" t="n">
        <v>1</v>
      </c>
      <c r="D558" s="85"/>
      <c r="E558" s="112" t="s">
        <v>1693</v>
      </c>
      <c r="F558" s="113" t="s">
        <v>1689</v>
      </c>
      <c r="G558" s="114" t="s">
        <v>1155</v>
      </c>
      <c r="H558" s="114" t="s">
        <v>1572</v>
      </c>
      <c r="I558" s="173" t="s">
        <v>65</v>
      </c>
      <c r="J558" s="112" t="s">
        <v>471</v>
      </c>
      <c r="K558" s="115" t="s">
        <v>1694</v>
      </c>
      <c r="L558" s="116" t="n">
        <v>45769</v>
      </c>
      <c r="M558" s="114" t="n">
        <v>2475</v>
      </c>
      <c r="N558" s="114" t="n">
        <v>3039</v>
      </c>
      <c r="O558" s="114" t="n">
        <v>564</v>
      </c>
      <c r="P558" s="114" t="n">
        <v>547</v>
      </c>
      <c r="Q558" s="114" t="n">
        <f aca="false">ROUND(SUM(P556:P558),2)</f>
        <v>1253</v>
      </c>
      <c r="R558" s="117" t="n">
        <f aca="false">合約與計費!$D$4</f>
        <v>0.296</v>
      </c>
      <c r="S558" s="118" t="n">
        <f aca="false">ROUND(P558*R558,0)</f>
        <v>162</v>
      </c>
      <c r="T558" s="119" t="n">
        <f aca="false">ROUND(SUM(S556:S558),2)</f>
        <v>371</v>
      </c>
      <c r="U558" s="114"/>
      <c r="V558" s="114"/>
      <c r="W558" s="120"/>
      <c r="X558" s="114"/>
      <c r="Y558" s="114" t="n">
        <f aca="false">ROUND(SUM(X556:X558),2)</f>
        <v>58</v>
      </c>
      <c r="Z558" s="121"/>
      <c r="AA558" s="122"/>
      <c r="AB558" s="123" t="n">
        <f aca="false">ROUND(SUM(AA556:AA558),2)</f>
        <v>162</v>
      </c>
      <c r="AC558" s="124"/>
      <c r="AD558" s="42" t="n">
        <v>0.0857</v>
      </c>
      <c r="AE558" s="43" t="n">
        <v>0.9</v>
      </c>
    </row>
    <row r="559" customFormat="false" ht="16.5" hidden="false" customHeight="true" outlineLevel="0" collapsed="false">
      <c r="A559" s="84" t="n">
        <f aca="false">ROW(A557)</f>
        <v>557</v>
      </c>
      <c r="B559" s="84" t="s">
        <v>455</v>
      </c>
      <c r="C559" s="32" t="n">
        <v>1</v>
      </c>
      <c r="D559" s="85" t="n">
        <v>42</v>
      </c>
      <c r="E559" s="86" t="s">
        <v>1695</v>
      </c>
      <c r="F559" s="87" t="s">
        <v>1696</v>
      </c>
      <c r="G559" s="32" t="s">
        <v>1155</v>
      </c>
      <c r="H559" s="32" t="s">
        <v>1697</v>
      </c>
      <c r="I559" s="32" t="s">
        <v>200</v>
      </c>
      <c r="J559" s="86" t="s">
        <v>460</v>
      </c>
      <c r="K559" s="88" t="s">
        <v>1698</v>
      </c>
      <c r="L559" s="89" t="n">
        <v>45726</v>
      </c>
      <c r="M559" s="32" t="n">
        <v>1165</v>
      </c>
      <c r="N559" s="32" t="n">
        <v>1466</v>
      </c>
      <c r="O559" s="32" t="n">
        <v>301</v>
      </c>
      <c r="P559" s="32" t="n">
        <v>292</v>
      </c>
      <c r="Q559" s="32"/>
      <c r="R559" s="90" t="n">
        <f aca="false">合約與計費!$D$4</f>
        <v>0.296</v>
      </c>
      <c r="S559" s="91" t="n">
        <f aca="false">ROUND(P559*R559,0)</f>
        <v>86</v>
      </c>
      <c r="T559" s="92"/>
      <c r="U559" s="32" t="n">
        <v>92</v>
      </c>
      <c r="V559" s="32" t="n">
        <v>130</v>
      </c>
      <c r="W559" s="32" t="n">
        <v>38</v>
      </c>
      <c r="X559" s="32" t="n">
        <v>37</v>
      </c>
      <c r="Y559" s="32"/>
      <c r="Z559" s="93" t="n">
        <f aca="false">合約與計費!$E$4</f>
        <v>2.8</v>
      </c>
      <c r="AA559" s="94" t="n">
        <f aca="false">ROUND(X559*Z559,0)</f>
        <v>104</v>
      </c>
      <c r="AB559" s="95"/>
      <c r="AC559" s="96"/>
      <c r="AD559" s="42"/>
      <c r="AE559" s="43"/>
    </row>
    <row r="560" customFormat="false" ht="16.5" hidden="false" customHeight="true" outlineLevel="0" collapsed="false">
      <c r="A560" s="97" t="n">
        <f aca="false">ROW(A558)</f>
        <v>558</v>
      </c>
      <c r="B560" s="97" t="s">
        <v>462</v>
      </c>
      <c r="C560" s="100" t="n">
        <v>1</v>
      </c>
      <c r="D560" s="85"/>
      <c r="E560" s="98" t="s">
        <v>1699</v>
      </c>
      <c r="F560" s="99" t="s">
        <v>1696</v>
      </c>
      <c r="G560" s="100" t="s">
        <v>1155</v>
      </c>
      <c r="H560" s="100" t="s">
        <v>1697</v>
      </c>
      <c r="I560" s="100" t="s">
        <v>200</v>
      </c>
      <c r="J560" s="98" t="s">
        <v>527</v>
      </c>
      <c r="K560" s="101" t="s">
        <v>1700</v>
      </c>
      <c r="L560" s="102" t="n">
        <v>45726</v>
      </c>
      <c r="M560" s="100" t="n">
        <v>1766</v>
      </c>
      <c r="N560" s="100" t="n">
        <v>1985</v>
      </c>
      <c r="O560" s="100" t="n">
        <v>219</v>
      </c>
      <c r="P560" s="100" t="n">
        <v>212</v>
      </c>
      <c r="Q560" s="100"/>
      <c r="R560" s="103" t="n">
        <f aca="false">合約與計費!$D$4</f>
        <v>0.296</v>
      </c>
      <c r="S560" s="104" t="n">
        <f aca="false">ROUND(P560*R560,0)</f>
        <v>63</v>
      </c>
      <c r="T560" s="105"/>
      <c r="U560" s="100"/>
      <c r="V560" s="100"/>
      <c r="W560" s="106"/>
      <c r="X560" s="100"/>
      <c r="Y560" s="100"/>
      <c r="Z560" s="107"/>
      <c r="AA560" s="108"/>
      <c r="AB560" s="109"/>
      <c r="AC560" s="110"/>
      <c r="AD560" s="42"/>
      <c r="AE560" s="43"/>
    </row>
    <row r="561" customFormat="false" ht="16.5" hidden="false" customHeight="true" outlineLevel="0" collapsed="false">
      <c r="A561" s="97" t="n">
        <f aca="false">ROW(A559)</f>
        <v>559</v>
      </c>
      <c r="B561" s="97" t="s">
        <v>466</v>
      </c>
      <c r="C561" s="100" t="n">
        <v>1</v>
      </c>
      <c r="D561" s="85"/>
      <c r="E561" s="98" t="s">
        <v>1701</v>
      </c>
      <c r="F561" s="99" t="s">
        <v>1696</v>
      </c>
      <c r="G561" s="100" t="s">
        <v>1155</v>
      </c>
      <c r="H561" s="100" t="s">
        <v>1697</v>
      </c>
      <c r="I561" s="100" t="s">
        <v>200</v>
      </c>
      <c r="J561" s="98" t="s">
        <v>527</v>
      </c>
      <c r="K561" s="101" t="s">
        <v>1702</v>
      </c>
      <c r="L561" s="102" t="n">
        <v>45726</v>
      </c>
      <c r="M561" s="100" t="n">
        <v>14941</v>
      </c>
      <c r="N561" s="100" t="n">
        <v>17935</v>
      </c>
      <c r="O561" s="100" t="n">
        <v>2994</v>
      </c>
      <c r="P561" s="100" t="n">
        <v>2904</v>
      </c>
      <c r="Q561" s="100"/>
      <c r="R561" s="103" t="n">
        <f aca="false">合約與計費!$D$4</f>
        <v>0.296</v>
      </c>
      <c r="S561" s="104" t="n">
        <f aca="false">ROUND(P561*R561,0)</f>
        <v>860</v>
      </c>
      <c r="T561" s="105"/>
      <c r="U561" s="100"/>
      <c r="V561" s="100"/>
      <c r="W561" s="106"/>
      <c r="X561" s="100"/>
      <c r="Y561" s="100"/>
      <c r="Z561" s="107"/>
      <c r="AA561" s="108"/>
      <c r="AB561" s="109"/>
      <c r="AC561" s="110"/>
      <c r="AD561" s="42"/>
      <c r="AE561" s="43"/>
    </row>
    <row r="562" customFormat="false" ht="16.5" hidden="false" customHeight="true" outlineLevel="0" collapsed="false">
      <c r="A562" s="111" t="n">
        <f aca="false">ROW(A560)</f>
        <v>560</v>
      </c>
      <c r="B562" s="111" t="s">
        <v>469</v>
      </c>
      <c r="C562" s="114" t="n">
        <v>1</v>
      </c>
      <c r="D562" s="85"/>
      <c r="E562" s="112" t="s">
        <v>1703</v>
      </c>
      <c r="F562" s="113" t="s">
        <v>1696</v>
      </c>
      <c r="G562" s="114" t="s">
        <v>1155</v>
      </c>
      <c r="H562" s="114" t="s">
        <v>1697</v>
      </c>
      <c r="I562" s="114" t="s">
        <v>200</v>
      </c>
      <c r="J562" s="112" t="s">
        <v>527</v>
      </c>
      <c r="K562" s="115" t="s">
        <v>1704</v>
      </c>
      <c r="L562" s="116" t="n">
        <v>45726</v>
      </c>
      <c r="M562" s="114" t="n">
        <v>10498</v>
      </c>
      <c r="N562" s="114" t="n">
        <v>12558</v>
      </c>
      <c r="O562" s="114" t="n">
        <v>2060</v>
      </c>
      <c r="P562" s="114" t="n">
        <v>1998</v>
      </c>
      <c r="Q562" s="114" t="n">
        <f aca="false">ROUND(SUM(P559:P562),2)</f>
        <v>5406</v>
      </c>
      <c r="R562" s="117" t="n">
        <f aca="false">合約與計費!$D$4</f>
        <v>0.296</v>
      </c>
      <c r="S562" s="118" t="n">
        <f aca="false">ROUND(P562*R562,0)</f>
        <v>591</v>
      </c>
      <c r="T562" s="119" t="n">
        <f aca="false">ROUND(SUM(S559:S562),2)</f>
        <v>1600</v>
      </c>
      <c r="U562" s="114"/>
      <c r="V562" s="114"/>
      <c r="W562" s="120"/>
      <c r="X562" s="114"/>
      <c r="Y562" s="114" t="n">
        <f aca="false">ROUND(SUM(X559:X562),2)</f>
        <v>37</v>
      </c>
      <c r="Z562" s="121"/>
      <c r="AA562" s="122"/>
      <c r="AB562" s="123" t="n">
        <f aca="false">ROUND(SUM(AA559:AA562),2)</f>
        <v>104</v>
      </c>
      <c r="AC562" s="124"/>
      <c r="AD562" s="42"/>
      <c r="AE562" s="43"/>
    </row>
    <row r="563" customFormat="false" ht="16.5" hidden="false" customHeight="true" outlineLevel="0" collapsed="false">
      <c r="A563" s="84" t="n">
        <f aca="false">ROW(A561)</f>
        <v>561</v>
      </c>
      <c r="B563" s="84" t="s">
        <v>455</v>
      </c>
      <c r="C563" s="32" t="n">
        <v>1</v>
      </c>
      <c r="D563" s="85" t="n">
        <v>45</v>
      </c>
      <c r="E563" s="86" t="s">
        <v>1705</v>
      </c>
      <c r="F563" s="87" t="s">
        <v>1706</v>
      </c>
      <c r="G563" s="32" t="s">
        <v>1155</v>
      </c>
      <c r="H563" s="32" t="s">
        <v>1697</v>
      </c>
      <c r="I563" s="32" t="s">
        <v>414</v>
      </c>
      <c r="J563" s="86" t="s">
        <v>460</v>
      </c>
      <c r="K563" s="88" t="s">
        <v>1707</v>
      </c>
      <c r="L563" s="89" t="n">
        <v>45728</v>
      </c>
      <c r="M563" s="32" t="n">
        <v>1351</v>
      </c>
      <c r="N563" s="32" t="n">
        <v>1443</v>
      </c>
      <c r="O563" s="32" t="n">
        <v>92</v>
      </c>
      <c r="P563" s="32" t="n">
        <v>89</v>
      </c>
      <c r="Q563" s="32"/>
      <c r="R563" s="90" t="n">
        <f aca="false">合約與計費!$D$4</f>
        <v>0.296</v>
      </c>
      <c r="S563" s="91" t="n">
        <f aca="false">ROUND(P563*R563,0)</f>
        <v>26</v>
      </c>
      <c r="T563" s="92"/>
      <c r="U563" s="32" t="n">
        <v>248</v>
      </c>
      <c r="V563" s="32" t="n">
        <v>343</v>
      </c>
      <c r="W563" s="32" t="n">
        <v>95</v>
      </c>
      <c r="X563" s="32" t="n">
        <v>92</v>
      </c>
      <c r="Y563" s="32"/>
      <c r="Z563" s="93" t="n">
        <f aca="false">合約與計費!$E$4</f>
        <v>2.8</v>
      </c>
      <c r="AA563" s="94" t="n">
        <f aca="false">ROUND(X563*Z563,0)</f>
        <v>258</v>
      </c>
      <c r="AB563" s="95"/>
      <c r="AC563" s="96"/>
      <c r="AD563" s="42"/>
      <c r="AE563" s="43"/>
    </row>
    <row r="564" customFormat="false" ht="16.5" hidden="false" customHeight="true" outlineLevel="0" collapsed="false">
      <c r="A564" s="97" t="n">
        <f aca="false">ROW(A562)</f>
        <v>562</v>
      </c>
      <c r="B564" s="97" t="s">
        <v>462</v>
      </c>
      <c r="C564" s="100" t="n">
        <v>1</v>
      </c>
      <c r="D564" s="85"/>
      <c r="E564" s="98" t="s">
        <v>1708</v>
      </c>
      <c r="F564" s="99" t="s">
        <v>1706</v>
      </c>
      <c r="G564" s="100" t="s">
        <v>1155</v>
      </c>
      <c r="H564" s="100" t="s">
        <v>1697</v>
      </c>
      <c r="I564" s="100" t="s">
        <v>414</v>
      </c>
      <c r="J564" s="98" t="s">
        <v>464</v>
      </c>
      <c r="K564" s="101" t="s">
        <v>1709</v>
      </c>
      <c r="L564" s="102" t="n">
        <v>45728</v>
      </c>
      <c r="M564" s="100" t="n">
        <v>6115</v>
      </c>
      <c r="N564" s="100" t="n">
        <v>7164</v>
      </c>
      <c r="O564" s="100" t="n">
        <v>1049</v>
      </c>
      <c r="P564" s="100" t="n">
        <v>1018</v>
      </c>
      <c r="Q564" s="100"/>
      <c r="R564" s="103" t="n">
        <f aca="false">合約與計費!$D$4</f>
        <v>0.296</v>
      </c>
      <c r="S564" s="104" t="n">
        <f aca="false">ROUND(P564*R564,0)</f>
        <v>301</v>
      </c>
      <c r="T564" s="105"/>
      <c r="U564" s="100"/>
      <c r="V564" s="100"/>
      <c r="W564" s="106"/>
      <c r="X564" s="100"/>
      <c r="Y564" s="100"/>
      <c r="Z564" s="107"/>
      <c r="AA564" s="108"/>
      <c r="AB564" s="109"/>
      <c r="AC564" s="110"/>
      <c r="AD564" s="42" t="n">
        <v>0.0697</v>
      </c>
      <c r="AE564" s="43" t="n">
        <v>0.6</v>
      </c>
    </row>
    <row r="565" customFormat="false" ht="16.5" hidden="false" customHeight="true" outlineLevel="0" collapsed="false">
      <c r="A565" s="97" t="n">
        <f aca="false">ROW(A563)</f>
        <v>563</v>
      </c>
      <c r="B565" s="97" t="s">
        <v>466</v>
      </c>
      <c r="C565" s="100" t="n">
        <v>1</v>
      </c>
      <c r="D565" s="85"/>
      <c r="E565" s="98" t="s">
        <v>1710</v>
      </c>
      <c r="F565" s="99" t="s">
        <v>1706</v>
      </c>
      <c r="G565" s="100" t="s">
        <v>1155</v>
      </c>
      <c r="H565" s="100" t="s">
        <v>1697</v>
      </c>
      <c r="I565" s="100" t="s">
        <v>414</v>
      </c>
      <c r="J565" s="98" t="s">
        <v>464</v>
      </c>
      <c r="K565" s="101" t="s">
        <v>1711</v>
      </c>
      <c r="L565" s="102" t="n">
        <v>45728</v>
      </c>
      <c r="M565" s="100" t="n">
        <v>745</v>
      </c>
      <c r="N565" s="100" t="n">
        <v>974</v>
      </c>
      <c r="O565" s="100" t="n">
        <v>229</v>
      </c>
      <c r="P565" s="100" t="n">
        <v>222</v>
      </c>
      <c r="Q565" s="100"/>
      <c r="R565" s="103" t="n">
        <f aca="false">合約與計費!$D$4</f>
        <v>0.296</v>
      </c>
      <c r="S565" s="104" t="n">
        <f aca="false">ROUND(P565*R565,0)</f>
        <v>66</v>
      </c>
      <c r="T565" s="105"/>
      <c r="U565" s="100"/>
      <c r="V565" s="100"/>
      <c r="W565" s="106"/>
      <c r="X565" s="100"/>
      <c r="Y565" s="100"/>
      <c r="Z565" s="107"/>
      <c r="AA565" s="108"/>
      <c r="AB565" s="109"/>
      <c r="AC565" s="110"/>
      <c r="AD565" s="42" t="n">
        <v>0.0585</v>
      </c>
      <c r="AE565" s="43" t="n">
        <v>0.6</v>
      </c>
    </row>
    <row r="566" customFormat="false" ht="16.5" hidden="false" customHeight="true" outlineLevel="0" collapsed="false">
      <c r="A566" s="97" t="n">
        <f aca="false">ROW(A564)</f>
        <v>564</v>
      </c>
      <c r="B566" s="97" t="s">
        <v>469</v>
      </c>
      <c r="C566" s="100" t="n">
        <v>1</v>
      </c>
      <c r="D566" s="85"/>
      <c r="E566" s="98" t="s">
        <v>1712</v>
      </c>
      <c r="F566" s="99" t="s">
        <v>1706</v>
      </c>
      <c r="G566" s="100" t="s">
        <v>1155</v>
      </c>
      <c r="H566" s="100" t="s">
        <v>1697</v>
      </c>
      <c r="I566" s="100" t="s">
        <v>414</v>
      </c>
      <c r="J566" s="98" t="s">
        <v>527</v>
      </c>
      <c r="K566" s="101" t="s">
        <v>1713</v>
      </c>
      <c r="L566" s="102" t="n">
        <v>45728</v>
      </c>
      <c r="M566" s="100" t="n">
        <v>3895</v>
      </c>
      <c r="N566" s="100" t="n">
        <v>4544</v>
      </c>
      <c r="O566" s="100" t="n">
        <v>649</v>
      </c>
      <c r="P566" s="100" t="n">
        <v>630</v>
      </c>
      <c r="Q566" s="100"/>
      <c r="R566" s="103" t="n">
        <f aca="false">合約與計費!$D$4</f>
        <v>0.296</v>
      </c>
      <c r="S566" s="104" t="n">
        <f aca="false">ROUND(P566*R566,0)</f>
        <v>186</v>
      </c>
      <c r="T566" s="105"/>
      <c r="U566" s="100"/>
      <c r="V566" s="100"/>
      <c r="W566" s="106"/>
      <c r="X566" s="100"/>
      <c r="Y566" s="100"/>
      <c r="Z566" s="107"/>
      <c r="AA566" s="108"/>
      <c r="AB566" s="109"/>
      <c r="AC566" s="110"/>
      <c r="AD566" s="42"/>
      <c r="AE566" s="43"/>
    </row>
    <row r="567" customFormat="false" ht="16.5" hidden="false" customHeight="true" outlineLevel="0" collapsed="false">
      <c r="A567" s="97" t="n">
        <f aca="false">ROW(A565)</f>
        <v>565</v>
      </c>
      <c r="B567" s="97" t="s">
        <v>473</v>
      </c>
      <c r="C567" s="100" t="n">
        <v>1</v>
      </c>
      <c r="D567" s="85"/>
      <c r="E567" s="98" t="s">
        <v>1714</v>
      </c>
      <c r="F567" s="99" t="s">
        <v>1706</v>
      </c>
      <c r="G567" s="100" t="s">
        <v>1155</v>
      </c>
      <c r="H567" s="100" t="s">
        <v>1697</v>
      </c>
      <c r="I567" s="100" t="s">
        <v>414</v>
      </c>
      <c r="J567" s="98" t="s">
        <v>527</v>
      </c>
      <c r="K567" s="101" t="s">
        <v>1715</v>
      </c>
      <c r="L567" s="102" t="n">
        <v>45728</v>
      </c>
      <c r="M567" s="100" t="n">
        <v>5083</v>
      </c>
      <c r="N567" s="100" t="n">
        <v>5909</v>
      </c>
      <c r="O567" s="100" t="n">
        <v>826</v>
      </c>
      <c r="P567" s="100" t="n">
        <v>801</v>
      </c>
      <c r="Q567" s="100"/>
      <c r="R567" s="103" t="n">
        <f aca="false">合約與計費!$D$4</f>
        <v>0.296</v>
      </c>
      <c r="S567" s="104" t="n">
        <f aca="false">ROUND(P567*R567,0)</f>
        <v>237</v>
      </c>
      <c r="T567" s="105"/>
      <c r="U567" s="100"/>
      <c r="V567" s="100"/>
      <c r="W567" s="106"/>
      <c r="X567" s="100"/>
      <c r="Y567" s="100"/>
      <c r="Z567" s="107"/>
      <c r="AA567" s="108"/>
      <c r="AB567" s="109"/>
      <c r="AC567" s="110"/>
      <c r="AD567" s="42"/>
      <c r="AE567" s="43"/>
    </row>
    <row r="568" customFormat="false" ht="16.5" hidden="false" customHeight="true" outlineLevel="0" collapsed="false">
      <c r="A568" s="97" t="n">
        <f aca="false">ROW(A566)</f>
        <v>566</v>
      </c>
      <c r="B568" s="97" t="s">
        <v>476</v>
      </c>
      <c r="C568" s="100" t="n">
        <v>1</v>
      </c>
      <c r="D568" s="85"/>
      <c r="E568" s="98" t="s">
        <v>1716</v>
      </c>
      <c r="F568" s="99" t="s">
        <v>1706</v>
      </c>
      <c r="G568" s="100" t="s">
        <v>1155</v>
      </c>
      <c r="H568" s="100" t="s">
        <v>1697</v>
      </c>
      <c r="I568" s="100" t="s">
        <v>414</v>
      </c>
      <c r="J568" s="98" t="s">
        <v>527</v>
      </c>
      <c r="K568" s="101" t="s">
        <v>1717</v>
      </c>
      <c r="L568" s="102" t="n">
        <v>45728</v>
      </c>
      <c r="M568" s="100" t="n">
        <v>4315</v>
      </c>
      <c r="N568" s="100" t="n">
        <v>5034</v>
      </c>
      <c r="O568" s="100" t="n">
        <v>719</v>
      </c>
      <c r="P568" s="100" t="n">
        <v>697</v>
      </c>
      <c r="Q568" s="100"/>
      <c r="R568" s="103" t="n">
        <f aca="false">合約與計費!$D$4</f>
        <v>0.296</v>
      </c>
      <c r="S568" s="104" t="n">
        <f aca="false">ROUND(P568*R568,0)</f>
        <v>206</v>
      </c>
      <c r="T568" s="105"/>
      <c r="U568" s="100"/>
      <c r="V568" s="100"/>
      <c r="W568" s="106"/>
      <c r="X568" s="100"/>
      <c r="Y568" s="100"/>
      <c r="Z568" s="107"/>
      <c r="AA568" s="108"/>
      <c r="AB568" s="109"/>
      <c r="AC568" s="110"/>
      <c r="AD568" s="42"/>
      <c r="AE568" s="43"/>
    </row>
    <row r="569" customFormat="false" ht="16.5" hidden="false" customHeight="true" outlineLevel="0" collapsed="false">
      <c r="A569" s="97" t="n">
        <f aca="false">ROW(A567)</f>
        <v>567</v>
      </c>
      <c r="B569" s="97" t="s">
        <v>479</v>
      </c>
      <c r="C569" s="100" t="n">
        <v>1</v>
      </c>
      <c r="D569" s="85"/>
      <c r="E569" s="98" t="s">
        <v>1718</v>
      </c>
      <c r="F569" s="99" t="s">
        <v>1706</v>
      </c>
      <c r="G569" s="100" t="s">
        <v>1155</v>
      </c>
      <c r="H569" s="100" t="s">
        <v>1697</v>
      </c>
      <c r="I569" s="100" t="s">
        <v>414</v>
      </c>
      <c r="J569" s="98" t="s">
        <v>527</v>
      </c>
      <c r="K569" s="101" t="s">
        <v>1719</v>
      </c>
      <c r="L569" s="102" t="n">
        <v>45728</v>
      </c>
      <c r="M569" s="100" t="n">
        <v>2843</v>
      </c>
      <c r="N569" s="100" t="n">
        <v>3317</v>
      </c>
      <c r="O569" s="100" t="n">
        <v>474</v>
      </c>
      <c r="P569" s="100" t="n">
        <v>460</v>
      </c>
      <c r="Q569" s="100"/>
      <c r="R569" s="103" t="n">
        <f aca="false">合約與計費!$D$4</f>
        <v>0.296</v>
      </c>
      <c r="S569" s="104" t="n">
        <f aca="false">ROUND(P569*R569,0)</f>
        <v>136</v>
      </c>
      <c r="T569" s="105"/>
      <c r="U569" s="100"/>
      <c r="V569" s="100"/>
      <c r="W569" s="106"/>
      <c r="X569" s="100"/>
      <c r="Y569" s="100"/>
      <c r="Z569" s="107"/>
      <c r="AA569" s="108"/>
      <c r="AB569" s="109"/>
      <c r="AC569" s="110"/>
      <c r="AD569" s="42"/>
      <c r="AE569" s="43"/>
    </row>
    <row r="570" customFormat="false" ht="16.5" hidden="false" customHeight="true" outlineLevel="0" collapsed="false">
      <c r="A570" s="97" t="n">
        <f aca="false">ROW(A568)</f>
        <v>568</v>
      </c>
      <c r="B570" s="97" t="s">
        <v>482</v>
      </c>
      <c r="C570" s="100" t="n">
        <v>1</v>
      </c>
      <c r="D570" s="85"/>
      <c r="E570" s="98" t="s">
        <v>1720</v>
      </c>
      <c r="F570" s="99" t="s">
        <v>1706</v>
      </c>
      <c r="G570" s="100" t="s">
        <v>1155</v>
      </c>
      <c r="H570" s="100" t="s">
        <v>1697</v>
      </c>
      <c r="I570" s="100" t="s">
        <v>414</v>
      </c>
      <c r="J570" s="98" t="s">
        <v>527</v>
      </c>
      <c r="K570" s="101" t="s">
        <v>1721</v>
      </c>
      <c r="L570" s="102" t="n">
        <v>45728</v>
      </c>
      <c r="M570" s="100" t="n">
        <v>5433</v>
      </c>
      <c r="N570" s="100" t="n">
        <v>6353</v>
      </c>
      <c r="O570" s="100" t="n">
        <v>920</v>
      </c>
      <c r="P570" s="100" t="n">
        <v>892</v>
      </c>
      <c r="Q570" s="100"/>
      <c r="R570" s="103" t="n">
        <f aca="false">合約與計費!$D$4</f>
        <v>0.296</v>
      </c>
      <c r="S570" s="104" t="n">
        <f aca="false">ROUND(P570*R570,0)</f>
        <v>264</v>
      </c>
      <c r="T570" s="105"/>
      <c r="U570" s="100"/>
      <c r="V570" s="100"/>
      <c r="W570" s="106"/>
      <c r="X570" s="100"/>
      <c r="Y570" s="100"/>
      <c r="Z570" s="107"/>
      <c r="AA570" s="108"/>
      <c r="AB570" s="109"/>
      <c r="AC570" s="110"/>
      <c r="AD570" s="42"/>
      <c r="AE570" s="43"/>
    </row>
    <row r="571" customFormat="false" ht="16.5" hidden="false" customHeight="true" outlineLevel="0" collapsed="false">
      <c r="A571" s="97" t="n">
        <f aca="false">ROW(A569)</f>
        <v>569</v>
      </c>
      <c r="B571" s="97" t="s">
        <v>485</v>
      </c>
      <c r="C571" s="100" t="n">
        <v>1</v>
      </c>
      <c r="D571" s="85"/>
      <c r="E571" s="98" t="s">
        <v>1722</v>
      </c>
      <c r="F571" s="99" t="s">
        <v>1706</v>
      </c>
      <c r="G571" s="100" t="s">
        <v>1155</v>
      </c>
      <c r="H571" s="100" t="s">
        <v>1697</v>
      </c>
      <c r="I571" s="100" t="s">
        <v>414</v>
      </c>
      <c r="J571" s="98" t="s">
        <v>527</v>
      </c>
      <c r="K571" s="101" t="s">
        <v>1723</v>
      </c>
      <c r="L571" s="102" t="n">
        <v>45728</v>
      </c>
      <c r="M571" s="100" t="n">
        <v>5278</v>
      </c>
      <c r="N571" s="100" t="n">
        <v>6486</v>
      </c>
      <c r="O571" s="100" t="n">
        <v>1208</v>
      </c>
      <c r="P571" s="100" t="n">
        <v>1172</v>
      </c>
      <c r="Q571" s="100"/>
      <c r="R571" s="103" t="n">
        <f aca="false">合約與計費!$D$4</f>
        <v>0.296</v>
      </c>
      <c r="S571" s="104" t="n">
        <f aca="false">ROUND(P571*R571,0)</f>
        <v>347</v>
      </c>
      <c r="T571" s="105"/>
      <c r="U571" s="100"/>
      <c r="V571" s="100"/>
      <c r="W571" s="106"/>
      <c r="X571" s="100"/>
      <c r="Y571" s="100"/>
      <c r="Z571" s="107"/>
      <c r="AA571" s="108"/>
      <c r="AB571" s="109"/>
      <c r="AC571" s="110"/>
      <c r="AD571" s="42"/>
      <c r="AE571" s="43"/>
    </row>
    <row r="572" customFormat="false" ht="16.5" hidden="false" customHeight="true" outlineLevel="0" collapsed="false">
      <c r="A572" s="97" t="n">
        <f aca="false">ROW(A570)</f>
        <v>570</v>
      </c>
      <c r="B572" s="97" t="n">
        <v>10</v>
      </c>
      <c r="C572" s="100" t="n">
        <v>1</v>
      </c>
      <c r="D572" s="85"/>
      <c r="E572" s="98" t="s">
        <v>1724</v>
      </c>
      <c r="F572" s="99" t="s">
        <v>1706</v>
      </c>
      <c r="G572" s="100" t="s">
        <v>1155</v>
      </c>
      <c r="H572" s="100" t="s">
        <v>1697</v>
      </c>
      <c r="I572" s="100" t="s">
        <v>414</v>
      </c>
      <c r="J572" s="98" t="s">
        <v>527</v>
      </c>
      <c r="K572" s="101" t="s">
        <v>1725</v>
      </c>
      <c r="L572" s="102" t="n">
        <v>45728</v>
      </c>
      <c r="M572" s="100" t="n">
        <v>5896</v>
      </c>
      <c r="N572" s="100" t="n">
        <v>6954</v>
      </c>
      <c r="O572" s="100" t="n">
        <v>1058</v>
      </c>
      <c r="P572" s="100" t="n">
        <v>1026</v>
      </c>
      <c r="Q572" s="100"/>
      <c r="R572" s="103" t="n">
        <f aca="false">合約與計費!$D$4</f>
        <v>0.296</v>
      </c>
      <c r="S572" s="104" t="n">
        <f aca="false">ROUND(P572*R572,0)</f>
        <v>304</v>
      </c>
      <c r="T572" s="105"/>
      <c r="U572" s="100"/>
      <c r="V572" s="100"/>
      <c r="W572" s="106"/>
      <c r="X572" s="100"/>
      <c r="Y572" s="100"/>
      <c r="Z572" s="107"/>
      <c r="AA572" s="108"/>
      <c r="AB572" s="109"/>
      <c r="AC572" s="110"/>
      <c r="AD572" s="42"/>
      <c r="AE572" s="43"/>
    </row>
    <row r="573" customFormat="false" ht="16.5" hidden="false" customHeight="true" outlineLevel="0" collapsed="false">
      <c r="A573" s="97" t="n">
        <f aca="false">ROW(A571)</f>
        <v>571</v>
      </c>
      <c r="B573" s="97" t="n">
        <v>11</v>
      </c>
      <c r="C573" s="100" t="n">
        <v>1</v>
      </c>
      <c r="D573" s="85"/>
      <c r="E573" s="98" t="s">
        <v>1726</v>
      </c>
      <c r="F573" s="99" t="s">
        <v>1706</v>
      </c>
      <c r="G573" s="100" t="s">
        <v>1155</v>
      </c>
      <c r="H573" s="100" t="s">
        <v>1697</v>
      </c>
      <c r="I573" s="100" t="s">
        <v>414</v>
      </c>
      <c r="J573" s="98" t="s">
        <v>527</v>
      </c>
      <c r="K573" s="101" t="s">
        <v>1727</v>
      </c>
      <c r="L573" s="102" t="n">
        <v>45728</v>
      </c>
      <c r="M573" s="100" t="n">
        <v>2750</v>
      </c>
      <c r="N573" s="100" t="n">
        <v>3209</v>
      </c>
      <c r="O573" s="100" t="n">
        <v>459</v>
      </c>
      <c r="P573" s="100" t="n">
        <v>445</v>
      </c>
      <c r="Q573" s="100"/>
      <c r="R573" s="103" t="n">
        <f aca="false">合約與計費!$D$4</f>
        <v>0.296</v>
      </c>
      <c r="S573" s="104" t="n">
        <f aca="false">ROUND(P573*R573,0)</f>
        <v>132</v>
      </c>
      <c r="T573" s="105"/>
      <c r="U573" s="100"/>
      <c r="V573" s="100"/>
      <c r="W573" s="106"/>
      <c r="X573" s="100"/>
      <c r="Y573" s="100"/>
      <c r="Z573" s="107"/>
      <c r="AA573" s="108"/>
      <c r="AB573" s="109"/>
      <c r="AC573" s="110"/>
      <c r="AD573" s="42"/>
      <c r="AE573" s="43"/>
    </row>
    <row r="574" customFormat="false" ht="16.5" hidden="false" customHeight="true" outlineLevel="0" collapsed="false">
      <c r="A574" s="97" t="n">
        <f aca="false">ROW(A572)</f>
        <v>572</v>
      </c>
      <c r="B574" s="97" t="n">
        <v>12</v>
      </c>
      <c r="C574" s="100" t="n">
        <v>1</v>
      </c>
      <c r="D574" s="85"/>
      <c r="E574" s="98" t="s">
        <v>1728</v>
      </c>
      <c r="F574" s="99" t="s">
        <v>1706</v>
      </c>
      <c r="G574" s="100" t="s">
        <v>1155</v>
      </c>
      <c r="H574" s="100" t="s">
        <v>1697</v>
      </c>
      <c r="I574" s="100" t="s">
        <v>414</v>
      </c>
      <c r="J574" s="98" t="s">
        <v>527</v>
      </c>
      <c r="K574" s="101" t="s">
        <v>1729</v>
      </c>
      <c r="L574" s="102" t="n">
        <v>45728</v>
      </c>
      <c r="M574" s="100" t="n">
        <v>4768</v>
      </c>
      <c r="N574" s="100" t="n">
        <v>5613</v>
      </c>
      <c r="O574" s="100" t="n">
        <v>845</v>
      </c>
      <c r="P574" s="100" t="n">
        <v>820</v>
      </c>
      <c r="Q574" s="100"/>
      <c r="R574" s="103" t="n">
        <f aca="false">合約與計費!$D$4</f>
        <v>0.296</v>
      </c>
      <c r="S574" s="104" t="n">
        <f aca="false">ROUND(P574*R574,0)</f>
        <v>243</v>
      </c>
      <c r="T574" s="105"/>
      <c r="U574" s="100"/>
      <c r="V574" s="100"/>
      <c r="W574" s="106"/>
      <c r="X574" s="100"/>
      <c r="Y574" s="100"/>
      <c r="Z574" s="107"/>
      <c r="AA574" s="108"/>
      <c r="AB574" s="109"/>
      <c r="AC574" s="110"/>
      <c r="AD574" s="42"/>
      <c r="AE574" s="43"/>
    </row>
    <row r="575" customFormat="false" ht="16.5" hidden="false" customHeight="true" outlineLevel="0" collapsed="false">
      <c r="A575" s="97" t="n">
        <f aca="false">ROW(A573)</f>
        <v>573</v>
      </c>
      <c r="B575" s="97" t="n">
        <v>13</v>
      </c>
      <c r="C575" s="100" t="n">
        <v>1</v>
      </c>
      <c r="D575" s="85"/>
      <c r="E575" s="98" t="s">
        <v>1730</v>
      </c>
      <c r="F575" s="99" t="s">
        <v>1706</v>
      </c>
      <c r="G575" s="100" t="s">
        <v>1155</v>
      </c>
      <c r="H575" s="100" t="s">
        <v>1697</v>
      </c>
      <c r="I575" s="100" t="s">
        <v>414</v>
      </c>
      <c r="J575" s="98" t="s">
        <v>527</v>
      </c>
      <c r="K575" s="101" t="s">
        <v>1731</v>
      </c>
      <c r="L575" s="102" t="n">
        <v>45728</v>
      </c>
      <c r="M575" s="100" t="n">
        <v>5669</v>
      </c>
      <c r="N575" s="100" t="n">
        <v>6605</v>
      </c>
      <c r="O575" s="100" t="n">
        <v>936</v>
      </c>
      <c r="P575" s="100" t="n">
        <v>908</v>
      </c>
      <c r="Q575" s="100"/>
      <c r="R575" s="103" t="n">
        <f aca="false">合約與計費!$D$4</f>
        <v>0.296</v>
      </c>
      <c r="S575" s="104" t="n">
        <f aca="false">ROUND(P575*R575,0)</f>
        <v>269</v>
      </c>
      <c r="T575" s="105"/>
      <c r="U575" s="100"/>
      <c r="V575" s="100"/>
      <c r="W575" s="106"/>
      <c r="X575" s="100"/>
      <c r="Y575" s="100"/>
      <c r="Z575" s="107"/>
      <c r="AA575" s="108"/>
      <c r="AB575" s="109"/>
      <c r="AC575" s="110"/>
      <c r="AD575" s="42"/>
      <c r="AE575" s="43"/>
    </row>
    <row r="576" customFormat="false" ht="16.5" hidden="false" customHeight="true" outlineLevel="0" collapsed="false">
      <c r="A576" s="97" t="n">
        <f aca="false">ROW(A574)</f>
        <v>574</v>
      </c>
      <c r="B576" s="97" t="n">
        <v>14</v>
      </c>
      <c r="C576" s="100" t="n">
        <v>1</v>
      </c>
      <c r="D576" s="85"/>
      <c r="E576" s="98" t="s">
        <v>1732</v>
      </c>
      <c r="F576" s="99" t="s">
        <v>1706</v>
      </c>
      <c r="G576" s="100" t="s">
        <v>1155</v>
      </c>
      <c r="H576" s="100" t="s">
        <v>1697</v>
      </c>
      <c r="I576" s="100" t="s">
        <v>414</v>
      </c>
      <c r="J576" s="98" t="s">
        <v>527</v>
      </c>
      <c r="K576" s="101" t="s">
        <v>1733</v>
      </c>
      <c r="L576" s="102" t="n">
        <v>45728</v>
      </c>
      <c r="M576" s="100" t="n">
        <v>4975</v>
      </c>
      <c r="N576" s="100" t="n">
        <v>5848</v>
      </c>
      <c r="O576" s="100" t="n">
        <v>873</v>
      </c>
      <c r="P576" s="100" t="n">
        <v>847</v>
      </c>
      <c r="Q576" s="100"/>
      <c r="R576" s="103" t="n">
        <f aca="false">合約與計費!$D$4</f>
        <v>0.296</v>
      </c>
      <c r="S576" s="104" t="n">
        <f aca="false">ROUND(P576*R576,0)</f>
        <v>251</v>
      </c>
      <c r="T576" s="105"/>
      <c r="U576" s="100"/>
      <c r="V576" s="100"/>
      <c r="W576" s="106"/>
      <c r="X576" s="100"/>
      <c r="Y576" s="100"/>
      <c r="Z576" s="107"/>
      <c r="AA576" s="108"/>
      <c r="AB576" s="109"/>
      <c r="AC576" s="110"/>
      <c r="AD576" s="42"/>
      <c r="AE576" s="43"/>
    </row>
    <row r="577" customFormat="false" ht="16.5" hidden="false" customHeight="true" outlineLevel="0" collapsed="false">
      <c r="A577" s="97" t="n">
        <f aca="false">ROW(A575)</f>
        <v>575</v>
      </c>
      <c r="B577" s="97" t="n">
        <v>15</v>
      </c>
      <c r="C577" s="100" t="n">
        <v>1</v>
      </c>
      <c r="D577" s="85"/>
      <c r="E577" s="98" t="s">
        <v>1734</v>
      </c>
      <c r="F577" s="99" t="s">
        <v>1706</v>
      </c>
      <c r="G577" s="100" t="s">
        <v>1155</v>
      </c>
      <c r="H577" s="100" t="s">
        <v>1697</v>
      </c>
      <c r="I577" s="100" t="s">
        <v>414</v>
      </c>
      <c r="J577" s="98" t="s">
        <v>527</v>
      </c>
      <c r="K577" s="101" t="s">
        <v>1735</v>
      </c>
      <c r="L577" s="102" t="n">
        <v>45728</v>
      </c>
      <c r="M577" s="100" t="n">
        <v>8574</v>
      </c>
      <c r="N577" s="100" t="n">
        <v>10112</v>
      </c>
      <c r="O577" s="100" t="n">
        <v>1538</v>
      </c>
      <c r="P577" s="100" t="n">
        <v>1492</v>
      </c>
      <c r="Q577" s="100"/>
      <c r="R577" s="103" t="n">
        <f aca="false">合約與計費!$D$4</f>
        <v>0.296</v>
      </c>
      <c r="S577" s="104" t="n">
        <f aca="false">ROUND(P577*R577,0)</f>
        <v>442</v>
      </c>
      <c r="T577" s="105"/>
      <c r="U577" s="100"/>
      <c r="V577" s="100"/>
      <c r="W577" s="106"/>
      <c r="X577" s="100"/>
      <c r="Y577" s="100"/>
      <c r="Z577" s="107"/>
      <c r="AA577" s="108"/>
      <c r="AB577" s="109"/>
      <c r="AC577" s="110"/>
      <c r="AD577" s="42"/>
      <c r="AE577" s="43"/>
    </row>
    <row r="578" customFormat="false" ht="17.25" hidden="false" customHeight="false" outlineLevel="0" collapsed="false">
      <c r="A578" s="111" t="n">
        <f aca="false">ROW(A576)</f>
        <v>576</v>
      </c>
      <c r="B578" s="111" t="n">
        <v>16</v>
      </c>
      <c r="C578" s="114" t="n">
        <v>1</v>
      </c>
      <c r="D578" s="85"/>
      <c r="E578" s="112" t="s">
        <v>1736</v>
      </c>
      <c r="F578" s="113" t="s">
        <v>1706</v>
      </c>
      <c r="G578" s="114" t="s">
        <v>1155</v>
      </c>
      <c r="H578" s="114" t="s">
        <v>1697</v>
      </c>
      <c r="I578" s="114" t="s">
        <v>414</v>
      </c>
      <c r="J578" s="98" t="s">
        <v>527</v>
      </c>
      <c r="K578" s="101" t="s">
        <v>1737</v>
      </c>
      <c r="L578" s="102" t="n">
        <v>45728</v>
      </c>
      <c r="M578" s="100" t="n">
        <v>3410</v>
      </c>
      <c r="N578" s="100" t="n">
        <v>4174</v>
      </c>
      <c r="O578" s="100" t="n">
        <v>764</v>
      </c>
      <c r="P578" s="100" t="n">
        <v>741</v>
      </c>
      <c r="Q578" s="100" t="n">
        <f aca="false">ROUND(SUM(P563:P578),2)</f>
        <v>12260</v>
      </c>
      <c r="R578" s="103" t="n">
        <f aca="false">合約與計費!$D$4</f>
        <v>0.296</v>
      </c>
      <c r="S578" s="104" t="n">
        <f aca="false">ROUND(P578*R578,0)</f>
        <v>219</v>
      </c>
      <c r="T578" s="105" t="n">
        <f aca="false">ROUND(SUM(S563:S578),2)</f>
        <v>3629</v>
      </c>
      <c r="U578" s="100"/>
      <c r="V578" s="100"/>
      <c r="W578" s="106"/>
      <c r="X578" s="100"/>
      <c r="Y578" s="100" t="n">
        <f aca="false">ROUND(SUM(X563:X578),2)</f>
        <v>92</v>
      </c>
      <c r="Z578" s="107"/>
      <c r="AA578" s="108"/>
      <c r="AB578" s="109" t="n">
        <f aca="false">ROUND(SUM(AA563:AA578),2)</f>
        <v>258</v>
      </c>
      <c r="AC578" s="110"/>
      <c r="AD578" s="42"/>
      <c r="AE578" s="43"/>
    </row>
    <row r="579" customFormat="false" ht="16.5" hidden="false" customHeight="true" outlineLevel="0" collapsed="false">
      <c r="A579" s="84" t="n">
        <f aca="false">ROW(A577)</f>
        <v>577</v>
      </c>
      <c r="B579" s="84" t="s">
        <v>455</v>
      </c>
      <c r="C579" s="32" t="n">
        <v>1</v>
      </c>
      <c r="D579" s="85" t="n">
        <v>205</v>
      </c>
      <c r="E579" s="86" t="s">
        <v>1738</v>
      </c>
      <c r="F579" s="87" t="s">
        <v>1739</v>
      </c>
      <c r="G579" s="32" t="s">
        <v>1155</v>
      </c>
      <c r="H579" s="32" t="s">
        <v>1697</v>
      </c>
      <c r="I579" s="32" t="s">
        <v>409</v>
      </c>
      <c r="J579" s="86" t="s">
        <v>460</v>
      </c>
      <c r="K579" s="88" t="s">
        <v>1740</v>
      </c>
      <c r="L579" s="89" t="n">
        <v>45729</v>
      </c>
      <c r="M579" s="32" t="n">
        <v>27</v>
      </c>
      <c r="N579" s="32" t="n">
        <v>78</v>
      </c>
      <c r="O579" s="32" t="n">
        <v>51</v>
      </c>
      <c r="P579" s="32" t="n">
        <v>49</v>
      </c>
      <c r="Q579" s="32"/>
      <c r="R579" s="90" t="n">
        <f aca="false">合約與計費!$D$4</f>
        <v>0.296</v>
      </c>
      <c r="S579" s="91" t="n">
        <f aca="false">ROUND(P579*R579,0)</f>
        <v>15</v>
      </c>
      <c r="T579" s="92"/>
      <c r="U579" s="32" t="n">
        <v>14</v>
      </c>
      <c r="V579" s="32" t="n">
        <v>14</v>
      </c>
      <c r="W579" s="32" t="n">
        <v>0</v>
      </c>
      <c r="X579" s="32" t="n">
        <v>0</v>
      </c>
      <c r="Y579" s="32"/>
      <c r="Z579" s="93" t="n">
        <f aca="false">合約與計費!$E$4</f>
        <v>2.8</v>
      </c>
      <c r="AA579" s="94" t="n">
        <f aca="false">ROUND(X579*Z579,0)</f>
        <v>0</v>
      </c>
      <c r="AB579" s="95"/>
      <c r="AC579" s="96"/>
      <c r="AD579" s="42"/>
      <c r="AE579" s="43"/>
    </row>
    <row r="580" customFormat="false" ht="16.5" hidden="false" customHeight="true" outlineLevel="0" collapsed="false">
      <c r="A580" s="97" t="n">
        <f aca="false">ROW(A578)</f>
        <v>578</v>
      </c>
      <c r="B580" s="97" t="s">
        <v>462</v>
      </c>
      <c r="C580" s="100" t="n">
        <v>1</v>
      </c>
      <c r="D580" s="85"/>
      <c r="E580" s="98" t="s">
        <v>1741</v>
      </c>
      <c r="F580" s="99" t="s">
        <v>1739</v>
      </c>
      <c r="G580" s="100" t="s">
        <v>1155</v>
      </c>
      <c r="H580" s="100" t="s">
        <v>1697</v>
      </c>
      <c r="I580" s="100" t="s">
        <v>409</v>
      </c>
      <c r="J580" s="98" t="s">
        <v>464</v>
      </c>
      <c r="K580" s="101" t="s">
        <v>1742</v>
      </c>
      <c r="L580" s="102" t="n">
        <v>45729</v>
      </c>
      <c r="M580" s="100" t="n">
        <v>666</v>
      </c>
      <c r="N580" s="100" t="n">
        <v>934</v>
      </c>
      <c r="O580" s="100" t="n">
        <v>268</v>
      </c>
      <c r="P580" s="100" t="n">
        <v>260</v>
      </c>
      <c r="Q580" s="100"/>
      <c r="R580" s="103" t="n">
        <f aca="false">合約與計費!$D$4</f>
        <v>0.296</v>
      </c>
      <c r="S580" s="104" t="n">
        <f aca="false">ROUND(P580*R580,0)</f>
        <v>77</v>
      </c>
      <c r="T580" s="105"/>
      <c r="U580" s="100"/>
      <c r="V580" s="100"/>
      <c r="W580" s="106"/>
      <c r="X580" s="100"/>
      <c r="Y580" s="100"/>
      <c r="Z580" s="107"/>
      <c r="AA580" s="108"/>
      <c r="AB580" s="109"/>
      <c r="AC580" s="110"/>
      <c r="AD580" s="42" t="n">
        <v>0.0498</v>
      </c>
      <c r="AE580" s="43" t="n">
        <v>0.7</v>
      </c>
    </row>
    <row r="581" customFormat="false" ht="16.5" hidden="false" customHeight="true" outlineLevel="0" collapsed="false">
      <c r="A581" s="97" t="n">
        <f aca="false">ROW(A579)</f>
        <v>579</v>
      </c>
      <c r="B581" s="97" t="s">
        <v>466</v>
      </c>
      <c r="C581" s="100" t="n">
        <v>1</v>
      </c>
      <c r="D581" s="85"/>
      <c r="E581" s="98" t="s">
        <v>1743</v>
      </c>
      <c r="F581" s="99" t="s">
        <v>1739</v>
      </c>
      <c r="G581" s="100" t="s">
        <v>1155</v>
      </c>
      <c r="H581" s="100" t="s">
        <v>1697</v>
      </c>
      <c r="I581" s="100" t="s">
        <v>409</v>
      </c>
      <c r="J581" s="98" t="s">
        <v>527</v>
      </c>
      <c r="K581" s="101" t="s">
        <v>1744</v>
      </c>
      <c r="L581" s="102" t="n">
        <v>45729</v>
      </c>
      <c r="M581" s="100" t="n">
        <v>2945</v>
      </c>
      <c r="N581" s="100" t="n">
        <v>3635</v>
      </c>
      <c r="O581" s="100" t="n">
        <v>690</v>
      </c>
      <c r="P581" s="100" t="n">
        <v>669</v>
      </c>
      <c r="Q581" s="100"/>
      <c r="R581" s="103" t="n">
        <f aca="false">合約與計費!$D$4</f>
        <v>0.296</v>
      </c>
      <c r="S581" s="104" t="n">
        <f aca="false">ROUND(P581*R581,0)</f>
        <v>198</v>
      </c>
      <c r="T581" s="105"/>
      <c r="U581" s="100"/>
      <c r="V581" s="100"/>
      <c r="W581" s="106"/>
      <c r="X581" s="100"/>
      <c r="Y581" s="100"/>
      <c r="Z581" s="107"/>
      <c r="AA581" s="108"/>
      <c r="AB581" s="109"/>
      <c r="AC581" s="110"/>
      <c r="AD581" s="42"/>
      <c r="AE581" s="43"/>
    </row>
    <row r="582" customFormat="false" ht="16.5" hidden="false" customHeight="true" outlineLevel="0" collapsed="false">
      <c r="A582" s="97" t="n">
        <f aca="false">ROW(A580)</f>
        <v>580</v>
      </c>
      <c r="B582" s="97" t="s">
        <v>469</v>
      </c>
      <c r="C582" s="100" t="n">
        <v>1</v>
      </c>
      <c r="D582" s="85"/>
      <c r="E582" s="98" t="s">
        <v>1745</v>
      </c>
      <c r="F582" s="99" t="s">
        <v>1739</v>
      </c>
      <c r="G582" s="100" t="s">
        <v>1155</v>
      </c>
      <c r="H582" s="100" t="s">
        <v>1697</v>
      </c>
      <c r="I582" s="100" t="s">
        <v>409</v>
      </c>
      <c r="J582" s="98" t="s">
        <v>527</v>
      </c>
      <c r="K582" s="101" t="s">
        <v>1746</v>
      </c>
      <c r="L582" s="102" t="n">
        <v>45729</v>
      </c>
      <c r="M582" s="100" t="n">
        <v>12</v>
      </c>
      <c r="N582" s="100" t="n">
        <v>14</v>
      </c>
      <c r="O582" s="100" t="n">
        <v>2</v>
      </c>
      <c r="P582" s="100" t="n">
        <v>2</v>
      </c>
      <c r="Q582" s="100"/>
      <c r="R582" s="103" t="n">
        <f aca="false">合約與計費!$D$4</f>
        <v>0.296</v>
      </c>
      <c r="S582" s="104" t="n">
        <f aca="false">ROUND(P582*R582,0)</f>
        <v>1</v>
      </c>
      <c r="T582" s="105"/>
      <c r="U582" s="100"/>
      <c r="V582" s="100"/>
      <c r="W582" s="106"/>
      <c r="X582" s="100"/>
      <c r="Y582" s="100"/>
      <c r="Z582" s="107"/>
      <c r="AA582" s="108"/>
      <c r="AB582" s="109"/>
      <c r="AC582" s="110"/>
      <c r="AD582" s="42"/>
      <c r="AE582" s="43"/>
    </row>
    <row r="583" customFormat="false" ht="16.5" hidden="false" customHeight="true" outlineLevel="0" collapsed="false">
      <c r="A583" s="97" t="n">
        <f aca="false">ROW(A581)</f>
        <v>581</v>
      </c>
      <c r="B583" s="97" t="s">
        <v>473</v>
      </c>
      <c r="C583" s="100" t="n">
        <v>1</v>
      </c>
      <c r="D583" s="85"/>
      <c r="E583" s="98" t="s">
        <v>1747</v>
      </c>
      <c r="F583" s="99" t="s">
        <v>1739</v>
      </c>
      <c r="G583" s="100" t="s">
        <v>1155</v>
      </c>
      <c r="H583" s="100" t="s">
        <v>1697</v>
      </c>
      <c r="I583" s="100" t="s">
        <v>409</v>
      </c>
      <c r="J583" s="98" t="s">
        <v>527</v>
      </c>
      <c r="K583" s="101" t="s">
        <v>1748</v>
      </c>
      <c r="L583" s="102" t="n">
        <v>45729</v>
      </c>
      <c r="M583" s="100" t="n">
        <v>4851</v>
      </c>
      <c r="N583" s="100" t="n">
        <v>5655</v>
      </c>
      <c r="O583" s="100" t="n">
        <v>804</v>
      </c>
      <c r="P583" s="100" t="n">
        <v>780</v>
      </c>
      <c r="Q583" s="100"/>
      <c r="R583" s="103" t="n">
        <f aca="false">合約與計費!$D$4</f>
        <v>0.296</v>
      </c>
      <c r="S583" s="104" t="n">
        <f aca="false">ROUND(P583*R583,0)</f>
        <v>231</v>
      </c>
      <c r="T583" s="105"/>
      <c r="U583" s="100"/>
      <c r="V583" s="100"/>
      <c r="W583" s="106"/>
      <c r="X583" s="100"/>
      <c r="Y583" s="100"/>
      <c r="Z583" s="107"/>
      <c r="AA583" s="108"/>
      <c r="AB583" s="109"/>
      <c r="AC583" s="110"/>
      <c r="AD583" s="42"/>
      <c r="AE583" s="43"/>
    </row>
    <row r="584" customFormat="false" ht="16.5" hidden="false" customHeight="true" outlineLevel="0" collapsed="false">
      <c r="A584" s="111" t="n">
        <f aca="false">ROW(A582)</f>
        <v>582</v>
      </c>
      <c r="B584" s="111" t="s">
        <v>476</v>
      </c>
      <c r="C584" s="114" t="n">
        <v>1</v>
      </c>
      <c r="D584" s="85"/>
      <c r="E584" s="112" t="s">
        <v>1749</v>
      </c>
      <c r="F584" s="113" t="s">
        <v>1739</v>
      </c>
      <c r="G584" s="114" t="s">
        <v>1155</v>
      </c>
      <c r="H584" s="114" t="s">
        <v>1697</v>
      </c>
      <c r="I584" s="114" t="s">
        <v>409</v>
      </c>
      <c r="J584" s="98" t="s">
        <v>527</v>
      </c>
      <c r="K584" s="101" t="s">
        <v>1750</v>
      </c>
      <c r="L584" s="102" t="n">
        <v>45729</v>
      </c>
      <c r="M584" s="100" t="n">
        <v>4285</v>
      </c>
      <c r="N584" s="100" t="n">
        <v>5230</v>
      </c>
      <c r="O584" s="100" t="n">
        <v>945</v>
      </c>
      <c r="P584" s="100" t="n">
        <v>917</v>
      </c>
      <c r="Q584" s="100" t="n">
        <f aca="false">ROUND(SUM(P579:P584),2)</f>
        <v>2677</v>
      </c>
      <c r="R584" s="103" t="n">
        <f aca="false">合約與計費!$D$4</f>
        <v>0.296</v>
      </c>
      <c r="S584" s="104" t="n">
        <f aca="false">ROUND(P584*R584,0)</f>
        <v>271</v>
      </c>
      <c r="T584" s="105" t="n">
        <f aca="false">ROUND(SUM(S579:S584),2)</f>
        <v>793</v>
      </c>
      <c r="U584" s="100"/>
      <c r="V584" s="100"/>
      <c r="W584" s="106"/>
      <c r="X584" s="100"/>
      <c r="Y584" s="100" t="n">
        <f aca="false">ROUND(SUM(X579:X584),2)</f>
        <v>0</v>
      </c>
      <c r="Z584" s="107"/>
      <c r="AA584" s="108"/>
      <c r="AB584" s="109" t="n">
        <f aca="false">ROUND(SUM(AA579:AA584),2)</f>
        <v>0</v>
      </c>
      <c r="AC584" s="110"/>
      <c r="AD584" s="42"/>
      <c r="AE584" s="43"/>
    </row>
    <row r="585" customFormat="false" ht="16.5" hidden="false" customHeight="true" outlineLevel="0" collapsed="false">
      <c r="A585" s="176" t="n">
        <f aca="false">ROW(A583)</f>
        <v>583</v>
      </c>
      <c r="B585" s="176" t="s">
        <v>455</v>
      </c>
      <c r="C585" s="177" t="n">
        <v>1</v>
      </c>
      <c r="D585" s="85" t="n">
        <v>206</v>
      </c>
      <c r="E585" s="177" t="s">
        <v>1751</v>
      </c>
      <c r="F585" s="178" t="s">
        <v>1752</v>
      </c>
      <c r="G585" s="179" t="s">
        <v>1155</v>
      </c>
      <c r="H585" s="179" t="s">
        <v>1697</v>
      </c>
      <c r="I585" s="179" t="s">
        <v>422</v>
      </c>
      <c r="J585" s="177" t="s">
        <v>460</v>
      </c>
      <c r="K585" s="180" t="s">
        <v>1753</v>
      </c>
      <c r="L585" s="181" t="n">
        <v>45727</v>
      </c>
      <c r="M585" s="179" t="n">
        <v>2079</v>
      </c>
      <c r="N585" s="179" t="n">
        <v>2203</v>
      </c>
      <c r="O585" s="179" t="n">
        <v>124</v>
      </c>
      <c r="P585" s="179" t="n">
        <v>120</v>
      </c>
      <c r="Q585" s="179"/>
      <c r="R585" s="182" t="n">
        <f aca="false">合約與計費!$D$4</f>
        <v>0.296</v>
      </c>
      <c r="S585" s="183" t="n">
        <f aca="false">ROUND(P585*R585,0)</f>
        <v>36</v>
      </c>
      <c r="T585" s="184"/>
      <c r="U585" s="179" t="n">
        <v>275</v>
      </c>
      <c r="V585" s="179" t="n">
        <v>324</v>
      </c>
      <c r="W585" s="179" t="n">
        <v>49</v>
      </c>
      <c r="X585" s="179" t="n">
        <v>48</v>
      </c>
      <c r="Y585" s="179"/>
      <c r="Z585" s="185" t="n">
        <f aca="false">合約與計費!$E$4</f>
        <v>2.8</v>
      </c>
      <c r="AA585" s="186" t="n">
        <f aca="false">ROUND(X585*Z585,0)</f>
        <v>134</v>
      </c>
      <c r="AB585" s="187"/>
      <c r="AC585" s="188"/>
      <c r="AD585" s="42"/>
      <c r="AE585" s="43"/>
    </row>
    <row r="586" customFormat="false" ht="16.5" hidden="false" customHeight="true" outlineLevel="0" collapsed="false">
      <c r="A586" s="189" t="n">
        <f aca="false">ROW(A584)</f>
        <v>584</v>
      </c>
      <c r="B586" s="189" t="s">
        <v>462</v>
      </c>
      <c r="C586" s="190" t="n">
        <v>1</v>
      </c>
      <c r="D586" s="85"/>
      <c r="E586" s="190" t="s">
        <v>1754</v>
      </c>
      <c r="F586" s="191" t="s">
        <v>1752</v>
      </c>
      <c r="G586" s="192" t="s">
        <v>1155</v>
      </c>
      <c r="H586" s="192" t="s">
        <v>1697</v>
      </c>
      <c r="I586" s="192" t="s">
        <v>422</v>
      </c>
      <c r="J586" s="190" t="s">
        <v>464</v>
      </c>
      <c r="K586" s="193" t="s">
        <v>1755</v>
      </c>
      <c r="L586" s="194" t="n">
        <v>45727</v>
      </c>
      <c r="M586" s="192" t="n">
        <v>1299</v>
      </c>
      <c r="N586" s="192" t="n">
        <v>1419</v>
      </c>
      <c r="O586" s="192" t="n">
        <v>120</v>
      </c>
      <c r="P586" s="192" t="n">
        <v>116</v>
      </c>
      <c r="Q586" s="192"/>
      <c r="R586" s="195" t="n">
        <f aca="false">合約與計費!$D$4</f>
        <v>0.296</v>
      </c>
      <c r="S586" s="196" t="n">
        <f aca="false">ROUND(P586*R586,0)</f>
        <v>34</v>
      </c>
      <c r="T586" s="197"/>
      <c r="U586" s="192"/>
      <c r="V586" s="192"/>
      <c r="W586" s="198"/>
      <c r="X586" s="192"/>
      <c r="Y586" s="192"/>
      <c r="Z586" s="199"/>
      <c r="AA586" s="200"/>
      <c r="AB586" s="201"/>
      <c r="AC586" s="202"/>
      <c r="AD586" s="42" t="n">
        <v>0.0565</v>
      </c>
      <c r="AE586" s="43" t="n">
        <v>0.3</v>
      </c>
    </row>
    <row r="587" customFormat="false" ht="16.5" hidden="false" customHeight="true" outlineLevel="0" collapsed="false">
      <c r="A587" s="203" t="n">
        <f aca="false">ROW(A585)</f>
        <v>585</v>
      </c>
      <c r="B587" s="203" t="s">
        <v>466</v>
      </c>
      <c r="C587" s="204" t="n">
        <v>1</v>
      </c>
      <c r="D587" s="85"/>
      <c r="E587" s="204" t="s">
        <v>1756</v>
      </c>
      <c r="F587" s="205" t="s">
        <v>1752</v>
      </c>
      <c r="G587" s="206" t="s">
        <v>1155</v>
      </c>
      <c r="H587" s="206" t="s">
        <v>1697</v>
      </c>
      <c r="I587" s="206" t="s">
        <v>422</v>
      </c>
      <c r="J587" s="204" t="s">
        <v>527</v>
      </c>
      <c r="K587" s="207" t="s">
        <v>1757</v>
      </c>
      <c r="L587" s="208" t="n">
        <v>45727</v>
      </c>
      <c r="M587" s="206" t="n">
        <v>3742</v>
      </c>
      <c r="N587" s="206" t="n">
        <v>4619</v>
      </c>
      <c r="O587" s="114" t="n">
        <v>877</v>
      </c>
      <c r="P587" s="114" t="n">
        <v>851</v>
      </c>
      <c r="Q587" s="114" t="n">
        <f aca="false">ROUND(SUM(P585:P587),2)</f>
        <v>1087</v>
      </c>
      <c r="R587" s="209" t="n">
        <f aca="false">合約與計費!$D$4</f>
        <v>0.296</v>
      </c>
      <c r="S587" s="210" t="n">
        <f aca="false">ROUND(P587*R587,0)</f>
        <v>252</v>
      </c>
      <c r="T587" s="119" t="n">
        <f aca="false">ROUND(SUM(S585:S587),2)</f>
        <v>322</v>
      </c>
      <c r="U587" s="206"/>
      <c r="V587" s="206"/>
      <c r="W587" s="211"/>
      <c r="X587" s="206"/>
      <c r="Y587" s="192" t="n">
        <f aca="false">ROUND(SUM(X585:X587),2)</f>
        <v>48</v>
      </c>
      <c r="Z587" s="212"/>
      <c r="AA587" s="200"/>
      <c r="AB587" s="201" t="n">
        <f aca="false">ROUND(SUM(AA585:AA587),2)</f>
        <v>134</v>
      </c>
      <c r="AC587" s="213"/>
      <c r="AD587" s="42"/>
      <c r="AE587" s="43"/>
    </row>
    <row r="588" customFormat="false" ht="16.5" hidden="false" customHeight="true" outlineLevel="0" collapsed="false">
      <c r="A588" s="85" t="n">
        <f aca="false">ROW(A586)</f>
        <v>586</v>
      </c>
      <c r="B588" s="85" t="s">
        <v>455</v>
      </c>
      <c r="C588" s="214" t="n">
        <v>1</v>
      </c>
      <c r="D588" s="85" t="n">
        <v>207</v>
      </c>
      <c r="E588" s="214" t="s">
        <v>1758</v>
      </c>
      <c r="F588" s="215" t="s">
        <v>1759</v>
      </c>
      <c r="G588" s="216" t="s">
        <v>1155</v>
      </c>
      <c r="H588" s="216" t="s">
        <v>1697</v>
      </c>
      <c r="I588" s="216" t="s">
        <v>401</v>
      </c>
      <c r="J588" s="214" t="s">
        <v>460</v>
      </c>
      <c r="K588" s="217" t="s">
        <v>1760</v>
      </c>
      <c r="L588" s="218" t="n">
        <v>45729</v>
      </c>
      <c r="M588" s="216" t="n">
        <v>11567</v>
      </c>
      <c r="N588" s="216" t="n">
        <v>11872</v>
      </c>
      <c r="O588" s="114" t="n">
        <v>305</v>
      </c>
      <c r="P588" s="114" t="n">
        <v>296</v>
      </c>
      <c r="Q588" s="114" t="n">
        <f aca="false">ROUND(SUM(P588),2)</f>
        <v>296</v>
      </c>
      <c r="R588" s="219" t="n">
        <f aca="false">合約與計費!$D$4</f>
        <v>0.296</v>
      </c>
      <c r="S588" s="220" t="n">
        <f aca="false">ROUND(P588*R588,0)</f>
        <v>88</v>
      </c>
      <c r="T588" s="119" t="n">
        <f aca="false">ROUND(SUM(S588),2)</f>
        <v>88</v>
      </c>
      <c r="U588" s="216" t="n">
        <v>233</v>
      </c>
      <c r="V588" s="216" t="n">
        <v>348</v>
      </c>
      <c r="W588" s="216" t="n">
        <v>115</v>
      </c>
      <c r="X588" s="216" t="n">
        <v>112</v>
      </c>
      <c r="Y588" s="216" t="n">
        <f aca="false">ROUND(SUM(X588),2)</f>
        <v>112</v>
      </c>
      <c r="Z588" s="221" t="n">
        <f aca="false">合約與計費!$E$4</f>
        <v>2.8</v>
      </c>
      <c r="AA588" s="222" t="n">
        <f aca="false">ROUND(X588*Z588,0)</f>
        <v>314</v>
      </c>
      <c r="AB588" s="223" t="n">
        <f aca="false">ROUND(SUM(AA588),2)</f>
        <v>314</v>
      </c>
      <c r="AC588" s="224"/>
      <c r="AD588" s="42"/>
      <c r="AE588" s="43"/>
    </row>
    <row r="589" customFormat="false" ht="16.5" hidden="false" customHeight="true" outlineLevel="0" collapsed="false">
      <c r="A589" s="84" t="n">
        <f aca="false">ROW(A587)</f>
        <v>587</v>
      </c>
      <c r="B589" s="84" t="s">
        <v>455</v>
      </c>
      <c r="C589" s="32" t="n">
        <v>1</v>
      </c>
      <c r="D589" s="85" t="n">
        <v>217</v>
      </c>
      <c r="E589" s="86" t="s">
        <v>1761</v>
      </c>
      <c r="F589" s="87" t="s">
        <v>1762</v>
      </c>
      <c r="G589" s="32" t="s">
        <v>1155</v>
      </c>
      <c r="H589" s="32" t="s">
        <v>1697</v>
      </c>
      <c r="I589" s="32" t="s">
        <v>98</v>
      </c>
      <c r="J589" s="86" t="s">
        <v>460</v>
      </c>
      <c r="K589" s="88" t="s">
        <v>1763</v>
      </c>
      <c r="L589" s="89" t="n">
        <v>45727</v>
      </c>
      <c r="M589" s="32" t="n">
        <v>383</v>
      </c>
      <c r="N589" s="32" t="n">
        <v>386</v>
      </c>
      <c r="O589" s="32" t="n">
        <v>3</v>
      </c>
      <c r="P589" s="32" t="n">
        <v>3</v>
      </c>
      <c r="Q589" s="32"/>
      <c r="R589" s="90" t="n">
        <f aca="false">合約與計費!$D$4</f>
        <v>0.296</v>
      </c>
      <c r="S589" s="91" t="n">
        <f aca="false">ROUND(P589*R589,0)</f>
        <v>1</v>
      </c>
      <c r="T589" s="92"/>
      <c r="U589" s="32" t="n">
        <v>11</v>
      </c>
      <c r="V589" s="32" t="n">
        <v>11</v>
      </c>
      <c r="W589" s="32" t="n">
        <v>0</v>
      </c>
      <c r="X589" s="32" t="n">
        <v>0</v>
      </c>
      <c r="Y589" s="32"/>
      <c r="Z589" s="93" t="n">
        <f aca="false">合約與計費!$E$4</f>
        <v>2.8</v>
      </c>
      <c r="AA589" s="94" t="n">
        <f aca="false">ROUND(X589*Z589,0)</f>
        <v>0</v>
      </c>
      <c r="AB589" s="95"/>
      <c r="AC589" s="96"/>
      <c r="AD589" s="42"/>
      <c r="AE589" s="43"/>
    </row>
    <row r="590" customFormat="false" ht="16.5" hidden="false" customHeight="true" outlineLevel="0" collapsed="false">
      <c r="A590" s="97" t="n">
        <f aca="false">ROW(A588)</f>
        <v>588</v>
      </c>
      <c r="B590" s="97" t="s">
        <v>462</v>
      </c>
      <c r="C590" s="100" t="n">
        <v>1</v>
      </c>
      <c r="D590" s="85"/>
      <c r="E590" s="98" t="s">
        <v>1764</v>
      </c>
      <c r="F590" s="99" t="s">
        <v>1762</v>
      </c>
      <c r="G590" s="100" t="s">
        <v>1155</v>
      </c>
      <c r="H590" s="100" t="s">
        <v>1697</v>
      </c>
      <c r="I590" s="175" t="s">
        <v>98</v>
      </c>
      <c r="J590" s="98" t="s">
        <v>464</v>
      </c>
      <c r="K590" s="101" t="s">
        <v>1765</v>
      </c>
      <c r="L590" s="102" t="n">
        <v>45727</v>
      </c>
      <c r="M590" s="100" t="n">
        <v>147</v>
      </c>
      <c r="N590" s="100" t="n">
        <v>173</v>
      </c>
      <c r="O590" s="100" t="n">
        <v>26</v>
      </c>
      <c r="P590" s="100" t="n">
        <v>25</v>
      </c>
      <c r="Q590" s="100"/>
      <c r="R590" s="103" t="n">
        <f aca="false">合約與計費!$D$4</f>
        <v>0.296</v>
      </c>
      <c r="S590" s="104" t="n">
        <f aca="false">ROUND(P590*R590,0)</f>
        <v>7</v>
      </c>
      <c r="T590" s="105"/>
      <c r="U590" s="100"/>
      <c r="V590" s="100"/>
      <c r="W590" s="106"/>
      <c r="X590" s="100"/>
      <c r="Y590" s="100"/>
      <c r="Z590" s="107"/>
      <c r="AA590" s="108"/>
      <c r="AB590" s="109"/>
      <c r="AC590" s="110"/>
      <c r="AD590" s="42" t="n">
        <v>0.0326</v>
      </c>
      <c r="AE590" s="43" t="n">
        <v>1</v>
      </c>
    </row>
    <row r="591" customFormat="false" ht="16.5" hidden="false" customHeight="true" outlineLevel="0" collapsed="false">
      <c r="A591" s="111" t="n">
        <f aca="false">ROW(A589)</f>
        <v>589</v>
      </c>
      <c r="B591" s="111" t="s">
        <v>466</v>
      </c>
      <c r="C591" s="114" t="n">
        <v>1</v>
      </c>
      <c r="D591" s="85"/>
      <c r="E591" s="112" t="s">
        <v>1766</v>
      </c>
      <c r="F591" s="113" t="s">
        <v>1762</v>
      </c>
      <c r="G591" s="114" t="s">
        <v>1155</v>
      </c>
      <c r="H591" s="114" t="s">
        <v>1697</v>
      </c>
      <c r="I591" s="173" t="s">
        <v>98</v>
      </c>
      <c r="J591" s="112" t="s">
        <v>527</v>
      </c>
      <c r="K591" s="115" t="s">
        <v>1767</v>
      </c>
      <c r="L591" s="116" t="n">
        <v>45727</v>
      </c>
      <c r="M591" s="114" t="n">
        <v>4783</v>
      </c>
      <c r="N591" s="114" t="n">
        <v>5241</v>
      </c>
      <c r="O591" s="114" t="n">
        <v>458</v>
      </c>
      <c r="P591" s="114" t="n">
        <v>444</v>
      </c>
      <c r="Q591" s="114" t="n">
        <f aca="false">ROUND(SUM(P589:P591),2)</f>
        <v>472</v>
      </c>
      <c r="R591" s="117" t="n">
        <f aca="false">合約與計費!$D$4</f>
        <v>0.296</v>
      </c>
      <c r="S591" s="118" t="n">
        <f aca="false">ROUND(P591*R591,0)</f>
        <v>131</v>
      </c>
      <c r="T591" s="119" t="n">
        <f aca="false">ROUND(SUM(S589:S591),2)</f>
        <v>139</v>
      </c>
      <c r="U591" s="114"/>
      <c r="V591" s="114"/>
      <c r="W591" s="120"/>
      <c r="X591" s="114"/>
      <c r="Y591" s="114" t="n">
        <f aca="false">ROUND(SUM(X589:X591),2)</f>
        <v>0</v>
      </c>
      <c r="Z591" s="121"/>
      <c r="AA591" s="122"/>
      <c r="AB591" s="123" t="n">
        <f aca="false">ROUND(SUM(AA589:AA591),2)</f>
        <v>0</v>
      </c>
      <c r="AC591" s="124"/>
      <c r="AD591" s="42"/>
      <c r="AE591" s="43"/>
    </row>
    <row r="592" customFormat="false" ht="16.5" hidden="false" customHeight="true" outlineLevel="0" collapsed="false">
      <c r="A592" s="84" t="n">
        <f aca="false">ROW(A590)</f>
        <v>590</v>
      </c>
      <c r="B592" s="84" t="s">
        <v>455</v>
      </c>
      <c r="C592" s="32" t="n">
        <v>1</v>
      </c>
      <c r="D592" s="85" t="n">
        <v>337</v>
      </c>
      <c r="E592" s="86" t="s">
        <v>1768</v>
      </c>
      <c r="F592" s="87" t="s">
        <v>1769</v>
      </c>
      <c r="G592" s="32" t="s">
        <v>1155</v>
      </c>
      <c r="H592" s="32" t="s">
        <v>1697</v>
      </c>
      <c r="I592" s="32" t="s">
        <v>201</v>
      </c>
      <c r="J592" s="86" t="s">
        <v>460</v>
      </c>
      <c r="K592" s="88" t="s">
        <v>1770</v>
      </c>
      <c r="L592" s="89" t="n">
        <v>45726</v>
      </c>
      <c r="M592" s="32" t="n">
        <v>1893</v>
      </c>
      <c r="N592" s="32" t="n">
        <v>2296</v>
      </c>
      <c r="O592" s="32" t="n">
        <v>403</v>
      </c>
      <c r="P592" s="32" t="n">
        <v>391</v>
      </c>
      <c r="Q592" s="32"/>
      <c r="R592" s="90" t="n">
        <f aca="false">合約與計費!$D$4</f>
        <v>0.296</v>
      </c>
      <c r="S592" s="91" t="n">
        <f aca="false">ROUND(P592*R592,0)</f>
        <v>116</v>
      </c>
      <c r="T592" s="92"/>
      <c r="U592" s="32" t="n">
        <v>237</v>
      </c>
      <c r="V592" s="32" t="n">
        <v>340</v>
      </c>
      <c r="W592" s="32" t="n">
        <v>103</v>
      </c>
      <c r="X592" s="32" t="n">
        <v>100</v>
      </c>
      <c r="Y592" s="32"/>
      <c r="Z592" s="93" t="n">
        <f aca="false">合約與計費!$E$4</f>
        <v>2.8</v>
      </c>
      <c r="AA592" s="94" t="n">
        <f aca="false">ROUND(X592*Z592,0)</f>
        <v>280</v>
      </c>
      <c r="AB592" s="95"/>
      <c r="AC592" s="96"/>
      <c r="AD592" s="42"/>
      <c r="AE592" s="43"/>
    </row>
    <row r="593" customFormat="false" ht="16.5" hidden="false" customHeight="true" outlineLevel="0" collapsed="false">
      <c r="A593" s="97" t="n">
        <f aca="false">ROW(A591)</f>
        <v>591</v>
      </c>
      <c r="B593" s="97" t="s">
        <v>462</v>
      </c>
      <c r="C593" s="100" t="n">
        <v>1</v>
      </c>
      <c r="D593" s="85"/>
      <c r="E593" s="98" t="s">
        <v>1771</v>
      </c>
      <c r="F593" s="99" t="s">
        <v>1769</v>
      </c>
      <c r="G593" s="100" t="s">
        <v>1155</v>
      </c>
      <c r="H593" s="100" t="s">
        <v>1697</v>
      </c>
      <c r="I593" s="100" t="s">
        <v>201</v>
      </c>
      <c r="J593" s="98" t="s">
        <v>464</v>
      </c>
      <c r="K593" s="101" t="s">
        <v>1772</v>
      </c>
      <c r="L593" s="102" t="n">
        <v>45726</v>
      </c>
      <c r="M593" s="100" t="n">
        <v>165</v>
      </c>
      <c r="N593" s="100" t="n">
        <v>216</v>
      </c>
      <c r="O593" s="100" t="n">
        <v>51</v>
      </c>
      <c r="P593" s="100" t="n">
        <v>49</v>
      </c>
      <c r="Q593" s="100"/>
      <c r="R593" s="103" t="n">
        <f aca="false">合約與計費!$D$4</f>
        <v>0.296</v>
      </c>
      <c r="S593" s="104" t="n">
        <f aca="false">ROUND(P593*R593,0)</f>
        <v>15</v>
      </c>
      <c r="T593" s="105"/>
      <c r="U593" s="100"/>
      <c r="V593" s="100"/>
      <c r="W593" s="106"/>
      <c r="X593" s="100"/>
      <c r="Y593" s="100"/>
      <c r="Z593" s="107"/>
      <c r="AA593" s="108"/>
      <c r="AB593" s="109"/>
      <c r="AC593" s="110"/>
      <c r="AD593" s="42" t="n">
        <v>0.0588</v>
      </c>
      <c r="AE593" s="43" t="n">
        <v>0.9</v>
      </c>
    </row>
    <row r="594" customFormat="false" ht="16.5" hidden="false" customHeight="true" outlineLevel="0" collapsed="false">
      <c r="A594" s="97" t="n">
        <f aca="false">ROW(A592)</f>
        <v>592</v>
      </c>
      <c r="B594" s="97" t="s">
        <v>466</v>
      </c>
      <c r="C594" s="100" t="n">
        <v>1</v>
      </c>
      <c r="D594" s="85"/>
      <c r="E594" s="98" t="s">
        <v>1773</v>
      </c>
      <c r="F594" s="99" t="s">
        <v>1769</v>
      </c>
      <c r="G594" s="100" t="s">
        <v>1155</v>
      </c>
      <c r="H594" s="100" t="s">
        <v>1697</v>
      </c>
      <c r="I594" s="100" t="s">
        <v>201</v>
      </c>
      <c r="J594" s="98" t="s">
        <v>464</v>
      </c>
      <c r="K594" s="101" t="s">
        <v>1774</v>
      </c>
      <c r="L594" s="102" t="n">
        <v>45726</v>
      </c>
      <c r="M594" s="100" t="n">
        <v>3329</v>
      </c>
      <c r="N594" s="100" t="n">
        <v>3916</v>
      </c>
      <c r="O594" s="100" t="n">
        <v>587</v>
      </c>
      <c r="P594" s="100" t="n">
        <v>569</v>
      </c>
      <c r="Q594" s="100"/>
      <c r="R594" s="103" t="n">
        <f aca="false">合約與計費!$D$4</f>
        <v>0.296</v>
      </c>
      <c r="S594" s="104" t="n">
        <f aca="false">ROUND(P594*R594,0)</f>
        <v>168</v>
      </c>
      <c r="T594" s="105"/>
      <c r="U594" s="100"/>
      <c r="V594" s="100"/>
      <c r="W594" s="106"/>
      <c r="X594" s="100"/>
      <c r="Y594" s="100"/>
      <c r="Z594" s="107"/>
      <c r="AA594" s="108"/>
      <c r="AB594" s="109"/>
      <c r="AC594" s="110"/>
      <c r="AD594" s="42" t="n">
        <v>0.0546</v>
      </c>
      <c r="AE594" s="43" t="n">
        <v>0.9</v>
      </c>
    </row>
    <row r="595" customFormat="false" ht="16.5" hidden="false" customHeight="true" outlineLevel="0" collapsed="false">
      <c r="A595" s="97" t="n">
        <f aca="false">ROW(A593)</f>
        <v>593</v>
      </c>
      <c r="B595" s="97" t="s">
        <v>482</v>
      </c>
      <c r="C595" s="100" t="n">
        <v>1</v>
      </c>
      <c r="D595" s="85"/>
      <c r="E595" s="98" t="s">
        <v>1775</v>
      </c>
      <c r="F595" s="99" t="s">
        <v>1769</v>
      </c>
      <c r="G595" s="100" t="s">
        <v>1155</v>
      </c>
      <c r="H595" s="100" t="s">
        <v>1697</v>
      </c>
      <c r="I595" s="100" t="s">
        <v>201</v>
      </c>
      <c r="J595" s="98" t="s">
        <v>527</v>
      </c>
      <c r="K595" s="101" t="s">
        <v>1776</v>
      </c>
      <c r="L595" s="102" t="n">
        <v>45910</v>
      </c>
      <c r="M595" s="100" t="n">
        <v>0</v>
      </c>
      <c r="N595" s="100" t="n">
        <v>719</v>
      </c>
      <c r="O595" s="100" t="n">
        <v>719</v>
      </c>
      <c r="P595" s="100" t="n">
        <v>697</v>
      </c>
      <c r="Q595" s="100"/>
      <c r="R595" s="103" t="n">
        <f aca="false">合約與計費!$D$4</f>
        <v>0.296</v>
      </c>
      <c r="S595" s="104" t="n">
        <f aca="false">ROUND(P595*R595,0)</f>
        <v>206</v>
      </c>
      <c r="T595" s="105"/>
      <c r="U595" s="100"/>
      <c r="V595" s="100"/>
      <c r="W595" s="106"/>
      <c r="X595" s="100"/>
      <c r="Y595" s="100"/>
      <c r="Z595" s="107"/>
      <c r="AA595" s="108"/>
      <c r="AB595" s="109"/>
      <c r="AC595" s="110"/>
      <c r="AD595" s="42"/>
      <c r="AE595" s="43"/>
    </row>
    <row r="596" customFormat="false" ht="16.5" hidden="false" customHeight="true" outlineLevel="0" collapsed="false">
      <c r="A596" s="97" t="n">
        <f aca="false">ROW(A594)</f>
        <v>594</v>
      </c>
      <c r="B596" s="97" t="s">
        <v>485</v>
      </c>
      <c r="C596" s="100" t="n">
        <v>1</v>
      </c>
      <c r="D596" s="85"/>
      <c r="E596" s="98" t="s">
        <v>1777</v>
      </c>
      <c r="F596" s="99" t="s">
        <v>1769</v>
      </c>
      <c r="G596" s="100" t="s">
        <v>1155</v>
      </c>
      <c r="H596" s="100" t="s">
        <v>1697</v>
      </c>
      <c r="I596" s="100" t="s">
        <v>201</v>
      </c>
      <c r="J596" s="98" t="s">
        <v>527</v>
      </c>
      <c r="K596" s="101" t="s">
        <v>1778</v>
      </c>
      <c r="L596" s="102" t="n">
        <v>45910</v>
      </c>
      <c r="M596" s="100" t="n">
        <v>0</v>
      </c>
      <c r="N596" s="100" t="n">
        <v>712</v>
      </c>
      <c r="O596" s="100" t="n">
        <v>712</v>
      </c>
      <c r="P596" s="100" t="n">
        <v>691</v>
      </c>
      <c r="Q596" s="100"/>
      <c r="R596" s="103" t="n">
        <f aca="false">合約與計費!$D$4</f>
        <v>0.296</v>
      </c>
      <c r="S596" s="104" t="n">
        <f aca="false">ROUND(P596*R596,0)</f>
        <v>205</v>
      </c>
      <c r="T596" s="105"/>
      <c r="U596" s="100"/>
      <c r="V596" s="100"/>
      <c r="W596" s="106"/>
      <c r="X596" s="100"/>
      <c r="Y596" s="100"/>
      <c r="Z596" s="107"/>
      <c r="AA596" s="108"/>
      <c r="AB596" s="109"/>
      <c r="AC596" s="110"/>
      <c r="AD596" s="42"/>
      <c r="AE596" s="43"/>
    </row>
    <row r="597" customFormat="false" ht="16.5" hidden="false" customHeight="true" outlineLevel="0" collapsed="false">
      <c r="A597" s="97" t="n">
        <f aca="false">ROW(A595)</f>
        <v>595</v>
      </c>
      <c r="B597" s="97" t="s">
        <v>1779</v>
      </c>
      <c r="C597" s="100" t="n">
        <v>1</v>
      </c>
      <c r="D597" s="85"/>
      <c r="E597" s="98" t="s">
        <v>1780</v>
      </c>
      <c r="F597" s="99" t="s">
        <v>1769</v>
      </c>
      <c r="G597" s="100" t="s">
        <v>1155</v>
      </c>
      <c r="H597" s="100" t="s">
        <v>1697</v>
      </c>
      <c r="I597" s="100" t="s">
        <v>201</v>
      </c>
      <c r="J597" s="98" t="s">
        <v>527</v>
      </c>
      <c r="K597" s="101" t="s">
        <v>1781</v>
      </c>
      <c r="L597" s="102" t="n">
        <v>45910</v>
      </c>
      <c r="M597" s="100" t="n">
        <v>0</v>
      </c>
      <c r="N597" s="100" t="n">
        <v>671</v>
      </c>
      <c r="O597" s="100" t="n">
        <v>671</v>
      </c>
      <c r="P597" s="100" t="n">
        <v>651</v>
      </c>
      <c r="Q597" s="100"/>
      <c r="R597" s="103" t="n">
        <f aca="false">合約與計費!$D$4</f>
        <v>0.296</v>
      </c>
      <c r="S597" s="104" t="n">
        <f aca="false">ROUND(P597*R597,0)</f>
        <v>193</v>
      </c>
      <c r="T597" s="105"/>
      <c r="U597" s="100"/>
      <c r="V597" s="100"/>
      <c r="W597" s="106"/>
      <c r="X597" s="100"/>
      <c r="Y597" s="100"/>
      <c r="Z597" s="107"/>
      <c r="AA597" s="108"/>
      <c r="AB597" s="109"/>
      <c r="AC597" s="110"/>
      <c r="AD597" s="42"/>
      <c r="AE597" s="43"/>
    </row>
    <row r="598" customFormat="false" ht="16.5" hidden="false" customHeight="true" outlineLevel="0" collapsed="false">
      <c r="A598" s="97" t="n">
        <f aca="false">ROW(A596)</f>
        <v>596</v>
      </c>
      <c r="B598" s="97" t="s">
        <v>469</v>
      </c>
      <c r="C598" s="100" t="n">
        <v>1</v>
      </c>
      <c r="D598" s="85"/>
      <c r="E598" s="98" t="s">
        <v>1782</v>
      </c>
      <c r="F598" s="99" t="s">
        <v>1769</v>
      </c>
      <c r="G598" s="100" t="s">
        <v>1155</v>
      </c>
      <c r="H598" s="100" t="s">
        <v>1697</v>
      </c>
      <c r="I598" s="100" t="s">
        <v>201</v>
      </c>
      <c r="J598" s="98" t="s">
        <v>527</v>
      </c>
      <c r="K598" s="101" t="s">
        <v>1783</v>
      </c>
      <c r="L598" s="102" t="n">
        <v>45726</v>
      </c>
      <c r="M598" s="100" t="n">
        <v>5660</v>
      </c>
      <c r="N598" s="100" t="n">
        <v>6378</v>
      </c>
      <c r="O598" s="100" t="n">
        <v>718</v>
      </c>
      <c r="P598" s="100" t="n">
        <v>696</v>
      </c>
      <c r="Q598" s="100"/>
      <c r="R598" s="103" t="n">
        <f aca="false">合約與計費!$D$4</f>
        <v>0.296</v>
      </c>
      <c r="S598" s="104" t="n">
        <f aca="false">ROUND(P598*R598,0)</f>
        <v>206</v>
      </c>
      <c r="T598" s="105"/>
      <c r="U598" s="100"/>
      <c r="V598" s="100"/>
      <c r="W598" s="106"/>
      <c r="X598" s="100"/>
      <c r="Y598" s="100"/>
      <c r="Z598" s="107"/>
      <c r="AA598" s="108"/>
      <c r="AB598" s="109"/>
      <c r="AC598" s="110"/>
      <c r="AD598" s="42"/>
      <c r="AE598" s="43"/>
    </row>
    <row r="599" customFormat="false" ht="16.5" hidden="false" customHeight="true" outlineLevel="0" collapsed="false">
      <c r="A599" s="97" t="n">
        <f aca="false">ROW(A597)</f>
        <v>597</v>
      </c>
      <c r="B599" s="97" t="s">
        <v>473</v>
      </c>
      <c r="C599" s="100" t="n">
        <v>1</v>
      </c>
      <c r="D599" s="85"/>
      <c r="E599" s="98" t="s">
        <v>1784</v>
      </c>
      <c r="F599" s="99" t="s">
        <v>1769</v>
      </c>
      <c r="G599" s="100" t="s">
        <v>1155</v>
      </c>
      <c r="H599" s="100" t="s">
        <v>1697</v>
      </c>
      <c r="I599" s="100" t="s">
        <v>201</v>
      </c>
      <c r="J599" s="98" t="s">
        <v>527</v>
      </c>
      <c r="K599" s="101" t="s">
        <v>1785</v>
      </c>
      <c r="L599" s="102" t="n">
        <v>45726</v>
      </c>
      <c r="M599" s="100" t="n">
        <v>8445</v>
      </c>
      <c r="N599" s="100" t="n">
        <v>9832</v>
      </c>
      <c r="O599" s="100" t="n">
        <v>1387</v>
      </c>
      <c r="P599" s="100" t="n">
        <v>1345</v>
      </c>
      <c r="Q599" s="100"/>
      <c r="R599" s="103" t="n">
        <f aca="false">合約與計費!$D$4</f>
        <v>0.296</v>
      </c>
      <c r="S599" s="104" t="n">
        <f aca="false">ROUND(P599*R599,0)</f>
        <v>398</v>
      </c>
      <c r="T599" s="105"/>
      <c r="U599" s="100"/>
      <c r="V599" s="100"/>
      <c r="W599" s="106"/>
      <c r="X599" s="100"/>
      <c r="Y599" s="100"/>
      <c r="Z599" s="107"/>
      <c r="AA599" s="108"/>
      <c r="AB599" s="109"/>
      <c r="AC599" s="110"/>
      <c r="AD599" s="42"/>
      <c r="AE599" s="43"/>
    </row>
    <row r="600" customFormat="false" ht="16.5" hidden="false" customHeight="true" outlineLevel="0" collapsed="false">
      <c r="A600" s="97" t="n">
        <f aca="false">ROW(A598)</f>
        <v>598</v>
      </c>
      <c r="B600" s="97" t="s">
        <v>476</v>
      </c>
      <c r="C600" s="100" t="n">
        <v>1</v>
      </c>
      <c r="D600" s="85"/>
      <c r="E600" s="98" t="s">
        <v>1786</v>
      </c>
      <c r="F600" s="99" t="s">
        <v>1769</v>
      </c>
      <c r="G600" s="100" t="s">
        <v>1155</v>
      </c>
      <c r="H600" s="100" t="s">
        <v>1697</v>
      </c>
      <c r="I600" s="100" t="s">
        <v>201</v>
      </c>
      <c r="J600" s="98" t="s">
        <v>527</v>
      </c>
      <c r="K600" s="101" t="s">
        <v>1787</v>
      </c>
      <c r="L600" s="102" t="n">
        <v>45726</v>
      </c>
      <c r="M600" s="100" t="n">
        <v>5341</v>
      </c>
      <c r="N600" s="100" t="n">
        <v>6443</v>
      </c>
      <c r="O600" s="100" t="n">
        <v>1102</v>
      </c>
      <c r="P600" s="100" t="n">
        <v>1069</v>
      </c>
      <c r="Q600" s="100"/>
      <c r="R600" s="103" t="n">
        <f aca="false">合約與計費!$D$4</f>
        <v>0.296</v>
      </c>
      <c r="S600" s="104" t="n">
        <f aca="false">ROUND(P600*R600,0)</f>
        <v>316</v>
      </c>
      <c r="T600" s="105"/>
      <c r="U600" s="100"/>
      <c r="V600" s="100"/>
      <c r="W600" s="106"/>
      <c r="X600" s="100"/>
      <c r="Y600" s="100"/>
      <c r="Z600" s="107"/>
      <c r="AA600" s="108"/>
      <c r="AB600" s="109"/>
      <c r="AC600" s="110"/>
      <c r="AD600" s="42"/>
      <c r="AE600" s="43"/>
    </row>
    <row r="601" customFormat="false" ht="16.5" hidden="false" customHeight="true" outlineLevel="0" collapsed="false">
      <c r="A601" s="97" t="n">
        <f aca="false">ROW(A599)</f>
        <v>599</v>
      </c>
      <c r="B601" s="97" t="s">
        <v>479</v>
      </c>
      <c r="C601" s="114" t="n">
        <v>1</v>
      </c>
      <c r="D601" s="85"/>
      <c r="E601" s="98" t="s">
        <v>1788</v>
      </c>
      <c r="F601" s="99" t="s">
        <v>1769</v>
      </c>
      <c r="G601" s="100" t="s">
        <v>1155</v>
      </c>
      <c r="H601" s="100" t="s">
        <v>1697</v>
      </c>
      <c r="I601" s="100" t="s">
        <v>201</v>
      </c>
      <c r="J601" s="98" t="s">
        <v>527</v>
      </c>
      <c r="K601" s="101" t="s">
        <v>1789</v>
      </c>
      <c r="L601" s="102" t="n">
        <v>45726</v>
      </c>
      <c r="M601" s="100" t="n">
        <v>7061</v>
      </c>
      <c r="N601" s="100" t="n">
        <v>7621</v>
      </c>
      <c r="O601" s="100" t="n">
        <v>560</v>
      </c>
      <c r="P601" s="100" t="n">
        <v>543</v>
      </c>
      <c r="Q601" s="100" t="n">
        <f aca="false">ROUND(SUM(P592:P601),2)</f>
        <v>6701</v>
      </c>
      <c r="R601" s="103" t="n">
        <f aca="false">合約與計費!$D$4</f>
        <v>0.296</v>
      </c>
      <c r="S601" s="104" t="n">
        <f aca="false">ROUND(P601*R601,0)</f>
        <v>161</v>
      </c>
      <c r="T601" s="105" t="n">
        <f aca="false">ROUND(SUM(S592:S601),2)</f>
        <v>1984</v>
      </c>
      <c r="U601" s="100"/>
      <c r="V601" s="100"/>
      <c r="W601" s="106"/>
      <c r="X601" s="100"/>
      <c r="Y601" s="100" t="n">
        <f aca="false">ROUND(SUM(X592:X601),2)</f>
        <v>100</v>
      </c>
      <c r="Z601" s="107"/>
      <c r="AA601" s="108"/>
      <c r="AB601" s="109" t="n">
        <f aca="false">ROUND(SUM(AA592:AA601),2)</f>
        <v>280</v>
      </c>
      <c r="AC601" s="110"/>
      <c r="AD601" s="42"/>
      <c r="AE601" s="43"/>
    </row>
    <row r="602" customFormat="false" ht="16.5" hidden="false" customHeight="true" outlineLevel="0" collapsed="false">
      <c r="A602" s="84" t="n">
        <f aca="false">ROW(A600)</f>
        <v>600</v>
      </c>
      <c r="B602" s="84" t="s">
        <v>455</v>
      </c>
      <c r="C602" s="32" t="n">
        <v>1</v>
      </c>
      <c r="D602" s="85" t="n">
        <v>43</v>
      </c>
      <c r="E602" s="86" t="s">
        <v>1790</v>
      </c>
      <c r="F602" s="87" t="s">
        <v>1791</v>
      </c>
      <c r="G602" s="32" t="s">
        <v>1155</v>
      </c>
      <c r="H602" s="32" t="s">
        <v>1792</v>
      </c>
      <c r="I602" s="32" t="s">
        <v>229</v>
      </c>
      <c r="J602" s="86" t="s">
        <v>460</v>
      </c>
      <c r="K602" s="88" t="s">
        <v>1793</v>
      </c>
      <c r="L602" s="89" t="n">
        <v>45762</v>
      </c>
      <c r="M602" s="32" t="n">
        <v>1292</v>
      </c>
      <c r="N602" s="32" t="n">
        <v>1384</v>
      </c>
      <c r="O602" s="32" t="n">
        <v>92</v>
      </c>
      <c r="P602" s="32" t="n">
        <v>89</v>
      </c>
      <c r="Q602" s="32"/>
      <c r="R602" s="90" t="n">
        <f aca="false">合約與計費!$D$4</f>
        <v>0.296</v>
      </c>
      <c r="S602" s="91" t="n">
        <f aca="false">ROUND(P602*R602,0)</f>
        <v>26</v>
      </c>
      <c r="T602" s="92"/>
      <c r="U602" s="32" t="n">
        <v>585</v>
      </c>
      <c r="V602" s="32" t="n">
        <v>607</v>
      </c>
      <c r="W602" s="32" t="n">
        <v>22</v>
      </c>
      <c r="X602" s="32" t="n">
        <v>21</v>
      </c>
      <c r="Y602" s="32"/>
      <c r="Z602" s="93" t="n">
        <f aca="false">合約與計費!$E$4</f>
        <v>2.8</v>
      </c>
      <c r="AA602" s="94" t="n">
        <f aca="false">ROUND(X602*Z602,0)</f>
        <v>59</v>
      </c>
      <c r="AB602" s="95"/>
      <c r="AC602" s="96"/>
      <c r="AD602" s="42"/>
      <c r="AE602" s="43"/>
    </row>
    <row r="603" customFormat="false" ht="16.5" hidden="false" customHeight="true" outlineLevel="0" collapsed="false">
      <c r="A603" s="97" t="n">
        <f aca="false">ROW(A601)</f>
        <v>601</v>
      </c>
      <c r="B603" s="97" t="s">
        <v>462</v>
      </c>
      <c r="C603" s="100" t="n">
        <v>1</v>
      </c>
      <c r="D603" s="85"/>
      <c r="E603" s="98" t="s">
        <v>1794</v>
      </c>
      <c r="F603" s="99" t="s">
        <v>1791</v>
      </c>
      <c r="G603" s="100" t="s">
        <v>1155</v>
      </c>
      <c r="H603" s="100" t="s">
        <v>1792</v>
      </c>
      <c r="I603" s="100" t="s">
        <v>229</v>
      </c>
      <c r="J603" s="98" t="s">
        <v>464</v>
      </c>
      <c r="K603" s="101" t="s">
        <v>1795</v>
      </c>
      <c r="L603" s="102" t="n">
        <v>45762</v>
      </c>
      <c r="M603" s="100" t="n">
        <v>2926</v>
      </c>
      <c r="N603" s="100" t="n">
        <v>3448</v>
      </c>
      <c r="O603" s="100" t="n">
        <v>522</v>
      </c>
      <c r="P603" s="100" t="n">
        <v>506</v>
      </c>
      <c r="Q603" s="100"/>
      <c r="R603" s="103" t="n">
        <f aca="false">合約與計費!$D$4</f>
        <v>0.296</v>
      </c>
      <c r="S603" s="104" t="n">
        <f aca="false">ROUND(P603*R603,0)</f>
        <v>150</v>
      </c>
      <c r="T603" s="105"/>
      <c r="U603" s="100"/>
      <c r="V603" s="100"/>
      <c r="W603" s="106"/>
      <c r="X603" s="100"/>
      <c r="Y603" s="100"/>
      <c r="Z603" s="107"/>
      <c r="AA603" s="108"/>
      <c r="AB603" s="109"/>
      <c r="AC603" s="110"/>
      <c r="AD603" s="42" t="n">
        <v>0.1736</v>
      </c>
      <c r="AE603" s="43" t="n">
        <v>0.8</v>
      </c>
    </row>
    <row r="604" customFormat="false" ht="16.5" hidden="false" customHeight="true" outlineLevel="0" collapsed="false">
      <c r="A604" s="97" t="n">
        <f aca="false">ROW(A602)</f>
        <v>602</v>
      </c>
      <c r="B604" s="97" t="s">
        <v>466</v>
      </c>
      <c r="C604" s="100" t="n">
        <v>1</v>
      </c>
      <c r="D604" s="85"/>
      <c r="E604" s="98" t="s">
        <v>1796</v>
      </c>
      <c r="F604" s="99" t="s">
        <v>1791</v>
      </c>
      <c r="G604" s="100" t="s">
        <v>1155</v>
      </c>
      <c r="H604" s="100" t="s">
        <v>1792</v>
      </c>
      <c r="I604" s="100" t="s">
        <v>229</v>
      </c>
      <c r="J604" s="98" t="s">
        <v>471</v>
      </c>
      <c r="K604" s="101" t="s">
        <v>1797</v>
      </c>
      <c r="L604" s="102" t="n">
        <v>45762</v>
      </c>
      <c r="M604" s="100" t="n">
        <v>11121</v>
      </c>
      <c r="N604" s="100" t="n">
        <v>12577</v>
      </c>
      <c r="O604" s="100" t="n">
        <v>1456</v>
      </c>
      <c r="P604" s="100" t="n">
        <v>1412</v>
      </c>
      <c r="Q604" s="100"/>
      <c r="R604" s="103" t="n">
        <f aca="false">合約與計費!$D$4</f>
        <v>0.296</v>
      </c>
      <c r="S604" s="104" t="n">
        <f aca="false">ROUND(P604*R604,0)</f>
        <v>418</v>
      </c>
      <c r="T604" s="105"/>
      <c r="U604" s="100"/>
      <c r="V604" s="100"/>
      <c r="W604" s="106"/>
      <c r="X604" s="100"/>
      <c r="Y604" s="100"/>
      <c r="Z604" s="107"/>
      <c r="AA604" s="108"/>
      <c r="AB604" s="109"/>
      <c r="AC604" s="110"/>
      <c r="AD604" s="42" t="n">
        <v>0.1031</v>
      </c>
      <c r="AE604" s="43" t="n">
        <v>0.6</v>
      </c>
    </row>
    <row r="605" customFormat="false" ht="16.5" hidden="false" customHeight="true" outlineLevel="0" collapsed="false">
      <c r="A605" s="97" t="n">
        <f aca="false">ROW(A603)</f>
        <v>603</v>
      </c>
      <c r="B605" s="97" t="s">
        <v>469</v>
      </c>
      <c r="C605" s="100" t="n">
        <v>1</v>
      </c>
      <c r="D605" s="85"/>
      <c r="E605" s="98" t="s">
        <v>1798</v>
      </c>
      <c r="F605" s="99" t="s">
        <v>1791</v>
      </c>
      <c r="G605" s="100" t="s">
        <v>1155</v>
      </c>
      <c r="H605" s="100" t="s">
        <v>1792</v>
      </c>
      <c r="I605" s="100" t="s">
        <v>229</v>
      </c>
      <c r="J605" s="98" t="s">
        <v>471</v>
      </c>
      <c r="K605" s="101" t="s">
        <v>1799</v>
      </c>
      <c r="L605" s="102" t="n">
        <v>45763</v>
      </c>
      <c r="M605" s="100" t="n">
        <v>6189</v>
      </c>
      <c r="N605" s="100" t="n">
        <v>7453</v>
      </c>
      <c r="O605" s="100" t="n">
        <v>1264</v>
      </c>
      <c r="P605" s="100" t="n">
        <v>1226</v>
      </c>
      <c r="Q605" s="100"/>
      <c r="R605" s="103" t="n">
        <f aca="false">合約與計費!$D$4</f>
        <v>0.296</v>
      </c>
      <c r="S605" s="104" t="n">
        <f aca="false">ROUND(P605*R605,0)</f>
        <v>363</v>
      </c>
      <c r="T605" s="105"/>
      <c r="U605" s="100"/>
      <c r="V605" s="100"/>
      <c r="W605" s="106"/>
      <c r="X605" s="100"/>
      <c r="Y605" s="100"/>
      <c r="Z605" s="107"/>
      <c r="AA605" s="108"/>
      <c r="AB605" s="109"/>
      <c r="AC605" s="110"/>
      <c r="AD605" s="42" t="n">
        <v>0.1206</v>
      </c>
      <c r="AE605" s="43" t="n">
        <v>0.1</v>
      </c>
    </row>
    <row r="606" customFormat="false" ht="16.5" hidden="false" customHeight="true" outlineLevel="0" collapsed="false">
      <c r="A606" s="97" t="n">
        <f aca="false">ROW(A604)</f>
        <v>604</v>
      </c>
      <c r="B606" s="97" t="s">
        <v>473</v>
      </c>
      <c r="C606" s="100" t="n">
        <v>1</v>
      </c>
      <c r="D606" s="85"/>
      <c r="E606" s="98" t="s">
        <v>1800</v>
      </c>
      <c r="F606" s="99" t="s">
        <v>1791</v>
      </c>
      <c r="G606" s="100" t="s">
        <v>1155</v>
      </c>
      <c r="H606" s="100" t="s">
        <v>1792</v>
      </c>
      <c r="I606" s="100" t="s">
        <v>229</v>
      </c>
      <c r="J606" s="98" t="s">
        <v>471</v>
      </c>
      <c r="K606" s="101" t="s">
        <v>1801</v>
      </c>
      <c r="L606" s="102" t="n">
        <v>45763</v>
      </c>
      <c r="M606" s="100" t="n">
        <v>7814</v>
      </c>
      <c r="N606" s="100" t="n">
        <v>9532</v>
      </c>
      <c r="O606" s="100" t="n">
        <v>1718</v>
      </c>
      <c r="P606" s="100" t="n">
        <v>1666</v>
      </c>
      <c r="Q606" s="100"/>
      <c r="R606" s="103" t="n">
        <f aca="false">合約與計費!$D$4</f>
        <v>0.296</v>
      </c>
      <c r="S606" s="104" t="n">
        <f aca="false">ROUND(P606*R606,0)</f>
        <v>493</v>
      </c>
      <c r="T606" s="105"/>
      <c r="U606" s="100"/>
      <c r="V606" s="100"/>
      <c r="W606" s="106"/>
      <c r="X606" s="100"/>
      <c r="Y606" s="100"/>
      <c r="Z606" s="107"/>
      <c r="AA606" s="108"/>
      <c r="AB606" s="109"/>
      <c r="AC606" s="110"/>
      <c r="AD606" s="42" t="n">
        <v>0.1529</v>
      </c>
      <c r="AE606" s="43" t="n">
        <v>0.2</v>
      </c>
    </row>
    <row r="607" customFormat="false" ht="16.5" hidden="false" customHeight="true" outlineLevel="0" collapsed="false">
      <c r="A607" s="97" t="n">
        <f aca="false">ROW(A605)</f>
        <v>605</v>
      </c>
      <c r="B607" s="97" t="s">
        <v>476</v>
      </c>
      <c r="C607" s="100" t="n">
        <v>1</v>
      </c>
      <c r="D607" s="85"/>
      <c r="E607" s="98" t="s">
        <v>1802</v>
      </c>
      <c r="F607" s="99" t="s">
        <v>1791</v>
      </c>
      <c r="G607" s="100" t="s">
        <v>1155</v>
      </c>
      <c r="H607" s="100" t="s">
        <v>1792</v>
      </c>
      <c r="I607" s="100" t="s">
        <v>229</v>
      </c>
      <c r="J607" s="98" t="s">
        <v>471</v>
      </c>
      <c r="K607" s="101" t="s">
        <v>1803</v>
      </c>
      <c r="L607" s="102" t="n">
        <v>45763</v>
      </c>
      <c r="M607" s="100" t="n">
        <v>3760</v>
      </c>
      <c r="N607" s="100" t="n">
        <v>4521</v>
      </c>
      <c r="O607" s="100" t="n">
        <v>761</v>
      </c>
      <c r="P607" s="100" t="n">
        <v>738</v>
      </c>
      <c r="Q607" s="100"/>
      <c r="R607" s="103" t="n">
        <f aca="false">合約與計費!$D$4</f>
        <v>0.296</v>
      </c>
      <c r="S607" s="104" t="n">
        <f aca="false">ROUND(P607*R607,0)</f>
        <v>218</v>
      </c>
      <c r="T607" s="105"/>
      <c r="U607" s="100"/>
      <c r="V607" s="100"/>
      <c r="W607" s="106"/>
      <c r="X607" s="100"/>
      <c r="Y607" s="100"/>
      <c r="Z607" s="107"/>
      <c r="AA607" s="108"/>
      <c r="AB607" s="109"/>
      <c r="AC607" s="110"/>
      <c r="AD607" s="42" t="n">
        <v>0.059</v>
      </c>
      <c r="AE607" s="43" t="n">
        <v>0.9</v>
      </c>
    </row>
    <row r="608" customFormat="false" ht="16.5" hidden="false" customHeight="true" outlineLevel="0" collapsed="false">
      <c r="A608" s="97" t="n">
        <f aca="false">ROW(A606)</f>
        <v>606</v>
      </c>
      <c r="B608" s="97" t="s">
        <v>479</v>
      </c>
      <c r="C608" s="100" t="n">
        <v>1</v>
      </c>
      <c r="D608" s="85"/>
      <c r="E608" s="98" t="s">
        <v>1804</v>
      </c>
      <c r="F608" s="99" t="s">
        <v>1791</v>
      </c>
      <c r="G608" s="100" t="s">
        <v>1155</v>
      </c>
      <c r="H608" s="100" t="s">
        <v>1792</v>
      </c>
      <c r="I608" s="100" t="s">
        <v>229</v>
      </c>
      <c r="J608" s="98" t="s">
        <v>471</v>
      </c>
      <c r="K608" s="101" t="s">
        <v>1805</v>
      </c>
      <c r="L608" s="102" t="n">
        <v>45763</v>
      </c>
      <c r="M608" s="100" t="n">
        <v>7741</v>
      </c>
      <c r="N608" s="100" t="n">
        <v>9324</v>
      </c>
      <c r="O608" s="100" t="n">
        <v>1583</v>
      </c>
      <c r="P608" s="100" t="n">
        <v>1536</v>
      </c>
      <c r="Q608" s="100"/>
      <c r="R608" s="103" t="n">
        <f aca="false">合約與計費!$D$4</f>
        <v>0.296</v>
      </c>
      <c r="S608" s="104" t="n">
        <f aca="false">ROUND(P608*R608,0)</f>
        <v>455</v>
      </c>
      <c r="T608" s="105"/>
      <c r="U608" s="100"/>
      <c r="V608" s="100"/>
      <c r="W608" s="106"/>
      <c r="X608" s="100"/>
      <c r="Y608" s="100"/>
      <c r="Z608" s="107"/>
      <c r="AA608" s="108"/>
      <c r="AB608" s="109"/>
      <c r="AC608" s="110"/>
      <c r="AD608" s="42" t="n">
        <v>0.105</v>
      </c>
      <c r="AE608" s="43" t="n">
        <v>0.1</v>
      </c>
    </row>
    <row r="609" customFormat="false" ht="16.5" hidden="false" customHeight="true" outlineLevel="0" collapsed="false">
      <c r="A609" s="97" t="n">
        <f aca="false">ROW(A607)</f>
        <v>607</v>
      </c>
      <c r="B609" s="97" t="s">
        <v>482</v>
      </c>
      <c r="C609" s="100" t="n">
        <v>1</v>
      </c>
      <c r="D609" s="85"/>
      <c r="E609" s="98" t="s">
        <v>1806</v>
      </c>
      <c r="F609" s="99" t="s">
        <v>1791</v>
      </c>
      <c r="G609" s="100" t="s">
        <v>1155</v>
      </c>
      <c r="H609" s="100" t="s">
        <v>1792</v>
      </c>
      <c r="I609" s="100" t="s">
        <v>229</v>
      </c>
      <c r="J609" s="98" t="s">
        <v>471</v>
      </c>
      <c r="K609" s="101" t="s">
        <v>1807</v>
      </c>
      <c r="L609" s="102" t="n">
        <v>45763</v>
      </c>
      <c r="M609" s="100" t="n">
        <v>5230</v>
      </c>
      <c r="N609" s="100" t="n">
        <v>6019</v>
      </c>
      <c r="O609" s="100" t="n">
        <v>789</v>
      </c>
      <c r="P609" s="100" t="n">
        <v>765</v>
      </c>
      <c r="Q609" s="100"/>
      <c r="R609" s="103" t="n">
        <f aca="false">合約與計費!$D$4</f>
        <v>0.296</v>
      </c>
      <c r="S609" s="104" t="n">
        <f aca="false">ROUND(P609*R609,0)</f>
        <v>226</v>
      </c>
      <c r="T609" s="105"/>
      <c r="U609" s="100"/>
      <c r="V609" s="100"/>
      <c r="W609" s="106"/>
      <c r="X609" s="100"/>
      <c r="Y609" s="100"/>
      <c r="Z609" s="107"/>
      <c r="AA609" s="108"/>
      <c r="AB609" s="109"/>
      <c r="AC609" s="110"/>
      <c r="AD609" s="42" t="n">
        <v>0.1026</v>
      </c>
      <c r="AE609" s="43" t="n">
        <v>0.7</v>
      </c>
    </row>
    <row r="610" customFormat="false" ht="16.5" hidden="false" customHeight="true" outlineLevel="0" collapsed="false">
      <c r="A610" s="97" t="n">
        <f aca="false">ROW(A608)</f>
        <v>608</v>
      </c>
      <c r="B610" s="97" t="s">
        <v>485</v>
      </c>
      <c r="C610" s="100" t="n">
        <v>1</v>
      </c>
      <c r="D610" s="85"/>
      <c r="E610" s="98" t="s">
        <v>1808</v>
      </c>
      <c r="F610" s="99" t="s">
        <v>1791</v>
      </c>
      <c r="G610" s="100" t="s">
        <v>1155</v>
      </c>
      <c r="H610" s="100" t="s">
        <v>1792</v>
      </c>
      <c r="I610" s="100" t="s">
        <v>229</v>
      </c>
      <c r="J610" s="98" t="s">
        <v>471</v>
      </c>
      <c r="K610" s="101" t="s">
        <v>1809</v>
      </c>
      <c r="L610" s="102" t="n">
        <v>45763</v>
      </c>
      <c r="M610" s="100" t="n">
        <v>8884</v>
      </c>
      <c r="N610" s="100" t="n">
        <v>10360</v>
      </c>
      <c r="O610" s="100" t="n">
        <v>1476</v>
      </c>
      <c r="P610" s="100" t="n">
        <v>1432</v>
      </c>
      <c r="Q610" s="100"/>
      <c r="R610" s="103" t="n">
        <f aca="false">合約與計費!$D$4</f>
        <v>0.296</v>
      </c>
      <c r="S610" s="104" t="n">
        <f aca="false">ROUND(P610*R610,0)</f>
        <v>424</v>
      </c>
      <c r="T610" s="105"/>
      <c r="U610" s="100"/>
      <c r="V610" s="100"/>
      <c r="W610" s="106"/>
      <c r="X610" s="100"/>
      <c r="Y610" s="100"/>
      <c r="Z610" s="107"/>
      <c r="AA610" s="108"/>
      <c r="AB610" s="109"/>
      <c r="AC610" s="110"/>
      <c r="AD610" s="42" t="n">
        <v>0.1105</v>
      </c>
      <c r="AE610" s="43" t="n">
        <v>0.9</v>
      </c>
    </row>
    <row r="611" customFormat="false" ht="16.5" hidden="false" customHeight="true" outlineLevel="0" collapsed="false">
      <c r="A611" s="97" t="n">
        <f aca="false">ROW(A609)</f>
        <v>609</v>
      </c>
      <c r="B611" s="97" t="n">
        <v>10</v>
      </c>
      <c r="C611" s="100" t="n">
        <v>1</v>
      </c>
      <c r="D611" s="85"/>
      <c r="E611" s="98" t="s">
        <v>1810</v>
      </c>
      <c r="F611" s="99" t="s">
        <v>1791</v>
      </c>
      <c r="G611" s="100" t="s">
        <v>1155</v>
      </c>
      <c r="H611" s="100" t="s">
        <v>1792</v>
      </c>
      <c r="I611" s="100" t="s">
        <v>229</v>
      </c>
      <c r="J611" s="98" t="s">
        <v>471</v>
      </c>
      <c r="K611" s="101" t="s">
        <v>1811</v>
      </c>
      <c r="L611" s="102" t="n">
        <v>45763</v>
      </c>
      <c r="M611" s="100" t="n">
        <v>7126</v>
      </c>
      <c r="N611" s="100" t="n">
        <v>8146</v>
      </c>
      <c r="O611" s="100" t="n">
        <v>1020</v>
      </c>
      <c r="P611" s="100" t="n">
        <v>989</v>
      </c>
      <c r="Q611" s="100"/>
      <c r="R611" s="103" t="n">
        <f aca="false">合約與計費!$D$4</f>
        <v>0.296</v>
      </c>
      <c r="S611" s="104" t="n">
        <f aca="false">ROUND(P611*R611,0)</f>
        <v>293</v>
      </c>
      <c r="T611" s="105"/>
      <c r="U611" s="100"/>
      <c r="V611" s="100"/>
      <c r="W611" s="106"/>
      <c r="X611" s="100"/>
      <c r="Y611" s="100"/>
      <c r="Z611" s="107"/>
      <c r="AA611" s="108"/>
      <c r="AB611" s="109"/>
      <c r="AC611" s="110"/>
      <c r="AD611" s="42" t="n">
        <v>0.2572</v>
      </c>
      <c r="AE611" s="43" t="n">
        <v>0.1</v>
      </c>
    </row>
    <row r="612" customFormat="false" ht="16.5" hidden="false" customHeight="true" outlineLevel="0" collapsed="false">
      <c r="A612" s="97" t="n">
        <f aca="false">ROW(A610)</f>
        <v>610</v>
      </c>
      <c r="B612" s="97" t="n">
        <v>11</v>
      </c>
      <c r="C612" s="100" t="n">
        <v>1</v>
      </c>
      <c r="D612" s="85"/>
      <c r="E612" s="98" t="s">
        <v>1812</v>
      </c>
      <c r="F612" s="99" t="s">
        <v>1791</v>
      </c>
      <c r="G612" s="100" t="s">
        <v>1155</v>
      </c>
      <c r="H612" s="100" t="s">
        <v>1792</v>
      </c>
      <c r="I612" s="100" t="s">
        <v>229</v>
      </c>
      <c r="J612" s="98" t="s">
        <v>471</v>
      </c>
      <c r="K612" s="101" t="s">
        <v>1813</v>
      </c>
      <c r="L612" s="102" t="n">
        <v>45763</v>
      </c>
      <c r="M612" s="100" t="n">
        <v>309</v>
      </c>
      <c r="N612" s="100" t="n">
        <v>320</v>
      </c>
      <c r="O612" s="100" t="n">
        <v>11</v>
      </c>
      <c r="P612" s="100" t="n">
        <v>11</v>
      </c>
      <c r="Q612" s="100"/>
      <c r="R612" s="103" t="n">
        <f aca="false">合約與計費!$D$4</f>
        <v>0.296</v>
      </c>
      <c r="S612" s="104" t="n">
        <f aca="false">ROUND(P612*R612,0)</f>
        <v>3</v>
      </c>
      <c r="T612" s="105"/>
      <c r="U612" s="100"/>
      <c r="V612" s="100"/>
      <c r="W612" s="106"/>
      <c r="X612" s="100"/>
      <c r="Y612" s="100"/>
      <c r="Z612" s="107"/>
      <c r="AA612" s="108"/>
      <c r="AB612" s="109"/>
      <c r="AC612" s="110"/>
      <c r="AD612" s="42" t="n">
        <v>0.1325</v>
      </c>
      <c r="AE612" s="43" t="n">
        <v>1</v>
      </c>
    </row>
    <row r="613" customFormat="false" ht="16.5" hidden="false" customHeight="true" outlineLevel="0" collapsed="false">
      <c r="A613" s="97" t="n">
        <f aca="false">ROW(A611)</f>
        <v>611</v>
      </c>
      <c r="B613" s="97" t="n">
        <v>12</v>
      </c>
      <c r="C613" s="100" t="n">
        <v>1</v>
      </c>
      <c r="D613" s="85"/>
      <c r="E613" s="98" t="s">
        <v>1814</v>
      </c>
      <c r="F613" s="99" t="s">
        <v>1791</v>
      </c>
      <c r="G613" s="100" t="s">
        <v>1155</v>
      </c>
      <c r="H613" s="100" t="s">
        <v>1792</v>
      </c>
      <c r="I613" s="100" t="s">
        <v>229</v>
      </c>
      <c r="J613" s="98" t="s">
        <v>471</v>
      </c>
      <c r="K613" s="101" t="s">
        <v>1815</v>
      </c>
      <c r="L613" s="102" t="n">
        <v>45763</v>
      </c>
      <c r="M613" s="100" t="n">
        <v>575</v>
      </c>
      <c r="N613" s="100" t="n">
        <v>586</v>
      </c>
      <c r="O613" s="100" t="n">
        <v>11</v>
      </c>
      <c r="P613" s="100" t="n">
        <v>11</v>
      </c>
      <c r="Q613" s="100"/>
      <c r="R613" s="103" t="n">
        <f aca="false">合約與計費!$D$4</f>
        <v>0.296</v>
      </c>
      <c r="S613" s="104" t="n">
        <f aca="false">ROUND(P613*R613,0)</f>
        <v>3</v>
      </c>
      <c r="T613" s="105"/>
      <c r="U613" s="100"/>
      <c r="V613" s="100"/>
      <c r="W613" s="106"/>
      <c r="X613" s="100"/>
      <c r="Y613" s="100"/>
      <c r="Z613" s="107"/>
      <c r="AA613" s="108"/>
      <c r="AB613" s="109"/>
      <c r="AC613" s="110"/>
      <c r="AD613" s="42" t="n">
        <v>0.0457</v>
      </c>
      <c r="AE613" s="43" t="n">
        <v>1</v>
      </c>
    </row>
    <row r="614" customFormat="false" ht="16.5" hidden="false" customHeight="true" outlineLevel="0" collapsed="false">
      <c r="A614" s="97" t="n">
        <f aca="false">ROW(A612)</f>
        <v>612</v>
      </c>
      <c r="B614" s="97" t="n">
        <v>13</v>
      </c>
      <c r="C614" s="100" t="n">
        <v>1</v>
      </c>
      <c r="D614" s="85"/>
      <c r="E614" s="98" t="s">
        <v>1816</v>
      </c>
      <c r="F614" s="99" t="s">
        <v>1791</v>
      </c>
      <c r="G614" s="100" t="s">
        <v>1155</v>
      </c>
      <c r="H614" s="100" t="s">
        <v>1792</v>
      </c>
      <c r="I614" s="100" t="s">
        <v>229</v>
      </c>
      <c r="J614" s="98" t="s">
        <v>471</v>
      </c>
      <c r="K614" s="101" t="s">
        <v>1817</v>
      </c>
      <c r="L614" s="102" t="n">
        <v>45763</v>
      </c>
      <c r="M614" s="100" t="n">
        <v>8174</v>
      </c>
      <c r="N614" s="100" t="n">
        <v>9722</v>
      </c>
      <c r="O614" s="100" t="n">
        <v>1548</v>
      </c>
      <c r="P614" s="100" t="n">
        <v>1502</v>
      </c>
      <c r="Q614" s="100"/>
      <c r="R614" s="103" t="n">
        <f aca="false">合約與計費!$D$4</f>
        <v>0.296</v>
      </c>
      <c r="S614" s="104" t="n">
        <f aca="false">ROUND(P614*R614,0)</f>
        <v>445</v>
      </c>
      <c r="T614" s="105"/>
      <c r="U614" s="100"/>
      <c r="V614" s="100"/>
      <c r="W614" s="106"/>
      <c r="X614" s="100"/>
      <c r="Y614" s="100"/>
      <c r="Z614" s="107"/>
      <c r="AA614" s="108"/>
      <c r="AB614" s="109"/>
      <c r="AC614" s="110"/>
      <c r="AD614" s="42" t="n">
        <v>0.1102</v>
      </c>
      <c r="AE614" s="43" t="n">
        <v>0.9</v>
      </c>
    </row>
    <row r="615" customFormat="false" ht="16.5" hidden="false" customHeight="true" outlineLevel="0" collapsed="false">
      <c r="A615" s="97" t="n">
        <f aca="false">ROW(A613)</f>
        <v>613</v>
      </c>
      <c r="B615" s="97" t="n">
        <v>14</v>
      </c>
      <c r="C615" s="100" t="n">
        <v>1</v>
      </c>
      <c r="D615" s="85"/>
      <c r="E615" s="98" t="s">
        <v>1818</v>
      </c>
      <c r="F615" s="99" t="s">
        <v>1791</v>
      </c>
      <c r="G615" s="100" t="s">
        <v>1155</v>
      </c>
      <c r="H615" s="100" t="s">
        <v>1792</v>
      </c>
      <c r="I615" s="100" t="s">
        <v>229</v>
      </c>
      <c r="J615" s="98" t="s">
        <v>471</v>
      </c>
      <c r="K615" s="101" t="s">
        <v>1819</v>
      </c>
      <c r="L615" s="102" t="n">
        <v>45763</v>
      </c>
      <c r="M615" s="100" t="n">
        <v>7305</v>
      </c>
      <c r="N615" s="100" t="n">
        <v>8451</v>
      </c>
      <c r="O615" s="100" t="n">
        <v>1146</v>
      </c>
      <c r="P615" s="100" t="n">
        <v>1112</v>
      </c>
      <c r="Q615" s="100"/>
      <c r="R615" s="103" t="n">
        <f aca="false">合約與計費!$D$4</f>
        <v>0.296</v>
      </c>
      <c r="S615" s="104" t="n">
        <f aca="false">ROUND(P615*R615,0)</f>
        <v>329</v>
      </c>
      <c r="T615" s="105"/>
      <c r="U615" s="100"/>
      <c r="V615" s="100"/>
      <c r="W615" s="106"/>
      <c r="X615" s="100"/>
      <c r="Y615" s="100"/>
      <c r="Z615" s="107"/>
      <c r="AA615" s="108"/>
      <c r="AB615" s="109"/>
      <c r="AC615" s="110"/>
      <c r="AD615" s="42" t="n">
        <v>0.1603</v>
      </c>
      <c r="AE615" s="43" t="n">
        <v>0.5</v>
      </c>
    </row>
    <row r="616" customFormat="false" ht="16.5" hidden="false" customHeight="true" outlineLevel="0" collapsed="false">
      <c r="A616" s="97" t="n">
        <f aca="false">ROW(A614)</f>
        <v>614</v>
      </c>
      <c r="B616" s="97" t="n">
        <v>15</v>
      </c>
      <c r="C616" s="100" t="n">
        <v>1</v>
      </c>
      <c r="D616" s="85"/>
      <c r="E616" s="98" t="s">
        <v>1820</v>
      </c>
      <c r="F616" s="99" t="s">
        <v>1791</v>
      </c>
      <c r="G616" s="100" t="s">
        <v>1155</v>
      </c>
      <c r="H616" s="100" t="s">
        <v>1792</v>
      </c>
      <c r="I616" s="100" t="s">
        <v>229</v>
      </c>
      <c r="J616" s="98" t="s">
        <v>471</v>
      </c>
      <c r="K616" s="101" t="s">
        <v>1821</v>
      </c>
      <c r="L616" s="102" t="n">
        <v>45763</v>
      </c>
      <c r="M616" s="100" t="n">
        <v>5193</v>
      </c>
      <c r="N616" s="100" t="n">
        <v>6386</v>
      </c>
      <c r="O616" s="100" t="n">
        <v>1193</v>
      </c>
      <c r="P616" s="100" t="n">
        <v>1157</v>
      </c>
      <c r="Q616" s="100"/>
      <c r="R616" s="103" t="n">
        <f aca="false">合約與計費!$D$4</f>
        <v>0.296</v>
      </c>
      <c r="S616" s="104" t="n">
        <f aca="false">ROUND(P616*R616,0)</f>
        <v>342</v>
      </c>
      <c r="T616" s="105"/>
      <c r="U616" s="100"/>
      <c r="V616" s="100"/>
      <c r="W616" s="106"/>
      <c r="X616" s="100"/>
      <c r="Y616" s="100"/>
      <c r="Z616" s="107"/>
      <c r="AA616" s="108"/>
      <c r="AB616" s="109"/>
      <c r="AC616" s="110"/>
      <c r="AD616" s="42" t="n">
        <v>0.122</v>
      </c>
      <c r="AE616" s="43" t="n">
        <v>0.6</v>
      </c>
    </row>
    <row r="617" customFormat="false" ht="16.5" hidden="false" customHeight="true" outlineLevel="0" collapsed="false">
      <c r="A617" s="97" t="n">
        <f aca="false">ROW(A615)</f>
        <v>615</v>
      </c>
      <c r="B617" s="97" t="n">
        <v>16</v>
      </c>
      <c r="C617" s="100" t="n">
        <v>1</v>
      </c>
      <c r="D617" s="85"/>
      <c r="E617" s="98" t="s">
        <v>1822</v>
      </c>
      <c r="F617" s="99" t="s">
        <v>1791</v>
      </c>
      <c r="G617" s="100" t="s">
        <v>1155</v>
      </c>
      <c r="H617" s="100" t="s">
        <v>1792</v>
      </c>
      <c r="I617" s="100" t="s">
        <v>229</v>
      </c>
      <c r="J617" s="98" t="s">
        <v>471</v>
      </c>
      <c r="K617" s="101" t="s">
        <v>1823</v>
      </c>
      <c r="L617" s="102" t="n">
        <v>45763</v>
      </c>
      <c r="M617" s="100" t="n">
        <v>5436</v>
      </c>
      <c r="N617" s="100" t="n">
        <v>6303</v>
      </c>
      <c r="O617" s="100" t="n">
        <v>867</v>
      </c>
      <c r="P617" s="100" t="n">
        <v>841</v>
      </c>
      <c r="Q617" s="100"/>
      <c r="R617" s="103" t="n">
        <f aca="false">合約與計費!$D$4</f>
        <v>0.296</v>
      </c>
      <c r="S617" s="104" t="n">
        <f aca="false">ROUND(P617*R617,0)</f>
        <v>249</v>
      </c>
      <c r="T617" s="105"/>
      <c r="U617" s="100"/>
      <c r="V617" s="100"/>
      <c r="W617" s="106"/>
      <c r="X617" s="100"/>
      <c r="Y617" s="100"/>
      <c r="Z617" s="107"/>
      <c r="AA617" s="108"/>
      <c r="AB617" s="109"/>
      <c r="AC617" s="110"/>
      <c r="AD617" s="42" t="n">
        <v>0.1277</v>
      </c>
      <c r="AE617" s="43" t="n">
        <v>0.6</v>
      </c>
    </row>
    <row r="618" customFormat="false" ht="16.5" hidden="false" customHeight="true" outlineLevel="0" collapsed="false">
      <c r="A618" s="97" t="n">
        <f aca="false">ROW(A616)</f>
        <v>616</v>
      </c>
      <c r="B618" s="97" t="n">
        <v>17</v>
      </c>
      <c r="C618" s="100" t="n">
        <v>1</v>
      </c>
      <c r="D618" s="85"/>
      <c r="E618" s="98" t="s">
        <v>1824</v>
      </c>
      <c r="F618" s="99" t="s">
        <v>1791</v>
      </c>
      <c r="G618" s="100" t="s">
        <v>1155</v>
      </c>
      <c r="H618" s="100" t="s">
        <v>1792</v>
      </c>
      <c r="I618" s="100" t="s">
        <v>229</v>
      </c>
      <c r="J618" s="98" t="s">
        <v>471</v>
      </c>
      <c r="K618" s="101" t="s">
        <v>1825</v>
      </c>
      <c r="L618" s="102" t="n">
        <v>45763</v>
      </c>
      <c r="M618" s="100" t="n">
        <v>5501</v>
      </c>
      <c r="N618" s="100" t="n">
        <v>6362</v>
      </c>
      <c r="O618" s="100" t="n">
        <v>861</v>
      </c>
      <c r="P618" s="100" t="n">
        <v>835</v>
      </c>
      <c r="Q618" s="100"/>
      <c r="R618" s="103" t="n">
        <f aca="false">合約與計費!$D$4</f>
        <v>0.296</v>
      </c>
      <c r="S618" s="104" t="n">
        <f aca="false">ROUND(P618*R618,0)</f>
        <v>247</v>
      </c>
      <c r="T618" s="105"/>
      <c r="U618" s="100"/>
      <c r="V618" s="100"/>
      <c r="W618" s="106"/>
      <c r="X618" s="100"/>
      <c r="Y618" s="100"/>
      <c r="Z618" s="107"/>
      <c r="AA618" s="108"/>
      <c r="AB618" s="109"/>
      <c r="AC618" s="110"/>
      <c r="AD618" s="42" t="n">
        <v>0.0389</v>
      </c>
      <c r="AE618" s="43" t="n">
        <v>0.9</v>
      </c>
    </row>
    <row r="619" customFormat="false" ht="16.5" hidden="false" customHeight="true" outlineLevel="0" collapsed="false">
      <c r="A619" s="111" t="n">
        <f aca="false">ROW(A617)</f>
        <v>617</v>
      </c>
      <c r="B619" s="111" t="n">
        <v>18</v>
      </c>
      <c r="C619" s="114" t="n">
        <v>1</v>
      </c>
      <c r="D619" s="85"/>
      <c r="E619" s="112" t="s">
        <v>1826</v>
      </c>
      <c r="F619" s="113" t="s">
        <v>1791</v>
      </c>
      <c r="G619" s="114" t="s">
        <v>1155</v>
      </c>
      <c r="H619" s="114" t="s">
        <v>1792</v>
      </c>
      <c r="I619" s="114" t="s">
        <v>229</v>
      </c>
      <c r="J619" s="112" t="s">
        <v>471</v>
      </c>
      <c r="K619" s="115" t="s">
        <v>1827</v>
      </c>
      <c r="L619" s="116" t="n">
        <v>45763</v>
      </c>
      <c r="M619" s="114" t="n">
        <v>4442</v>
      </c>
      <c r="N619" s="114" t="n">
        <v>5211</v>
      </c>
      <c r="O619" s="114" t="n">
        <v>769</v>
      </c>
      <c r="P619" s="114" t="n">
        <v>746</v>
      </c>
      <c r="Q619" s="114" t="n">
        <f aca="false">ROUND(SUM(P602:P619),2)</f>
        <v>16574</v>
      </c>
      <c r="R619" s="117" t="n">
        <f aca="false">合約與計費!$D$4</f>
        <v>0.296</v>
      </c>
      <c r="S619" s="118" t="n">
        <f aca="false">ROUND(P619*R619,0)</f>
        <v>221</v>
      </c>
      <c r="T619" s="119" t="n">
        <f aca="false">ROUND(SUM(S602:S619),2)</f>
        <v>4905</v>
      </c>
      <c r="U619" s="114"/>
      <c r="V619" s="114"/>
      <c r="W619" s="120"/>
      <c r="X619" s="114"/>
      <c r="Y619" s="114" t="n">
        <f aca="false">ROUND(SUM(X602:X619),2)</f>
        <v>21</v>
      </c>
      <c r="Z619" s="121"/>
      <c r="AA619" s="122"/>
      <c r="AB619" s="123" t="n">
        <f aca="false">ROUND(SUM(AA602:AA619),2)</f>
        <v>59</v>
      </c>
      <c r="AC619" s="124"/>
      <c r="AD619" s="42" t="n">
        <v>0.099</v>
      </c>
      <c r="AE619" s="43" t="n">
        <v>0.7</v>
      </c>
    </row>
    <row r="620" customFormat="false" ht="16.5" hidden="false" customHeight="true" outlineLevel="0" collapsed="false">
      <c r="A620" s="84" t="n">
        <f aca="false">ROW(A618)</f>
        <v>618</v>
      </c>
      <c r="B620" s="84" t="s">
        <v>455</v>
      </c>
      <c r="C620" s="32" t="n">
        <v>1</v>
      </c>
      <c r="D620" s="85" t="n">
        <v>246</v>
      </c>
      <c r="E620" s="86" t="s">
        <v>1828</v>
      </c>
      <c r="F620" s="87" t="s">
        <v>1829</v>
      </c>
      <c r="G620" s="32" t="s">
        <v>1155</v>
      </c>
      <c r="H620" s="32" t="s">
        <v>1792</v>
      </c>
      <c r="I620" s="172" t="s">
        <v>382</v>
      </c>
      <c r="J620" s="86" t="s">
        <v>460</v>
      </c>
      <c r="K620" s="88" t="s">
        <v>1830</v>
      </c>
      <c r="L620" s="89" t="n">
        <v>45757</v>
      </c>
      <c r="M620" s="32" t="n">
        <v>864</v>
      </c>
      <c r="N620" s="32" t="n">
        <v>1037</v>
      </c>
      <c r="O620" s="32" t="n">
        <v>173</v>
      </c>
      <c r="P620" s="32" t="n">
        <v>168</v>
      </c>
      <c r="Q620" s="32"/>
      <c r="R620" s="90" t="n">
        <f aca="false">合約與計費!$D$4</f>
        <v>0.296</v>
      </c>
      <c r="S620" s="91" t="n">
        <f aca="false">ROUND(P620*R620,0)</f>
        <v>50</v>
      </c>
      <c r="T620" s="92"/>
      <c r="U620" s="32" t="n">
        <v>48</v>
      </c>
      <c r="V620" s="32" t="n">
        <v>52</v>
      </c>
      <c r="W620" s="32" t="n">
        <v>4</v>
      </c>
      <c r="X620" s="32" t="n">
        <v>4</v>
      </c>
      <c r="Y620" s="32"/>
      <c r="Z620" s="93" t="n">
        <f aca="false">合約與計費!$E$4</f>
        <v>2.8</v>
      </c>
      <c r="AA620" s="94" t="n">
        <f aca="false">ROUND(X620*Z620,0)</f>
        <v>11</v>
      </c>
      <c r="AB620" s="95"/>
      <c r="AC620" s="96"/>
      <c r="AD620" s="42"/>
      <c r="AE620" s="43"/>
    </row>
    <row r="621" customFormat="false" ht="16.5" hidden="false" customHeight="true" outlineLevel="0" collapsed="false">
      <c r="A621" s="97" t="n">
        <f aca="false">ROW(A619)</f>
        <v>619</v>
      </c>
      <c r="B621" s="97" t="s">
        <v>462</v>
      </c>
      <c r="C621" s="100" t="n">
        <v>1</v>
      </c>
      <c r="D621" s="85"/>
      <c r="E621" s="98" t="s">
        <v>1831</v>
      </c>
      <c r="F621" s="99" t="s">
        <v>1829</v>
      </c>
      <c r="G621" s="100" t="s">
        <v>1155</v>
      </c>
      <c r="H621" s="100" t="s">
        <v>1792</v>
      </c>
      <c r="I621" s="175" t="s">
        <v>382</v>
      </c>
      <c r="J621" s="98" t="s">
        <v>471</v>
      </c>
      <c r="K621" s="101" t="s">
        <v>1832</v>
      </c>
      <c r="L621" s="102" t="n">
        <v>45757</v>
      </c>
      <c r="M621" s="100" t="n">
        <v>2104</v>
      </c>
      <c r="N621" s="100" t="n">
        <v>2432</v>
      </c>
      <c r="O621" s="100" t="n">
        <v>328</v>
      </c>
      <c r="P621" s="100" t="n">
        <v>318</v>
      </c>
      <c r="Q621" s="100"/>
      <c r="R621" s="103" t="n">
        <f aca="false">合約與計費!$D$4</f>
        <v>0.296</v>
      </c>
      <c r="S621" s="104" t="n">
        <f aca="false">ROUND(P621*R621,0)</f>
        <v>94</v>
      </c>
      <c r="T621" s="105"/>
      <c r="U621" s="100"/>
      <c r="V621" s="100"/>
      <c r="W621" s="106"/>
      <c r="X621" s="100"/>
      <c r="Y621" s="100"/>
      <c r="Z621" s="107"/>
      <c r="AA621" s="108"/>
      <c r="AB621" s="109"/>
      <c r="AC621" s="110"/>
      <c r="AD621" s="42" t="n">
        <v>0.22</v>
      </c>
      <c r="AE621" s="43" t="n">
        <v>0.7</v>
      </c>
    </row>
    <row r="622" customFormat="false" ht="16.5" hidden="false" customHeight="true" outlineLevel="0" collapsed="false">
      <c r="A622" s="111" t="n">
        <f aca="false">ROW(A620)</f>
        <v>620</v>
      </c>
      <c r="B622" s="111" t="s">
        <v>466</v>
      </c>
      <c r="C622" s="114" t="n">
        <v>1</v>
      </c>
      <c r="D622" s="85"/>
      <c r="E622" s="112" t="s">
        <v>1833</v>
      </c>
      <c r="F622" s="113" t="s">
        <v>1829</v>
      </c>
      <c r="G622" s="114" t="s">
        <v>1155</v>
      </c>
      <c r="H622" s="114" t="s">
        <v>1792</v>
      </c>
      <c r="I622" s="173" t="s">
        <v>382</v>
      </c>
      <c r="J622" s="112" t="s">
        <v>471</v>
      </c>
      <c r="K622" s="115" t="s">
        <v>1834</v>
      </c>
      <c r="L622" s="116" t="n">
        <v>45757</v>
      </c>
      <c r="M622" s="114" t="n">
        <v>3406</v>
      </c>
      <c r="N622" s="114" t="n">
        <v>4075</v>
      </c>
      <c r="O622" s="114" t="n">
        <v>669</v>
      </c>
      <c r="P622" s="114" t="n">
        <v>649</v>
      </c>
      <c r="Q622" s="114" t="n">
        <f aca="false">ROUND(SUM(P620:P622),2)</f>
        <v>1135</v>
      </c>
      <c r="R622" s="117" t="n">
        <f aca="false">合約與計費!$D$4</f>
        <v>0.296</v>
      </c>
      <c r="S622" s="118" t="n">
        <f aca="false">ROUND(P622*R622,0)</f>
        <v>192</v>
      </c>
      <c r="T622" s="119" t="n">
        <f aca="false">ROUND(SUM(S620:S622),2)</f>
        <v>336</v>
      </c>
      <c r="U622" s="114"/>
      <c r="V622" s="114"/>
      <c r="W622" s="120"/>
      <c r="X622" s="114"/>
      <c r="Y622" s="114" t="n">
        <f aca="false">ROUND(SUM(X620:X622),2)</f>
        <v>4</v>
      </c>
      <c r="Z622" s="121"/>
      <c r="AA622" s="122"/>
      <c r="AB622" s="123" t="n">
        <f aca="false">ROUND(SUM(AA620:AA622),2)</f>
        <v>11</v>
      </c>
      <c r="AC622" s="124"/>
      <c r="AD622" s="42" t="n">
        <v>0.0669</v>
      </c>
      <c r="AE622" s="43" t="n">
        <v>0.9</v>
      </c>
    </row>
    <row r="623" customFormat="false" ht="16.5" hidden="false" customHeight="true" outlineLevel="0" collapsed="false">
      <c r="A623" s="84" t="n">
        <f aca="false">ROW(A621)</f>
        <v>621</v>
      </c>
      <c r="B623" s="84" t="s">
        <v>455</v>
      </c>
      <c r="C623" s="32" t="n">
        <v>1</v>
      </c>
      <c r="D623" s="85" t="n">
        <v>286</v>
      </c>
      <c r="E623" s="86" t="s">
        <v>1835</v>
      </c>
      <c r="F623" s="87" t="s">
        <v>1836</v>
      </c>
      <c r="G623" s="32" t="s">
        <v>1155</v>
      </c>
      <c r="H623" s="32" t="s">
        <v>1792</v>
      </c>
      <c r="I623" s="172" t="s">
        <v>164</v>
      </c>
      <c r="J623" s="86" t="s">
        <v>460</v>
      </c>
      <c r="K623" s="225" t="s">
        <v>1837</v>
      </c>
      <c r="L623" s="89" t="n">
        <v>45761</v>
      </c>
      <c r="M623" s="32" t="n">
        <v>2960</v>
      </c>
      <c r="N623" s="32" t="n">
        <v>3452</v>
      </c>
      <c r="O623" s="32" t="n">
        <v>492</v>
      </c>
      <c r="P623" s="32" t="n">
        <v>477</v>
      </c>
      <c r="Q623" s="32"/>
      <c r="R623" s="90" t="n">
        <f aca="false">合約與計費!$D$4</f>
        <v>0.296</v>
      </c>
      <c r="S623" s="91" t="n">
        <f aca="false">ROUND(P623*R623,0)</f>
        <v>141</v>
      </c>
      <c r="T623" s="92"/>
      <c r="U623" s="32" t="n">
        <v>392</v>
      </c>
      <c r="V623" s="32" t="n">
        <v>449</v>
      </c>
      <c r="W623" s="32" t="n">
        <v>57</v>
      </c>
      <c r="X623" s="32" t="n">
        <v>55</v>
      </c>
      <c r="Y623" s="32"/>
      <c r="Z623" s="93" t="n">
        <f aca="false">合約與計費!$E$4</f>
        <v>2.8</v>
      </c>
      <c r="AA623" s="94" t="n">
        <f aca="false">ROUND(X623*Z623,0)</f>
        <v>154</v>
      </c>
      <c r="AB623" s="95"/>
      <c r="AC623" s="96"/>
      <c r="AD623" s="42"/>
      <c r="AE623" s="43"/>
    </row>
    <row r="624" customFormat="false" ht="16.5" hidden="false" customHeight="true" outlineLevel="0" collapsed="false">
      <c r="A624" s="97" t="n">
        <f aca="false">ROW(A622)</f>
        <v>622</v>
      </c>
      <c r="B624" s="97" t="s">
        <v>462</v>
      </c>
      <c r="C624" s="100" t="n">
        <v>1</v>
      </c>
      <c r="D624" s="85"/>
      <c r="E624" s="98" t="s">
        <v>1838</v>
      </c>
      <c r="F624" s="99" t="s">
        <v>1836</v>
      </c>
      <c r="G624" s="100" t="s">
        <v>1155</v>
      </c>
      <c r="H624" s="100" t="s">
        <v>1792</v>
      </c>
      <c r="I624" s="175" t="s">
        <v>164</v>
      </c>
      <c r="J624" s="98" t="s">
        <v>464</v>
      </c>
      <c r="K624" s="101" t="s">
        <v>1839</v>
      </c>
      <c r="L624" s="102" t="n">
        <v>45761</v>
      </c>
      <c r="M624" s="100" t="n">
        <v>1339</v>
      </c>
      <c r="N624" s="100" t="n">
        <v>1559</v>
      </c>
      <c r="O624" s="100" t="n">
        <v>220</v>
      </c>
      <c r="P624" s="100" t="n">
        <v>213</v>
      </c>
      <c r="Q624" s="100"/>
      <c r="R624" s="103" t="n">
        <f aca="false">合約與計費!$D$4</f>
        <v>0.296</v>
      </c>
      <c r="S624" s="104" t="n">
        <f aca="false">ROUND(P624*R624,0)</f>
        <v>63</v>
      </c>
      <c r="T624" s="105"/>
      <c r="U624" s="100"/>
      <c r="V624" s="100"/>
      <c r="W624" s="106"/>
      <c r="X624" s="100"/>
      <c r="Y624" s="100"/>
      <c r="Z624" s="107"/>
      <c r="AA624" s="108"/>
      <c r="AB624" s="109"/>
      <c r="AC624" s="110"/>
      <c r="AD624" s="42" t="n">
        <v>0.0708</v>
      </c>
      <c r="AE624" s="43" t="n">
        <v>0.2</v>
      </c>
    </row>
    <row r="625" customFormat="false" ht="16.5" hidden="false" customHeight="true" outlineLevel="0" collapsed="false">
      <c r="A625" s="111" t="n">
        <f aca="false">ROW(A623)</f>
        <v>623</v>
      </c>
      <c r="B625" s="111" t="s">
        <v>466</v>
      </c>
      <c r="C625" s="114" t="n">
        <v>1</v>
      </c>
      <c r="D625" s="85"/>
      <c r="E625" s="112" t="s">
        <v>1840</v>
      </c>
      <c r="F625" s="113" t="s">
        <v>1836</v>
      </c>
      <c r="G625" s="114" t="s">
        <v>1155</v>
      </c>
      <c r="H625" s="114" t="s">
        <v>1792</v>
      </c>
      <c r="I625" s="173" t="s">
        <v>164</v>
      </c>
      <c r="J625" s="112" t="s">
        <v>471</v>
      </c>
      <c r="K625" s="115" t="s">
        <v>1841</v>
      </c>
      <c r="L625" s="116" t="n">
        <v>45761</v>
      </c>
      <c r="M625" s="114" t="n">
        <v>1540</v>
      </c>
      <c r="N625" s="114" t="n">
        <v>1762</v>
      </c>
      <c r="O625" s="114" t="n">
        <v>222</v>
      </c>
      <c r="P625" s="114" t="n">
        <v>215</v>
      </c>
      <c r="Q625" s="114" t="n">
        <f aca="false">ROUND(SUM(P623:P625),2)</f>
        <v>905</v>
      </c>
      <c r="R625" s="117" t="n">
        <f aca="false">合約與計費!$D$4</f>
        <v>0.296</v>
      </c>
      <c r="S625" s="118" t="n">
        <f aca="false">ROUND(P625*R625,0)</f>
        <v>64</v>
      </c>
      <c r="T625" s="119" t="n">
        <f aca="false">ROUND(SUM(S623:S625),2)</f>
        <v>268</v>
      </c>
      <c r="U625" s="114"/>
      <c r="V625" s="114"/>
      <c r="W625" s="120"/>
      <c r="X625" s="114"/>
      <c r="Y625" s="114" t="n">
        <f aca="false">ROUND(SUM(X623:X625),2)</f>
        <v>55</v>
      </c>
      <c r="Z625" s="121"/>
      <c r="AA625" s="122"/>
      <c r="AB625" s="123" t="n">
        <f aca="false">ROUND(SUM(AA623:AA625),2)</f>
        <v>154</v>
      </c>
      <c r="AC625" s="124"/>
      <c r="AD625" s="42" t="n">
        <v>0.0493</v>
      </c>
      <c r="AE625" s="43" t="n">
        <v>0.3</v>
      </c>
    </row>
    <row r="626" customFormat="false" ht="16.5" hidden="false" customHeight="true" outlineLevel="0" collapsed="false">
      <c r="A626" s="84" t="n">
        <f aca="false">ROW(A624)</f>
        <v>624</v>
      </c>
      <c r="B626" s="84" t="s">
        <v>455</v>
      </c>
      <c r="C626" s="32" t="n">
        <v>1</v>
      </c>
      <c r="D626" s="85" t="n">
        <v>287</v>
      </c>
      <c r="E626" s="86" t="s">
        <v>1842</v>
      </c>
      <c r="F626" s="87" t="s">
        <v>1843</v>
      </c>
      <c r="G626" s="32" t="s">
        <v>1155</v>
      </c>
      <c r="H626" s="32" t="s">
        <v>1792</v>
      </c>
      <c r="I626" s="172" t="s">
        <v>156</v>
      </c>
      <c r="J626" s="86" t="s">
        <v>460</v>
      </c>
      <c r="K626" s="88" t="s">
        <v>1844</v>
      </c>
      <c r="L626" s="89" t="n">
        <v>45748</v>
      </c>
      <c r="M626" s="32" t="n">
        <v>250</v>
      </c>
      <c r="N626" s="32" t="n">
        <v>287</v>
      </c>
      <c r="O626" s="32" t="n">
        <v>37</v>
      </c>
      <c r="P626" s="32" t="n">
        <v>36</v>
      </c>
      <c r="Q626" s="32"/>
      <c r="R626" s="90" t="n">
        <f aca="false">合約與計費!$D$4</f>
        <v>0.296</v>
      </c>
      <c r="S626" s="91" t="n">
        <f aca="false">ROUND(P626*R626,0)</f>
        <v>11</v>
      </c>
      <c r="T626" s="92"/>
      <c r="U626" s="32" t="n">
        <v>106</v>
      </c>
      <c r="V626" s="32" t="n">
        <v>131</v>
      </c>
      <c r="W626" s="32" t="n">
        <v>25</v>
      </c>
      <c r="X626" s="32" t="n">
        <v>24</v>
      </c>
      <c r="Y626" s="32"/>
      <c r="Z626" s="93" t="n">
        <f aca="false">合約與計費!$E$4</f>
        <v>2.8</v>
      </c>
      <c r="AA626" s="94" t="n">
        <f aca="false">ROUND(X626*Z626,0)</f>
        <v>67</v>
      </c>
      <c r="AB626" s="95"/>
      <c r="AC626" s="96"/>
      <c r="AD626" s="42"/>
      <c r="AE626" s="43"/>
    </row>
    <row r="627" customFormat="false" ht="16.5" hidden="false" customHeight="true" outlineLevel="0" collapsed="false">
      <c r="A627" s="97" t="n">
        <f aca="false">ROW(A625)</f>
        <v>625</v>
      </c>
      <c r="B627" s="97" t="s">
        <v>462</v>
      </c>
      <c r="C627" s="100" t="n">
        <v>1</v>
      </c>
      <c r="D627" s="85"/>
      <c r="E627" s="98" t="s">
        <v>1845</v>
      </c>
      <c r="F627" s="99" t="s">
        <v>1843</v>
      </c>
      <c r="G627" s="100" t="s">
        <v>1155</v>
      </c>
      <c r="H627" s="100" t="s">
        <v>1792</v>
      </c>
      <c r="I627" s="175" t="s">
        <v>156</v>
      </c>
      <c r="J627" s="98" t="s">
        <v>464</v>
      </c>
      <c r="K627" s="101" t="s">
        <v>1846</v>
      </c>
      <c r="L627" s="102" t="n">
        <v>45748</v>
      </c>
      <c r="M627" s="100" t="n">
        <v>197</v>
      </c>
      <c r="N627" s="100" t="n">
        <v>220</v>
      </c>
      <c r="O627" s="100" t="n">
        <v>23</v>
      </c>
      <c r="P627" s="100" t="n">
        <v>22</v>
      </c>
      <c r="Q627" s="100"/>
      <c r="R627" s="103" t="n">
        <f aca="false">合約與計費!$D$4</f>
        <v>0.296</v>
      </c>
      <c r="S627" s="104" t="n">
        <f aca="false">ROUND(P627*R627,0)</f>
        <v>7</v>
      </c>
      <c r="T627" s="105"/>
      <c r="U627" s="100"/>
      <c r="V627" s="100"/>
      <c r="W627" s="106"/>
      <c r="X627" s="100"/>
      <c r="Y627" s="100"/>
      <c r="Z627" s="107"/>
      <c r="AA627" s="108"/>
      <c r="AB627" s="109"/>
      <c r="AC627" s="110"/>
      <c r="AD627" s="42" t="n">
        <v>0.0227</v>
      </c>
      <c r="AE627" s="43" t="n">
        <v>0.9</v>
      </c>
    </row>
    <row r="628" customFormat="false" ht="16.5" hidden="false" customHeight="true" outlineLevel="0" collapsed="false">
      <c r="A628" s="97" t="n">
        <f aca="false">ROW(A626)</f>
        <v>626</v>
      </c>
      <c r="B628" s="97" t="s">
        <v>466</v>
      </c>
      <c r="C628" s="100" t="n">
        <v>1</v>
      </c>
      <c r="D628" s="85"/>
      <c r="E628" s="98" t="s">
        <v>1847</v>
      </c>
      <c r="F628" s="99" t="s">
        <v>1843</v>
      </c>
      <c r="G628" s="100" t="s">
        <v>1155</v>
      </c>
      <c r="H628" s="100" t="s">
        <v>1792</v>
      </c>
      <c r="I628" s="175" t="s">
        <v>156</v>
      </c>
      <c r="J628" s="98" t="s">
        <v>471</v>
      </c>
      <c r="K628" s="101" t="s">
        <v>1848</v>
      </c>
      <c r="L628" s="102" t="n">
        <v>45748</v>
      </c>
      <c r="M628" s="100" t="n">
        <v>1314</v>
      </c>
      <c r="N628" s="100" t="n">
        <v>1377</v>
      </c>
      <c r="O628" s="100" t="n">
        <v>63</v>
      </c>
      <c r="P628" s="100" t="n">
        <v>61</v>
      </c>
      <c r="Q628" s="100"/>
      <c r="R628" s="103" t="n">
        <f aca="false">合約與計費!$D$4</f>
        <v>0.296</v>
      </c>
      <c r="S628" s="104" t="n">
        <f aca="false">ROUND(P628*R628,0)</f>
        <v>18</v>
      </c>
      <c r="T628" s="105"/>
      <c r="U628" s="100"/>
      <c r="V628" s="100"/>
      <c r="W628" s="106"/>
      <c r="X628" s="100"/>
      <c r="Y628" s="100"/>
      <c r="Z628" s="107"/>
      <c r="AA628" s="108"/>
      <c r="AB628" s="109"/>
      <c r="AC628" s="110"/>
      <c r="AD628" s="42" t="n">
        <v>0.053</v>
      </c>
      <c r="AE628" s="43" t="n">
        <v>0.5</v>
      </c>
    </row>
    <row r="629" customFormat="false" ht="16.5" hidden="false" customHeight="true" outlineLevel="0" collapsed="false">
      <c r="A629" s="111" t="n">
        <f aca="false">ROW(A627)</f>
        <v>627</v>
      </c>
      <c r="B629" s="111" t="s">
        <v>469</v>
      </c>
      <c r="C629" s="114" t="n">
        <v>1</v>
      </c>
      <c r="D629" s="85"/>
      <c r="E629" s="112" t="s">
        <v>1849</v>
      </c>
      <c r="F629" s="113" t="s">
        <v>1843</v>
      </c>
      <c r="G629" s="114" t="s">
        <v>1155</v>
      </c>
      <c r="H629" s="114" t="s">
        <v>1792</v>
      </c>
      <c r="I629" s="173" t="s">
        <v>156</v>
      </c>
      <c r="J629" s="112" t="s">
        <v>471</v>
      </c>
      <c r="K629" s="115" t="s">
        <v>1850</v>
      </c>
      <c r="L629" s="116" t="n">
        <v>45748</v>
      </c>
      <c r="M629" s="114" t="n">
        <v>1829</v>
      </c>
      <c r="N629" s="114" t="n">
        <v>2249</v>
      </c>
      <c r="O629" s="100" t="n">
        <v>420</v>
      </c>
      <c r="P629" s="100" t="n">
        <v>407</v>
      </c>
      <c r="Q629" s="100" t="n">
        <f aca="false">ROUND(SUM(P626:P629),2)</f>
        <v>526</v>
      </c>
      <c r="R629" s="117" t="n">
        <f aca="false">合約與計費!$D$4</f>
        <v>0.296</v>
      </c>
      <c r="S629" s="118" t="n">
        <f aca="false">ROUND(P629*R629,0)</f>
        <v>120</v>
      </c>
      <c r="T629" s="105" t="n">
        <f aca="false">ROUND(SUM(S626:S629),2)</f>
        <v>156</v>
      </c>
      <c r="U629" s="114"/>
      <c r="V629" s="114"/>
      <c r="W629" s="120"/>
      <c r="X629" s="114"/>
      <c r="Y629" s="100" t="n">
        <f aca="false">ROUND(SUM(X626:X629),2)</f>
        <v>24</v>
      </c>
      <c r="Z629" s="121"/>
      <c r="AA629" s="108"/>
      <c r="AB629" s="109" t="n">
        <f aca="false">ROUND(SUM(AA626:AA629),2)</f>
        <v>67</v>
      </c>
      <c r="AC629" s="124"/>
      <c r="AD629" s="42" t="n">
        <v>0.054</v>
      </c>
      <c r="AE629" s="43" t="n">
        <v>0.1</v>
      </c>
    </row>
    <row r="630" customFormat="false" ht="16.5" hidden="false" customHeight="true" outlineLevel="0" collapsed="false">
      <c r="A630" s="84" t="n">
        <f aca="false">ROW(A628)</f>
        <v>628</v>
      </c>
      <c r="B630" s="84" t="s">
        <v>455</v>
      </c>
      <c r="C630" s="32" t="n">
        <v>1</v>
      </c>
      <c r="D630" s="85" t="n">
        <v>288</v>
      </c>
      <c r="E630" s="86" t="s">
        <v>1851</v>
      </c>
      <c r="F630" s="87" t="s">
        <v>1852</v>
      </c>
      <c r="G630" s="32" t="s">
        <v>1155</v>
      </c>
      <c r="H630" s="32" t="s">
        <v>1792</v>
      </c>
      <c r="I630" s="172" t="s">
        <v>345</v>
      </c>
      <c r="J630" s="86" t="s">
        <v>460</v>
      </c>
      <c r="K630" s="88" t="s">
        <v>1853</v>
      </c>
      <c r="L630" s="89" t="n">
        <v>45755</v>
      </c>
      <c r="M630" s="32" t="n">
        <v>89</v>
      </c>
      <c r="N630" s="32" t="n">
        <v>108</v>
      </c>
      <c r="O630" s="32" t="n">
        <v>19</v>
      </c>
      <c r="P630" s="32" t="n">
        <v>18</v>
      </c>
      <c r="Q630" s="32"/>
      <c r="R630" s="90" t="n">
        <f aca="false">合約與計費!$D$4</f>
        <v>0.296</v>
      </c>
      <c r="S630" s="91" t="n">
        <f aca="false">ROUND(P630*R630,0)</f>
        <v>5</v>
      </c>
      <c r="T630" s="92"/>
      <c r="U630" s="32" t="n">
        <v>510</v>
      </c>
      <c r="V630" s="32" t="n">
        <v>680</v>
      </c>
      <c r="W630" s="32" t="n">
        <v>170</v>
      </c>
      <c r="X630" s="32" t="n">
        <v>165</v>
      </c>
      <c r="Y630" s="32"/>
      <c r="Z630" s="93" t="n">
        <f aca="false">合約與計費!$E$4</f>
        <v>2.8</v>
      </c>
      <c r="AA630" s="94" t="n">
        <f aca="false">ROUND(X630*Z630,0)</f>
        <v>462</v>
      </c>
      <c r="AB630" s="95"/>
      <c r="AC630" s="96"/>
      <c r="AD630" s="42"/>
      <c r="AE630" s="43"/>
    </row>
    <row r="631" customFormat="false" ht="16.5" hidden="false" customHeight="true" outlineLevel="0" collapsed="false">
      <c r="A631" s="97" t="n">
        <f aca="false">ROW(A629)</f>
        <v>629</v>
      </c>
      <c r="B631" s="97" t="s">
        <v>462</v>
      </c>
      <c r="C631" s="100" t="n">
        <v>1</v>
      </c>
      <c r="D631" s="85"/>
      <c r="E631" s="98" t="s">
        <v>1854</v>
      </c>
      <c r="F631" s="99" t="s">
        <v>1852</v>
      </c>
      <c r="G631" s="100" t="s">
        <v>1155</v>
      </c>
      <c r="H631" s="100" t="s">
        <v>1792</v>
      </c>
      <c r="I631" s="175" t="s">
        <v>345</v>
      </c>
      <c r="J631" s="98" t="s">
        <v>464</v>
      </c>
      <c r="K631" s="101" t="s">
        <v>1855</v>
      </c>
      <c r="L631" s="102" t="n">
        <v>45755</v>
      </c>
      <c r="M631" s="100" t="n">
        <v>1299</v>
      </c>
      <c r="N631" s="100" t="n">
        <v>1452</v>
      </c>
      <c r="O631" s="100" t="n">
        <v>153</v>
      </c>
      <c r="P631" s="100" t="n">
        <v>148</v>
      </c>
      <c r="Q631" s="100"/>
      <c r="R631" s="103" t="n">
        <f aca="false">合約與計費!$D$4</f>
        <v>0.296</v>
      </c>
      <c r="S631" s="104" t="n">
        <f aca="false">ROUND(P631*R631,0)</f>
        <v>44</v>
      </c>
      <c r="T631" s="105"/>
      <c r="U631" s="100"/>
      <c r="V631" s="100"/>
      <c r="W631" s="106"/>
      <c r="X631" s="100"/>
      <c r="Y631" s="100"/>
      <c r="Z631" s="107"/>
      <c r="AA631" s="108"/>
      <c r="AB631" s="109"/>
      <c r="AC631" s="110"/>
      <c r="AD631" s="42" t="n">
        <v>0.339</v>
      </c>
      <c r="AE631" s="43" t="n">
        <v>0.6</v>
      </c>
    </row>
    <row r="632" customFormat="false" ht="16.5" hidden="false" customHeight="true" outlineLevel="0" collapsed="false">
      <c r="A632" s="111" t="n">
        <f aca="false">ROW(A630)</f>
        <v>630</v>
      </c>
      <c r="B632" s="111" t="s">
        <v>466</v>
      </c>
      <c r="C632" s="114" t="n">
        <v>1</v>
      </c>
      <c r="D632" s="85"/>
      <c r="E632" s="112" t="s">
        <v>1856</v>
      </c>
      <c r="F632" s="113" t="s">
        <v>1852</v>
      </c>
      <c r="G632" s="114" t="s">
        <v>1155</v>
      </c>
      <c r="H632" s="114" t="s">
        <v>1792</v>
      </c>
      <c r="I632" s="173" t="s">
        <v>345</v>
      </c>
      <c r="J632" s="112" t="s">
        <v>471</v>
      </c>
      <c r="K632" s="115" t="s">
        <v>1857</v>
      </c>
      <c r="L632" s="116" t="n">
        <v>45782</v>
      </c>
      <c r="M632" s="114" t="n">
        <v>7609</v>
      </c>
      <c r="N632" s="114" t="n">
        <v>8879</v>
      </c>
      <c r="O632" s="114" t="n">
        <v>1270</v>
      </c>
      <c r="P632" s="114" t="n">
        <v>1232</v>
      </c>
      <c r="Q632" s="114" t="n">
        <f aca="false">ROUND(SUM(P630:P632),2)</f>
        <v>1398</v>
      </c>
      <c r="R632" s="117" t="n">
        <f aca="false">合約與計費!$D$4</f>
        <v>0.296</v>
      </c>
      <c r="S632" s="118" t="n">
        <f aca="false">ROUND(P632*R632,0)</f>
        <v>365</v>
      </c>
      <c r="T632" s="119" t="n">
        <f aca="false">ROUND(SUM(S630:S632),2)</f>
        <v>414</v>
      </c>
      <c r="U632" s="114"/>
      <c r="V632" s="114"/>
      <c r="W632" s="120"/>
      <c r="X632" s="114"/>
      <c r="Y632" s="114" t="n">
        <f aca="false">ROUND(SUM(X630:X632),2)</f>
        <v>165</v>
      </c>
      <c r="Z632" s="121"/>
      <c r="AA632" s="122"/>
      <c r="AB632" s="123" t="n">
        <f aca="false">ROUND(SUM(AA630:AA632),2)</f>
        <v>462</v>
      </c>
      <c r="AC632" s="124"/>
      <c r="AD632" s="42" t="n">
        <v>0.2731</v>
      </c>
      <c r="AE632" s="43" t="n">
        <v>0.8</v>
      </c>
    </row>
    <row r="633" customFormat="false" ht="16.5" hidden="false" customHeight="true" outlineLevel="0" collapsed="false">
      <c r="A633" s="84" t="n">
        <f aca="false">ROW(A631)</f>
        <v>631</v>
      </c>
      <c r="B633" s="84" t="s">
        <v>455</v>
      </c>
      <c r="C633" s="32" t="n">
        <v>1</v>
      </c>
      <c r="D633" s="85" t="n">
        <v>289</v>
      </c>
      <c r="E633" s="86" t="s">
        <v>1858</v>
      </c>
      <c r="F633" s="87" t="s">
        <v>1859</v>
      </c>
      <c r="G633" s="32" t="s">
        <v>1155</v>
      </c>
      <c r="H633" s="32" t="s">
        <v>1792</v>
      </c>
      <c r="I633" s="172" t="s">
        <v>372</v>
      </c>
      <c r="J633" s="86" t="s">
        <v>460</v>
      </c>
      <c r="K633" s="88" t="s">
        <v>1860</v>
      </c>
      <c r="L633" s="89" t="n">
        <v>45761</v>
      </c>
      <c r="M633" s="32" t="n">
        <v>794</v>
      </c>
      <c r="N633" s="32" t="n">
        <v>849</v>
      </c>
      <c r="O633" s="32" t="n">
        <v>55</v>
      </c>
      <c r="P633" s="32" t="n">
        <v>53</v>
      </c>
      <c r="Q633" s="32"/>
      <c r="R633" s="90" t="n">
        <f aca="false">合約與計費!$D$4</f>
        <v>0.296</v>
      </c>
      <c r="S633" s="91" t="n">
        <f aca="false">ROUND(P633*R633,0)</f>
        <v>16</v>
      </c>
      <c r="T633" s="92"/>
      <c r="U633" s="32" t="n">
        <v>22</v>
      </c>
      <c r="V633" s="32" t="n">
        <v>22</v>
      </c>
      <c r="W633" s="32" t="n">
        <v>0</v>
      </c>
      <c r="X633" s="32" t="n">
        <v>0</v>
      </c>
      <c r="Y633" s="32"/>
      <c r="Z633" s="93" t="n">
        <f aca="false">合約與計費!$E$4</f>
        <v>2.8</v>
      </c>
      <c r="AA633" s="94" t="n">
        <f aca="false">ROUND(X633*Z633,0)</f>
        <v>0</v>
      </c>
      <c r="AB633" s="95"/>
      <c r="AC633" s="96"/>
      <c r="AD633" s="42"/>
      <c r="AE633" s="43"/>
    </row>
    <row r="634" customFormat="false" ht="16.5" hidden="false" customHeight="true" outlineLevel="0" collapsed="false">
      <c r="A634" s="111" t="n">
        <f aca="false">ROW(A632)</f>
        <v>632</v>
      </c>
      <c r="B634" s="111" t="s">
        <v>462</v>
      </c>
      <c r="C634" s="114" t="n">
        <v>1</v>
      </c>
      <c r="D634" s="85"/>
      <c r="E634" s="112" t="s">
        <v>1861</v>
      </c>
      <c r="F634" s="113" t="s">
        <v>1859</v>
      </c>
      <c r="G634" s="114" t="s">
        <v>1155</v>
      </c>
      <c r="H634" s="114" t="s">
        <v>1792</v>
      </c>
      <c r="I634" s="173" t="s">
        <v>372</v>
      </c>
      <c r="J634" s="112" t="s">
        <v>464</v>
      </c>
      <c r="K634" s="115" t="s">
        <v>1862</v>
      </c>
      <c r="L634" s="116" t="n">
        <v>45761</v>
      </c>
      <c r="M634" s="114" t="n">
        <v>166</v>
      </c>
      <c r="N634" s="114" t="n">
        <v>180</v>
      </c>
      <c r="O634" s="114" t="n">
        <v>14</v>
      </c>
      <c r="P634" s="114" t="n">
        <v>14</v>
      </c>
      <c r="Q634" s="114" t="n">
        <f aca="false">ROUND(SUM(P633:P634),2)</f>
        <v>67</v>
      </c>
      <c r="R634" s="117" t="n">
        <f aca="false">合約與計費!$D$4</f>
        <v>0.296</v>
      </c>
      <c r="S634" s="118" t="n">
        <f aca="false">ROUND(P634*R634,0)</f>
        <v>4</v>
      </c>
      <c r="T634" s="119" t="n">
        <f aca="false">ROUND(SUM(S633:S634),2)</f>
        <v>20</v>
      </c>
      <c r="U634" s="114"/>
      <c r="V634" s="114"/>
      <c r="W634" s="120"/>
      <c r="X634" s="114"/>
      <c r="Y634" s="114" t="n">
        <f aca="false">ROUND(SUM(X633:X634),2)</f>
        <v>0</v>
      </c>
      <c r="Z634" s="121"/>
      <c r="AA634" s="122"/>
      <c r="AB634" s="123" t="n">
        <f aca="false">ROUND(SUM(AA633:AA634),2)</f>
        <v>0</v>
      </c>
      <c r="AC634" s="124"/>
      <c r="AD634" s="42" t="n">
        <v>0.3273</v>
      </c>
      <c r="AE634" s="43" t="n">
        <v>0.6</v>
      </c>
    </row>
    <row r="635" customFormat="false" ht="16.5" hidden="false" customHeight="true" outlineLevel="0" collapsed="false">
      <c r="A635" s="84" t="n">
        <f aca="false">ROW(A633)</f>
        <v>633</v>
      </c>
      <c r="B635" s="84" t="s">
        <v>455</v>
      </c>
      <c r="C635" s="32" t="n">
        <v>1</v>
      </c>
      <c r="D635" s="85" t="n">
        <v>290</v>
      </c>
      <c r="E635" s="86" t="s">
        <v>1863</v>
      </c>
      <c r="F635" s="87" t="s">
        <v>1864</v>
      </c>
      <c r="G635" s="32" t="s">
        <v>1155</v>
      </c>
      <c r="H635" s="32" t="s">
        <v>1792</v>
      </c>
      <c r="I635" s="172" t="s">
        <v>163</v>
      </c>
      <c r="J635" s="86" t="s">
        <v>460</v>
      </c>
      <c r="K635" s="88" t="s">
        <v>1865</v>
      </c>
      <c r="L635" s="89" t="n">
        <v>45757</v>
      </c>
      <c r="M635" s="32" t="n">
        <v>1665</v>
      </c>
      <c r="N635" s="32"/>
      <c r="O635" s="32"/>
      <c r="P635" s="32"/>
      <c r="Q635" s="32"/>
      <c r="R635" s="90" t="n">
        <f aca="false">合約與計費!$D$4</f>
        <v>0.296</v>
      </c>
      <c r="S635" s="91" t="n">
        <f aca="false">ROUND(P635*R635,0)</f>
        <v>0</v>
      </c>
      <c r="T635" s="92"/>
      <c r="U635" s="32" t="n">
        <v>252</v>
      </c>
      <c r="V635" s="32"/>
      <c r="W635" s="32"/>
      <c r="X635" s="32"/>
      <c r="Y635" s="32"/>
      <c r="Z635" s="93"/>
      <c r="AA635" s="94"/>
      <c r="AB635" s="95"/>
      <c r="AC635" s="224" t="s">
        <v>1866</v>
      </c>
      <c r="AD635" s="42"/>
      <c r="AE635" s="43"/>
    </row>
    <row r="636" customFormat="false" ht="16.5" hidden="false" customHeight="true" outlineLevel="0" collapsed="false">
      <c r="A636" s="97" t="n">
        <f aca="false">ROW(A634)</f>
        <v>634</v>
      </c>
      <c r="B636" s="97" t="s">
        <v>462</v>
      </c>
      <c r="C636" s="100" t="n">
        <v>1</v>
      </c>
      <c r="D636" s="85"/>
      <c r="E636" s="98" t="s">
        <v>1867</v>
      </c>
      <c r="F636" s="99" t="s">
        <v>1864</v>
      </c>
      <c r="G636" s="100" t="s">
        <v>1155</v>
      </c>
      <c r="H636" s="100" t="s">
        <v>1792</v>
      </c>
      <c r="I636" s="175" t="s">
        <v>163</v>
      </c>
      <c r="J636" s="98" t="s">
        <v>471</v>
      </c>
      <c r="K636" s="101" t="s">
        <v>1868</v>
      </c>
      <c r="L636" s="102" t="n">
        <v>45757</v>
      </c>
      <c r="M636" s="100" t="n">
        <v>4076</v>
      </c>
      <c r="N636" s="100"/>
      <c r="O636" s="100"/>
      <c r="P636" s="100"/>
      <c r="Q636" s="100"/>
      <c r="R636" s="103" t="n">
        <f aca="false">合約與計費!$D$4</f>
        <v>0.296</v>
      </c>
      <c r="S636" s="104" t="n">
        <f aca="false">ROUND(P636*R636,0)</f>
        <v>0</v>
      </c>
      <c r="T636" s="105"/>
      <c r="U636" s="100"/>
      <c r="V636" s="100"/>
      <c r="W636" s="106"/>
      <c r="X636" s="100"/>
      <c r="Y636" s="100"/>
      <c r="Z636" s="107"/>
      <c r="AA636" s="108"/>
      <c r="AB636" s="109"/>
      <c r="AC636" s="224"/>
      <c r="AD636" s="42"/>
      <c r="AE636" s="43"/>
    </row>
    <row r="637" customFormat="false" ht="16.5" hidden="false" customHeight="true" outlineLevel="0" collapsed="false">
      <c r="A637" s="111" t="n">
        <f aca="false">ROW(A635)</f>
        <v>635</v>
      </c>
      <c r="B637" s="111" t="s">
        <v>466</v>
      </c>
      <c r="C637" s="114" t="n">
        <v>1</v>
      </c>
      <c r="D637" s="85"/>
      <c r="E637" s="112" t="s">
        <v>1869</v>
      </c>
      <c r="F637" s="113" t="s">
        <v>1864</v>
      </c>
      <c r="G637" s="114" t="s">
        <v>1155</v>
      </c>
      <c r="H637" s="114" t="s">
        <v>1792</v>
      </c>
      <c r="I637" s="173" t="s">
        <v>163</v>
      </c>
      <c r="J637" s="112" t="s">
        <v>471</v>
      </c>
      <c r="K637" s="115" t="s">
        <v>1870</v>
      </c>
      <c r="L637" s="116" t="n">
        <v>45757</v>
      </c>
      <c r="M637" s="114" t="n">
        <v>2335</v>
      </c>
      <c r="N637" s="114"/>
      <c r="O637" s="114"/>
      <c r="P637" s="114"/>
      <c r="Q637" s="114"/>
      <c r="R637" s="117" t="n">
        <f aca="false">合約與計費!$D$4</f>
        <v>0.296</v>
      </c>
      <c r="S637" s="118" t="n">
        <f aca="false">ROUND(P637*R637,0)</f>
        <v>0</v>
      </c>
      <c r="T637" s="119" t="n">
        <f aca="false">ROUND(SUM(S635:S637),2)</f>
        <v>0</v>
      </c>
      <c r="U637" s="114"/>
      <c r="V637" s="114"/>
      <c r="W637" s="120"/>
      <c r="X637" s="114"/>
      <c r="Y637" s="114"/>
      <c r="Z637" s="121"/>
      <c r="AA637" s="122"/>
      <c r="AB637" s="123"/>
      <c r="AC637" s="224"/>
      <c r="AD637" s="42"/>
      <c r="AE637" s="43"/>
    </row>
    <row r="638" customFormat="false" ht="16.5" hidden="false" customHeight="true" outlineLevel="0" collapsed="false">
      <c r="A638" s="84" t="n">
        <f aca="false">ROW(A636)</f>
        <v>636</v>
      </c>
      <c r="B638" s="84" t="s">
        <v>455</v>
      </c>
      <c r="C638" s="32" t="n">
        <v>1</v>
      </c>
      <c r="D638" s="85" t="n">
        <v>291</v>
      </c>
      <c r="E638" s="86" t="s">
        <v>1871</v>
      </c>
      <c r="F638" s="87" t="s">
        <v>1872</v>
      </c>
      <c r="G638" s="32" t="s">
        <v>1155</v>
      </c>
      <c r="H638" s="32" t="s">
        <v>1792</v>
      </c>
      <c r="I638" s="172" t="s">
        <v>364</v>
      </c>
      <c r="J638" s="86" t="s">
        <v>460</v>
      </c>
      <c r="K638" s="88" t="s">
        <v>1873</v>
      </c>
      <c r="L638" s="89" t="n">
        <v>45757</v>
      </c>
      <c r="M638" s="32" t="n">
        <v>189</v>
      </c>
      <c r="N638" s="32" t="n">
        <v>214</v>
      </c>
      <c r="O638" s="32" t="n">
        <v>25</v>
      </c>
      <c r="P638" s="32" t="n">
        <v>24</v>
      </c>
      <c r="Q638" s="32"/>
      <c r="R638" s="90" t="n">
        <f aca="false">合約與計費!$D$4</f>
        <v>0.296</v>
      </c>
      <c r="S638" s="91" t="n">
        <f aca="false">ROUND(P638*R638,0)</f>
        <v>7</v>
      </c>
      <c r="T638" s="92"/>
      <c r="U638" s="32" t="n">
        <v>205</v>
      </c>
      <c r="V638" s="32" t="n">
        <v>215</v>
      </c>
      <c r="W638" s="32" t="n">
        <v>10</v>
      </c>
      <c r="X638" s="32" t="n">
        <v>10</v>
      </c>
      <c r="Y638" s="32"/>
      <c r="Z638" s="93" t="n">
        <f aca="false">合約與計費!$E$4</f>
        <v>2.8</v>
      </c>
      <c r="AA638" s="94" t="n">
        <f aca="false">ROUND(X638*Z638,0)</f>
        <v>28</v>
      </c>
      <c r="AB638" s="95"/>
      <c r="AC638" s="96"/>
      <c r="AD638" s="42"/>
      <c r="AE638" s="43"/>
    </row>
    <row r="639" customFormat="false" ht="16.5" hidden="false" customHeight="true" outlineLevel="0" collapsed="false">
      <c r="A639" s="111" t="n">
        <f aca="false">ROW(A637)</f>
        <v>637</v>
      </c>
      <c r="B639" s="111" t="s">
        <v>462</v>
      </c>
      <c r="C639" s="114" t="n">
        <v>1</v>
      </c>
      <c r="D639" s="85"/>
      <c r="E639" s="112" t="s">
        <v>1874</v>
      </c>
      <c r="F639" s="113" t="s">
        <v>1872</v>
      </c>
      <c r="G639" s="114" t="s">
        <v>1155</v>
      </c>
      <c r="H639" s="114" t="s">
        <v>1792</v>
      </c>
      <c r="I639" s="173" t="s">
        <v>364</v>
      </c>
      <c r="J639" s="112" t="s">
        <v>464</v>
      </c>
      <c r="K639" s="115" t="s">
        <v>1875</v>
      </c>
      <c r="L639" s="116" t="n">
        <v>45757</v>
      </c>
      <c r="M639" s="114" t="n">
        <v>1078</v>
      </c>
      <c r="N639" s="114" t="n">
        <v>1210</v>
      </c>
      <c r="O639" s="114" t="n">
        <v>132</v>
      </c>
      <c r="P639" s="114" t="n">
        <v>128</v>
      </c>
      <c r="Q639" s="114" t="n">
        <f aca="false">ROUND(SUM(P638:P639),2)</f>
        <v>152</v>
      </c>
      <c r="R639" s="117" t="n">
        <f aca="false">合約與計費!$D$4</f>
        <v>0.296</v>
      </c>
      <c r="S639" s="118" t="n">
        <f aca="false">ROUND(P639*R639,0)</f>
        <v>38</v>
      </c>
      <c r="T639" s="119" t="n">
        <f aca="false">ROUND(SUM(S638:S639),2)</f>
        <v>45</v>
      </c>
      <c r="U639" s="114"/>
      <c r="V639" s="114"/>
      <c r="W639" s="120"/>
      <c r="X639" s="114"/>
      <c r="Y639" s="114" t="n">
        <f aca="false">ROUND(SUM(X638:X639),2)</f>
        <v>10</v>
      </c>
      <c r="Z639" s="121"/>
      <c r="AA639" s="122"/>
      <c r="AB639" s="123" t="n">
        <f aca="false">ROUND(SUM(AA638:AA639),2)</f>
        <v>28</v>
      </c>
      <c r="AC639" s="124"/>
      <c r="AD639" s="42" t="n">
        <v>0.0684</v>
      </c>
      <c r="AE639" s="43" t="n">
        <v>0.3</v>
      </c>
    </row>
    <row r="640" customFormat="false" ht="16.5" hidden="false" customHeight="true" outlineLevel="0" collapsed="false">
      <c r="A640" s="84" t="n">
        <f aca="false">ROW(A638)</f>
        <v>638</v>
      </c>
      <c r="B640" s="84" t="s">
        <v>455</v>
      </c>
      <c r="C640" s="32" t="n">
        <v>1</v>
      </c>
      <c r="D640" s="85" t="n">
        <v>395</v>
      </c>
      <c r="E640" s="86" t="s">
        <v>1876</v>
      </c>
      <c r="F640" s="87" t="s">
        <v>1877</v>
      </c>
      <c r="G640" s="32" t="s">
        <v>1155</v>
      </c>
      <c r="H640" s="32" t="s">
        <v>1792</v>
      </c>
      <c r="I640" s="172" t="s">
        <v>322</v>
      </c>
      <c r="J640" s="86" t="s">
        <v>464</v>
      </c>
      <c r="K640" s="225" t="s">
        <v>1878</v>
      </c>
      <c r="L640" s="89" t="n">
        <v>45748</v>
      </c>
      <c r="M640" s="32" t="n">
        <v>185</v>
      </c>
      <c r="N640" s="32" t="n">
        <v>208</v>
      </c>
      <c r="O640" s="32" t="n">
        <v>23</v>
      </c>
      <c r="P640" s="32" t="n">
        <v>22</v>
      </c>
      <c r="Q640" s="32"/>
      <c r="R640" s="90" t="n">
        <f aca="false">合約與計費!$D$4</f>
        <v>0.296</v>
      </c>
      <c r="S640" s="91" t="n">
        <f aca="false">ROUND(P640*R640,0)</f>
        <v>7</v>
      </c>
      <c r="T640" s="92"/>
      <c r="U640" s="32"/>
      <c r="V640" s="32"/>
      <c r="W640" s="226"/>
      <c r="X640" s="32"/>
      <c r="Y640" s="32"/>
      <c r="Z640" s="93"/>
      <c r="AA640" s="94"/>
      <c r="AB640" s="95"/>
      <c r="AC640" s="96"/>
      <c r="AD640" s="42" t="n">
        <v>0.0453</v>
      </c>
      <c r="AE640" s="43" t="n">
        <v>0.9</v>
      </c>
    </row>
    <row r="641" customFormat="false" ht="16.5" hidden="false" customHeight="true" outlineLevel="0" collapsed="false">
      <c r="A641" s="111" t="n">
        <f aca="false">ROW(A639)</f>
        <v>639</v>
      </c>
      <c r="B641" s="111" t="s">
        <v>462</v>
      </c>
      <c r="C641" s="114" t="n">
        <v>1</v>
      </c>
      <c r="D641" s="85"/>
      <c r="E641" s="112" t="s">
        <v>1879</v>
      </c>
      <c r="F641" s="113" t="s">
        <v>1877</v>
      </c>
      <c r="G641" s="114" t="s">
        <v>1155</v>
      </c>
      <c r="H641" s="114" t="s">
        <v>1792</v>
      </c>
      <c r="I641" s="173" t="s">
        <v>322</v>
      </c>
      <c r="J641" s="112" t="s">
        <v>471</v>
      </c>
      <c r="K641" s="115" t="s">
        <v>1880</v>
      </c>
      <c r="L641" s="116" t="n">
        <v>45748</v>
      </c>
      <c r="M641" s="114" t="n">
        <v>631</v>
      </c>
      <c r="N641" s="114" t="n">
        <v>1064</v>
      </c>
      <c r="O641" s="114" t="n">
        <v>433</v>
      </c>
      <c r="P641" s="114" t="n">
        <v>420</v>
      </c>
      <c r="Q641" s="114" t="n">
        <f aca="false">ROUND(SUM(P640:P641),2)</f>
        <v>442</v>
      </c>
      <c r="R641" s="117" t="n">
        <f aca="false">合約與計費!$D$4</f>
        <v>0.296</v>
      </c>
      <c r="S641" s="118" t="n">
        <f aca="false">ROUND(P641*R641,0)</f>
        <v>124</v>
      </c>
      <c r="T641" s="119" t="n">
        <f aca="false">ROUND(SUM(S640:S641),2)</f>
        <v>131</v>
      </c>
      <c r="U641" s="114"/>
      <c r="V641" s="114"/>
      <c r="W641" s="120"/>
      <c r="X641" s="114"/>
      <c r="Y641" s="114"/>
      <c r="Z641" s="121"/>
      <c r="AA641" s="122"/>
      <c r="AB641" s="123"/>
      <c r="AC641" s="124"/>
      <c r="AD641" s="42" t="n">
        <v>0.0257</v>
      </c>
      <c r="AE641" s="43" t="n">
        <v>0.6</v>
      </c>
    </row>
    <row r="642" customFormat="false" ht="16.5" hidden="false" customHeight="true" outlineLevel="0" collapsed="false">
      <c r="A642" s="84" t="n">
        <f aca="false">ROW(A640)</f>
        <v>640</v>
      </c>
      <c r="B642" s="84" t="s">
        <v>455</v>
      </c>
      <c r="C642" s="32" t="n">
        <v>1</v>
      </c>
      <c r="D642" s="85" t="n">
        <v>70</v>
      </c>
      <c r="E642" s="86" t="s">
        <v>1881</v>
      </c>
      <c r="F642" s="87" t="s">
        <v>1882</v>
      </c>
      <c r="G642" s="32" t="s">
        <v>1883</v>
      </c>
      <c r="H642" s="32" t="s">
        <v>1884</v>
      </c>
      <c r="I642" s="32" t="s">
        <v>267</v>
      </c>
      <c r="J642" s="86" t="s">
        <v>460</v>
      </c>
      <c r="K642" s="88" t="s">
        <v>1885</v>
      </c>
      <c r="L642" s="89" t="n">
        <v>45755</v>
      </c>
      <c r="M642" s="32" t="n">
        <v>362</v>
      </c>
      <c r="N642" s="32" t="n">
        <v>445</v>
      </c>
      <c r="O642" s="32" t="n">
        <v>83</v>
      </c>
      <c r="P642" s="32" t="n">
        <v>81</v>
      </c>
      <c r="Q642" s="32"/>
      <c r="R642" s="90" t="n">
        <f aca="false">合約與計費!$D$4</f>
        <v>0.296</v>
      </c>
      <c r="S642" s="91" t="n">
        <f aca="false">ROUND(P642*R642,0)</f>
        <v>24</v>
      </c>
      <c r="T642" s="92"/>
      <c r="U642" s="32" t="n">
        <v>216</v>
      </c>
      <c r="V642" s="32" t="n">
        <v>234</v>
      </c>
      <c r="W642" s="32" t="n">
        <v>18</v>
      </c>
      <c r="X642" s="32" t="n">
        <v>17</v>
      </c>
      <c r="Y642" s="32"/>
      <c r="Z642" s="93" t="n">
        <f aca="false">合約與計費!$E$4</f>
        <v>2.8</v>
      </c>
      <c r="AA642" s="94" t="n">
        <f aca="false">ROUND(X642*Z642,0)</f>
        <v>48</v>
      </c>
      <c r="AB642" s="95"/>
      <c r="AC642" s="96"/>
      <c r="AD642" s="42"/>
      <c r="AE642" s="43"/>
    </row>
    <row r="643" customFormat="false" ht="16.5" hidden="false" customHeight="true" outlineLevel="0" collapsed="false">
      <c r="A643" s="97" t="n">
        <f aca="false">ROW(A641)</f>
        <v>641</v>
      </c>
      <c r="B643" s="97" t="s">
        <v>462</v>
      </c>
      <c r="C643" s="100" t="n">
        <v>1</v>
      </c>
      <c r="D643" s="85"/>
      <c r="E643" s="98" t="s">
        <v>1886</v>
      </c>
      <c r="F643" s="99" t="s">
        <v>1882</v>
      </c>
      <c r="G643" s="100" t="s">
        <v>1883</v>
      </c>
      <c r="H643" s="100" t="s">
        <v>1884</v>
      </c>
      <c r="I643" s="100" t="s">
        <v>267</v>
      </c>
      <c r="J643" s="98" t="s">
        <v>464</v>
      </c>
      <c r="K643" s="101" t="s">
        <v>1887</v>
      </c>
      <c r="L643" s="102" t="n">
        <v>45755</v>
      </c>
      <c r="M643" s="100" t="n">
        <v>234</v>
      </c>
      <c r="N643" s="100" t="n">
        <v>276</v>
      </c>
      <c r="O643" s="100" t="n">
        <v>42</v>
      </c>
      <c r="P643" s="100" t="n">
        <v>41</v>
      </c>
      <c r="Q643" s="100"/>
      <c r="R643" s="103" t="n">
        <f aca="false">合約與計費!$D$4</f>
        <v>0.296</v>
      </c>
      <c r="S643" s="104" t="n">
        <f aca="false">ROUND(P643*R643,0)</f>
        <v>12</v>
      </c>
      <c r="T643" s="105"/>
      <c r="U643" s="100"/>
      <c r="V643" s="100"/>
      <c r="W643" s="106"/>
      <c r="X643" s="100"/>
      <c r="Y643" s="100"/>
      <c r="Z643" s="107"/>
      <c r="AA643" s="108"/>
      <c r="AB643" s="109"/>
      <c r="AC643" s="110"/>
      <c r="AD643" s="42" t="n">
        <v>0.2418</v>
      </c>
      <c r="AE643" s="43" t="n">
        <v>0.1</v>
      </c>
    </row>
    <row r="644" customFormat="false" ht="16.5" hidden="false" customHeight="true" outlineLevel="0" collapsed="false">
      <c r="A644" s="97" t="n">
        <f aca="false">ROW(A642)</f>
        <v>642</v>
      </c>
      <c r="B644" s="97" t="s">
        <v>466</v>
      </c>
      <c r="C644" s="100" t="n">
        <v>1</v>
      </c>
      <c r="D644" s="85"/>
      <c r="E644" s="98" t="s">
        <v>1888</v>
      </c>
      <c r="F644" s="99" t="s">
        <v>1882</v>
      </c>
      <c r="G644" s="100" t="s">
        <v>1883</v>
      </c>
      <c r="H644" s="100" t="s">
        <v>1884</v>
      </c>
      <c r="I644" s="100" t="s">
        <v>267</v>
      </c>
      <c r="J644" s="98" t="s">
        <v>471</v>
      </c>
      <c r="K644" s="101" t="s">
        <v>1889</v>
      </c>
      <c r="L644" s="102" t="n">
        <v>45755</v>
      </c>
      <c r="M644" s="100" t="n">
        <v>359</v>
      </c>
      <c r="N644" s="100" t="n">
        <v>363</v>
      </c>
      <c r="O644" s="100" t="n">
        <v>4</v>
      </c>
      <c r="P644" s="100" t="n">
        <v>4</v>
      </c>
      <c r="Q644" s="100"/>
      <c r="R644" s="103" t="n">
        <f aca="false">合約與計費!$D$4</f>
        <v>0.296</v>
      </c>
      <c r="S644" s="104" t="n">
        <f aca="false">ROUND(P644*R644,0)</f>
        <v>1</v>
      </c>
      <c r="T644" s="105"/>
      <c r="U644" s="100"/>
      <c r="V644" s="100"/>
      <c r="W644" s="106"/>
      <c r="X644" s="100"/>
      <c r="Y644" s="100"/>
      <c r="Z644" s="107"/>
      <c r="AA644" s="108"/>
      <c r="AB644" s="109"/>
      <c r="AC644" s="110"/>
      <c r="AD644" s="42" t="n">
        <v>0.2668</v>
      </c>
      <c r="AE644" s="43" t="n">
        <v>0.5</v>
      </c>
    </row>
    <row r="645" customFormat="false" ht="16.5" hidden="false" customHeight="true" outlineLevel="0" collapsed="false">
      <c r="A645" s="97" t="n">
        <f aca="false">ROW(A643)</f>
        <v>643</v>
      </c>
      <c r="B645" s="97" t="s">
        <v>469</v>
      </c>
      <c r="C645" s="100" t="n">
        <v>1</v>
      </c>
      <c r="D645" s="85"/>
      <c r="E645" s="98" t="s">
        <v>1890</v>
      </c>
      <c r="F645" s="99" t="s">
        <v>1882</v>
      </c>
      <c r="G645" s="100" t="s">
        <v>1883</v>
      </c>
      <c r="H645" s="100" t="s">
        <v>1884</v>
      </c>
      <c r="I645" s="100" t="s">
        <v>267</v>
      </c>
      <c r="J645" s="98" t="s">
        <v>471</v>
      </c>
      <c r="K645" s="101" t="s">
        <v>1891</v>
      </c>
      <c r="L645" s="102" t="n">
        <v>45755</v>
      </c>
      <c r="M645" s="100" t="n">
        <v>17368</v>
      </c>
      <c r="N645" s="100" t="n">
        <v>20939</v>
      </c>
      <c r="O645" s="100" t="n">
        <v>3571</v>
      </c>
      <c r="P645" s="100" t="n">
        <v>3464</v>
      </c>
      <c r="Q645" s="100"/>
      <c r="R645" s="103" t="n">
        <f aca="false">合約與計費!$D$4</f>
        <v>0.296</v>
      </c>
      <c r="S645" s="104" t="n">
        <f aca="false">ROUND(P645*R645,0)</f>
        <v>1025</v>
      </c>
      <c r="T645" s="105"/>
      <c r="U645" s="100"/>
      <c r="V645" s="100"/>
      <c r="W645" s="106"/>
      <c r="X645" s="100"/>
      <c r="Y645" s="100"/>
      <c r="Z645" s="107"/>
      <c r="AA645" s="108"/>
      <c r="AB645" s="109"/>
      <c r="AC645" s="110"/>
      <c r="AD645" s="42" t="n">
        <v>0.0887</v>
      </c>
      <c r="AE645" s="43" t="n">
        <v>0.9</v>
      </c>
    </row>
    <row r="646" customFormat="false" ht="16.5" hidden="false" customHeight="true" outlineLevel="0" collapsed="false">
      <c r="A646" s="111" t="n">
        <f aca="false">ROW(A644)</f>
        <v>644</v>
      </c>
      <c r="B646" s="111" t="s">
        <v>473</v>
      </c>
      <c r="C646" s="114" t="n">
        <v>1</v>
      </c>
      <c r="D646" s="85"/>
      <c r="E646" s="112" t="s">
        <v>1892</v>
      </c>
      <c r="F646" s="113" t="s">
        <v>1882</v>
      </c>
      <c r="G646" s="114" t="s">
        <v>1883</v>
      </c>
      <c r="H646" s="114" t="s">
        <v>1884</v>
      </c>
      <c r="I646" s="114" t="s">
        <v>267</v>
      </c>
      <c r="J646" s="112" t="s">
        <v>471</v>
      </c>
      <c r="K646" s="115" t="s">
        <v>1893</v>
      </c>
      <c r="L646" s="116" t="n">
        <v>45755</v>
      </c>
      <c r="M646" s="114" t="n">
        <v>10685</v>
      </c>
      <c r="N646" s="114" t="n">
        <v>12801</v>
      </c>
      <c r="O646" s="114" t="n">
        <v>2116</v>
      </c>
      <c r="P646" s="114" t="n">
        <v>2053</v>
      </c>
      <c r="Q646" s="114" t="n">
        <f aca="false">ROUND(SUM(P642:P646),2)</f>
        <v>5643</v>
      </c>
      <c r="R646" s="117" t="n">
        <f aca="false">合約與計費!$D$4</f>
        <v>0.296</v>
      </c>
      <c r="S646" s="118" t="n">
        <f aca="false">ROUND(P646*R646,0)</f>
        <v>608</v>
      </c>
      <c r="T646" s="119" t="n">
        <f aca="false">ROUND(SUM(S642:S646),2)</f>
        <v>1670</v>
      </c>
      <c r="U646" s="114"/>
      <c r="V646" s="114"/>
      <c r="W646" s="120"/>
      <c r="X646" s="114"/>
      <c r="Y646" s="114" t="n">
        <f aca="false">ROUND(SUM(X642:X646),2)</f>
        <v>17</v>
      </c>
      <c r="Z646" s="121"/>
      <c r="AA646" s="122"/>
      <c r="AB646" s="123" t="n">
        <f aca="false">ROUND(SUM(AA642:AA646),2)</f>
        <v>48</v>
      </c>
      <c r="AC646" s="124"/>
      <c r="AD646" s="42" t="n">
        <v>0.0813</v>
      </c>
      <c r="AE646" s="43" t="n">
        <v>0.9</v>
      </c>
    </row>
    <row r="647" customFormat="false" ht="16.5" hidden="false" customHeight="true" outlineLevel="0" collapsed="false">
      <c r="A647" s="84" t="n">
        <f aca="false">ROW(A645)</f>
        <v>645</v>
      </c>
      <c r="B647" s="84" t="s">
        <v>455</v>
      </c>
      <c r="C647" s="32" t="n">
        <v>1</v>
      </c>
      <c r="D647" s="27" t="n">
        <v>71</v>
      </c>
      <c r="E647" s="86" t="s">
        <v>1894</v>
      </c>
      <c r="F647" s="87" t="s">
        <v>1895</v>
      </c>
      <c r="G647" s="32" t="s">
        <v>1883</v>
      </c>
      <c r="H647" s="32" t="s">
        <v>1884</v>
      </c>
      <c r="I647" s="32" t="s">
        <v>48</v>
      </c>
      <c r="J647" s="86" t="s">
        <v>460</v>
      </c>
      <c r="K647" s="88" t="s">
        <v>1896</v>
      </c>
      <c r="L647" s="89" t="n">
        <v>45762</v>
      </c>
      <c r="M647" s="32" t="n">
        <v>726</v>
      </c>
      <c r="N647" s="32" t="n">
        <v>847</v>
      </c>
      <c r="O647" s="32" t="n">
        <v>121</v>
      </c>
      <c r="P647" s="32" t="n">
        <v>117</v>
      </c>
      <c r="Q647" s="32"/>
      <c r="R647" s="90" t="n">
        <f aca="false">合約與計費!$D$4</f>
        <v>0.296</v>
      </c>
      <c r="S647" s="91" t="n">
        <f aca="false">ROUND(P647*R647,0)</f>
        <v>35</v>
      </c>
      <c r="T647" s="92"/>
      <c r="U647" s="32" t="n">
        <v>950</v>
      </c>
      <c r="V647" s="32" t="n">
        <v>1064</v>
      </c>
      <c r="W647" s="32" t="n">
        <v>114</v>
      </c>
      <c r="X647" s="32" t="n">
        <v>111</v>
      </c>
      <c r="Y647" s="32"/>
      <c r="Z647" s="93" t="n">
        <f aca="false">合約與計費!$E$4</f>
        <v>2.8</v>
      </c>
      <c r="AA647" s="94" t="n">
        <f aca="false">ROUND(X647*Z647,0)</f>
        <v>311</v>
      </c>
      <c r="AB647" s="95"/>
      <c r="AC647" s="96"/>
      <c r="AD647" s="42"/>
      <c r="AE647" s="43"/>
    </row>
    <row r="648" customFormat="false" ht="16.5" hidden="false" customHeight="true" outlineLevel="0" collapsed="false">
      <c r="A648" s="97" t="n">
        <f aca="false">ROW(A646)</f>
        <v>646</v>
      </c>
      <c r="B648" s="97" t="s">
        <v>462</v>
      </c>
      <c r="C648" s="100" t="n">
        <v>1</v>
      </c>
      <c r="D648" s="44"/>
      <c r="E648" s="98" t="s">
        <v>1897</v>
      </c>
      <c r="F648" s="99" t="s">
        <v>1895</v>
      </c>
      <c r="G648" s="100" t="s">
        <v>1883</v>
      </c>
      <c r="H648" s="100" t="s">
        <v>1884</v>
      </c>
      <c r="I648" s="100" t="s">
        <v>48</v>
      </c>
      <c r="J648" s="98" t="s">
        <v>464</v>
      </c>
      <c r="K648" s="101" t="s">
        <v>1898</v>
      </c>
      <c r="L648" s="102" t="n">
        <v>45762</v>
      </c>
      <c r="M648" s="100" t="n">
        <v>689</v>
      </c>
      <c r="N648" s="100" t="n">
        <v>828</v>
      </c>
      <c r="O648" s="100" t="n">
        <v>139</v>
      </c>
      <c r="P648" s="100" t="n">
        <v>135</v>
      </c>
      <c r="Q648" s="100"/>
      <c r="R648" s="103" t="n">
        <f aca="false">合約與計費!$D$4</f>
        <v>0.296</v>
      </c>
      <c r="S648" s="104" t="n">
        <f aca="false">ROUND(P648*R648,0)</f>
        <v>40</v>
      </c>
      <c r="T648" s="105"/>
      <c r="U648" s="100"/>
      <c r="V648" s="100"/>
      <c r="W648" s="106"/>
      <c r="X648" s="100"/>
      <c r="Y648" s="100"/>
      <c r="Z648" s="107"/>
      <c r="AA648" s="108"/>
      <c r="AB648" s="109"/>
      <c r="AC648" s="110"/>
      <c r="AD648" s="42" t="n">
        <v>0.0703</v>
      </c>
      <c r="AE648" s="43" t="n">
        <v>0.6</v>
      </c>
    </row>
    <row r="649" customFormat="false" ht="16.5" hidden="false" customHeight="true" outlineLevel="0" collapsed="false">
      <c r="A649" s="97" t="n">
        <f aca="false">ROW(A647)</f>
        <v>647</v>
      </c>
      <c r="B649" s="97" t="s">
        <v>466</v>
      </c>
      <c r="C649" s="100" t="n">
        <v>1</v>
      </c>
      <c r="D649" s="44"/>
      <c r="E649" s="98" t="s">
        <v>1899</v>
      </c>
      <c r="F649" s="99" t="s">
        <v>1895</v>
      </c>
      <c r="G649" s="100" t="s">
        <v>1883</v>
      </c>
      <c r="H649" s="100" t="s">
        <v>1884</v>
      </c>
      <c r="I649" s="100" t="s">
        <v>48</v>
      </c>
      <c r="J649" s="98" t="s">
        <v>527</v>
      </c>
      <c r="K649" s="101" t="s">
        <v>1900</v>
      </c>
      <c r="L649" s="102" t="n">
        <v>45762</v>
      </c>
      <c r="M649" s="100" t="n">
        <v>5662</v>
      </c>
      <c r="N649" s="100" t="n">
        <v>6971</v>
      </c>
      <c r="O649" s="100" t="n">
        <v>1309</v>
      </c>
      <c r="P649" s="100" t="n">
        <v>1270</v>
      </c>
      <c r="Q649" s="100"/>
      <c r="R649" s="103" t="n">
        <f aca="false">合約與計費!$D$4</f>
        <v>0.296</v>
      </c>
      <c r="S649" s="104" t="n">
        <f aca="false">ROUND(P649*R649,0)</f>
        <v>376</v>
      </c>
      <c r="T649" s="105"/>
      <c r="U649" s="100"/>
      <c r="V649" s="100"/>
      <c r="W649" s="106"/>
      <c r="X649" s="100"/>
      <c r="Y649" s="100"/>
      <c r="Z649" s="107"/>
      <c r="AA649" s="108"/>
      <c r="AB649" s="109"/>
      <c r="AC649" s="110"/>
      <c r="AD649" s="42"/>
      <c r="AE649" s="43"/>
    </row>
    <row r="650" customFormat="false" ht="16.5" hidden="false" customHeight="true" outlineLevel="0" collapsed="false">
      <c r="A650" s="97" t="n">
        <f aca="false">ROW(A648)</f>
        <v>648</v>
      </c>
      <c r="B650" s="97" t="s">
        <v>469</v>
      </c>
      <c r="C650" s="100" t="n">
        <v>1</v>
      </c>
      <c r="D650" s="44"/>
      <c r="E650" s="98" t="s">
        <v>1901</v>
      </c>
      <c r="F650" s="99" t="s">
        <v>1895</v>
      </c>
      <c r="G650" s="100" t="s">
        <v>1883</v>
      </c>
      <c r="H650" s="100" t="s">
        <v>1884</v>
      </c>
      <c r="I650" s="100" t="s">
        <v>48</v>
      </c>
      <c r="J650" s="98" t="s">
        <v>527</v>
      </c>
      <c r="K650" s="101" t="s">
        <v>1902</v>
      </c>
      <c r="L650" s="102" t="n">
        <v>45762</v>
      </c>
      <c r="M650" s="100" t="n">
        <v>1186</v>
      </c>
      <c r="N650" s="100" t="n">
        <v>1835</v>
      </c>
      <c r="O650" s="100" t="n">
        <v>649</v>
      </c>
      <c r="P650" s="100" t="n">
        <v>630</v>
      </c>
      <c r="Q650" s="100"/>
      <c r="R650" s="103" t="n">
        <f aca="false">合約與計費!$D$4</f>
        <v>0.296</v>
      </c>
      <c r="S650" s="104" t="n">
        <f aca="false">ROUND(P650*R650,0)</f>
        <v>186</v>
      </c>
      <c r="T650" s="105"/>
      <c r="U650" s="100"/>
      <c r="V650" s="100"/>
      <c r="W650" s="106"/>
      <c r="X650" s="100"/>
      <c r="Y650" s="100"/>
      <c r="Z650" s="107"/>
      <c r="AA650" s="108"/>
      <c r="AB650" s="109"/>
      <c r="AC650" s="110"/>
      <c r="AD650" s="42"/>
      <c r="AE650" s="43"/>
    </row>
    <row r="651" customFormat="false" ht="16.5" hidden="false" customHeight="true" outlineLevel="0" collapsed="false">
      <c r="A651" s="97" t="n">
        <f aca="false">ROW(A649)</f>
        <v>649</v>
      </c>
      <c r="B651" s="97" t="s">
        <v>473</v>
      </c>
      <c r="C651" s="100" t="n">
        <v>1</v>
      </c>
      <c r="D651" s="44"/>
      <c r="E651" s="98" t="s">
        <v>1903</v>
      </c>
      <c r="F651" s="99" t="s">
        <v>1895</v>
      </c>
      <c r="G651" s="100" t="s">
        <v>1883</v>
      </c>
      <c r="H651" s="100" t="s">
        <v>1884</v>
      </c>
      <c r="I651" s="100" t="s">
        <v>48</v>
      </c>
      <c r="J651" s="98" t="s">
        <v>527</v>
      </c>
      <c r="K651" s="101" t="s">
        <v>1904</v>
      </c>
      <c r="L651" s="102" t="n">
        <v>45762</v>
      </c>
      <c r="M651" s="100" t="n">
        <v>6015</v>
      </c>
      <c r="N651" s="100" t="n">
        <v>7951</v>
      </c>
      <c r="O651" s="100" t="n">
        <v>1936</v>
      </c>
      <c r="P651" s="100" t="n">
        <v>1878</v>
      </c>
      <c r="Q651" s="100"/>
      <c r="R651" s="103" t="n">
        <f aca="false">合約與計費!$D$4</f>
        <v>0.296</v>
      </c>
      <c r="S651" s="104" t="n">
        <f aca="false">ROUND(P651*R651,0)</f>
        <v>556</v>
      </c>
      <c r="T651" s="105"/>
      <c r="U651" s="100"/>
      <c r="V651" s="100"/>
      <c r="W651" s="106"/>
      <c r="X651" s="100"/>
      <c r="Y651" s="100"/>
      <c r="Z651" s="107"/>
      <c r="AA651" s="108"/>
      <c r="AB651" s="109"/>
      <c r="AC651" s="110"/>
      <c r="AD651" s="42"/>
      <c r="AE651" s="43"/>
    </row>
    <row r="652" customFormat="false" ht="16.5" hidden="false" customHeight="true" outlineLevel="0" collapsed="false">
      <c r="A652" s="97" t="n">
        <f aca="false">ROW(A650)</f>
        <v>650</v>
      </c>
      <c r="B652" s="97" t="s">
        <v>476</v>
      </c>
      <c r="C652" s="100" t="n">
        <v>1</v>
      </c>
      <c r="D652" s="44"/>
      <c r="E652" s="227" t="s">
        <v>1905</v>
      </c>
      <c r="F652" s="99" t="s">
        <v>1895</v>
      </c>
      <c r="G652" s="100" t="s">
        <v>1883</v>
      </c>
      <c r="H652" s="100" t="s">
        <v>1884</v>
      </c>
      <c r="I652" s="100" t="s">
        <v>48</v>
      </c>
      <c r="J652" s="98" t="s">
        <v>527</v>
      </c>
      <c r="K652" s="101" t="s">
        <v>1906</v>
      </c>
      <c r="L652" s="102" t="n">
        <v>45762</v>
      </c>
      <c r="M652" s="100" t="n">
        <v>10866</v>
      </c>
      <c r="N652" s="100" t="n">
        <v>11891</v>
      </c>
      <c r="O652" s="100" t="n">
        <v>1025</v>
      </c>
      <c r="P652" s="100" t="n">
        <v>994</v>
      </c>
      <c r="Q652" s="100"/>
      <c r="R652" s="103" t="n">
        <f aca="false">合約與計費!$D$4</f>
        <v>0.296</v>
      </c>
      <c r="S652" s="104" t="n">
        <f aca="false">ROUND(P652*R652,0)</f>
        <v>294</v>
      </c>
      <c r="T652" s="105"/>
      <c r="U652" s="100"/>
      <c r="V652" s="100"/>
      <c r="W652" s="106"/>
      <c r="X652" s="100"/>
      <c r="Y652" s="100"/>
      <c r="Z652" s="107"/>
      <c r="AA652" s="108"/>
      <c r="AB652" s="109"/>
      <c r="AC652" s="110" t="s">
        <v>1907</v>
      </c>
      <c r="AD652" s="42"/>
      <c r="AE652" s="43"/>
    </row>
    <row r="653" customFormat="false" ht="16.5" hidden="false" customHeight="true" outlineLevel="0" collapsed="false">
      <c r="A653" s="97"/>
      <c r="B653" s="97"/>
      <c r="C653" s="100"/>
      <c r="D653" s="59"/>
      <c r="E653" s="98" t="s">
        <v>1905</v>
      </c>
      <c r="F653" s="99" t="s">
        <v>1895</v>
      </c>
      <c r="G653" s="100" t="s">
        <v>1883</v>
      </c>
      <c r="H653" s="100" t="s">
        <v>1884</v>
      </c>
      <c r="I653" s="100" t="s">
        <v>48</v>
      </c>
      <c r="J653" s="98" t="s">
        <v>527</v>
      </c>
      <c r="K653" s="101" t="s">
        <v>1908</v>
      </c>
      <c r="L653" s="102" t="n">
        <v>45762</v>
      </c>
      <c r="M653" s="100"/>
      <c r="N653" s="100" t="n">
        <v>652</v>
      </c>
      <c r="O653" s="114" t="n">
        <v>616</v>
      </c>
      <c r="P653" s="100" t="n">
        <v>598</v>
      </c>
      <c r="Q653" s="100" t="n">
        <f aca="false">ROUND(SUM(P647:P653),2)</f>
        <v>5622</v>
      </c>
      <c r="R653" s="103" t="n">
        <f aca="false">合約與計費!$D$4</f>
        <v>0.296</v>
      </c>
      <c r="S653" s="104" t="n">
        <f aca="false">ROUND(P653*R653,0)</f>
        <v>177</v>
      </c>
      <c r="T653" s="105" t="n">
        <f aca="false">ROUND(SUM(S647:S653),2)</f>
        <v>1664</v>
      </c>
      <c r="U653" s="100"/>
      <c r="V653" s="100"/>
      <c r="W653" s="106"/>
      <c r="X653" s="100"/>
      <c r="Y653" s="100" t="n">
        <f aca="false">ROUND(SUM(X647:X652),2)</f>
        <v>111</v>
      </c>
      <c r="Z653" s="107"/>
      <c r="AA653" s="108"/>
      <c r="AB653" s="109" t="n">
        <f aca="false">ROUND(SUM(AA647:AA653),2)</f>
        <v>311</v>
      </c>
      <c r="AC653" s="110" t="s">
        <v>1907</v>
      </c>
      <c r="AD653" s="42"/>
      <c r="AE653" s="43"/>
    </row>
    <row r="654" customFormat="false" ht="16.5" hidden="false" customHeight="true" outlineLevel="0" collapsed="false">
      <c r="A654" s="84" t="n">
        <f aca="false">ROW(A651)</f>
        <v>651</v>
      </c>
      <c r="B654" s="84" t="s">
        <v>455</v>
      </c>
      <c r="C654" s="32" t="n">
        <v>1</v>
      </c>
      <c r="D654" s="85" t="n">
        <v>73</v>
      </c>
      <c r="E654" s="86" t="s">
        <v>1909</v>
      </c>
      <c r="F654" s="87" t="s">
        <v>1910</v>
      </c>
      <c r="G654" s="32" t="s">
        <v>1883</v>
      </c>
      <c r="H654" s="32" t="s">
        <v>1884</v>
      </c>
      <c r="I654" s="32" t="s">
        <v>406</v>
      </c>
      <c r="J654" s="86" t="s">
        <v>460</v>
      </c>
      <c r="K654" s="88" t="s">
        <v>1911</v>
      </c>
      <c r="L654" s="89" t="n">
        <v>45762</v>
      </c>
      <c r="M654" s="32" t="n">
        <v>385</v>
      </c>
      <c r="N654" s="32" t="n">
        <v>503</v>
      </c>
      <c r="O654" s="32" t="n">
        <v>118</v>
      </c>
      <c r="P654" s="32" t="n">
        <v>114</v>
      </c>
      <c r="Q654" s="32"/>
      <c r="R654" s="90" t="n">
        <f aca="false">合約與計費!$D$4</f>
        <v>0.296</v>
      </c>
      <c r="S654" s="91" t="n">
        <f aca="false">ROUND(P654*R654,0)</f>
        <v>34</v>
      </c>
      <c r="T654" s="92"/>
      <c r="U654" s="32" t="n">
        <v>407</v>
      </c>
      <c r="V654" s="32" t="n">
        <v>491</v>
      </c>
      <c r="W654" s="32" t="n">
        <v>84</v>
      </c>
      <c r="X654" s="32" t="n">
        <v>81</v>
      </c>
      <c r="Y654" s="32"/>
      <c r="Z654" s="93" t="n">
        <f aca="false">合約與計費!$E$4</f>
        <v>2.8</v>
      </c>
      <c r="AA654" s="94" t="n">
        <f aca="false">ROUND(X654*Z654,0)</f>
        <v>227</v>
      </c>
      <c r="AB654" s="95"/>
      <c r="AC654" s="96"/>
      <c r="AD654" s="42"/>
      <c r="AE654" s="43"/>
    </row>
    <row r="655" customFormat="false" ht="16.5" hidden="false" customHeight="true" outlineLevel="0" collapsed="false">
      <c r="A655" s="97" t="n">
        <f aca="false">ROW(A652)</f>
        <v>652</v>
      </c>
      <c r="B655" s="97" t="s">
        <v>462</v>
      </c>
      <c r="C655" s="100" t="n">
        <v>1</v>
      </c>
      <c r="D655" s="85"/>
      <c r="E655" s="98" t="s">
        <v>1912</v>
      </c>
      <c r="F655" s="99" t="s">
        <v>1910</v>
      </c>
      <c r="G655" s="100" t="s">
        <v>1883</v>
      </c>
      <c r="H655" s="100" t="s">
        <v>1884</v>
      </c>
      <c r="I655" s="100" t="s">
        <v>406</v>
      </c>
      <c r="J655" s="98" t="s">
        <v>464</v>
      </c>
      <c r="K655" s="101" t="s">
        <v>1913</v>
      </c>
      <c r="L655" s="102" t="n">
        <v>45762</v>
      </c>
      <c r="M655" s="100" t="n">
        <v>575</v>
      </c>
      <c r="N655" s="100" t="n">
        <v>755</v>
      </c>
      <c r="O655" s="100" t="n">
        <v>180</v>
      </c>
      <c r="P655" s="100" t="n">
        <v>175</v>
      </c>
      <c r="Q655" s="100"/>
      <c r="R655" s="103" t="n">
        <f aca="false">合約與計費!$D$4</f>
        <v>0.296</v>
      </c>
      <c r="S655" s="104" t="n">
        <f aca="false">ROUND(P655*R655,0)</f>
        <v>52</v>
      </c>
      <c r="T655" s="105"/>
      <c r="U655" s="100"/>
      <c r="V655" s="100"/>
      <c r="W655" s="106"/>
      <c r="X655" s="100"/>
      <c r="Y655" s="100"/>
      <c r="Z655" s="107"/>
      <c r="AA655" s="108"/>
      <c r="AB655" s="109"/>
      <c r="AC655" s="110"/>
      <c r="AD655" s="42"/>
      <c r="AE655" s="43"/>
    </row>
    <row r="656" customFormat="false" ht="16.5" hidden="false" customHeight="true" outlineLevel="0" collapsed="false">
      <c r="A656" s="97" t="n">
        <f aca="false">ROW(A653)</f>
        <v>653</v>
      </c>
      <c r="B656" s="97" t="s">
        <v>466</v>
      </c>
      <c r="C656" s="100" t="n">
        <v>1</v>
      </c>
      <c r="D656" s="85"/>
      <c r="E656" s="98" t="s">
        <v>1914</v>
      </c>
      <c r="F656" s="99" t="s">
        <v>1910</v>
      </c>
      <c r="G656" s="100" t="s">
        <v>1883</v>
      </c>
      <c r="H656" s="100" t="s">
        <v>1884</v>
      </c>
      <c r="I656" s="100" t="s">
        <v>406</v>
      </c>
      <c r="J656" s="98" t="s">
        <v>471</v>
      </c>
      <c r="K656" s="101" t="s">
        <v>1915</v>
      </c>
      <c r="L656" s="102" t="n">
        <v>45762</v>
      </c>
      <c r="M656" s="100" t="n">
        <v>9446</v>
      </c>
      <c r="N656" s="100" t="n">
        <v>11935</v>
      </c>
      <c r="O656" s="100" t="n">
        <v>2489</v>
      </c>
      <c r="P656" s="100" t="n">
        <v>2414</v>
      </c>
      <c r="Q656" s="100"/>
      <c r="R656" s="103" t="n">
        <f aca="false">合約與計費!$D$4</f>
        <v>0.296</v>
      </c>
      <c r="S656" s="104" t="n">
        <f aca="false">ROUND(P656*R656,0)</f>
        <v>715</v>
      </c>
      <c r="T656" s="105"/>
      <c r="U656" s="100"/>
      <c r="V656" s="100"/>
      <c r="W656" s="106"/>
      <c r="X656" s="100"/>
      <c r="Y656" s="100"/>
      <c r="Z656" s="107"/>
      <c r="AA656" s="108"/>
      <c r="AB656" s="109"/>
      <c r="AC656" s="110"/>
      <c r="AD656" s="42"/>
      <c r="AE656" s="43"/>
    </row>
    <row r="657" customFormat="false" ht="16.5" hidden="false" customHeight="true" outlineLevel="0" collapsed="false">
      <c r="A657" s="97" t="n">
        <f aca="false">ROW(A654)</f>
        <v>654</v>
      </c>
      <c r="B657" s="97" t="s">
        <v>469</v>
      </c>
      <c r="C657" s="100" t="n">
        <v>1</v>
      </c>
      <c r="D657" s="85"/>
      <c r="E657" s="98" t="s">
        <v>1916</v>
      </c>
      <c r="F657" s="99" t="s">
        <v>1910</v>
      </c>
      <c r="G657" s="100" t="s">
        <v>1883</v>
      </c>
      <c r="H657" s="100" t="s">
        <v>1884</v>
      </c>
      <c r="I657" s="100" t="s">
        <v>406</v>
      </c>
      <c r="J657" s="98" t="s">
        <v>471</v>
      </c>
      <c r="K657" s="101" t="s">
        <v>1917</v>
      </c>
      <c r="L657" s="102" t="n">
        <v>45762</v>
      </c>
      <c r="M657" s="100" t="n">
        <v>8766</v>
      </c>
      <c r="N657" s="100" t="n">
        <v>10474</v>
      </c>
      <c r="O657" s="100" t="n">
        <v>1708</v>
      </c>
      <c r="P657" s="100" t="n">
        <v>1657</v>
      </c>
      <c r="Q657" s="100"/>
      <c r="R657" s="103" t="n">
        <f aca="false">合約與計費!$D$4</f>
        <v>0.296</v>
      </c>
      <c r="S657" s="104" t="n">
        <f aca="false">ROUND(P657*R657,0)</f>
        <v>490</v>
      </c>
      <c r="T657" s="105"/>
      <c r="U657" s="100"/>
      <c r="V657" s="100"/>
      <c r="W657" s="106"/>
      <c r="X657" s="100"/>
      <c r="Y657" s="100"/>
      <c r="Z657" s="107"/>
      <c r="AA657" s="108"/>
      <c r="AB657" s="109"/>
      <c r="AC657" s="110"/>
      <c r="AD657" s="42"/>
      <c r="AE657" s="43"/>
    </row>
    <row r="658" customFormat="false" ht="16.5" hidden="false" customHeight="true" outlineLevel="0" collapsed="false">
      <c r="A658" s="111" t="n">
        <f aca="false">ROW(A655)</f>
        <v>655</v>
      </c>
      <c r="B658" s="111" t="s">
        <v>473</v>
      </c>
      <c r="C658" s="114" t="n">
        <v>1</v>
      </c>
      <c r="D658" s="85"/>
      <c r="E658" s="112" t="s">
        <v>1918</v>
      </c>
      <c r="F658" s="113" t="s">
        <v>1910</v>
      </c>
      <c r="G658" s="114" t="s">
        <v>1883</v>
      </c>
      <c r="H658" s="114" t="s">
        <v>1884</v>
      </c>
      <c r="I658" s="114" t="s">
        <v>406</v>
      </c>
      <c r="J658" s="112" t="s">
        <v>471</v>
      </c>
      <c r="K658" s="115" t="s">
        <v>1919</v>
      </c>
      <c r="L658" s="116" t="n">
        <v>45762</v>
      </c>
      <c r="M658" s="114" t="n">
        <v>7219</v>
      </c>
      <c r="N658" s="114" t="n">
        <v>8383</v>
      </c>
      <c r="O658" s="114" t="n">
        <v>1164</v>
      </c>
      <c r="P658" s="114" t="n">
        <v>1129</v>
      </c>
      <c r="Q658" s="114" t="n">
        <f aca="false">ROUND(SUM(P654:P658),2)</f>
        <v>5489</v>
      </c>
      <c r="R658" s="117" t="n">
        <f aca="false">合約與計費!$D$4</f>
        <v>0.296</v>
      </c>
      <c r="S658" s="118" t="n">
        <f aca="false">ROUND(P658*R658,0)</f>
        <v>334</v>
      </c>
      <c r="T658" s="119" t="n">
        <f aca="false">ROUND(SUM(S654:S658),2)</f>
        <v>1625</v>
      </c>
      <c r="U658" s="114"/>
      <c r="V658" s="114"/>
      <c r="W658" s="120"/>
      <c r="X658" s="114"/>
      <c r="Y658" s="114" t="n">
        <f aca="false">ROUND(SUM(X654:X658),2)</f>
        <v>81</v>
      </c>
      <c r="Z658" s="121"/>
      <c r="AA658" s="122"/>
      <c r="AB658" s="123" t="n">
        <f aca="false">ROUND(SUM(AA654:AA658),2)</f>
        <v>227</v>
      </c>
      <c r="AC658" s="124"/>
      <c r="AD658" s="42"/>
      <c r="AE658" s="43"/>
    </row>
    <row r="659" customFormat="false" ht="16.5" hidden="false" customHeight="true" outlineLevel="0" collapsed="false">
      <c r="A659" s="84" t="n">
        <f aca="false">ROW(A656)</f>
        <v>656</v>
      </c>
      <c r="B659" s="84" t="s">
        <v>455</v>
      </c>
      <c r="C659" s="32" t="n">
        <v>1</v>
      </c>
      <c r="D659" s="85" t="n">
        <v>74</v>
      </c>
      <c r="E659" s="86" t="s">
        <v>1920</v>
      </c>
      <c r="F659" s="87" t="s">
        <v>1921</v>
      </c>
      <c r="G659" s="32" t="s">
        <v>1883</v>
      </c>
      <c r="H659" s="32" t="s">
        <v>1884</v>
      </c>
      <c r="I659" s="32" t="s">
        <v>402</v>
      </c>
      <c r="J659" s="86" t="s">
        <v>460</v>
      </c>
      <c r="K659" s="88" t="s">
        <v>1922</v>
      </c>
      <c r="L659" s="89" t="n">
        <v>45761</v>
      </c>
      <c r="M659" s="32" t="n">
        <v>241</v>
      </c>
      <c r="N659" s="32" t="n">
        <v>286</v>
      </c>
      <c r="O659" s="32" t="n">
        <v>45</v>
      </c>
      <c r="P659" s="32" t="n">
        <v>44</v>
      </c>
      <c r="Q659" s="32"/>
      <c r="R659" s="90" t="n">
        <f aca="false">合約與計費!$D$4</f>
        <v>0.296</v>
      </c>
      <c r="S659" s="91" t="n">
        <f aca="false">ROUND(P659*R659,0)</f>
        <v>13</v>
      </c>
      <c r="T659" s="92"/>
      <c r="U659" s="32" t="n">
        <v>389</v>
      </c>
      <c r="V659" s="32" t="n">
        <v>456</v>
      </c>
      <c r="W659" s="32" t="n">
        <v>67</v>
      </c>
      <c r="X659" s="32" t="n">
        <v>65</v>
      </c>
      <c r="Y659" s="32"/>
      <c r="Z659" s="93" t="n">
        <f aca="false">合約與計費!$E$4</f>
        <v>2.8</v>
      </c>
      <c r="AA659" s="94" t="n">
        <f aca="false">ROUND(X659*Z659,0)</f>
        <v>182</v>
      </c>
      <c r="AB659" s="95"/>
      <c r="AC659" s="96"/>
      <c r="AD659" s="42"/>
      <c r="AE659" s="43"/>
    </row>
    <row r="660" customFormat="false" ht="16.5" hidden="false" customHeight="true" outlineLevel="0" collapsed="false">
      <c r="A660" s="97" t="n">
        <f aca="false">ROW(A657)</f>
        <v>657</v>
      </c>
      <c r="B660" s="97" t="s">
        <v>462</v>
      </c>
      <c r="C660" s="100" t="n">
        <v>1</v>
      </c>
      <c r="D660" s="85"/>
      <c r="E660" s="98" t="s">
        <v>1923</v>
      </c>
      <c r="F660" s="99" t="s">
        <v>1921</v>
      </c>
      <c r="G660" s="100" t="s">
        <v>1883</v>
      </c>
      <c r="H660" s="100" t="s">
        <v>1884</v>
      </c>
      <c r="I660" s="100" t="s">
        <v>402</v>
      </c>
      <c r="J660" s="98" t="s">
        <v>464</v>
      </c>
      <c r="K660" s="101" t="s">
        <v>1924</v>
      </c>
      <c r="L660" s="102" t="n">
        <v>45761</v>
      </c>
      <c r="M660" s="100" t="n">
        <v>347</v>
      </c>
      <c r="N660" s="100" t="n">
        <v>393</v>
      </c>
      <c r="O660" s="100" t="n">
        <v>46</v>
      </c>
      <c r="P660" s="100" t="n">
        <v>45</v>
      </c>
      <c r="Q660" s="100"/>
      <c r="R660" s="103" t="n">
        <f aca="false">合約與計費!$D$4</f>
        <v>0.296</v>
      </c>
      <c r="S660" s="104" t="n">
        <f aca="false">ROUND(P660*R660,0)</f>
        <v>13</v>
      </c>
      <c r="T660" s="105"/>
      <c r="U660" s="100"/>
      <c r="V660" s="100"/>
      <c r="W660" s="106"/>
      <c r="X660" s="100"/>
      <c r="Y660" s="100"/>
      <c r="Z660" s="107"/>
      <c r="AA660" s="108"/>
      <c r="AB660" s="109"/>
      <c r="AC660" s="110"/>
      <c r="AD660" s="42" t="n">
        <v>0.0617</v>
      </c>
      <c r="AE660" s="43" t="n">
        <v>0.9</v>
      </c>
    </row>
    <row r="661" customFormat="false" ht="16.5" hidden="false" customHeight="true" outlineLevel="0" collapsed="false">
      <c r="A661" s="97" t="n">
        <f aca="false">ROW(A658)</f>
        <v>658</v>
      </c>
      <c r="B661" s="97" t="s">
        <v>466</v>
      </c>
      <c r="C661" s="100" t="n">
        <v>1</v>
      </c>
      <c r="D661" s="85"/>
      <c r="E661" s="98" t="s">
        <v>1925</v>
      </c>
      <c r="F661" s="99" t="s">
        <v>1921</v>
      </c>
      <c r="G661" s="100" t="s">
        <v>1883</v>
      </c>
      <c r="H661" s="100" t="s">
        <v>1884</v>
      </c>
      <c r="I661" s="100" t="s">
        <v>402</v>
      </c>
      <c r="J661" s="98" t="s">
        <v>471</v>
      </c>
      <c r="K661" s="101" t="s">
        <v>1926</v>
      </c>
      <c r="L661" s="102" t="n">
        <v>45761</v>
      </c>
      <c r="M661" s="100" t="n">
        <v>6645</v>
      </c>
      <c r="N661" s="100" t="n">
        <v>8203</v>
      </c>
      <c r="O661" s="100" t="n">
        <v>1558</v>
      </c>
      <c r="P661" s="100" t="n">
        <v>1511</v>
      </c>
      <c r="Q661" s="100"/>
      <c r="R661" s="103" t="n">
        <f aca="false">合約與計費!$D$4</f>
        <v>0.296</v>
      </c>
      <c r="S661" s="104" t="n">
        <f aca="false">ROUND(P661*R661,0)</f>
        <v>447</v>
      </c>
      <c r="T661" s="105"/>
      <c r="U661" s="100"/>
      <c r="V661" s="100"/>
      <c r="W661" s="106"/>
      <c r="X661" s="100"/>
      <c r="Y661" s="100"/>
      <c r="Z661" s="107"/>
      <c r="AA661" s="108"/>
      <c r="AB661" s="109"/>
      <c r="AC661" s="110"/>
      <c r="AD661" s="42" t="n">
        <v>0.2135</v>
      </c>
      <c r="AE661" s="43" t="n">
        <v>0.3</v>
      </c>
    </row>
    <row r="662" customFormat="false" ht="16.5" hidden="false" customHeight="true" outlineLevel="0" collapsed="false">
      <c r="A662" s="111" t="n">
        <f aca="false">ROW(A659)</f>
        <v>659</v>
      </c>
      <c r="B662" s="111" t="s">
        <v>469</v>
      </c>
      <c r="C662" s="114" t="n">
        <v>1</v>
      </c>
      <c r="D662" s="85"/>
      <c r="E662" s="112" t="s">
        <v>1927</v>
      </c>
      <c r="F662" s="113" t="s">
        <v>1921</v>
      </c>
      <c r="G662" s="114" t="s">
        <v>1883</v>
      </c>
      <c r="H662" s="114" t="s">
        <v>1884</v>
      </c>
      <c r="I662" s="114" t="s">
        <v>402</v>
      </c>
      <c r="J662" s="112" t="s">
        <v>471</v>
      </c>
      <c r="K662" s="115" t="s">
        <v>1928</v>
      </c>
      <c r="L662" s="116" t="n">
        <v>45761</v>
      </c>
      <c r="M662" s="114" t="n">
        <v>10884</v>
      </c>
      <c r="N662" s="114" t="n">
        <v>13477</v>
      </c>
      <c r="O662" s="114" t="n">
        <v>2593</v>
      </c>
      <c r="P662" s="114" t="n">
        <v>2515</v>
      </c>
      <c r="Q662" s="114" t="n">
        <f aca="false">ROUND(SUM(P659:P662),2)</f>
        <v>4115</v>
      </c>
      <c r="R662" s="117" t="n">
        <f aca="false">合約與計費!$D$4</f>
        <v>0.296</v>
      </c>
      <c r="S662" s="118" t="n">
        <f aca="false">ROUND(P662*R662,0)</f>
        <v>744</v>
      </c>
      <c r="T662" s="119" t="n">
        <f aca="false">ROUND(SUM(S659:S662),2)</f>
        <v>1217</v>
      </c>
      <c r="U662" s="114"/>
      <c r="V662" s="114"/>
      <c r="W662" s="120"/>
      <c r="X662" s="114"/>
      <c r="Y662" s="114" t="n">
        <f aca="false">ROUND(SUM(X659:X662),2)</f>
        <v>65</v>
      </c>
      <c r="Z662" s="121"/>
      <c r="AA662" s="122"/>
      <c r="AB662" s="123" t="n">
        <f aca="false">ROUND(SUM(AA659:AA662),2)</f>
        <v>182</v>
      </c>
      <c r="AC662" s="124"/>
      <c r="AD662" s="42" t="n">
        <v>0.0868</v>
      </c>
      <c r="AE662" s="43" t="n">
        <v>0.8</v>
      </c>
    </row>
    <row r="663" customFormat="false" ht="16.5" hidden="false" customHeight="true" outlineLevel="0" collapsed="false">
      <c r="A663" s="84" t="n">
        <f aca="false">ROW(A660)</f>
        <v>660</v>
      </c>
      <c r="B663" s="84" t="s">
        <v>455</v>
      </c>
      <c r="C663" s="32" t="n">
        <v>1</v>
      </c>
      <c r="D663" s="85" t="n">
        <v>75</v>
      </c>
      <c r="E663" s="86" t="s">
        <v>1929</v>
      </c>
      <c r="F663" s="87" t="s">
        <v>1930</v>
      </c>
      <c r="G663" s="32" t="s">
        <v>1883</v>
      </c>
      <c r="H663" s="32" t="s">
        <v>1884</v>
      </c>
      <c r="I663" s="32" t="s">
        <v>407</v>
      </c>
      <c r="J663" s="86" t="s">
        <v>460</v>
      </c>
      <c r="K663" s="88" t="s">
        <v>1931</v>
      </c>
      <c r="L663" s="89" t="n">
        <v>45782</v>
      </c>
      <c r="M663" s="32" t="n">
        <v>267</v>
      </c>
      <c r="N663" s="32" t="n">
        <v>292</v>
      </c>
      <c r="O663" s="32" t="n">
        <v>25</v>
      </c>
      <c r="P663" s="32" t="n">
        <v>24</v>
      </c>
      <c r="Q663" s="32"/>
      <c r="R663" s="90" t="n">
        <f aca="false">合約與計費!$D$4</f>
        <v>0.296</v>
      </c>
      <c r="S663" s="91" t="n">
        <f aca="false">ROUND(P663*R663,0)</f>
        <v>7</v>
      </c>
      <c r="T663" s="92"/>
      <c r="U663" s="32" t="n">
        <v>217</v>
      </c>
      <c r="V663" s="32" t="n">
        <v>253</v>
      </c>
      <c r="W663" s="32" t="n">
        <v>36</v>
      </c>
      <c r="X663" s="32" t="n">
        <v>35</v>
      </c>
      <c r="Y663" s="32"/>
      <c r="Z663" s="93" t="n">
        <f aca="false">合約與計費!$E$4</f>
        <v>2.8</v>
      </c>
      <c r="AA663" s="94" t="n">
        <f aca="false">ROUND(X663*Z663,0)</f>
        <v>98</v>
      </c>
      <c r="AB663" s="95"/>
      <c r="AC663" s="96"/>
      <c r="AD663" s="42"/>
      <c r="AE663" s="43"/>
    </row>
    <row r="664" customFormat="false" ht="16.5" hidden="false" customHeight="true" outlineLevel="0" collapsed="false">
      <c r="A664" s="97" t="n">
        <f aca="false">ROW(A661)</f>
        <v>661</v>
      </c>
      <c r="B664" s="97" t="s">
        <v>462</v>
      </c>
      <c r="C664" s="100" t="n">
        <v>1</v>
      </c>
      <c r="D664" s="85"/>
      <c r="E664" s="98" t="s">
        <v>1932</v>
      </c>
      <c r="F664" s="99" t="s">
        <v>1930</v>
      </c>
      <c r="G664" s="100" t="s">
        <v>1883</v>
      </c>
      <c r="H664" s="100" t="s">
        <v>1884</v>
      </c>
      <c r="I664" s="100" t="s">
        <v>407</v>
      </c>
      <c r="J664" s="98" t="s">
        <v>471</v>
      </c>
      <c r="K664" s="101" t="s">
        <v>1933</v>
      </c>
      <c r="L664" s="102" t="n">
        <v>45782</v>
      </c>
      <c r="M664" s="100" t="n">
        <v>17666</v>
      </c>
      <c r="N664" s="100" t="n">
        <v>21415</v>
      </c>
      <c r="O664" s="100" t="n">
        <v>3749</v>
      </c>
      <c r="P664" s="100" t="n">
        <v>3637</v>
      </c>
      <c r="Q664" s="100"/>
      <c r="R664" s="103" t="n">
        <f aca="false">合約與計費!$D$4</f>
        <v>0.296</v>
      </c>
      <c r="S664" s="104" t="n">
        <f aca="false">ROUND(P664*R664,0)</f>
        <v>1077</v>
      </c>
      <c r="T664" s="105"/>
      <c r="U664" s="100"/>
      <c r="V664" s="100"/>
      <c r="W664" s="106"/>
      <c r="X664" s="100"/>
      <c r="Y664" s="100"/>
      <c r="Z664" s="107"/>
      <c r="AA664" s="108"/>
      <c r="AB664" s="109"/>
      <c r="AC664" s="110"/>
      <c r="AD664" s="42" t="n">
        <v>0.0941</v>
      </c>
      <c r="AE664" s="43" t="n">
        <v>1</v>
      </c>
    </row>
    <row r="665" customFormat="false" ht="16.5" hidden="false" customHeight="true" outlineLevel="0" collapsed="false">
      <c r="A665" s="97" t="n">
        <f aca="false">ROW(A662)</f>
        <v>662</v>
      </c>
      <c r="B665" s="97" t="s">
        <v>466</v>
      </c>
      <c r="C665" s="100" t="n">
        <v>1</v>
      </c>
      <c r="D665" s="85"/>
      <c r="E665" s="98" t="s">
        <v>1934</v>
      </c>
      <c r="F665" s="99" t="s">
        <v>1930</v>
      </c>
      <c r="G665" s="100" t="s">
        <v>1883</v>
      </c>
      <c r="H665" s="100" t="s">
        <v>1884</v>
      </c>
      <c r="I665" s="100" t="s">
        <v>407</v>
      </c>
      <c r="J665" s="98" t="s">
        <v>471</v>
      </c>
      <c r="K665" s="101" t="s">
        <v>1935</v>
      </c>
      <c r="L665" s="102" t="n">
        <v>45782</v>
      </c>
      <c r="M665" s="100" t="n">
        <v>13083</v>
      </c>
      <c r="N665" s="100" t="n">
        <v>15282</v>
      </c>
      <c r="O665" s="100" t="n">
        <v>2199</v>
      </c>
      <c r="P665" s="100" t="n">
        <v>2133</v>
      </c>
      <c r="Q665" s="100"/>
      <c r="R665" s="103" t="n">
        <f aca="false">合約與計費!$D$4</f>
        <v>0.296</v>
      </c>
      <c r="S665" s="104" t="n">
        <f aca="false">ROUND(P665*R665,0)</f>
        <v>631</v>
      </c>
      <c r="T665" s="105"/>
      <c r="U665" s="100"/>
      <c r="V665" s="100"/>
      <c r="W665" s="106"/>
      <c r="X665" s="100"/>
      <c r="Y665" s="100"/>
      <c r="Z665" s="107"/>
      <c r="AA665" s="108"/>
      <c r="AB665" s="109"/>
      <c r="AC665" s="110"/>
      <c r="AD665" s="42" t="n">
        <v>0.1056</v>
      </c>
      <c r="AE665" s="43" t="n">
        <v>0.2</v>
      </c>
    </row>
    <row r="666" customFormat="false" ht="16.5" hidden="false" customHeight="true" outlineLevel="0" collapsed="false">
      <c r="A666" s="111" t="n">
        <f aca="false">ROW(A663)</f>
        <v>663</v>
      </c>
      <c r="B666" s="111" t="s">
        <v>469</v>
      </c>
      <c r="C666" s="114" t="n">
        <v>1</v>
      </c>
      <c r="D666" s="85"/>
      <c r="E666" s="112" t="s">
        <v>1936</v>
      </c>
      <c r="F666" s="113" t="s">
        <v>1930</v>
      </c>
      <c r="G666" s="114" t="s">
        <v>1883</v>
      </c>
      <c r="H666" s="114" t="s">
        <v>1884</v>
      </c>
      <c r="I666" s="114" t="s">
        <v>407</v>
      </c>
      <c r="J666" s="112" t="s">
        <v>471</v>
      </c>
      <c r="K666" s="115" t="s">
        <v>1937</v>
      </c>
      <c r="L666" s="116" t="n">
        <v>45782</v>
      </c>
      <c r="M666" s="114" t="n">
        <v>2153</v>
      </c>
      <c r="N666" s="114" t="n">
        <v>2740</v>
      </c>
      <c r="O666" s="114" t="n">
        <v>587</v>
      </c>
      <c r="P666" s="114" t="n">
        <v>569</v>
      </c>
      <c r="Q666" s="114" t="n">
        <f aca="false">ROUND(SUM(P663:P666),2)</f>
        <v>6363</v>
      </c>
      <c r="R666" s="117" t="n">
        <f aca="false">合約與計費!$D$4</f>
        <v>0.296</v>
      </c>
      <c r="S666" s="118" t="n">
        <f aca="false">ROUND(P666*R666,0)</f>
        <v>168</v>
      </c>
      <c r="T666" s="119" t="n">
        <f aca="false">ROUND(SUM(S663:S666),2)</f>
        <v>1883</v>
      </c>
      <c r="U666" s="114"/>
      <c r="V666" s="114"/>
      <c r="W666" s="120"/>
      <c r="X666" s="114"/>
      <c r="Y666" s="114" t="n">
        <f aca="false">ROUND(SUM(X663:X666),2)</f>
        <v>35</v>
      </c>
      <c r="Z666" s="121"/>
      <c r="AA666" s="122"/>
      <c r="AB666" s="123" t="n">
        <f aca="false">ROUND(SUM(AA663:AA666),2)</f>
        <v>98</v>
      </c>
      <c r="AC666" s="124"/>
      <c r="AD666" s="42" t="n">
        <v>0.1833</v>
      </c>
      <c r="AE666" s="43" t="n">
        <v>0.6</v>
      </c>
    </row>
    <row r="667" customFormat="false" ht="16.5" hidden="false" customHeight="true" outlineLevel="0" collapsed="false">
      <c r="A667" s="84" t="n">
        <f aca="false">ROW(A664)</f>
        <v>664</v>
      </c>
      <c r="B667" s="84" t="s">
        <v>455</v>
      </c>
      <c r="C667" s="32" t="n">
        <v>1</v>
      </c>
      <c r="D667" s="85" t="n">
        <v>76</v>
      </c>
      <c r="E667" s="86" t="s">
        <v>1938</v>
      </c>
      <c r="F667" s="87" t="s">
        <v>1939</v>
      </c>
      <c r="G667" s="32" t="s">
        <v>1883</v>
      </c>
      <c r="H667" s="32" t="s">
        <v>1884</v>
      </c>
      <c r="I667" s="32" t="s">
        <v>276</v>
      </c>
      <c r="J667" s="86" t="s">
        <v>460</v>
      </c>
      <c r="K667" s="88" t="s">
        <v>1940</v>
      </c>
      <c r="L667" s="89" t="n">
        <v>45756</v>
      </c>
      <c r="M667" s="32" t="n">
        <v>197</v>
      </c>
      <c r="N667" s="32" t="n">
        <v>202</v>
      </c>
      <c r="O667" s="32" t="n">
        <v>5</v>
      </c>
      <c r="P667" s="32" t="n">
        <v>5</v>
      </c>
      <c r="Q667" s="32"/>
      <c r="R667" s="90" t="n">
        <f aca="false">合約與計費!$D$4</f>
        <v>0.296</v>
      </c>
      <c r="S667" s="91" t="n">
        <f aca="false">ROUND(P667*R667,0)</f>
        <v>1</v>
      </c>
      <c r="T667" s="92"/>
      <c r="U667" s="32" t="n">
        <v>650</v>
      </c>
      <c r="V667" s="32" t="n">
        <v>743</v>
      </c>
      <c r="W667" s="32" t="n">
        <v>93</v>
      </c>
      <c r="X667" s="32" t="n">
        <v>90</v>
      </c>
      <c r="Y667" s="32"/>
      <c r="Z667" s="93" t="n">
        <f aca="false">合約與計費!$E$4</f>
        <v>2.8</v>
      </c>
      <c r="AA667" s="94" t="n">
        <f aca="false">ROUND(X667*Z667,0)</f>
        <v>252</v>
      </c>
      <c r="AB667" s="95"/>
      <c r="AC667" s="96"/>
      <c r="AD667" s="42"/>
      <c r="AE667" s="43"/>
    </row>
    <row r="668" customFormat="false" ht="16.5" hidden="false" customHeight="true" outlineLevel="0" collapsed="false">
      <c r="A668" s="97" t="n">
        <f aca="false">ROW(A665)</f>
        <v>665</v>
      </c>
      <c r="B668" s="97" t="s">
        <v>462</v>
      </c>
      <c r="C668" s="100" t="n">
        <v>1</v>
      </c>
      <c r="D668" s="85"/>
      <c r="E668" s="98" t="s">
        <v>1941</v>
      </c>
      <c r="F668" s="99" t="s">
        <v>1939</v>
      </c>
      <c r="G668" s="100" t="s">
        <v>1883</v>
      </c>
      <c r="H668" s="100" t="s">
        <v>1884</v>
      </c>
      <c r="I668" s="100" t="s">
        <v>276</v>
      </c>
      <c r="J668" s="98" t="s">
        <v>464</v>
      </c>
      <c r="K668" s="101" t="s">
        <v>1942</v>
      </c>
      <c r="L668" s="102" t="n">
        <v>45756</v>
      </c>
      <c r="M668" s="100" t="n">
        <v>930</v>
      </c>
      <c r="N668" s="100" t="n">
        <v>1131</v>
      </c>
      <c r="O668" s="100" t="n">
        <v>201</v>
      </c>
      <c r="P668" s="100" t="n">
        <v>195</v>
      </c>
      <c r="Q668" s="100"/>
      <c r="R668" s="103" t="n">
        <f aca="false">合約與計費!$D$4</f>
        <v>0.296</v>
      </c>
      <c r="S668" s="104" t="n">
        <f aca="false">ROUND(P668*R668,0)</f>
        <v>58</v>
      </c>
      <c r="T668" s="105"/>
      <c r="U668" s="100"/>
      <c r="V668" s="100"/>
      <c r="W668" s="106"/>
      <c r="X668" s="100"/>
      <c r="Y668" s="100"/>
      <c r="Z668" s="107"/>
      <c r="AA668" s="108"/>
      <c r="AB668" s="109"/>
      <c r="AC668" s="110"/>
      <c r="AD668" s="42" t="n">
        <v>0.0527</v>
      </c>
      <c r="AE668" s="43" t="n">
        <v>0.6</v>
      </c>
    </row>
    <row r="669" customFormat="false" ht="16.5" hidden="false" customHeight="true" outlineLevel="0" collapsed="false">
      <c r="A669" s="97" t="n">
        <f aca="false">ROW(A666)</f>
        <v>666</v>
      </c>
      <c r="B669" s="97" t="s">
        <v>466</v>
      </c>
      <c r="C669" s="100" t="n">
        <v>1</v>
      </c>
      <c r="D669" s="85"/>
      <c r="E669" s="98" t="s">
        <v>1943</v>
      </c>
      <c r="F669" s="99" t="s">
        <v>1939</v>
      </c>
      <c r="G669" s="100" t="s">
        <v>1883</v>
      </c>
      <c r="H669" s="100" t="s">
        <v>1884</v>
      </c>
      <c r="I669" s="100" t="s">
        <v>276</v>
      </c>
      <c r="J669" s="98" t="s">
        <v>471</v>
      </c>
      <c r="K669" s="101" t="s">
        <v>1944</v>
      </c>
      <c r="L669" s="102" t="n">
        <v>45756</v>
      </c>
      <c r="M669" s="100" t="n">
        <v>1776</v>
      </c>
      <c r="N669" s="100" t="n">
        <v>2143</v>
      </c>
      <c r="O669" s="100" t="n">
        <v>367</v>
      </c>
      <c r="P669" s="100" t="n">
        <v>356</v>
      </c>
      <c r="Q669" s="100"/>
      <c r="R669" s="103" t="n">
        <f aca="false">合約與計費!$D$4</f>
        <v>0.296</v>
      </c>
      <c r="S669" s="104" t="n">
        <f aca="false">ROUND(P669*R669,0)</f>
        <v>105</v>
      </c>
      <c r="T669" s="105"/>
      <c r="U669" s="100"/>
      <c r="V669" s="100"/>
      <c r="W669" s="106"/>
      <c r="X669" s="100"/>
      <c r="Y669" s="100"/>
      <c r="Z669" s="107"/>
      <c r="AA669" s="108"/>
      <c r="AB669" s="109"/>
      <c r="AC669" s="110"/>
      <c r="AD669" s="42" t="n">
        <v>0.0486</v>
      </c>
      <c r="AE669" s="43" t="n">
        <v>0.2</v>
      </c>
    </row>
    <row r="670" customFormat="false" ht="16.5" hidden="false" customHeight="true" outlineLevel="0" collapsed="false">
      <c r="A670" s="97" t="n">
        <f aca="false">ROW(A667)</f>
        <v>667</v>
      </c>
      <c r="B670" s="97" t="s">
        <v>469</v>
      </c>
      <c r="C670" s="100" t="n">
        <v>1</v>
      </c>
      <c r="D670" s="85"/>
      <c r="E670" s="98" t="s">
        <v>1945</v>
      </c>
      <c r="F670" s="99" t="s">
        <v>1939</v>
      </c>
      <c r="G670" s="100" t="s">
        <v>1883</v>
      </c>
      <c r="H670" s="100" t="s">
        <v>1884</v>
      </c>
      <c r="I670" s="100" t="s">
        <v>276</v>
      </c>
      <c r="J670" s="98" t="s">
        <v>471</v>
      </c>
      <c r="K670" s="101" t="s">
        <v>1946</v>
      </c>
      <c r="L670" s="102" t="n">
        <v>45756</v>
      </c>
      <c r="M670" s="100" t="n">
        <v>8478</v>
      </c>
      <c r="N670" s="100" t="n">
        <v>10083</v>
      </c>
      <c r="O670" s="100" t="n">
        <v>1605</v>
      </c>
      <c r="P670" s="100" t="n">
        <v>1557</v>
      </c>
      <c r="Q670" s="100"/>
      <c r="R670" s="103" t="n">
        <f aca="false">合約與計費!$D$4</f>
        <v>0.296</v>
      </c>
      <c r="S670" s="104" t="n">
        <f aca="false">ROUND(P670*R670,0)</f>
        <v>461</v>
      </c>
      <c r="T670" s="105"/>
      <c r="U670" s="100"/>
      <c r="V670" s="100"/>
      <c r="W670" s="106"/>
      <c r="X670" s="100"/>
      <c r="Y670" s="100"/>
      <c r="Z670" s="107"/>
      <c r="AA670" s="108"/>
      <c r="AB670" s="109"/>
      <c r="AC670" s="110"/>
      <c r="AD670" s="42" t="n">
        <v>0.0997</v>
      </c>
      <c r="AE670" s="43" t="n">
        <v>0.9</v>
      </c>
    </row>
    <row r="671" customFormat="false" ht="16.5" hidden="false" customHeight="true" outlineLevel="0" collapsed="false">
      <c r="A671" s="111" t="n">
        <f aca="false">ROW(A668)</f>
        <v>668</v>
      </c>
      <c r="B671" s="111" t="s">
        <v>473</v>
      </c>
      <c r="C671" s="114" t="n">
        <v>1</v>
      </c>
      <c r="D671" s="85"/>
      <c r="E671" s="112" t="s">
        <v>1947</v>
      </c>
      <c r="F671" s="113" t="s">
        <v>1939</v>
      </c>
      <c r="G671" s="114" t="s">
        <v>1883</v>
      </c>
      <c r="H671" s="114" t="s">
        <v>1884</v>
      </c>
      <c r="I671" s="114" t="s">
        <v>276</v>
      </c>
      <c r="J671" s="112" t="s">
        <v>471</v>
      </c>
      <c r="K671" s="115" t="s">
        <v>1948</v>
      </c>
      <c r="L671" s="116" t="n">
        <v>45756</v>
      </c>
      <c r="M671" s="114" t="n">
        <v>12543</v>
      </c>
      <c r="N671" s="114" t="n">
        <v>14620</v>
      </c>
      <c r="O671" s="114" t="n">
        <v>2077</v>
      </c>
      <c r="P671" s="114" t="n">
        <v>2015</v>
      </c>
      <c r="Q671" s="114" t="n">
        <f aca="false">ROUND(SUM(P667:P671),2)</f>
        <v>4128</v>
      </c>
      <c r="R671" s="117" t="n">
        <f aca="false">合約與計費!$D$4</f>
        <v>0.296</v>
      </c>
      <c r="S671" s="118" t="n">
        <f aca="false">ROUND(P671*R671,0)</f>
        <v>596</v>
      </c>
      <c r="T671" s="119" t="n">
        <f aca="false">ROUND(SUM(S667:S671),2)</f>
        <v>1221</v>
      </c>
      <c r="U671" s="114"/>
      <c r="V671" s="114"/>
      <c r="W671" s="120"/>
      <c r="X671" s="114"/>
      <c r="Y671" s="114" t="n">
        <f aca="false">ROUND(SUM(X667:X671),2)</f>
        <v>90</v>
      </c>
      <c r="Z671" s="121"/>
      <c r="AA671" s="122"/>
      <c r="AB671" s="123" t="n">
        <f aca="false">ROUND(SUM(AA667:AA671),2)</f>
        <v>252</v>
      </c>
      <c r="AC671" s="124"/>
      <c r="AD671" s="42" t="n">
        <v>0.0817</v>
      </c>
      <c r="AE671" s="43" t="n">
        <v>0.6</v>
      </c>
    </row>
    <row r="672" customFormat="false" ht="16.5" hidden="false" customHeight="true" outlineLevel="0" collapsed="false">
      <c r="A672" s="84" t="n">
        <f aca="false">ROW(A669)</f>
        <v>669</v>
      </c>
      <c r="B672" s="84" t="s">
        <v>455</v>
      </c>
      <c r="C672" s="32" t="n">
        <v>1</v>
      </c>
      <c r="D672" s="85" t="n">
        <v>77</v>
      </c>
      <c r="E672" s="86" t="s">
        <v>1949</v>
      </c>
      <c r="F672" s="87" t="s">
        <v>1950</v>
      </c>
      <c r="G672" s="32" t="s">
        <v>1883</v>
      </c>
      <c r="H672" s="32" t="s">
        <v>1884</v>
      </c>
      <c r="I672" s="32" t="s">
        <v>32</v>
      </c>
      <c r="J672" s="86" t="s">
        <v>460</v>
      </c>
      <c r="K672" s="88" t="s">
        <v>1951</v>
      </c>
      <c r="L672" s="89" t="n">
        <v>45762</v>
      </c>
      <c r="M672" s="32" t="n">
        <v>30</v>
      </c>
      <c r="N672" s="32" t="n">
        <v>124</v>
      </c>
      <c r="O672" s="32" t="n">
        <v>94</v>
      </c>
      <c r="P672" s="32" t="n">
        <v>91</v>
      </c>
      <c r="Q672" s="32"/>
      <c r="R672" s="90" t="n">
        <f aca="false">合約與計費!$D$4</f>
        <v>0.296</v>
      </c>
      <c r="S672" s="91" t="n">
        <f aca="false">ROUND(P672*R672,0)</f>
        <v>27</v>
      </c>
      <c r="T672" s="92"/>
      <c r="U672" s="32" t="n">
        <v>86</v>
      </c>
      <c r="V672" s="32" t="n">
        <v>109</v>
      </c>
      <c r="W672" s="32" t="n">
        <v>23</v>
      </c>
      <c r="X672" s="32" t="n">
        <v>22</v>
      </c>
      <c r="Y672" s="32"/>
      <c r="Z672" s="93" t="n">
        <f aca="false">合約與計費!$E$4</f>
        <v>2.8</v>
      </c>
      <c r="AA672" s="94" t="n">
        <f aca="false">ROUND(X672*Z672,0)</f>
        <v>62</v>
      </c>
      <c r="AB672" s="95"/>
      <c r="AC672" s="96"/>
      <c r="AD672" s="42"/>
      <c r="AE672" s="43"/>
    </row>
    <row r="673" customFormat="false" ht="16.5" hidden="false" customHeight="true" outlineLevel="0" collapsed="false">
      <c r="A673" s="97" t="n">
        <f aca="false">ROW(A670)</f>
        <v>670</v>
      </c>
      <c r="B673" s="97" t="s">
        <v>462</v>
      </c>
      <c r="C673" s="100" t="n">
        <v>1</v>
      </c>
      <c r="D673" s="85"/>
      <c r="E673" s="98" t="s">
        <v>1952</v>
      </c>
      <c r="F673" s="99" t="s">
        <v>1950</v>
      </c>
      <c r="G673" s="100" t="s">
        <v>1883</v>
      </c>
      <c r="H673" s="100" t="s">
        <v>1884</v>
      </c>
      <c r="I673" s="100" t="s">
        <v>32</v>
      </c>
      <c r="J673" s="98" t="s">
        <v>527</v>
      </c>
      <c r="K673" s="101" t="s">
        <v>1953</v>
      </c>
      <c r="L673" s="102" t="n">
        <v>45762</v>
      </c>
      <c r="M673" s="100" t="n">
        <v>1576</v>
      </c>
      <c r="N673" s="100" t="n">
        <v>1907</v>
      </c>
      <c r="O673" s="100" t="n">
        <v>331</v>
      </c>
      <c r="P673" s="100" t="n">
        <v>321</v>
      </c>
      <c r="Q673" s="100"/>
      <c r="R673" s="103" t="n">
        <f aca="false">合約與計費!$D$4</f>
        <v>0.296</v>
      </c>
      <c r="S673" s="104" t="n">
        <f aca="false">ROUND(P673*R673,0)</f>
        <v>95</v>
      </c>
      <c r="T673" s="105"/>
      <c r="U673" s="100"/>
      <c r="V673" s="100"/>
      <c r="W673" s="106"/>
      <c r="X673" s="100"/>
      <c r="Y673" s="100"/>
      <c r="Z673" s="107"/>
      <c r="AA673" s="108"/>
      <c r="AB673" s="109"/>
      <c r="AC673" s="110"/>
      <c r="AD673" s="42"/>
      <c r="AE673" s="43"/>
    </row>
    <row r="674" customFormat="false" ht="16.5" hidden="false" customHeight="true" outlineLevel="0" collapsed="false">
      <c r="A674" s="97" t="n">
        <f aca="false">ROW(A671)</f>
        <v>671</v>
      </c>
      <c r="B674" s="97" t="s">
        <v>466</v>
      </c>
      <c r="C674" s="100" t="n">
        <v>1</v>
      </c>
      <c r="D674" s="85"/>
      <c r="E674" s="98" t="s">
        <v>1954</v>
      </c>
      <c r="F674" s="99" t="s">
        <v>1950</v>
      </c>
      <c r="G674" s="100" t="s">
        <v>1883</v>
      </c>
      <c r="H674" s="100" t="s">
        <v>1884</v>
      </c>
      <c r="I674" s="100" t="s">
        <v>32</v>
      </c>
      <c r="J674" s="98" t="s">
        <v>527</v>
      </c>
      <c r="K674" s="101" t="s">
        <v>1955</v>
      </c>
      <c r="L674" s="102" t="n">
        <v>45762</v>
      </c>
      <c r="M674" s="100" t="n">
        <v>4578</v>
      </c>
      <c r="N674" s="100" t="n">
        <v>5328</v>
      </c>
      <c r="O674" s="100" t="n">
        <v>750</v>
      </c>
      <c r="P674" s="100" t="n">
        <v>728</v>
      </c>
      <c r="Q674" s="100"/>
      <c r="R674" s="103" t="n">
        <f aca="false">合約與計費!$D$4</f>
        <v>0.296</v>
      </c>
      <c r="S674" s="104" t="n">
        <f aca="false">ROUND(P674*R674,0)</f>
        <v>215</v>
      </c>
      <c r="T674" s="105"/>
      <c r="U674" s="100"/>
      <c r="V674" s="100"/>
      <c r="W674" s="106"/>
      <c r="X674" s="100"/>
      <c r="Y674" s="100"/>
      <c r="Z674" s="107"/>
      <c r="AA674" s="108"/>
      <c r="AB674" s="109"/>
      <c r="AC674" s="110"/>
      <c r="AD674" s="42"/>
      <c r="AE674" s="43"/>
    </row>
    <row r="675" customFormat="false" ht="16.5" hidden="false" customHeight="true" outlineLevel="0" collapsed="false">
      <c r="A675" s="111" t="n">
        <f aca="false">ROW(A672)</f>
        <v>672</v>
      </c>
      <c r="B675" s="111" t="s">
        <v>469</v>
      </c>
      <c r="C675" s="114" t="n">
        <v>1</v>
      </c>
      <c r="D675" s="85"/>
      <c r="E675" s="112" t="s">
        <v>1956</v>
      </c>
      <c r="F675" s="113" t="s">
        <v>1950</v>
      </c>
      <c r="G675" s="114" t="s">
        <v>1883</v>
      </c>
      <c r="H675" s="114" t="s">
        <v>1884</v>
      </c>
      <c r="I675" s="114" t="s">
        <v>32</v>
      </c>
      <c r="J675" s="112" t="s">
        <v>527</v>
      </c>
      <c r="K675" s="115" t="s">
        <v>1957</v>
      </c>
      <c r="L675" s="116" t="n">
        <v>45762</v>
      </c>
      <c r="M675" s="114" t="n">
        <v>8665</v>
      </c>
      <c r="N675" s="114" t="n">
        <v>10096</v>
      </c>
      <c r="O675" s="114" t="n">
        <v>1431</v>
      </c>
      <c r="P675" s="114" t="n">
        <v>1388</v>
      </c>
      <c r="Q675" s="114" t="n">
        <f aca="false">ROUND(SUM(P672:P675),2)</f>
        <v>2528</v>
      </c>
      <c r="R675" s="117" t="n">
        <f aca="false">合約與計費!$D$4</f>
        <v>0.296</v>
      </c>
      <c r="S675" s="118" t="n">
        <f aca="false">ROUND(P675*R675,0)</f>
        <v>411</v>
      </c>
      <c r="T675" s="119" t="n">
        <f aca="false">ROUND(SUM(S672:S675),2)</f>
        <v>748</v>
      </c>
      <c r="U675" s="114"/>
      <c r="V675" s="114"/>
      <c r="W675" s="120"/>
      <c r="X675" s="114"/>
      <c r="Y675" s="114" t="n">
        <f aca="false">ROUND(SUM(X672:X675),2)</f>
        <v>22</v>
      </c>
      <c r="Z675" s="121"/>
      <c r="AA675" s="122"/>
      <c r="AB675" s="123" t="n">
        <f aca="false">ROUND(SUM(AA672:AA675),2)</f>
        <v>62</v>
      </c>
      <c r="AC675" s="124"/>
      <c r="AD675" s="42"/>
      <c r="AE675" s="43"/>
    </row>
    <row r="676" customFormat="false" ht="16.5" hidden="false" customHeight="true" outlineLevel="0" collapsed="false">
      <c r="A676" s="84" t="n">
        <f aca="false">ROW(A673)</f>
        <v>673</v>
      </c>
      <c r="B676" s="84" t="s">
        <v>455</v>
      </c>
      <c r="C676" s="32" t="n">
        <v>1</v>
      </c>
      <c r="D676" s="85" t="n">
        <v>78</v>
      </c>
      <c r="E676" s="86" t="s">
        <v>1958</v>
      </c>
      <c r="F676" s="87" t="s">
        <v>1959</v>
      </c>
      <c r="G676" s="32" t="s">
        <v>1883</v>
      </c>
      <c r="H676" s="32" t="s">
        <v>1884</v>
      </c>
      <c r="I676" s="32" t="s">
        <v>33</v>
      </c>
      <c r="J676" s="86" t="s">
        <v>460</v>
      </c>
      <c r="K676" s="88" t="s">
        <v>1960</v>
      </c>
      <c r="L676" s="89" t="n">
        <v>45754</v>
      </c>
      <c r="M676" s="32" t="n">
        <v>69</v>
      </c>
      <c r="N676" s="32" t="n">
        <v>95</v>
      </c>
      <c r="O676" s="32" t="n">
        <v>26</v>
      </c>
      <c r="P676" s="32" t="n">
        <v>25</v>
      </c>
      <c r="Q676" s="32"/>
      <c r="R676" s="90" t="n">
        <f aca="false">合約與計費!$D$4</f>
        <v>0.296</v>
      </c>
      <c r="S676" s="91" t="n">
        <f aca="false">ROUND(P676*R676,0)</f>
        <v>7</v>
      </c>
      <c r="T676" s="92"/>
      <c r="U676" s="32" t="n">
        <v>179</v>
      </c>
      <c r="V676" s="32" t="n">
        <v>215</v>
      </c>
      <c r="W676" s="32" t="n">
        <v>36</v>
      </c>
      <c r="X676" s="32" t="n">
        <v>35</v>
      </c>
      <c r="Y676" s="32"/>
      <c r="Z676" s="93" t="n">
        <f aca="false">合約與計費!$E$4</f>
        <v>2.8</v>
      </c>
      <c r="AA676" s="94" t="n">
        <f aca="false">ROUND(X676*Z676,0)</f>
        <v>98</v>
      </c>
      <c r="AB676" s="95"/>
      <c r="AC676" s="96"/>
      <c r="AD676" s="42"/>
      <c r="AE676" s="43"/>
    </row>
    <row r="677" customFormat="false" ht="16.5" hidden="false" customHeight="true" outlineLevel="0" collapsed="false">
      <c r="A677" s="97" t="n">
        <f aca="false">ROW(A674)</f>
        <v>674</v>
      </c>
      <c r="B677" s="97" t="s">
        <v>462</v>
      </c>
      <c r="C677" s="100" t="n">
        <v>1</v>
      </c>
      <c r="D677" s="85"/>
      <c r="E677" s="98" t="s">
        <v>1961</v>
      </c>
      <c r="F677" s="99" t="s">
        <v>1959</v>
      </c>
      <c r="G677" s="100" t="s">
        <v>1883</v>
      </c>
      <c r="H677" s="100" t="s">
        <v>1884</v>
      </c>
      <c r="I677" s="100" t="s">
        <v>33</v>
      </c>
      <c r="J677" s="98" t="s">
        <v>471</v>
      </c>
      <c r="K677" s="101" t="s">
        <v>1962</v>
      </c>
      <c r="L677" s="102" t="n">
        <v>45754</v>
      </c>
      <c r="M677" s="100" t="n">
        <v>16253</v>
      </c>
      <c r="N677" s="100" t="n">
        <v>19491</v>
      </c>
      <c r="O677" s="100" t="n">
        <v>3238</v>
      </c>
      <c r="P677" s="100" t="n">
        <v>3141</v>
      </c>
      <c r="Q677" s="100"/>
      <c r="R677" s="103" t="n">
        <f aca="false">合約與計費!$D$4</f>
        <v>0.296</v>
      </c>
      <c r="S677" s="104" t="n">
        <f aca="false">ROUND(P677*R677,0)</f>
        <v>930</v>
      </c>
      <c r="T677" s="105"/>
      <c r="U677" s="100"/>
      <c r="V677" s="100"/>
      <c r="W677" s="106"/>
      <c r="X677" s="100"/>
      <c r="Y677" s="100"/>
      <c r="Z677" s="107"/>
      <c r="AA677" s="108"/>
      <c r="AB677" s="109"/>
      <c r="AC677" s="110"/>
      <c r="AD677" s="42" t="n">
        <v>0.0988</v>
      </c>
      <c r="AE677" s="43" t="n">
        <v>0.2</v>
      </c>
    </row>
    <row r="678" customFormat="false" ht="16.5" hidden="false" customHeight="true" outlineLevel="0" collapsed="false">
      <c r="A678" s="97" t="n">
        <f aca="false">ROW(A675)</f>
        <v>675</v>
      </c>
      <c r="B678" s="97" t="s">
        <v>466</v>
      </c>
      <c r="C678" s="100" t="n">
        <v>1</v>
      </c>
      <c r="D678" s="85"/>
      <c r="E678" s="98" t="s">
        <v>1963</v>
      </c>
      <c r="F678" s="99" t="s">
        <v>1959</v>
      </c>
      <c r="G678" s="100" t="s">
        <v>1883</v>
      </c>
      <c r="H678" s="100" t="s">
        <v>1884</v>
      </c>
      <c r="I678" s="100" t="s">
        <v>33</v>
      </c>
      <c r="J678" s="98" t="s">
        <v>471</v>
      </c>
      <c r="K678" s="101" t="s">
        <v>1964</v>
      </c>
      <c r="L678" s="102" t="n">
        <v>45754</v>
      </c>
      <c r="M678" s="100" t="n">
        <v>2836</v>
      </c>
      <c r="N678" s="100" t="n">
        <v>3402</v>
      </c>
      <c r="O678" s="100" t="n">
        <v>566</v>
      </c>
      <c r="P678" s="100" t="n">
        <v>549</v>
      </c>
      <c r="Q678" s="100"/>
      <c r="R678" s="103" t="n">
        <f aca="false">合約與計費!$D$4</f>
        <v>0.296</v>
      </c>
      <c r="S678" s="104" t="n">
        <f aca="false">ROUND(P678*R678,0)</f>
        <v>163</v>
      </c>
      <c r="T678" s="105"/>
      <c r="U678" s="100"/>
      <c r="V678" s="100"/>
      <c r="W678" s="106"/>
      <c r="X678" s="100"/>
      <c r="Y678" s="100"/>
      <c r="Z678" s="107"/>
      <c r="AA678" s="108"/>
      <c r="AB678" s="109"/>
      <c r="AC678" s="110"/>
      <c r="AD678" s="42" t="n">
        <v>0.0503</v>
      </c>
      <c r="AE678" s="43" t="n">
        <v>0.9</v>
      </c>
    </row>
    <row r="679" customFormat="false" ht="16.5" hidden="false" customHeight="true" outlineLevel="0" collapsed="false">
      <c r="A679" s="111" t="n">
        <f aca="false">ROW(A676)</f>
        <v>676</v>
      </c>
      <c r="B679" s="111" t="s">
        <v>469</v>
      </c>
      <c r="C679" s="114" t="n">
        <v>1</v>
      </c>
      <c r="D679" s="85"/>
      <c r="E679" s="112" t="s">
        <v>1965</v>
      </c>
      <c r="F679" s="113" t="s">
        <v>1959</v>
      </c>
      <c r="G679" s="114" t="s">
        <v>1883</v>
      </c>
      <c r="H679" s="114" t="s">
        <v>1884</v>
      </c>
      <c r="I679" s="114" t="s">
        <v>33</v>
      </c>
      <c r="J679" s="112" t="s">
        <v>471</v>
      </c>
      <c r="K679" s="115" t="s">
        <v>1966</v>
      </c>
      <c r="L679" s="116" t="n">
        <v>45754</v>
      </c>
      <c r="M679" s="114" t="n">
        <v>10248</v>
      </c>
      <c r="N679" s="114" t="n">
        <v>12368</v>
      </c>
      <c r="O679" s="114" t="n">
        <v>2120</v>
      </c>
      <c r="P679" s="114" t="n">
        <v>2056</v>
      </c>
      <c r="Q679" s="114" t="n">
        <f aca="false">ROUND(SUM(P676:P679),2)</f>
        <v>5771</v>
      </c>
      <c r="R679" s="117" t="n">
        <f aca="false">合約與計費!$D$4</f>
        <v>0.296</v>
      </c>
      <c r="S679" s="118" t="n">
        <f aca="false">ROUND(P679*R679,0)</f>
        <v>609</v>
      </c>
      <c r="T679" s="119" t="n">
        <f aca="false">ROUND(SUM(S676:S679),2)</f>
        <v>1709</v>
      </c>
      <c r="U679" s="114"/>
      <c r="V679" s="114"/>
      <c r="W679" s="120"/>
      <c r="X679" s="114"/>
      <c r="Y679" s="114" t="n">
        <f aca="false">ROUND(SUM(X676:X679),2)</f>
        <v>35</v>
      </c>
      <c r="Z679" s="121"/>
      <c r="AA679" s="122"/>
      <c r="AB679" s="123" t="n">
        <f aca="false">ROUND(SUM(AA676:AA679),2)</f>
        <v>98</v>
      </c>
      <c r="AC679" s="124"/>
      <c r="AD679" s="42" t="n">
        <v>0.0975</v>
      </c>
      <c r="AE679" s="43" t="n">
        <v>0.8</v>
      </c>
    </row>
    <row r="680" customFormat="false" ht="16.5" hidden="false" customHeight="true" outlineLevel="0" collapsed="false">
      <c r="A680" s="84" t="n">
        <f aca="false">ROW(A677)</f>
        <v>677</v>
      </c>
      <c r="B680" s="84" t="s">
        <v>455</v>
      </c>
      <c r="C680" s="32" t="n">
        <v>1</v>
      </c>
      <c r="D680" s="85" t="n">
        <v>79</v>
      </c>
      <c r="E680" s="86" t="s">
        <v>1967</v>
      </c>
      <c r="F680" s="87" t="s">
        <v>1968</v>
      </c>
      <c r="G680" s="32" t="s">
        <v>1883</v>
      </c>
      <c r="H680" s="32" t="s">
        <v>1884</v>
      </c>
      <c r="I680" s="32" t="s">
        <v>419</v>
      </c>
      <c r="J680" s="86" t="s">
        <v>460</v>
      </c>
      <c r="K680" s="88" t="s">
        <v>1969</v>
      </c>
      <c r="L680" s="89" t="n">
        <v>45762</v>
      </c>
      <c r="M680" s="32" t="n">
        <v>1033</v>
      </c>
      <c r="N680" s="32" t="n">
        <v>1250</v>
      </c>
      <c r="O680" s="32" t="n">
        <v>217</v>
      </c>
      <c r="P680" s="32" t="n">
        <v>210</v>
      </c>
      <c r="Q680" s="32"/>
      <c r="R680" s="90" t="n">
        <f aca="false">合約與計費!$D$4</f>
        <v>0.296</v>
      </c>
      <c r="S680" s="91" t="n">
        <f aca="false">ROUND(P680*R680,0)</f>
        <v>62</v>
      </c>
      <c r="T680" s="92"/>
      <c r="U680" s="32" t="n">
        <v>1558</v>
      </c>
      <c r="V680" s="32" t="n">
        <v>1817</v>
      </c>
      <c r="W680" s="32" t="n">
        <v>259</v>
      </c>
      <c r="X680" s="32" t="n">
        <v>251</v>
      </c>
      <c r="Y680" s="32"/>
      <c r="Z680" s="93" t="n">
        <f aca="false">合約與計費!$E$4</f>
        <v>2.8</v>
      </c>
      <c r="AA680" s="94" t="n">
        <f aca="false">ROUND(X680*Z680,0)</f>
        <v>703</v>
      </c>
      <c r="AB680" s="95"/>
      <c r="AC680" s="96"/>
      <c r="AD680" s="42"/>
      <c r="AE680" s="43"/>
    </row>
    <row r="681" customFormat="false" ht="16.5" hidden="false" customHeight="true" outlineLevel="0" collapsed="false">
      <c r="A681" s="97" t="n">
        <f aca="false">ROW(A678)</f>
        <v>678</v>
      </c>
      <c r="B681" s="97" t="s">
        <v>462</v>
      </c>
      <c r="C681" s="100" t="n">
        <v>1</v>
      </c>
      <c r="D681" s="85"/>
      <c r="E681" s="98" t="s">
        <v>1970</v>
      </c>
      <c r="F681" s="99" t="s">
        <v>1968</v>
      </c>
      <c r="G681" s="100" t="s">
        <v>1883</v>
      </c>
      <c r="H681" s="100" t="s">
        <v>1884</v>
      </c>
      <c r="I681" s="100" t="s">
        <v>419</v>
      </c>
      <c r="J681" s="98" t="s">
        <v>464</v>
      </c>
      <c r="K681" s="101" t="s">
        <v>1971</v>
      </c>
      <c r="L681" s="102" t="n">
        <v>45762</v>
      </c>
      <c r="M681" s="100" t="n">
        <v>2188</v>
      </c>
      <c r="N681" s="100" t="n">
        <v>2707</v>
      </c>
      <c r="O681" s="100" t="n">
        <v>519</v>
      </c>
      <c r="P681" s="100" t="n">
        <v>503</v>
      </c>
      <c r="Q681" s="100"/>
      <c r="R681" s="103" t="n">
        <f aca="false">合約與計費!$D$4</f>
        <v>0.296</v>
      </c>
      <c r="S681" s="104" t="n">
        <f aca="false">ROUND(P681*R681,0)</f>
        <v>149</v>
      </c>
      <c r="T681" s="105"/>
      <c r="U681" s="100"/>
      <c r="V681" s="100"/>
      <c r="W681" s="106"/>
      <c r="X681" s="100"/>
      <c r="Y681" s="100"/>
      <c r="Z681" s="107"/>
      <c r="AA681" s="108"/>
      <c r="AB681" s="109"/>
      <c r="AC681" s="110"/>
      <c r="AD681" s="42" t="n">
        <v>0.0827</v>
      </c>
      <c r="AE681" s="43" t="n">
        <v>0.9</v>
      </c>
    </row>
    <row r="682" customFormat="false" ht="16.5" hidden="false" customHeight="true" outlineLevel="0" collapsed="false">
      <c r="A682" s="97" t="n">
        <f aca="false">ROW(A679)</f>
        <v>679</v>
      </c>
      <c r="B682" s="97" t="s">
        <v>466</v>
      </c>
      <c r="C682" s="100" t="n">
        <v>1</v>
      </c>
      <c r="D682" s="85"/>
      <c r="E682" s="98" t="s">
        <v>1972</v>
      </c>
      <c r="F682" s="99" t="s">
        <v>1968</v>
      </c>
      <c r="G682" s="100" t="s">
        <v>1883</v>
      </c>
      <c r="H682" s="100" t="s">
        <v>1884</v>
      </c>
      <c r="I682" s="100" t="s">
        <v>419</v>
      </c>
      <c r="J682" s="98" t="s">
        <v>527</v>
      </c>
      <c r="K682" s="101" t="s">
        <v>1973</v>
      </c>
      <c r="L682" s="102" t="n">
        <v>45762</v>
      </c>
      <c r="M682" s="100" t="n">
        <v>15637</v>
      </c>
      <c r="N682" s="100" t="n">
        <v>18707</v>
      </c>
      <c r="O682" s="100" t="n">
        <v>3070</v>
      </c>
      <c r="P682" s="100" t="n">
        <v>2978</v>
      </c>
      <c r="Q682" s="100"/>
      <c r="R682" s="103" t="n">
        <f aca="false">合約與計費!$D$4</f>
        <v>0.296</v>
      </c>
      <c r="S682" s="104" t="n">
        <f aca="false">ROUND(P682*R682,0)</f>
        <v>881</v>
      </c>
      <c r="T682" s="105"/>
      <c r="U682" s="100"/>
      <c r="V682" s="100"/>
      <c r="W682" s="106"/>
      <c r="X682" s="100"/>
      <c r="Y682" s="100"/>
      <c r="Z682" s="107"/>
      <c r="AA682" s="108"/>
      <c r="AB682" s="109"/>
      <c r="AC682" s="110"/>
      <c r="AD682" s="42"/>
      <c r="AE682" s="43"/>
    </row>
    <row r="683" customFormat="false" ht="16.5" hidden="false" customHeight="true" outlineLevel="0" collapsed="false">
      <c r="A683" s="97" t="n">
        <f aca="false">ROW(A680)</f>
        <v>680</v>
      </c>
      <c r="B683" s="97" t="s">
        <v>469</v>
      </c>
      <c r="C683" s="100" t="n">
        <v>1</v>
      </c>
      <c r="D683" s="85"/>
      <c r="E683" s="98" t="s">
        <v>1974</v>
      </c>
      <c r="F683" s="99" t="s">
        <v>1968</v>
      </c>
      <c r="G683" s="100" t="s">
        <v>1883</v>
      </c>
      <c r="H683" s="100" t="s">
        <v>1884</v>
      </c>
      <c r="I683" s="100" t="s">
        <v>419</v>
      </c>
      <c r="J683" s="98" t="s">
        <v>527</v>
      </c>
      <c r="K683" s="101" t="s">
        <v>1975</v>
      </c>
      <c r="L683" s="102" t="n">
        <v>45762</v>
      </c>
      <c r="M683" s="100" t="n">
        <v>1954</v>
      </c>
      <c r="N683" s="100" t="n">
        <v>2303</v>
      </c>
      <c r="O683" s="100" t="n">
        <v>349</v>
      </c>
      <c r="P683" s="100" t="n">
        <v>339</v>
      </c>
      <c r="Q683" s="100"/>
      <c r="R683" s="103" t="n">
        <f aca="false">合約與計費!$D$4</f>
        <v>0.296</v>
      </c>
      <c r="S683" s="104" t="n">
        <f aca="false">ROUND(P683*R683,0)</f>
        <v>100</v>
      </c>
      <c r="T683" s="105"/>
      <c r="U683" s="100"/>
      <c r="V683" s="100"/>
      <c r="W683" s="106"/>
      <c r="X683" s="100"/>
      <c r="Y683" s="100"/>
      <c r="Z683" s="107"/>
      <c r="AA683" s="108"/>
      <c r="AB683" s="109"/>
      <c r="AC683" s="110"/>
      <c r="AD683" s="42"/>
      <c r="AE683" s="43"/>
    </row>
    <row r="684" customFormat="false" ht="16.5" hidden="false" customHeight="true" outlineLevel="0" collapsed="false">
      <c r="A684" s="111" t="n">
        <f aca="false">ROW(A681)</f>
        <v>681</v>
      </c>
      <c r="B684" s="111" t="s">
        <v>473</v>
      </c>
      <c r="C684" s="114" t="n">
        <v>1</v>
      </c>
      <c r="D684" s="85"/>
      <c r="E684" s="112" t="s">
        <v>1976</v>
      </c>
      <c r="F684" s="113" t="s">
        <v>1968</v>
      </c>
      <c r="G684" s="114" t="s">
        <v>1883</v>
      </c>
      <c r="H684" s="114" t="s">
        <v>1884</v>
      </c>
      <c r="I684" s="114" t="s">
        <v>419</v>
      </c>
      <c r="J684" s="98" t="s">
        <v>527</v>
      </c>
      <c r="K684" s="101" t="s">
        <v>1977</v>
      </c>
      <c r="L684" s="102" t="n">
        <v>45762</v>
      </c>
      <c r="M684" s="100" t="n">
        <v>13247</v>
      </c>
      <c r="N684" s="100" t="n">
        <v>16234</v>
      </c>
      <c r="O684" s="100" t="n">
        <v>2987</v>
      </c>
      <c r="P684" s="100" t="n">
        <v>2897</v>
      </c>
      <c r="Q684" s="100" t="n">
        <f aca="false">ROUND(SUM(P680:P684),2)</f>
        <v>6927</v>
      </c>
      <c r="R684" s="103" t="n">
        <f aca="false">合約與計費!$D$4</f>
        <v>0.296</v>
      </c>
      <c r="S684" s="104" t="n">
        <f aca="false">ROUND(P684*R684,0)</f>
        <v>858</v>
      </c>
      <c r="T684" s="105" t="n">
        <f aca="false">ROUND(SUM(S680:S684),2)</f>
        <v>2050</v>
      </c>
      <c r="U684" s="100"/>
      <c r="V684" s="100"/>
      <c r="W684" s="106"/>
      <c r="X684" s="100"/>
      <c r="Y684" s="100" t="n">
        <f aca="false">ROUND(SUM(X680:X684),2)</f>
        <v>251</v>
      </c>
      <c r="Z684" s="107"/>
      <c r="AA684" s="108"/>
      <c r="AB684" s="109" t="n">
        <f aca="false">ROUND(SUM(AA680:AA684),2)</f>
        <v>703</v>
      </c>
      <c r="AC684" s="110"/>
      <c r="AD684" s="42"/>
      <c r="AE684" s="43"/>
    </row>
    <row r="685" customFormat="false" ht="16.5" hidden="false" customHeight="true" outlineLevel="0" collapsed="false">
      <c r="A685" s="84" t="n">
        <f aca="false">ROW(A682)</f>
        <v>682</v>
      </c>
      <c r="B685" s="84" t="s">
        <v>455</v>
      </c>
      <c r="C685" s="32" t="n">
        <v>1</v>
      </c>
      <c r="D685" s="85" t="n">
        <v>241</v>
      </c>
      <c r="E685" s="86" t="s">
        <v>1978</v>
      </c>
      <c r="F685" s="87" t="s">
        <v>1979</v>
      </c>
      <c r="G685" s="32" t="s">
        <v>1883</v>
      </c>
      <c r="H685" s="32" t="s">
        <v>1884</v>
      </c>
      <c r="I685" s="172" t="s">
        <v>266</v>
      </c>
      <c r="J685" s="86" t="s">
        <v>460</v>
      </c>
      <c r="K685" s="88" t="s">
        <v>1980</v>
      </c>
      <c r="L685" s="89" t="n">
        <v>45770</v>
      </c>
      <c r="M685" s="32" t="n">
        <v>184</v>
      </c>
      <c r="N685" s="32" t="n">
        <v>188</v>
      </c>
      <c r="O685" s="32" t="n">
        <v>4</v>
      </c>
      <c r="P685" s="32" t="n">
        <v>4</v>
      </c>
      <c r="Q685" s="32"/>
      <c r="R685" s="90" t="n">
        <f aca="false">合約與計費!$D$4</f>
        <v>0.296</v>
      </c>
      <c r="S685" s="91" t="n">
        <f aca="false">ROUND(P685*R685,0)</f>
        <v>1</v>
      </c>
      <c r="T685" s="92"/>
      <c r="U685" s="32" t="n">
        <v>107</v>
      </c>
      <c r="V685" s="32" t="n">
        <v>120</v>
      </c>
      <c r="W685" s="32" t="n">
        <v>13</v>
      </c>
      <c r="X685" s="32" t="n">
        <v>13</v>
      </c>
      <c r="Y685" s="32"/>
      <c r="Z685" s="93" t="n">
        <f aca="false">合約與計費!$E$4</f>
        <v>2.8</v>
      </c>
      <c r="AA685" s="94" t="n">
        <f aca="false">ROUND(X685*Z685,0)</f>
        <v>36</v>
      </c>
      <c r="AB685" s="95"/>
      <c r="AC685" s="96"/>
      <c r="AD685" s="42"/>
      <c r="AE685" s="43"/>
    </row>
    <row r="686" customFormat="false" ht="16.5" hidden="false" customHeight="true" outlineLevel="0" collapsed="false">
      <c r="A686" s="111" t="n">
        <f aca="false">ROW(A683)</f>
        <v>683</v>
      </c>
      <c r="B686" s="111" t="s">
        <v>462</v>
      </c>
      <c r="C686" s="114" t="n">
        <v>1</v>
      </c>
      <c r="D686" s="85"/>
      <c r="E686" s="112" t="s">
        <v>1981</v>
      </c>
      <c r="F686" s="113" t="s">
        <v>1979</v>
      </c>
      <c r="G686" s="114" t="s">
        <v>1883</v>
      </c>
      <c r="H686" s="114" t="s">
        <v>1884</v>
      </c>
      <c r="I686" s="173" t="s">
        <v>266</v>
      </c>
      <c r="J686" s="112" t="s">
        <v>464</v>
      </c>
      <c r="K686" s="115" t="s">
        <v>1982</v>
      </c>
      <c r="L686" s="116" t="n">
        <v>45770</v>
      </c>
      <c r="M686" s="114" t="n">
        <v>1385</v>
      </c>
      <c r="N686" s="114" t="n">
        <v>1595</v>
      </c>
      <c r="O686" s="114" t="n">
        <v>210</v>
      </c>
      <c r="P686" s="114" t="n">
        <v>204</v>
      </c>
      <c r="Q686" s="114" t="n">
        <f aca="false">ROUND(SUM(P685:P686),2)</f>
        <v>208</v>
      </c>
      <c r="R686" s="117" t="n">
        <f aca="false">合約與計費!$D$4</f>
        <v>0.296</v>
      </c>
      <c r="S686" s="118" t="n">
        <f aca="false">ROUND(P686*R686,0)</f>
        <v>60</v>
      </c>
      <c r="T686" s="119" t="n">
        <f aca="false">ROUND(SUM(S685:S686),2)</f>
        <v>61</v>
      </c>
      <c r="U686" s="114"/>
      <c r="V686" s="114"/>
      <c r="W686" s="120"/>
      <c r="X686" s="114"/>
      <c r="Y686" s="114" t="n">
        <f aca="false">ROUND(SUM(X685:X686),2)</f>
        <v>13</v>
      </c>
      <c r="Z686" s="121"/>
      <c r="AA686" s="122"/>
      <c r="AB686" s="123" t="n">
        <f aca="false">ROUND(SUM(AA685:AA686),2)</f>
        <v>36</v>
      </c>
      <c r="AC686" s="124"/>
      <c r="AD686" s="42"/>
      <c r="AE686" s="43"/>
    </row>
    <row r="687" customFormat="false" ht="16.5" hidden="false" customHeight="true" outlineLevel="0" collapsed="false">
      <c r="A687" s="84" t="n">
        <f aca="false">ROW(A684)</f>
        <v>684</v>
      </c>
      <c r="B687" s="84" t="s">
        <v>455</v>
      </c>
      <c r="C687" s="32" t="n">
        <v>1</v>
      </c>
      <c r="D687" s="85" t="n">
        <v>243</v>
      </c>
      <c r="E687" s="86" t="s">
        <v>1983</v>
      </c>
      <c r="F687" s="87" t="s">
        <v>1984</v>
      </c>
      <c r="G687" s="32" t="s">
        <v>1883</v>
      </c>
      <c r="H687" s="32" t="s">
        <v>1884</v>
      </c>
      <c r="I687" s="172" t="s">
        <v>243</v>
      </c>
      <c r="J687" s="86" t="s">
        <v>460</v>
      </c>
      <c r="K687" s="88" t="s">
        <v>1985</v>
      </c>
      <c r="L687" s="89" t="n">
        <v>45754</v>
      </c>
      <c r="M687" s="32" t="n">
        <v>1450</v>
      </c>
      <c r="N687" s="32" t="n">
        <v>1727</v>
      </c>
      <c r="O687" s="32" t="n">
        <v>277</v>
      </c>
      <c r="P687" s="32" t="n">
        <v>269</v>
      </c>
      <c r="Q687" s="32"/>
      <c r="R687" s="90" t="n">
        <f aca="false">合約與計費!$D$4</f>
        <v>0.296</v>
      </c>
      <c r="S687" s="91" t="n">
        <f aca="false">ROUND(P687*R687,0)</f>
        <v>80</v>
      </c>
      <c r="T687" s="92"/>
      <c r="U687" s="32" t="n">
        <v>98</v>
      </c>
      <c r="V687" s="32" t="n">
        <v>110</v>
      </c>
      <c r="W687" s="32" t="n">
        <v>12</v>
      </c>
      <c r="X687" s="32" t="n">
        <v>12</v>
      </c>
      <c r="Y687" s="32"/>
      <c r="Z687" s="93" t="n">
        <f aca="false">合約與計費!$E$4</f>
        <v>2.8</v>
      </c>
      <c r="AA687" s="94" t="n">
        <f aca="false">ROUND(X687*Z687,0)</f>
        <v>34</v>
      </c>
      <c r="AB687" s="95"/>
      <c r="AC687" s="96"/>
      <c r="AD687" s="42"/>
      <c r="AE687" s="43"/>
    </row>
    <row r="688" customFormat="false" ht="16.5" hidden="false" customHeight="true" outlineLevel="0" collapsed="false">
      <c r="A688" s="111" t="n">
        <f aca="false">ROW(A685)</f>
        <v>685</v>
      </c>
      <c r="B688" s="111" t="s">
        <v>462</v>
      </c>
      <c r="C688" s="114" t="n">
        <v>1</v>
      </c>
      <c r="D688" s="85"/>
      <c r="E688" s="112" t="s">
        <v>1986</v>
      </c>
      <c r="F688" s="113" t="s">
        <v>1984</v>
      </c>
      <c r="G688" s="114" t="s">
        <v>1883</v>
      </c>
      <c r="H688" s="114" t="s">
        <v>1884</v>
      </c>
      <c r="I688" s="173" t="s">
        <v>243</v>
      </c>
      <c r="J688" s="112" t="s">
        <v>464</v>
      </c>
      <c r="K688" s="115" t="s">
        <v>1987</v>
      </c>
      <c r="L688" s="116" t="n">
        <v>45754</v>
      </c>
      <c r="M688" s="114" t="n">
        <v>1895</v>
      </c>
      <c r="N688" s="114" t="n">
        <v>2379</v>
      </c>
      <c r="O688" s="114" t="n">
        <v>484</v>
      </c>
      <c r="P688" s="114" t="n">
        <v>469</v>
      </c>
      <c r="Q688" s="114" t="n">
        <f aca="false">ROUND(SUM(P687:P688),2)</f>
        <v>738</v>
      </c>
      <c r="R688" s="117" t="n">
        <f aca="false">合約與計費!$D$4</f>
        <v>0.296</v>
      </c>
      <c r="S688" s="118" t="n">
        <f aca="false">ROUND(P688*R688,0)</f>
        <v>139</v>
      </c>
      <c r="T688" s="119" t="n">
        <f aca="false">ROUND(SUM(S687:S688),2)</f>
        <v>219</v>
      </c>
      <c r="U688" s="114"/>
      <c r="V688" s="114"/>
      <c r="W688" s="120"/>
      <c r="X688" s="114"/>
      <c r="Y688" s="114" t="n">
        <f aca="false">ROUND(SUM(X687:X688),2)</f>
        <v>12</v>
      </c>
      <c r="Z688" s="121"/>
      <c r="AA688" s="122"/>
      <c r="AB688" s="123" t="n">
        <f aca="false">ROUND(SUM(AA687:AA688),2)</f>
        <v>34</v>
      </c>
      <c r="AC688" s="124"/>
      <c r="AD688" s="42" t="n">
        <v>0.0685</v>
      </c>
      <c r="AE688" s="43" t="n">
        <v>1</v>
      </c>
    </row>
    <row r="689" customFormat="false" ht="16.5" hidden="false" customHeight="true" outlineLevel="0" collapsed="false">
      <c r="A689" s="84" t="n">
        <f aca="false">ROW(A686)</f>
        <v>686</v>
      </c>
      <c r="B689" s="84" t="s">
        <v>455</v>
      </c>
      <c r="C689" s="32" t="n">
        <v>1</v>
      </c>
      <c r="D689" s="85" t="n">
        <v>244</v>
      </c>
      <c r="E689" s="86" t="s">
        <v>1988</v>
      </c>
      <c r="F689" s="87" t="s">
        <v>1989</v>
      </c>
      <c r="G689" s="32" t="s">
        <v>1883</v>
      </c>
      <c r="H689" s="32" t="s">
        <v>1884</v>
      </c>
      <c r="I689" s="172" t="s">
        <v>265</v>
      </c>
      <c r="J689" s="86" t="s">
        <v>460</v>
      </c>
      <c r="K689" s="88" t="s">
        <v>1990</v>
      </c>
      <c r="L689" s="89" t="n">
        <v>45761</v>
      </c>
      <c r="M689" s="32" t="n">
        <v>337</v>
      </c>
      <c r="N689" s="32" t="n">
        <v>369</v>
      </c>
      <c r="O689" s="32" t="n">
        <v>32</v>
      </c>
      <c r="P689" s="32" t="n">
        <v>31</v>
      </c>
      <c r="Q689" s="32"/>
      <c r="R689" s="90" t="n">
        <f aca="false">合約與計費!$D$4</f>
        <v>0.296</v>
      </c>
      <c r="S689" s="91" t="n">
        <f aca="false">ROUND(P689*R689,0)</f>
        <v>9</v>
      </c>
      <c r="T689" s="92"/>
      <c r="U689" s="32" t="n">
        <v>501</v>
      </c>
      <c r="V689" s="32" t="n">
        <v>596</v>
      </c>
      <c r="W689" s="32" t="n">
        <v>95</v>
      </c>
      <c r="X689" s="32" t="n">
        <v>92</v>
      </c>
      <c r="Y689" s="32"/>
      <c r="Z689" s="93" t="n">
        <f aca="false">合約與計費!$E$4</f>
        <v>2.8</v>
      </c>
      <c r="AA689" s="94" t="n">
        <f aca="false">ROUND(X689*Z689,0)</f>
        <v>258</v>
      </c>
      <c r="AB689" s="95"/>
      <c r="AC689" s="96"/>
      <c r="AD689" s="42"/>
      <c r="AE689" s="43"/>
    </row>
    <row r="690" customFormat="false" ht="16.5" hidden="false" customHeight="true" outlineLevel="0" collapsed="false">
      <c r="A690" s="111" t="n">
        <f aca="false">ROW(A687)</f>
        <v>687</v>
      </c>
      <c r="B690" s="111" t="s">
        <v>462</v>
      </c>
      <c r="C690" s="114" t="n">
        <v>1</v>
      </c>
      <c r="D690" s="85"/>
      <c r="E690" s="112" t="s">
        <v>1991</v>
      </c>
      <c r="F690" s="113" t="s">
        <v>1989</v>
      </c>
      <c r="G690" s="114" t="s">
        <v>1883</v>
      </c>
      <c r="H690" s="114" t="s">
        <v>1884</v>
      </c>
      <c r="I690" s="173" t="s">
        <v>265</v>
      </c>
      <c r="J690" s="112" t="s">
        <v>464</v>
      </c>
      <c r="K690" s="115" t="s">
        <v>1992</v>
      </c>
      <c r="L690" s="116" t="n">
        <v>45761</v>
      </c>
      <c r="M690" s="114" t="n">
        <v>2818</v>
      </c>
      <c r="N690" s="114" t="n">
        <v>3386</v>
      </c>
      <c r="O690" s="114" t="n">
        <v>568</v>
      </c>
      <c r="P690" s="114" t="n">
        <v>551</v>
      </c>
      <c r="Q690" s="114" t="n">
        <f aca="false">ROUND(SUM(P689:P690),2)</f>
        <v>582</v>
      </c>
      <c r="R690" s="117" t="n">
        <f aca="false">合約與計費!$D$4</f>
        <v>0.296</v>
      </c>
      <c r="S690" s="118" t="n">
        <f aca="false">ROUND(P690*R690,0)</f>
        <v>163</v>
      </c>
      <c r="T690" s="119" t="n">
        <f aca="false">ROUND(SUM(S689:S690),2)</f>
        <v>172</v>
      </c>
      <c r="U690" s="114"/>
      <c r="V690" s="114"/>
      <c r="W690" s="120"/>
      <c r="X690" s="114"/>
      <c r="Y690" s="114" t="n">
        <f aca="false">ROUND(SUM(X689:X690),2)</f>
        <v>92</v>
      </c>
      <c r="Z690" s="121"/>
      <c r="AA690" s="122"/>
      <c r="AB690" s="123" t="n">
        <f aca="false">ROUND(SUM(AA689:AA690),2)</f>
        <v>258</v>
      </c>
      <c r="AC690" s="124"/>
      <c r="AD690" s="42" t="n">
        <v>0.0583</v>
      </c>
      <c r="AE690" s="43" t="n">
        <v>0.9</v>
      </c>
    </row>
    <row r="691" customFormat="false" ht="16.5" hidden="false" customHeight="true" outlineLevel="0" collapsed="false">
      <c r="A691" s="84" t="n">
        <f aca="false">ROW(A688)</f>
        <v>688</v>
      </c>
      <c r="B691" s="84" t="s">
        <v>455</v>
      </c>
      <c r="C691" s="32" t="n">
        <v>1</v>
      </c>
      <c r="D691" s="85" t="n">
        <v>72</v>
      </c>
      <c r="E691" s="86" t="s">
        <v>1993</v>
      </c>
      <c r="F691" s="87" t="s">
        <v>1994</v>
      </c>
      <c r="G691" s="32" t="s">
        <v>1883</v>
      </c>
      <c r="H691" s="32" t="s">
        <v>1995</v>
      </c>
      <c r="I691" s="32" t="s">
        <v>357</v>
      </c>
      <c r="J691" s="86" t="s">
        <v>460</v>
      </c>
      <c r="K691" s="88" t="s">
        <v>1996</v>
      </c>
      <c r="L691" s="89" t="n">
        <v>45777</v>
      </c>
      <c r="M691" s="32" t="n">
        <v>2167</v>
      </c>
      <c r="N691" s="32" t="n">
        <v>2509</v>
      </c>
      <c r="O691" s="32" t="n">
        <v>342</v>
      </c>
      <c r="P691" s="32" t="n">
        <v>332</v>
      </c>
      <c r="Q691" s="32"/>
      <c r="R691" s="90" t="n">
        <f aca="false">合約與計費!$D$4</f>
        <v>0.296</v>
      </c>
      <c r="S691" s="91" t="n">
        <f aca="false">ROUND(P691*R691,0)</f>
        <v>98</v>
      </c>
      <c r="T691" s="92"/>
      <c r="U691" s="32" t="n">
        <v>981</v>
      </c>
      <c r="V691" s="32" t="n">
        <v>1108</v>
      </c>
      <c r="W691" s="32" t="n">
        <v>127</v>
      </c>
      <c r="X691" s="32" t="n">
        <v>123</v>
      </c>
      <c r="Y691" s="32"/>
      <c r="Z691" s="93" t="n">
        <f aca="false">合約與計費!$E$4</f>
        <v>2.8</v>
      </c>
      <c r="AA691" s="94" t="n">
        <f aca="false">ROUND(X691*Z691,0)</f>
        <v>344</v>
      </c>
      <c r="AB691" s="95"/>
      <c r="AC691" s="96"/>
      <c r="AD691" s="42"/>
      <c r="AE691" s="43"/>
    </row>
    <row r="692" customFormat="false" ht="16.5" hidden="false" customHeight="true" outlineLevel="0" collapsed="false">
      <c r="A692" s="97" t="n">
        <f aca="false">ROW(A689)</f>
        <v>689</v>
      </c>
      <c r="B692" s="97" t="s">
        <v>462</v>
      </c>
      <c r="C692" s="100" t="n">
        <v>1</v>
      </c>
      <c r="D692" s="85"/>
      <c r="E692" s="98" t="s">
        <v>1997</v>
      </c>
      <c r="F692" s="99" t="s">
        <v>1994</v>
      </c>
      <c r="G692" s="100" t="s">
        <v>1883</v>
      </c>
      <c r="H692" s="100" t="s">
        <v>1995</v>
      </c>
      <c r="I692" s="100" t="s">
        <v>357</v>
      </c>
      <c r="J692" s="98" t="s">
        <v>471</v>
      </c>
      <c r="K692" s="101" t="s">
        <v>1998</v>
      </c>
      <c r="L692" s="102" t="n">
        <v>45777</v>
      </c>
      <c r="M692" s="100" t="n">
        <v>5315</v>
      </c>
      <c r="N692" s="100" t="n">
        <v>6221</v>
      </c>
      <c r="O692" s="100" t="n">
        <v>906</v>
      </c>
      <c r="P692" s="100" t="n">
        <v>879</v>
      </c>
      <c r="Q692" s="100"/>
      <c r="R692" s="103" t="n">
        <f aca="false">合約與計費!$D$4</f>
        <v>0.296</v>
      </c>
      <c r="S692" s="104" t="n">
        <f aca="false">ROUND(P692*R692,0)</f>
        <v>260</v>
      </c>
      <c r="T692" s="105"/>
      <c r="U692" s="100"/>
      <c r="V692" s="100"/>
      <c r="W692" s="106"/>
      <c r="X692" s="100"/>
      <c r="Y692" s="100"/>
      <c r="Z692" s="107"/>
      <c r="AA692" s="108"/>
      <c r="AB692" s="109"/>
      <c r="AC692" s="110"/>
      <c r="AD692" s="42" t="n">
        <v>0.1023</v>
      </c>
      <c r="AE692" s="43" t="n">
        <v>0.3</v>
      </c>
    </row>
    <row r="693" customFormat="false" ht="16.5" hidden="false" customHeight="true" outlineLevel="0" collapsed="false">
      <c r="A693" s="97" t="n">
        <f aca="false">ROW(A690)</f>
        <v>690</v>
      </c>
      <c r="B693" s="97" t="s">
        <v>466</v>
      </c>
      <c r="C693" s="100" t="n">
        <v>1</v>
      </c>
      <c r="D693" s="85"/>
      <c r="E693" s="98" t="s">
        <v>1999</v>
      </c>
      <c r="F693" s="99" t="s">
        <v>1994</v>
      </c>
      <c r="G693" s="100" t="s">
        <v>1883</v>
      </c>
      <c r="H693" s="100" t="s">
        <v>1995</v>
      </c>
      <c r="I693" s="100" t="s">
        <v>357</v>
      </c>
      <c r="J693" s="98" t="s">
        <v>471</v>
      </c>
      <c r="K693" s="101" t="s">
        <v>2000</v>
      </c>
      <c r="L693" s="102" t="n">
        <v>45777</v>
      </c>
      <c r="M693" s="100" t="n">
        <v>5357</v>
      </c>
      <c r="N693" s="100" t="n">
        <v>6446</v>
      </c>
      <c r="O693" s="100" t="n">
        <v>1089</v>
      </c>
      <c r="P693" s="100" t="n">
        <v>1056</v>
      </c>
      <c r="Q693" s="100"/>
      <c r="R693" s="103" t="n">
        <f aca="false">合約與計費!$D$4</f>
        <v>0.296</v>
      </c>
      <c r="S693" s="104" t="n">
        <f aca="false">ROUND(P693*R693,0)</f>
        <v>313</v>
      </c>
      <c r="T693" s="105"/>
      <c r="U693" s="100"/>
      <c r="V693" s="100"/>
      <c r="W693" s="106"/>
      <c r="X693" s="100"/>
      <c r="Y693" s="100"/>
      <c r="Z693" s="107"/>
      <c r="AA693" s="108"/>
      <c r="AB693" s="109"/>
      <c r="AC693" s="110"/>
      <c r="AD693" s="42" t="n">
        <v>0.0646</v>
      </c>
      <c r="AE693" s="43" t="n">
        <v>0.9</v>
      </c>
    </row>
    <row r="694" customFormat="false" ht="16.5" hidden="false" customHeight="true" outlineLevel="0" collapsed="false">
      <c r="A694" s="97" t="n">
        <f aca="false">ROW(A691)</f>
        <v>691</v>
      </c>
      <c r="B694" s="97" t="s">
        <v>469</v>
      </c>
      <c r="C694" s="100" t="n">
        <v>1</v>
      </c>
      <c r="D694" s="85"/>
      <c r="E694" s="98" t="s">
        <v>2001</v>
      </c>
      <c r="F694" s="99" t="s">
        <v>1994</v>
      </c>
      <c r="G694" s="100" t="s">
        <v>1883</v>
      </c>
      <c r="H694" s="100" t="s">
        <v>1995</v>
      </c>
      <c r="I694" s="100" t="s">
        <v>357</v>
      </c>
      <c r="J694" s="98" t="s">
        <v>471</v>
      </c>
      <c r="K694" s="101" t="s">
        <v>2002</v>
      </c>
      <c r="L694" s="102" t="n">
        <v>45777</v>
      </c>
      <c r="M694" s="100" t="n">
        <v>8396</v>
      </c>
      <c r="N694" s="100" t="n">
        <v>9899</v>
      </c>
      <c r="O694" s="100" t="n">
        <v>1503</v>
      </c>
      <c r="P694" s="100" t="n">
        <v>1458</v>
      </c>
      <c r="Q694" s="100"/>
      <c r="R694" s="103" t="n">
        <f aca="false">合約與計費!$D$4</f>
        <v>0.296</v>
      </c>
      <c r="S694" s="104" t="n">
        <f aca="false">ROUND(P694*R694,0)</f>
        <v>432</v>
      </c>
      <c r="T694" s="105"/>
      <c r="U694" s="100"/>
      <c r="V694" s="100"/>
      <c r="W694" s="106"/>
      <c r="X694" s="100"/>
      <c r="Y694" s="100"/>
      <c r="Z694" s="107"/>
      <c r="AA694" s="108"/>
      <c r="AB694" s="109"/>
      <c r="AC694" s="110"/>
      <c r="AD694" s="42" t="n">
        <v>0.1208</v>
      </c>
      <c r="AE694" s="43" t="n">
        <v>0.8</v>
      </c>
    </row>
    <row r="695" customFormat="false" ht="16.5" hidden="false" customHeight="true" outlineLevel="0" collapsed="false">
      <c r="A695" s="97" t="n">
        <f aca="false">ROW(A692)</f>
        <v>692</v>
      </c>
      <c r="B695" s="97" t="s">
        <v>473</v>
      </c>
      <c r="C695" s="100" t="n">
        <v>1</v>
      </c>
      <c r="D695" s="85"/>
      <c r="E695" s="98" t="s">
        <v>2003</v>
      </c>
      <c r="F695" s="99" t="s">
        <v>1994</v>
      </c>
      <c r="G695" s="100" t="s">
        <v>1883</v>
      </c>
      <c r="H695" s="100" t="s">
        <v>1995</v>
      </c>
      <c r="I695" s="100" t="s">
        <v>357</v>
      </c>
      <c r="J695" s="98" t="s">
        <v>471</v>
      </c>
      <c r="K695" s="101" t="s">
        <v>2004</v>
      </c>
      <c r="L695" s="102" t="n">
        <v>45777</v>
      </c>
      <c r="M695" s="100" t="n">
        <v>7979</v>
      </c>
      <c r="N695" s="100" t="n">
        <v>9627</v>
      </c>
      <c r="O695" s="100" t="n">
        <v>1648</v>
      </c>
      <c r="P695" s="100" t="n">
        <v>1599</v>
      </c>
      <c r="Q695" s="100"/>
      <c r="R695" s="103" t="n">
        <f aca="false">合約與計費!$D$4</f>
        <v>0.296</v>
      </c>
      <c r="S695" s="104" t="n">
        <f aca="false">ROUND(P695*R695,0)</f>
        <v>473</v>
      </c>
      <c r="T695" s="105"/>
      <c r="U695" s="100"/>
      <c r="V695" s="100"/>
      <c r="W695" s="106"/>
      <c r="X695" s="100"/>
      <c r="Y695" s="100"/>
      <c r="Z695" s="107"/>
      <c r="AA695" s="108"/>
      <c r="AB695" s="109"/>
      <c r="AC695" s="110"/>
      <c r="AD695" s="42" t="n">
        <v>0.0928</v>
      </c>
      <c r="AE695" s="43" t="n">
        <v>0.1</v>
      </c>
    </row>
    <row r="696" customFormat="false" ht="16.5" hidden="false" customHeight="true" outlineLevel="0" collapsed="false">
      <c r="A696" s="97" t="n">
        <f aca="false">ROW(A693)</f>
        <v>693</v>
      </c>
      <c r="B696" s="97" t="s">
        <v>476</v>
      </c>
      <c r="C696" s="100" t="n">
        <v>1</v>
      </c>
      <c r="D696" s="85"/>
      <c r="E696" s="98" t="s">
        <v>2005</v>
      </c>
      <c r="F696" s="99" t="s">
        <v>1994</v>
      </c>
      <c r="G696" s="100" t="s">
        <v>1883</v>
      </c>
      <c r="H696" s="100" t="s">
        <v>1995</v>
      </c>
      <c r="I696" s="100" t="s">
        <v>357</v>
      </c>
      <c r="J696" s="98" t="s">
        <v>471</v>
      </c>
      <c r="K696" s="101" t="s">
        <v>2006</v>
      </c>
      <c r="L696" s="102" t="n">
        <v>45777</v>
      </c>
      <c r="M696" s="100" t="n">
        <v>8094</v>
      </c>
      <c r="N696" s="100" t="n">
        <v>10002</v>
      </c>
      <c r="O696" s="100" t="n">
        <v>1908</v>
      </c>
      <c r="P696" s="100" t="n">
        <v>1851</v>
      </c>
      <c r="Q696" s="100"/>
      <c r="R696" s="103" t="n">
        <f aca="false">合約與計費!$D$4</f>
        <v>0.296</v>
      </c>
      <c r="S696" s="104" t="n">
        <f aca="false">ROUND(P696*R696,0)</f>
        <v>548</v>
      </c>
      <c r="T696" s="105"/>
      <c r="U696" s="100"/>
      <c r="V696" s="100"/>
      <c r="W696" s="106"/>
      <c r="X696" s="100"/>
      <c r="Y696" s="100"/>
      <c r="Z696" s="107"/>
      <c r="AA696" s="108"/>
      <c r="AB696" s="109"/>
      <c r="AC696" s="110"/>
      <c r="AD696" s="42" t="n">
        <v>0.1195</v>
      </c>
      <c r="AE696" s="43" t="n">
        <v>0.1</v>
      </c>
    </row>
    <row r="697" customFormat="false" ht="16.5" hidden="false" customHeight="true" outlineLevel="0" collapsed="false">
      <c r="A697" s="97" t="n">
        <f aca="false">ROW(A694)</f>
        <v>694</v>
      </c>
      <c r="B697" s="97" t="s">
        <v>479</v>
      </c>
      <c r="C697" s="100" t="n">
        <v>1</v>
      </c>
      <c r="D697" s="85"/>
      <c r="E697" s="98" t="s">
        <v>2007</v>
      </c>
      <c r="F697" s="99" t="s">
        <v>1994</v>
      </c>
      <c r="G697" s="100" t="s">
        <v>1883</v>
      </c>
      <c r="H697" s="100" t="s">
        <v>1995</v>
      </c>
      <c r="I697" s="100" t="s">
        <v>357</v>
      </c>
      <c r="J697" s="98" t="s">
        <v>471</v>
      </c>
      <c r="K697" s="101" t="s">
        <v>2008</v>
      </c>
      <c r="L697" s="102" t="n">
        <v>45777</v>
      </c>
      <c r="M697" s="100" t="n">
        <v>7679</v>
      </c>
      <c r="N697" s="100" t="n">
        <v>9011</v>
      </c>
      <c r="O697" s="100" t="n">
        <v>1332</v>
      </c>
      <c r="P697" s="100" t="n">
        <v>1292</v>
      </c>
      <c r="Q697" s="100"/>
      <c r="R697" s="103" t="n">
        <f aca="false">合約與計費!$D$4</f>
        <v>0.296</v>
      </c>
      <c r="S697" s="104" t="n">
        <f aca="false">ROUND(P697*R697,0)</f>
        <v>382</v>
      </c>
      <c r="T697" s="105"/>
      <c r="U697" s="100"/>
      <c r="V697" s="100"/>
      <c r="W697" s="106"/>
      <c r="X697" s="100"/>
      <c r="Y697" s="100"/>
      <c r="Z697" s="107"/>
      <c r="AA697" s="108"/>
      <c r="AB697" s="109"/>
      <c r="AC697" s="110"/>
      <c r="AD697" s="42" t="n">
        <v>0.0951</v>
      </c>
      <c r="AE697" s="43" t="n">
        <v>0.1</v>
      </c>
    </row>
    <row r="698" customFormat="false" ht="16.5" hidden="false" customHeight="true" outlineLevel="0" collapsed="false">
      <c r="A698" s="97" t="n">
        <f aca="false">ROW(A695)</f>
        <v>695</v>
      </c>
      <c r="B698" s="97" t="s">
        <v>482</v>
      </c>
      <c r="C698" s="100" t="n">
        <v>1</v>
      </c>
      <c r="D698" s="85"/>
      <c r="E698" s="98" t="s">
        <v>2009</v>
      </c>
      <c r="F698" s="99" t="s">
        <v>1994</v>
      </c>
      <c r="G698" s="100" t="s">
        <v>1883</v>
      </c>
      <c r="H698" s="100" t="s">
        <v>1995</v>
      </c>
      <c r="I698" s="100" t="s">
        <v>357</v>
      </c>
      <c r="J698" s="98" t="s">
        <v>471</v>
      </c>
      <c r="K698" s="101" t="s">
        <v>2010</v>
      </c>
      <c r="L698" s="102" t="n">
        <v>45777</v>
      </c>
      <c r="M698" s="100" t="n">
        <v>3116</v>
      </c>
      <c r="N698" s="100" t="n">
        <v>4106</v>
      </c>
      <c r="O698" s="100" t="n">
        <v>990</v>
      </c>
      <c r="P698" s="100" t="n">
        <v>960</v>
      </c>
      <c r="Q698" s="100"/>
      <c r="R698" s="103" t="n">
        <f aca="false">合約與計費!$D$4</f>
        <v>0.296</v>
      </c>
      <c r="S698" s="104" t="n">
        <f aca="false">ROUND(P698*R698,0)</f>
        <v>284</v>
      </c>
      <c r="T698" s="105"/>
      <c r="U698" s="100"/>
      <c r="V698" s="100"/>
      <c r="W698" s="106"/>
      <c r="X698" s="100"/>
      <c r="Y698" s="100"/>
      <c r="Z698" s="107"/>
      <c r="AA698" s="108"/>
      <c r="AB698" s="109"/>
      <c r="AC698" s="110"/>
      <c r="AD698" s="42" t="n">
        <v>0.0763</v>
      </c>
      <c r="AE698" s="43" t="n">
        <v>0.8</v>
      </c>
    </row>
    <row r="699" customFormat="false" ht="16.5" hidden="false" customHeight="true" outlineLevel="0" collapsed="false">
      <c r="A699" s="111" t="n">
        <f aca="false">ROW(A696)</f>
        <v>696</v>
      </c>
      <c r="B699" s="111" t="s">
        <v>485</v>
      </c>
      <c r="C699" s="114" t="n">
        <v>1</v>
      </c>
      <c r="D699" s="85"/>
      <c r="E699" s="112" t="s">
        <v>2011</v>
      </c>
      <c r="F699" s="113" t="s">
        <v>1994</v>
      </c>
      <c r="G699" s="114" t="s">
        <v>1883</v>
      </c>
      <c r="H699" s="114" t="s">
        <v>1995</v>
      </c>
      <c r="I699" s="114" t="s">
        <v>357</v>
      </c>
      <c r="J699" s="112" t="s">
        <v>471</v>
      </c>
      <c r="K699" s="115" t="s">
        <v>2012</v>
      </c>
      <c r="L699" s="116" t="n">
        <v>45777</v>
      </c>
      <c r="M699" s="114" t="n">
        <v>6340</v>
      </c>
      <c r="N699" s="114" t="n">
        <v>7488</v>
      </c>
      <c r="O699" s="114" t="n">
        <v>1148</v>
      </c>
      <c r="P699" s="114" t="n">
        <v>1114</v>
      </c>
      <c r="Q699" s="114" t="n">
        <f aca="false">ROUND(SUM(P691:P699),2)</f>
        <v>10541</v>
      </c>
      <c r="R699" s="117" t="n">
        <f aca="false">合約與計費!$D$4</f>
        <v>0.296</v>
      </c>
      <c r="S699" s="118" t="n">
        <f aca="false">ROUND(P699*R699,0)</f>
        <v>330</v>
      </c>
      <c r="T699" s="119" t="n">
        <f aca="false">ROUND(SUM(S691:S699),2)</f>
        <v>3120</v>
      </c>
      <c r="U699" s="114"/>
      <c r="V699" s="114"/>
      <c r="W699" s="120"/>
      <c r="X699" s="114"/>
      <c r="Y699" s="114" t="n">
        <f aca="false">ROUND(SUM(X691:X699),2)</f>
        <v>123</v>
      </c>
      <c r="Z699" s="121"/>
      <c r="AA699" s="122"/>
      <c r="AB699" s="123" t="n">
        <f aca="false">ROUND(SUM(AA691:AA699),2)</f>
        <v>344</v>
      </c>
      <c r="AC699" s="124"/>
      <c r="AD699" s="42" t="n">
        <v>0.098</v>
      </c>
      <c r="AE699" s="43" t="n">
        <v>0.2</v>
      </c>
    </row>
    <row r="700" customFormat="false" ht="16.5" hidden="false" customHeight="true" outlineLevel="0" collapsed="false">
      <c r="A700" s="84" t="n">
        <f aca="false">ROW(A697)</f>
        <v>697</v>
      </c>
      <c r="B700" s="84" t="s">
        <v>455</v>
      </c>
      <c r="C700" s="32" t="n">
        <v>1</v>
      </c>
      <c r="D700" s="85" t="n">
        <v>83</v>
      </c>
      <c r="E700" s="86" t="s">
        <v>2013</v>
      </c>
      <c r="F700" s="87" t="s">
        <v>2014</v>
      </c>
      <c r="G700" s="32" t="s">
        <v>1883</v>
      </c>
      <c r="H700" s="32" t="s">
        <v>1995</v>
      </c>
      <c r="I700" s="32" t="s">
        <v>59</v>
      </c>
      <c r="J700" s="86" t="s">
        <v>460</v>
      </c>
      <c r="K700" s="88" t="s">
        <v>2015</v>
      </c>
      <c r="L700" s="89" t="n">
        <v>45769</v>
      </c>
      <c r="M700" s="32" t="n">
        <v>700</v>
      </c>
      <c r="N700" s="32" t="n">
        <v>843</v>
      </c>
      <c r="O700" s="32" t="n">
        <v>143</v>
      </c>
      <c r="P700" s="32" t="n">
        <v>139</v>
      </c>
      <c r="Q700" s="32"/>
      <c r="R700" s="90" t="n">
        <f aca="false">合約與計費!$D$4</f>
        <v>0.296</v>
      </c>
      <c r="S700" s="91" t="n">
        <f aca="false">ROUND(P700*R700,0)</f>
        <v>41</v>
      </c>
      <c r="T700" s="92"/>
      <c r="U700" s="32" t="n">
        <v>541</v>
      </c>
      <c r="V700" s="32" t="n">
        <v>749</v>
      </c>
      <c r="W700" s="32" t="n">
        <v>208</v>
      </c>
      <c r="X700" s="32" t="n">
        <v>202</v>
      </c>
      <c r="Y700" s="32"/>
      <c r="Z700" s="93" t="n">
        <f aca="false">合約與計費!$E$4</f>
        <v>2.8</v>
      </c>
      <c r="AA700" s="94" t="n">
        <f aca="false">ROUND(X700*Z700,0)</f>
        <v>566</v>
      </c>
      <c r="AB700" s="95"/>
      <c r="AC700" s="96"/>
      <c r="AD700" s="42"/>
      <c r="AE700" s="43"/>
    </row>
    <row r="701" customFormat="false" ht="16.5" hidden="false" customHeight="true" outlineLevel="0" collapsed="false">
      <c r="A701" s="97" t="n">
        <f aca="false">ROW(A698)</f>
        <v>698</v>
      </c>
      <c r="B701" s="97" t="s">
        <v>462</v>
      </c>
      <c r="C701" s="100" t="n">
        <v>1</v>
      </c>
      <c r="D701" s="85"/>
      <c r="E701" s="98" t="s">
        <v>2016</v>
      </c>
      <c r="F701" s="99" t="s">
        <v>2014</v>
      </c>
      <c r="G701" s="100" t="s">
        <v>1883</v>
      </c>
      <c r="H701" s="100" t="s">
        <v>1995</v>
      </c>
      <c r="I701" s="100" t="s">
        <v>59</v>
      </c>
      <c r="J701" s="98" t="s">
        <v>471</v>
      </c>
      <c r="K701" s="101" t="s">
        <v>2017</v>
      </c>
      <c r="L701" s="102" t="n">
        <v>45769</v>
      </c>
      <c r="M701" s="100" t="n">
        <v>6187</v>
      </c>
      <c r="N701" s="100" t="n">
        <v>7569</v>
      </c>
      <c r="O701" s="100" t="n">
        <v>1382</v>
      </c>
      <c r="P701" s="100" t="n">
        <v>1341</v>
      </c>
      <c r="Q701" s="100"/>
      <c r="R701" s="103" t="n">
        <f aca="false">合約與計費!$D$4</f>
        <v>0.296</v>
      </c>
      <c r="S701" s="104" t="n">
        <f aca="false">ROUND(P701*R701,0)</f>
        <v>397</v>
      </c>
      <c r="T701" s="105"/>
      <c r="U701" s="100"/>
      <c r="V701" s="100"/>
      <c r="W701" s="106"/>
      <c r="X701" s="100"/>
      <c r="Y701" s="100"/>
      <c r="Z701" s="107"/>
      <c r="AA701" s="108"/>
      <c r="AB701" s="109"/>
      <c r="AC701" s="110"/>
      <c r="AD701" s="42"/>
      <c r="AE701" s="43"/>
    </row>
    <row r="702" customFormat="false" ht="16.5" hidden="false" customHeight="true" outlineLevel="0" collapsed="false">
      <c r="A702" s="97" t="n">
        <f aca="false">ROW(A699)</f>
        <v>699</v>
      </c>
      <c r="B702" s="97" t="s">
        <v>466</v>
      </c>
      <c r="C702" s="100" t="n">
        <v>1</v>
      </c>
      <c r="D702" s="85"/>
      <c r="E702" s="98" t="s">
        <v>2018</v>
      </c>
      <c r="F702" s="99" t="s">
        <v>2014</v>
      </c>
      <c r="G702" s="100" t="s">
        <v>1883</v>
      </c>
      <c r="H702" s="100" t="s">
        <v>1995</v>
      </c>
      <c r="I702" s="100" t="s">
        <v>59</v>
      </c>
      <c r="J702" s="98" t="s">
        <v>471</v>
      </c>
      <c r="K702" s="101" t="s">
        <v>2019</v>
      </c>
      <c r="L702" s="102" t="n">
        <v>45769</v>
      </c>
      <c r="M702" s="100" t="n">
        <v>7143</v>
      </c>
      <c r="N702" s="100" t="n">
        <v>8624</v>
      </c>
      <c r="O702" s="100" t="n">
        <v>1481</v>
      </c>
      <c r="P702" s="100" t="n">
        <v>1437</v>
      </c>
      <c r="Q702" s="100"/>
      <c r="R702" s="103" t="n">
        <f aca="false">合約與計費!$D$4</f>
        <v>0.296</v>
      </c>
      <c r="S702" s="104" t="n">
        <f aca="false">ROUND(P702*R702,0)</f>
        <v>425</v>
      </c>
      <c r="T702" s="105"/>
      <c r="U702" s="100"/>
      <c r="V702" s="100"/>
      <c r="W702" s="106"/>
      <c r="X702" s="100"/>
      <c r="Y702" s="100"/>
      <c r="Z702" s="107"/>
      <c r="AA702" s="108"/>
      <c r="AB702" s="109"/>
      <c r="AC702" s="110"/>
      <c r="AD702" s="42"/>
      <c r="AE702" s="43"/>
    </row>
    <row r="703" customFormat="false" ht="16.5" hidden="false" customHeight="true" outlineLevel="0" collapsed="false">
      <c r="A703" s="111" t="n">
        <f aca="false">ROW(A700)</f>
        <v>700</v>
      </c>
      <c r="B703" s="111" t="s">
        <v>469</v>
      </c>
      <c r="C703" s="114" t="n">
        <v>1</v>
      </c>
      <c r="D703" s="85"/>
      <c r="E703" s="112" t="s">
        <v>2020</v>
      </c>
      <c r="F703" s="113" t="s">
        <v>2014</v>
      </c>
      <c r="G703" s="114" t="s">
        <v>1883</v>
      </c>
      <c r="H703" s="114" t="s">
        <v>1995</v>
      </c>
      <c r="I703" s="114" t="s">
        <v>59</v>
      </c>
      <c r="J703" s="112" t="s">
        <v>471</v>
      </c>
      <c r="K703" s="115" t="s">
        <v>2021</v>
      </c>
      <c r="L703" s="116" t="n">
        <v>45769</v>
      </c>
      <c r="M703" s="114" t="n">
        <v>5323</v>
      </c>
      <c r="N703" s="114" t="n">
        <v>6657</v>
      </c>
      <c r="O703" s="114" t="n">
        <v>1334</v>
      </c>
      <c r="P703" s="114" t="n">
        <v>1294</v>
      </c>
      <c r="Q703" s="114" t="n">
        <f aca="false">ROUND(SUM(P700:P703),2)</f>
        <v>4211</v>
      </c>
      <c r="R703" s="117" t="n">
        <f aca="false">合約與計費!$D$4</f>
        <v>0.296</v>
      </c>
      <c r="S703" s="118" t="n">
        <f aca="false">ROUND(P703*R703,0)</f>
        <v>383</v>
      </c>
      <c r="T703" s="119" t="n">
        <f aca="false">ROUND(SUM(S700:S703),2)</f>
        <v>1246</v>
      </c>
      <c r="U703" s="114"/>
      <c r="V703" s="114"/>
      <c r="W703" s="120"/>
      <c r="X703" s="114"/>
      <c r="Y703" s="114" t="n">
        <f aca="false">ROUND(SUM(X700:X703),2)</f>
        <v>202</v>
      </c>
      <c r="Z703" s="121"/>
      <c r="AA703" s="122"/>
      <c r="AB703" s="123" t="n">
        <f aca="false">ROUND(SUM(AA700:AA703),2)</f>
        <v>566</v>
      </c>
      <c r="AC703" s="124"/>
      <c r="AD703" s="42"/>
      <c r="AE703" s="43"/>
    </row>
    <row r="704" customFormat="false" ht="16.5" hidden="false" customHeight="true" outlineLevel="0" collapsed="false">
      <c r="A704" s="84" t="n">
        <f aca="false">ROW(A701)</f>
        <v>701</v>
      </c>
      <c r="B704" s="84" t="s">
        <v>455</v>
      </c>
      <c r="C704" s="32" t="n">
        <v>1</v>
      </c>
      <c r="D704" s="85" t="n">
        <v>84</v>
      </c>
      <c r="E704" s="86" t="s">
        <v>2022</v>
      </c>
      <c r="F704" s="87" t="s">
        <v>2023</v>
      </c>
      <c r="G704" s="32" t="s">
        <v>1883</v>
      </c>
      <c r="H704" s="32" t="s">
        <v>1995</v>
      </c>
      <c r="I704" s="32" t="s">
        <v>403</v>
      </c>
      <c r="J704" s="86" t="s">
        <v>460</v>
      </c>
      <c r="K704" s="88" t="s">
        <v>2024</v>
      </c>
      <c r="L704" s="89" t="n">
        <v>45764</v>
      </c>
      <c r="M704" s="32" t="n">
        <v>662</v>
      </c>
      <c r="N704" s="32" t="n">
        <v>821</v>
      </c>
      <c r="O704" s="32" t="n">
        <v>159</v>
      </c>
      <c r="P704" s="32" t="n">
        <v>154</v>
      </c>
      <c r="Q704" s="32"/>
      <c r="R704" s="90" t="n">
        <f aca="false">合約與計費!$D$4</f>
        <v>0.296</v>
      </c>
      <c r="S704" s="91" t="n">
        <f aca="false">ROUND(P704*R704,0)</f>
        <v>46</v>
      </c>
      <c r="T704" s="92"/>
      <c r="U704" s="32" t="n">
        <v>331</v>
      </c>
      <c r="V704" s="32" t="n">
        <v>380</v>
      </c>
      <c r="W704" s="32" t="n">
        <v>49</v>
      </c>
      <c r="X704" s="32" t="n">
        <v>48</v>
      </c>
      <c r="Y704" s="32"/>
      <c r="Z704" s="93" t="n">
        <f aca="false">合約與計費!$E$4</f>
        <v>2.8</v>
      </c>
      <c r="AA704" s="94" t="n">
        <f aca="false">ROUND(X704*Z704,0)</f>
        <v>134</v>
      </c>
      <c r="AB704" s="95"/>
      <c r="AC704" s="96"/>
      <c r="AD704" s="42"/>
      <c r="AE704" s="43"/>
    </row>
    <row r="705" customFormat="false" ht="16.5" hidden="false" customHeight="true" outlineLevel="0" collapsed="false">
      <c r="A705" s="97" t="n">
        <f aca="false">ROW(A702)</f>
        <v>702</v>
      </c>
      <c r="B705" s="97" t="s">
        <v>462</v>
      </c>
      <c r="C705" s="100" t="n">
        <v>1</v>
      </c>
      <c r="D705" s="85"/>
      <c r="E705" s="98" t="s">
        <v>2025</v>
      </c>
      <c r="F705" s="99" t="s">
        <v>2023</v>
      </c>
      <c r="G705" s="100" t="s">
        <v>1883</v>
      </c>
      <c r="H705" s="100" t="s">
        <v>1995</v>
      </c>
      <c r="I705" s="100" t="s">
        <v>403</v>
      </c>
      <c r="J705" s="98" t="s">
        <v>464</v>
      </c>
      <c r="K705" s="101" t="s">
        <v>2026</v>
      </c>
      <c r="L705" s="102" t="n">
        <v>45764</v>
      </c>
      <c r="M705" s="100" t="n">
        <v>547</v>
      </c>
      <c r="N705" s="100" t="n">
        <v>778</v>
      </c>
      <c r="O705" s="100" t="n">
        <v>231</v>
      </c>
      <c r="P705" s="100" t="n">
        <v>224</v>
      </c>
      <c r="Q705" s="100"/>
      <c r="R705" s="103" t="n">
        <f aca="false">合約與計費!$D$4</f>
        <v>0.296</v>
      </c>
      <c r="S705" s="104" t="n">
        <f aca="false">ROUND(P705*R705,0)</f>
        <v>66</v>
      </c>
      <c r="T705" s="105"/>
      <c r="U705" s="100"/>
      <c r="V705" s="100"/>
      <c r="W705" s="106"/>
      <c r="X705" s="100"/>
      <c r="Y705" s="100"/>
      <c r="Z705" s="107"/>
      <c r="AA705" s="108"/>
      <c r="AB705" s="109"/>
      <c r="AC705" s="110"/>
      <c r="AD705" s="42" t="n">
        <v>0.0623</v>
      </c>
      <c r="AE705" s="43" t="n">
        <v>0.7</v>
      </c>
    </row>
    <row r="706" customFormat="false" ht="16.5" hidden="false" customHeight="true" outlineLevel="0" collapsed="false">
      <c r="A706" s="97" t="n">
        <f aca="false">ROW(A703)</f>
        <v>703</v>
      </c>
      <c r="B706" s="97" t="s">
        <v>466</v>
      </c>
      <c r="C706" s="100" t="n">
        <v>1</v>
      </c>
      <c r="D706" s="85"/>
      <c r="E706" s="98" t="s">
        <v>2027</v>
      </c>
      <c r="F706" s="99" t="s">
        <v>2023</v>
      </c>
      <c r="G706" s="100" t="s">
        <v>1883</v>
      </c>
      <c r="H706" s="100" t="s">
        <v>1995</v>
      </c>
      <c r="I706" s="100" t="s">
        <v>403</v>
      </c>
      <c r="J706" s="98" t="s">
        <v>471</v>
      </c>
      <c r="K706" s="101" t="s">
        <v>2028</v>
      </c>
      <c r="L706" s="102" t="n">
        <v>45764</v>
      </c>
      <c r="M706" s="100" t="n">
        <v>1862</v>
      </c>
      <c r="N706" s="100" t="n">
        <v>2298</v>
      </c>
      <c r="O706" s="100" t="n">
        <v>436</v>
      </c>
      <c r="P706" s="100" t="n">
        <v>423</v>
      </c>
      <c r="Q706" s="100"/>
      <c r="R706" s="103" t="n">
        <f aca="false">合約與計費!$D$4</f>
        <v>0.296</v>
      </c>
      <c r="S706" s="104" t="n">
        <f aca="false">ROUND(P706*R706,0)</f>
        <v>125</v>
      </c>
      <c r="T706" s="105"/>
      <c r="U706" s="100"/>
      <c r="V706" s="100"/>
      <c r="W706" s="106"/>
      <c r="X706" s="100"/>
      <c r="Y706" s="100"/>
      <c r="Z706" s="107"/>
      <c r="AA706" s="108"/>
      <c r="AB706" s="109"/>
      <c r="AC706" s="110"/>
      <c r="AD706" s="42" t="n">
        <v>0.0455</v>
      </c>
      <c r="AE706" s="43" t="n">
        <v>0.9</v>
      </c>
    </row>
    <row r="707" customFormat="false" ht="16.5" hidden="false" customHeight="true" outlineLevel="0" collapsed="false">
      <c r="A707" s="97" t="n">
        <f aca="false">ROW(A704)</f>
        <v>704</v>
      </c>
      <c r="B707" s="97" t="s">
        <v>469</v>
      </c>
      <c r="C707" s="100" t="n">
        <v>1</v>
      </c>
      <c r="D707" s="85"/>
      <c r="E707" s="98" t="s">
        <v>2029</v>
      </c>
      <c r="F707" s="99" t="s">
        <v>2023</v>
      </c>
      <c r="G707" s="100" t="s">
        <v>1883</v>
      </c>
      <c r="H707" s="100" t="s">
        <v>1995</v>
      </c>
      <c r="I707" s="100" t="s">
        <v>403</v>
      </c>
      <c r="J707" s="98" t="s">
        <v>471</v>
      </c>
      <c r="K707" s="101" t="s">
        <v>2030</v>
      </c>
      <c r="L707" s="102" t="n">
        <v>45764</v>
      </c>
      <c r="M707" s="100" t="n">
        <v>8747</v>
      </c>
      <c r="N707" s="100" t="n">
        <v>10871</v>
      </c>
      <c r="O707" s="100" t="n">
        <v>2124</v>
      </c>
      <c r="P707" s="100" t="n">
        <v>2060</v>
      </c>
      <c r="Q707" s="100"/>
      <c r="R707" s="103" t="n">
        <f aca="false">合約與計費!$D$4</f>
        <v>0.296</v>
      </c>
      <c r="S707" s="104" t="n">
        <f aca="false">ROUND(P707*R707,0)</f>
        <v>610</v>
      </c>
      <c r="T707" s="105"/>
      <c r="U707" s="100"/>
      <c r="V707" s="100"/>
      <c r="W707" s="106"/>
      <c r="X707" s="100"/>
      <c r="Y707" s="100"/>
      <c r="Z707" s="107"/>
      <c r="AA707" s="108"/>
      <c r="AB707" s="109"/>
      <c r="AC707" s="110"/>
      <c r="AD707" s="42" t="n">
        <v>0.0837</v>
      </c>
      <c r="AE707" s="43" t="n">
        <v>0.2</v>
      </c>
    </row>
    <row r="708" customFormat="false" ht="16.5" hidden="false" customHeight="true" outlineLevel="0" collapsed="false">
      <c r="A708" s="111" t="n">
        <f aca="false">ROW(A705)</f>
        <v>705</v>
      </c>
      <c r="B708" s="111" t="s">
        <v>473</v>
      </c>
      <c r="C708" s="114" t="n">
        <v>1</v>
      </c>
      <c r="D708" s="85"/>
      <c r="E708" s="112" t="s">
        <v>2031</v>
      </c>
      <c r="F708" s="113" t="s">
        <v>2023</v>
      </c>
      <c r="G708" s="114" t="s">
        <v>1883</v>
      </c>
      <c r="H708" s="114" t="s">
        <v>1995</v>
      </c>
      <c r="I708" s="114" t="s">
        <v>403</v>
      </c>
      <c r="J708" s="112" t="s">
        <v>471</v>
      </c>
      <c r="K708" s="115" t="s">
        <v>2032</v>
      </c>
      <c r="L708" s="116" t="n">
        <v>45764</v>
      </c>
      <c r="M708" s="114" t="n">
        <v>5753</v>
      </c>
      <c r="N708" s="114" t="n">
        <v>7505</v>
      </c>
      <c r="O708" s="114" t="n">
        <v>1752</v>
      </c>
      <c r="P708" s="114" t="n">
        <v>1699</v>
      </c>
      <c r="Q708" s="114" t="n">
        <f aca="false">ROUND(SUM(P704:P708),2)</f>
        <v>4560</v>
      </c>
      <c r="R708" s="117" t="n">
        <f aca="false">合約與計費!$D$4</f>
        <v>0.296</v>
      </c>
      <c r="S708" s="118" t="n">
        <f aca="false">ROUND(P708*R708,0)</f>
        <v>503</v>
      </c>
      <c r="T708" s="119" t="n">
        <f aca="false">ROUND(SUM(S704:S708),2)</f>
        <v>1350</v>
      </c>
      <c r="U708" s="114"/>
      <c r="V708" s="114"/>
      <c r="W708" s="120"/>
      <c r="X708" s="114"/>
      <c r="Y708" s="114" t="n">
        <f aca="false">ROUND(SUM(X704:X708),2)</f>
        <v>48</v>
      </c>
      <c r="Z708" s="121"/>
      <c r="AA708" s="122"/>
      <c r="AB708" s="123" t="n">
        <f aca="false">ROUND(SUM(AA704:AA708),2)</f>
        <v>134</v>
      </c>
      <c r="AC708" s="124"/>
      <c r="AD708" s="42" t="n">
        <v>0.0875</v>
      </c>
      <c r="AE708" s="43" t="n">
        <v>0.6</v>
      </c>
    </row>
    <row r="709" customFormat="false" ht="16.5" hidden="false" customHeight="true" outlineLevel="0" collapsed="false">
      <c r="A709" s="84" t="n">
        <f aca="false">ROW(A706)</f>
        <v>706</v>
      </c>
      <c r="B709" s="84" t="s">
        <v>455</v>
      </c>
      <c r="C709" s="32" t="n">
        <v>1</v>
      </c>
      <c r="D709" s="85" t="n">
        <v>85</v>
      </c>
      <c r="E709" s="86" t="s">
        <v>2033</v>
      </c>
      <c r="F709" s="87" t="s">
        <v>2034</v>
      </c>
      <c r="G709" s="32" t="s">
        <v>1883</v>
      </c>
      <c r="H709" s="32" t="s">
        <v>1995</v>
      </c>
      <c r="I709" s="32" t="s">
        <v>77</v>
      </c>
      <c r="J709" s="86" t="s">
        <v>460</v>
      </c>
      <c r="K709" s="88" t="s">
        <v>2035</v>
      </c>
      <c r="L709" s="89" t="n">
        <v>45762</v>
      </c>
      <c r="M709" s="32" t="n">
        <v>406</v>
      </c>
      <c r="N709" s="32" t="n">
        <v>470</v>
      </c>
      <c r="O709" s="32" t="n">
        <v>64</v>
      </c>
      <c r="P709" s="32" t="n">
        <v>62</v>
      </c>
      <c r="Q709" s="32"/>
      <c r="R709" s="90" t="n">
        <f aca="false">合約與計費!$D$4</f>
        <v>0.296</v>
      </c>
      <c r="S709" s="91" t="n">
        <f aca="false">ROUND(P709*R709,0)</f>
        <v>18</v>
      </c>
      <c r="T709" s="92"/>
      <c r="U709" s="32" t="n">
        <v>181</v>
      </c>
      <c r="V709" s="32" t="n">
        <v>201</v>
      </c>
      <c r="W709" s="32" t="n">
        <v>20</v>
      </c>
      <c r="X709" s="32" t="n">
        <v>19</v>
      </c>
      <c r="Y709" s="32"/>
      <c r="Z709" s="93" t="n">
        <f aca="false">合約與計費!$E$4</f>
        <v>2.8</v>
      </c>
      <c r="AA709" s="94" t="n">
        <f aca="false">ROUND(X709*Z709,0)</f>
        <v>53</v>
      </c>
      <c r="AB709" s="95"/>
      <c r="AC709" s="96"/>
      <c r="AD709" s="42"/>
      <c r="AE709" s="43"/>
    </row>
    <row r="710" customFormat="false" ht="16.5" hidden="false" customHeight="true" outlineLevel="0" collapsed="false">
      <c r="A710" s="97" t="n">
        <f aca="false">ROW(A707)</f>
        <v>707</v>
      </c>
      <c r="B710" s="97" t="s">
        <v>462</v>
      </c>
      <c r="C710" s="100" t="n">
        <v>1</v>
      </c>
      <c r="D710" s="85"/>
      <c r="E710" s="98" t="s">
        <v>2036</v>
      </c>
      <c r="F710" s="99" t="s">
        <v>2034</v>
      </c>
      <c r="G710" s="100" t="s">
        <v>1883</v>
      </c>
      <c r="H710" s="100" t="s">
        <v>1995</v>
      </c>
      <c r="I710" s="100" t="s">
        <v>77</v>
      </c>
      <c r="J710" s="98" t="s">
        <v>464</v>
      </c>
      <c r="K710" s="101" t="s">
        <v>2037</v>
      </c>
      <c r="L710" s="102" t="n">
        <v>45762</v>
      </c>
      <c r="M710" s="100" t="n">
        <v>444</v>
      </c>
      <c r="N710" s="100" t="n">
        <v>569</v>
      </c>
      <c r="O710" s="100" t="n">
        <v>125</v>
      </c>
      <c r="P710" s="100" t="n">
        <v>121</v>
      </c>
      <c r="Q710" s="100"/>
      <c r="R710" s="103" t="n">
        <f aca="false">合約與計費!$D$4</f>
        <v>0.296</v>
      </c>
      <c r="S710" s="104" t="n">
        <f aca="false">ROUND(P710*R710,0)</f>
        <v>36</v>
      </c>
      <c r="T710" s="105"/>
      <c r="U710" s="100"/>
      <c r="V710" s="100"/>
      <c r="W710" s="106"/>
      <c r="X710" s="100"/>
      <c r="Y710" s="100"/>
      <c r="Z710" s="107"/>
      <c r="AA710" s="108"/>
      <c r="AB710" s="109"/>
      <c r="AC710" s="110"/>
      <c r="AD710" s="42" t="n">
        <v>0.0459</v>
      </c>
      <c r="AE710" s="43" t="n">
        <v>0.8</v>
      </c>
    </row>
    <row r="711" customFormat="false" ht="16.5" hidden="false" customHeight="true" outlineLevel="0" collapsed="false">
      <c r="A711" s="97" t="n">
        <f aca="false">ROW(A708)</f>
        <v>708</v>
      </c>
      <c r="B711" s="97" t="s">
        <v>466</v>
      </c>
      <c r="C711" s="100" t="n">
        <v>1</v>
      </c>
      <c r="D711" s="85"/>
      <c r="E711" s="98" t="s">
        <v>2038</v>
      </c>
      <c r="F711" s="99" t="s">
        <v>2034</v>
      </c>
      <c r="G711" s="100" t="s">
        <v>1883</v>
      </c>
      <c r="H711" s="100" t="s">
        <v>1995</v>
      </c>
      <c r="I711" s="100" t="s">
        <v>77</v>
      </c>
      <c r="J711" s="98" t="s">
        <v>471</v>
      </c>
      <c r="K711" s="101" t="s">
        <v>2039</v>
      </c>
      <c r="L711" s="102" t="n">
        <v>45762</v>
      </c>
      <c r="M711" s="100" t="n">
        <v>15632</v>
      </c>
      <c r="N711" s="100" t="n">
        <v>19076</v>
      </c>
      <c r="O711" s="100" t="n">
        <v>3444</v>
      </c>
      <c r="P711" s="100" t="n">
        <v>3341</v>
      </c>
      <c r="Q711" s="100"/>
      <c r="R711" s="103" t="n">
        <f aca="false">合約與計費!$D$4</f>
        <v>0.296</v>
      </c>
      <c r="S711" s="104" t="n">
        <f aca="false">ROUND(P711*R711,0)</f>
        <v>989</v>
      </c>
      <c r="T711" s="105"/>
      <c r="U711" s="100"/>
      <c r="V711" s="100"/>
      <c r="W711" s="106"/>
      <c r="X711" s="100"/>
      <c r="Y711" s="100"/>
      <c r="Z711" s="107"/>
      <c r="AA711" s="108"/>
      <c r="AB711" s="109"/>
      <c r="AC711" s="110"/>
      <c r="AD711" s="42" t="n">
        <v>0.0963</v>
      </c>
      <c r="AE711" s="43" t="n">
        <v>1</v>
      </c>
    </row>
    <row r="712" customFormat="false" ht="16.5" hidden="false" customHeight="true" outlineLevel="0" collapsed="false">
      <c r="A712" s="97" t="n">
        <f aca="false">ROW(A709)</f>
        <v>709</v>
      </c>
      <c r="B712" s="97" t="s">
        <v>469</v>
      </c>
      <c r="C712" s="100" t="n">
        <v>1</v>
      </c>
      <c r="D712" s="85"/>
      <c r="E712" s="98" t="s">
        <v>2040</v>
      </c>
      <c r="F712" s="99" t="s">
        <v>2034</v>
      </c>
      <c r="G712" s="100" t="s">
        <v>1883</v>
      </c>
      <c r="H712" s="100" t="s">
        <v>1995</v>
      </c>
      <c r="I712" s="100" t="s">
        <v>77</v>
      </c>
      <c r="J712" s="98" t="s">
        <v>471</v>
      </c>
      <c r="K712" s="101" t="s">
        <v>2041</v>
      </c>
      <c r="L712" s="102" t="n">
        <v>45762</v>
      </c>
      <c r="M712" s="100" t="n">
        <v>14867</v>
      </c>
      <c r="N712" s="100" t="n">
        <v>17776</v>
      </c>
      <c r="O712" s="100" t="n">
        <v>2909</v>
      </c>
      <c r="P712" s="100" t="n">
        <v>2822</v>
      </c>
      <c r="Q712" s="100"/>
      <c r="R712" s="103" t="n">
        <f aca="false">合約與計費!$D$4</f>
        <v>0.296</v>
      </c>
      <c r="S712" s="104" t="n">
        <f aca="false">ROUND(P712*R712,0)</f>
        <v>835</v>
      </c>
      <c r="T712" s="105"/>
      <c r="U712" s="100"/>
      <c r="V712" s="100"/>
      <c r="W712" s="106"/>
      <c r="X712" s="100"/>
      <c r="Y712" s="100"/>
      <c r="Z712" s="107"/>
      <c r="AA712" s="108"/>
      <c r="AB712" s="109"/>
      <c r="AC712" s="110"/>
      <c r="AD712" s="42" t="n">
        <v>0.1001</v>
      </c>
      <c r="AE712" s="43" t="n">
        <v>0.1</v>
      </c>
    </row>
    <row r="713" customFormat="false" ht="16.5" hidden="false" customHeight="true" outlineLevel="0" collapsed="false">
      <c r="A713" s="111" t="n">
        <f aca="false">ROW(A710)</f>
        <v>710</v>
      </c>
      <c r="B713" s="111" t="s">
        <v>473</v>
      </c>
      <c r="C713" s="114" t="n">
        <v>1</v>
      </c>
      <c r="D713" s="85"/>
      <c r="E713" s="112" t="s">
        <v>2042</v>
      </c>
      <c r="F713" s="113" t="s">
        <v>2034</v>
      </c>
      <c r="G713" s="114" t="s">
        <v>1883</v>
      </c>
      <c r="H713" s="114" t="s">
        <v>1995</v>
      </c>
      <c r="I713" s="114" t="s">
        <v>77</v>
      </c>
      <c r="J713" s="112" t="s">
        <v>471</v>
      </c>
      <c r="K713" s="115" t="s">
        <v>2043</v>
      </c>
      <c r="L713" s="116" t="n">
        <v>45762</v>
      </c>
      <c r="M713" s="114" t="n">
        <v>3166</v>
      </c>
      <c r="N713" s="114" t="n">
        <v>3749</v>
      </c>
      <c r="O713" s="100" t="n">
        <v>583</v>
      </c>
      <c r="P713" s="100" t="n">
        <v>566</v>
      </c>
      <c r="Q713" s="100" t="n">
        <f aca="false">ROUND(SUM(P709:P713),2)</f>
        <v>6912</v>
      </c>
      <c r="R713" s="117" t="n">
        <f aca="false">合約與計費!$D$4</f>
        <v>0.296</v>
      </c>
      <c r="S713" s="118" t="n">
        <f aca="false">ROUND(P713*R713,0)</f>
        <v>168</v>
      </c>
      <c r="T713" s="105" t="n">
        <f aca="false">ROUND(SUM(S709:S713),2)</f>
        <v>2046</v>
      </c>
      <c r="U713" s="114"/>
      <c r="V713" s="114"/>
      <c r="W713" s="120"/>
      <c r="X713" s="114"/>
      <c r="Y713" s="100" t="n">
        <f aca="false">ROUND(SUM(X709:X713),2)</f>
        <v>19</v>
      </c>
      <c r="Z713" s="121"/>
      <c r="AA713" s="108"/>
      <c r="AB713" s="109" t="n">
        <f aca="false">ROUND(SUM(AA709:AA713),2)</f>
        <v>53</v>
      </c>
      <c r="AC713" s="124"/>
      <c r="AD713" s="42" t="n">
        <v>0.043</v>
      </c>
      <c r="AE713" s="43" t="n">
        <v>1</v>
      </c>
    </row>
    <row r="714" customFormat="false" ht="16.5" hidden="false" customHeight="true" outlineLevel="0" collapsed="false">
      <c r="A714" s="84" t="n">
        <f aca="false">ROW(A711)</f>
        <v>711</v>
      </c>
      <c r="B714" s="84" t="s">
        <v>455</v>
      </c>
      <c r="C714" s="32" t="n">
        <v>1</v>
      </c>
      <c r="D714" s="85" t="n">
        <v>138</v>
      </c>
      <c r="E714" s="86" t="s">
        <v>2044</v>
      </c>
      <c r="F714" s="87" t="s">
        <v>2045</v>
      </c>
      <c r="G714" s="32" t="s">
        <v>1883</v>
      </c>
      <c r="H714" s="32" t="s">
        <v>1995</v>
      </c>
      <c r="I714" s="32" t="s">
        <v>62</v>
      </c>
      <c r="J714" s="86" t="s">
        <v>460</v>
      </c>
      <c r="K714" s="88" t="s">
        <v>2046</v>
      </c>
      <c r="L714" s="89" t="n">
        <v>45763</v>
      </c>
      <c r="M714" s="32" t="n">
        <v>205</v>
      </c>
      <c r="N714" s="32" t="n">
        <v>331</v>
      </c>
      <c r="O714" s="32" t="n">
        <v>126</v>
      </c>
      <c r="P714" s="32" t="n">
        <v>122</v>
      </c>
      <c r="Q714" s="32"/>
      <c r="R714" s="90" t="n">
        <f aca="false">合約與計費!$D$4</f>
        <v>0.296</v>
      </c>
      <c r="S714" s="91" t="n">
        <f aca="false">ROUND(P714*R714,0)</f>
        <v>36</v>
      </c>
      <c r="T714" s="92"/>
      <c r="U714" s="32" t="n">
        <v>508</v>
      </c>
      <c r="V714" s="32" t="n">
        <v>606</v>
      </c>
      <c r="W714" s="32" t="n">
        <v>98</v>
      </c>
      <c r="X714" s="32" t="n">
        <v>95</v>
      </c>
      <c r="Y714" s="32"/>
      <c r="Z714" s="93" t="n">
        <f aca="false">合約與計費!$E$4</f>
        <v>2.8</v>
      </c>
      <c r="AA714" s="94" t="n">
        <f aca="false">ROUND(X714*Z714,0)</f>
        <v>266</v>
      </c>
      <c r="AB714" s="95"/>
      <c r="AC714" s="96"/>
      <c r="AD714" s="42"/>
      <c r="AE714" s="43"/>
    </row>
    <row r="715" customFormat="false" ht="16.5" hidden="false" customHeight="true" outlineLevel="0" collapsed="false">
      <c r="A715" s="97" t="n">
        <f aca="false">ROW(A712)</f>
        <v>712</v>
      </c>
      <c r="B715" s="97" t="s">
        <v>462</v>
      </c>
      <c r="C715" s="100" t="n">
        <v>1</v>
      </c>
      <c r="D715" s="85"/>
      <c r="E715" s="98" t="s">
        <v>2047</v>
      </c>
      <c r="F715" s="99" t="s">
        <v>2045</v>
      </c>
      <c r="G715" s="100" t="s">
        <v>1883</v>
      </c>
      <c r="H715" s="100" t="s">
        <v>1995</v>
      </c>
      <c r="I715" s="100" t="s">
        <v>62</v>
      </c>
      <c r="J715" s="98" t="s">
        <v>464</v>
      </c>
      <c r="K715" s="101" t="s">
        <v>2048</v>
      </c>
      <c r="L715" s="102" t="n">
        <v>45763</v>
      </c>
      <c r="M715" s="100" t="n">
        <v>1791</v>
      </c>
      <c r="N715" s="100" t="n">
        <v>3733</v>
      </c>
      <c r="O715" s="100" t="n">
        <v>1942</v>
      </c>
      <c r="P715" s="100" t="n">
        <v>1884</v>
      </c>
      <c r="Q715" s="100"/>
      <c r="R715" s="103" t="n">
        <f aca="false">合約與計費!$D$4</f>
        <v>0.296</v>
      </c>
      <c r="S715" s="104" t="n">
        <f aca="false">ROUND(P715*R715,0)</f>
        <v>558</v>
      </c>
      <c r="T715" s="105"/>
      <c r="U715" s="100"/>
      <c r="V715" s="100"/>
      <c r="W715" s="106"/>
      <c r="X715" s="100"/>
      <c r="Y715" s="100"/>
      <c r="Z715" s="107"/>
      <c r="AA715" s="108"/>
      <c r="AB715" s="109"/>
      <c r="AC715" s="110"/>
      <c r="AD715" s="42" t="n">
        <v>0.0973</v>
      </c>
      <c r="AE715" s="43" t="n">
        <v>0.8</v>
      </c>
    </row>
    <row r="716" customFormat="false" ht="16.5" hidden="false" customHeight="true" outlineLevel="0" collapsed="false">
      <c r="A716" s="97" t="n">
        <f aca="false">ROW(A713)</f>
        <v>713</v>
      </c>
      <c r="B716" s="97" t="s">
        <v>466</v>
      </c>
      <c r="C716" s="100" t="n">
        <v>1</v>
      </c>
      <c r="D716" s="85"/>
      <c r="E716" s="98" t="s">
        <v>2049</v>
      </c>
      <c r="F716" s="99" t="s">
        <v>2045</v>
      </c>
      <c r="G716" s="100" t="s">
        <v>1883</v>
      </c>
      <c r="H716" s="100" t="s">
        <v>1995</v>
      </c>
      <c r="I716" s="100" t="s">
        <v>62</v>
      </c>
      <c r="J716" s="98" t="s">
        <v>527</v>
      </c>
      <c r="K716" s="101" t="s">
        <v>1435</v>
      </c>
      <c r="L716" s="102" t="n">
        <v>45905</v>
      </c>
      <c r="M716" s="100" t="n">
        <v>951</v>
      </c>
      <c r="N716" s="100" t="n">
        <v>2466</v>
      </c>
      <c r="O716" s="100" t="n">
        <v>1515</v>
      </c>
      <c r="P716" s="100" t="n">
        <v>1470</v>
      </c>
      <c r="Q716" s="100"/>
      <c r="R716" s="103" t="n">
        <f aca="false">合約與計費!$D$4</f>
        <v>0.296</v>
      </c>
      <c r="S716" s="104" t="n">
        <f aca="false">ROUND(P716*R716,0)</f>
        <v>435</v>
      </c>
      <c r="T716" s="105"/>
      <c r="U716" s="100"/>
      <c r="V716" s="100"/>
      <c r="W716" s="106"/>
      <c r="X716" s="100"/>
      <c r="Y716" s="100"/>
      <c r="Z716" s="107"/>
      <c r="AA716" s="108"/>
      <c r="AB716" s="109"/>
      <c r="AC716" s="110" t="s">
        <v>2050</v>
      </c>
      <c r="AD716" s="42"/>
      <c r="AE716" s="43"/>
    </row>
    <row r="717" customFormat="false" ht="16.5" hidden="false" customHeight="true" outlineLevel="0" collapsed="false">
      <c r="A717" s="97" t="n">
        <f aca="false">ROW(A714)</f>
        <v>714</v>
      </c>
      <c r="B717" s="97" t="s">
        <v>469</v>
      </c>
      <c r="C717" s="100" t="n">
        <v>1</v>
      </c>
      <c r="D717" s="85"/>
      <c r="E717" s="98" t="s">
        <v>2051</v>
      </c>
      <c r="F717" s="99" t="s">
        <v>2045</v>
      </c>
      <c r="G717" s="100" t="s">
        <v>1883</v>
      </c>
      <c r="H717" s="100" t="s">
        <v>1995</v>
      </c>
      <c r="I717" s="100" t="s">
        <v>62</v>
      </c>
      <c r="J717" s="98" t="s">
        <v>527</v>
      </c>
      <c r="K717" s="101" t="s">
        <v>2052</v>
      </c>
      <c r="L717" s="102" t="n">
        <v>45763</v>
      </c>
      <c r="M717" s="100" t="n">
        <v>4000</v>
      </c>
      <c r="N717" s="100" t="n">
        <v>5340</v>
      </c>
      <c r="O717" s="100" t="n">
        <v>1340</v>
      </c>
      <c r="P717" s="100" t="n">
        <v>1300</v>
      </c>
      <c r="Q717" s="100"/>
      <c r="R717" s="103" t="n">
        <f aca="false">合約與計費!$D$4</f>
        <v>0.296</v>
      </c>
      <c r="S717" s="104" t="n">
        <f aca="false">ROUND(P717*R717,0)</f>
        <v>385</v>
      </c>
      <c r="T717" s="105"/>
      <c r="U717" s="100"/>
      <c r="V717" s="100"/>
      <c r="W717" s="106"/>
      <c r="X717" s="100"/>
      <c r="Y717" s="100"/>
      <c r="Z717" s="107"/>
      <c r="AA717" s="108"/>
      <c r="AB717" s="109"/>
      <c r="AC717" s="110"/>
      <c r="AD717" s="42"/>
      <c r="AE717" s="43"/>
    </row>
    <row r="718" customFormat="false" ht="16.5" hidden="false" customHeight="true" outlineLevel="0" collapsed="false">
      <c r="A718" s="97" t="n">
        <f aca="false">ROW(A715)</f>
        <v>715</v>
      </c>
      <c r="B718" s="97" t="s">
        <v>473</v>
      </c>
      <c r="C718" s="100" t="n">
        <v>1</v>
      </c>
      <c r="D718" s="85"/>
      <c r="E718" s="98" t="s">
        <v>2053</v>
      </c>
      <c r="F718" s="99" t="s">
        <v>2045</v>
      </c>
      <c r="G718" s="100" t="s">
        <v>1883</v>
      </c>
      <c r="H718" s="100" t="s">
        <v>1995</v>
      </c>
      <c r="I718" s="100" t="s">
        <v>62</v>
      </c>
      <c r="J718" s="98" t="s">
        <v>527</v>
      </c>
      <c r="K718" s="101" t="s">
        <v>2054</v>
      </c>
      <c r="L718" s="102" t="n">
        <v>45763</v>
      </c>
      <c r="M718" s="100" t="n">
        <v>5812</v>
      </c>
      <c r="N718" s="100" t="n">
        <v>7445</v>
      </c>
      <c r="O718" s="100" t="n">
        <v>1633</v>
      </c>
      <c r="P718" s="100" t="n">
        <v>1584</v>
      </c>
      <c r="Q718" s="100"/>
      <c r="R718" s="103" t="n">
        <f aca="false">合約與計費!$D$4</f>
        <v>0.296</v>
      </c>
      <c r="S718" s="104" t="n">
        <f aca="false">ROUND(P718*R718,0)</f>
        <v>469</v>
      </c>
      <c r="T718" s="105"/>
      <c r="U718" s="100"/>
      <c r="V718" s="100"/>
      <c r="W718" s="106"/>
      <c r="X718" s="100"/>
      <c r="Y718" s="100"/>
      <c r="Z718" s="107"/>
      <c r="AA718" s="108"/>
      <c r="AB718" s="109"/>
      <c r="AC718" s="110"/>
      <c r="AD718" s="42"/>
      <c r="AE718" s="43"/>
    </row>
    <row r="719" customFormat="false" ht="16.5" hidden="false" customHeight="true" outlineLevel="0" collapsed="false">
      <c r="A719" s="97" t="n">
        <f aca="false">ROW(A716)</f>
        <v>716</v>
      </c>
      <c r="B719" s="97" t="s">
        <v>476</v>
      </c>
      <c r="C719" s="100" t="n">
        <v>1</v>
      </c>
      <c r="D719" s="85"/>
      <c r="E719" s="98" t="s">
        <v>2055</v>
      </c>
      <c r="F719" s="99" t="s">
        <v>2045</v>
      </c>
      <c r="G719" s="100" t="s">
        <v>1883</v>
      </c>
      <c r="H719" s="100" t="s">
        <v>1995</v>
      </c>
      <c r="I719" s="100" t="s">
        <v>62</v>
      </c>
      <c r="J719" s="98" t="s">
        <v>527</v>
      </c>
      <c r="K719" s="101" t="s">
        <v>2056</v>
      </c>
      <c r="L719" s="102" t="n">
        <v>45763</v>
      </c>
      <c r="M719" s="100" t="n">
        <v>6749</v>
      </c>
      <c r="N719" s="100" t="n">
        <v>8221</v>
      </c>
      <c r="O719" s="100" t="n">
        <v>1472</v>
      </c>
      <c r="P719" s="100" t="n">
        <v>1428</v>
      </c>
      <c r="Q719" s="100"/>
      <c r="R719" s="103" t="n">
        <f aca="false">合約與計費!$D$4</f>
        <v>0.296</v>
      </c>
      <c r="S719" s="104" t="n">
        <f aca="false">ROUND(P719*R719,0)</f>
        <v>423</v>
      </c>
      <c r="T719" s="105"/>
      <c r="U719" s="100"/>
      <c r="V719" s="100"/>
      <c r="W719" s="106"/>
      <c r="X719" s="100"/>
      <c r="Y719" s="100"/>
      <c r="Z719" s="107"/>
      <c r="AA719" s="108"/>
      <c r="AB719" s="109"/>
      <c r="AC719" s="110"/>
      <c r="AD719" s="42"/>
      <c r="AE719" s="43"/>
    </row>
    <row r="720" customFormat="false" ht="16.5" hidden="false" customHeight="true" outlineLevel="0" collapsed="false">
      <c r="A720" s="97" t="n">
        <f aca="false">ROW(A717)</f>
        <v>717</v>
      </c>
      <c r="B720" s="97" t="s">
        <v>479</v>
      </c>
      <c r="C720" s="100" t="n">
        <v>1</v>
      </c>
      <c r="D720" s="85"/>
      <c r="E720" s="98" t="s">
        <v>2057</v>
      </c>
      <c r="F720" s="99" t="s">
        <v>2045</v>
      </c>
      <c r="G720" s="100" t="s">
        <v>1883</v>
      </c>
      <c r="H720" s="100" t="s">
        <v>1995</v>
      </c>
      <c r="I720" s="100" t="s">
        <v>62</v>
      </c>
      <c r="J720" s="98" t="s">
        <v>527</v>
      </c>
      <c r="K720" s="101" t="s">
        <v>2058</v>
      </c>
      <c r="L720" s="102" t="n">
        <v>45763</v>
      </c>
      <c r="M720" s="100" t="n">
        <v>5699</v>
      </c>
      <c r="N720" s="100" t="n">
        <v>6390</v>
      </c>
      <c r="O720" s="100" t="n">
        <v>691</v>
      </c>
      <c r="P720" s="100" t="n">
        <v>670</v>
      </c>
      <c r="Q720" s="100"/>
      <c r="R720" s="103" t="n">
        <f aca="false">合約與計費!$D$4</f>
        <v>0.296</v>
      </c>
      <c r="S720" s="104" t="n">
        <f aca="false">ROUND(P720*R720,0)</f>
        <v>198</v>
      </c>
      <c r="T720" s="105"/>
      <c r="U720" s="100"/>
      <c r="V720" s="100"/>
      <c r="W720" s="106"/>
      <c r="X720" s="100"/>
      <c r="Y720" s="100"/>
      <c r="Z720" s="107"/>
      <c r="AA720" s="108"/>
      <c r="AB720" s="109"/>
      <c r="AC720" s="110"/>
      <c r="AD720" s="42"/>
      <c r="AE720" s="43"/>
    </row>
    <row r="721" customFormat="false" ht="16.5" hidden="false" customHeight="true" outlineLevel="0" collapsed="false">
      <c r="A721" s="97" t="n">
        <f aca="false">ROW(A718)</f>
        <v>718</v>
      </c>
      <c r="B721" s="97" t="s">
        <v>482</v>
      </c>
      <c r="C721" s="100" t="n">
        <v>1</v>
      </c>
      <c r="D721" s="85"/>
      <c r="E721" s="98" t="s">
        <v>2059</v>
      </c>
      <c r="F721" s="99" t="s">
        <v>2045</v>
      </c>
      <c r="G721" s="100" t="s">
        <v>1883</v>
      </c>
      <c r="H721" s="100" t="s">
        <v>1995</v>
      </c>
      <c r="I721" s="100" t="s">
        <v>62</v>
      </c>
      <c r="J721" s="98" t="s">
        <v>527</v>
      </c>
      <c r="K721" s="101" t="s">
        <v>2060</v>
      </c>
      <c r="L721" s="102" t="n">
        <v>45763</v>
      </c>
      <c r="M721" s="100" t="n">
        <v>6302</v>
      </c>
      <c r="N721" s="100" t="n">
        <v>7014</v>
      </c>
      <c r="O721" s="100" t="n">
        <v>712</v>
      </c>
      <c r="P721" s="100" t="n">
        <v>691</v>
      </c>
      <c r="Q721" s="100"/>
      <c r="R721" s="103" t="n">
        <f aca="false">合約與計費!$D$4</f>
        <v>0.296</v>
      </c>
      <c r="S721" s="104" t="n">
        <f aca="false">ROUND(P721*R721,0)</f>
        <v>205</v>
      </c>
      <c r="T721" s="105"/>
      <c r="U721" s="100"/>
      <c r="V721" s="100"/>
      <c r="W721" s="106"/>
      <c r="X721" s="100"/>
      <c r="Y721" s="100"/>
      <c r="Z721" s="107"/>
      <c r="AA721" s="108"/>
      <c r="AB721" s="109"/>
      <c r="AC721" s="110"/>
      <c r="AD721" s="42"/>
      <c r="AE721" s="43"/>
    </row>
    <row r="722" customFormat="false" ht="16.5" hidden="false" customHeight="true" outlineLevel="0" collapsed="false">
      <c r="A722" s="97" t="n">
        <f aca="false">ROW(A719)</f>
        <v>719</v>
      </c>
      <c r="B722" s="97" t="s">
        <v>485</v>
      </c>
      <c r="C722" s="100" t="n">
        <v>1</v>
      </c>
      <c r="D722" s="85"/>
      <c r="E722" s="98" t="s">
        <v>2061</v>
      </c>
      <c r="F722" s="99" t="s">
        <v>2045</v>
      </c>
      <c r="G722" s="100" t="s">
        <v>1883</v>
      </c>
      <c r="H722" s="100" t="s">
        <v>1995</v>
      </c>
      <c r="I722" s="100" t="s">
        <v>62</v>
      </c>
      <c r="J722" s="98" t="s">
        <v>527</v>
      </c>
      <c r="K722" s="101" t="s">
        <v>2062</v>
      </c>
      <c r="L722" s="102" t="n">
        <v>45763</v>
      </c>
      <c r="M722" s="100" t="n">
        <v>5182</v>
      </c>
      <c r="N722" s="100" t="n">
        <v>6249</v>
      </c>
      <c r="O722" s="100" t="n">
        <v>1067</v>
      </c>
      <c r="P722" s="100" t="n">
        <v>1035</v>
      </c>
      <c r="Q722" s="100"/>
      <c r="R722" s="103" t="n">
        <f aca="false">合約與計費!$D$4</f>
        <v>0.296</v>
      </c>
      <c r="S722" s="104" t="n">
        <f aca="false">ROUND(P722*R722,0)</f>
        <v>306</v>
      </c>
      <c r="T722" s="105"/>
      <c r="U722" s="100"/>
      <c r="V722" s="100"/>
      <c r="W722" s="106"/>
      <c r="X722" s="100"/>
      <c r="Y722" s="100"/>
      <c r="Z722" s="107"/>
      <c r="AA722" s="108"/>
      <c r="AB722" s="109"/>
      <c r="AC722" s="110"/>
      <c r="AD722" s="42"/>
      <c r="AE722" s="43"/>
    </row>
    <row r="723" customFormat="false" ht="16.5" hidden="false" customHeight="true" outlineLevel="0" collapsed="false">
      <c r="A723" s="97" t="n">
        <f aca="false">ROW(A720)</f>
        <v>720</v>
      </c>
      <c r="B723" s="97" t="n">
        <v>10</v>
      </c>
      <c r="C723" s="100" t="n">
        <v>1</v>
      </c>
      <c r="D723" s="85"/>
      <c r="E723" s="98" t="s">
        <v>2063</v>
      </c>
      <c r="F723" s="99" t="s">
        <v>2045</v>
      </c>
      <c r="G723" s="100" t="s">
        <v>1883</v>
      </c>
      <c r="H723" s="100" t="s">
        <v>1995</v>
      </c>
      <c r="I723" s="100" t="s">
        <v>62</v>
      </c>
      <c r="J723" s="98" t="s">
        <v>527</v>
      </c>
      <c r="K723" s="101" t="s">
        <v>2064</v>
      </c>
      <c r="L723" s="102" t="n">
        <v>45763</v>
      </c>
      <c r="M723" s="100" t="n">
        <v>4706</v>
      </c>
      <c r="N723" s="100" t="n">
        <v>5906</v>
      </c>
      <c r="O723" s="100" t="n">
        <v>1200</v>
      </c>
      <c r="P723" s="100" t="n">
        <v>1164</v>
      </c>
      <c r="Q723" s="100"/>
      <c r="R723" s="103" t="n">
        <f aca="false">合約與計費!$D$4</f>
        <v>0.296</v>
      </c>
      <c r="S723" s="104" t="n">
        <f aca="false">ROUND(P723*R723,0)</f>
        <v>345</v>
      </c>
      <c r="T723" s="105"/>
      <c r="U723" s="100"/>
      <c r="V723" s="100"/>
      <c r="W723" s="106"/>
      <c r="X723" s="100"/>
      <c r="Y723" s="100"/>
      <c r="Z723" s="107"/>
      <c r="AA723" s="108"/>
      <c r="AB723" s="109"/>
      <c r="AC723" s="110"/>
      <c r="AD723" s="42"/>
      <c r="AE723" s="43"/>
    </row>
    <row r="724" customFormat="false" ht="16.5" hidden="false" customHeight="true" outlineLevel="0" collapsed="false">
      <c r="A724" s="97" t="n">
        <f aca="false">ROW(A721)</f>
        <v>721</v>
      </c>
      <c r="B724" s="97" t="n">
        <v>11</v>
      </c>
      <c r="C724" s="100" t="n">
        <v>1</v>
      </c>
      <c r="D724" s="85"/>
      <c r="E724" s="98" t="s">
        <v>2065</v>
      </c>
      <c r="F724" s="99" t="s">
        <v>2045</v>
      </c>
      <c r="G724" s="100" t="s">
        <v>1883</v>
      </c>
      <c r="H724" s="100" t="s">
        <v>1995</v>
      </c>
      <c r="I724" s="100" t="s">
        <v>62</v>
      </c>
      <c r="J724" s="98" t="s">
        <v>527</v>
      </c>
      <c r="K724" s="101" t="s">
        <v>2066</v>
      </c>
      <c r="L724" s="102" t="n">
        <v>45763</v>
      </c>
      <c r="M724" s="100" t="n">
        <v>6832</v>
      </c>
      <c r="N724" s="100" t="n">
        <v>7572</v>
      </c>
      <c r="O724" s="100" t="n">
        <v>740</v>
      </c>
      <c r="P724" s="100" t="n">
        <v>718</v>
      </c>
      <c r="Q724" s="100"/>
      <c r="R724" s="103" t="n">
        <f aca="false">合約與計費!$D$4</f>
        <v>0.296</v>
      </c>
      <c r="S724" s="104" t="n">
        <f aca="false">ROUND(P724*R724,0)</f>
        <v>213</v>
      </c>
      <c r="T724" s="105"/>
      <c r="U724" s="100"/>
      <c r="V724" s="100"/>
      <c r="W724" s="106"/>
      <c r="X724" s="100"/>
      <c r="Y724" s="100"/>
      <c r="Z724" s="107"/>
      <c r="AA724" s="108"/>
      <c r="AB724" s="109"/>
      <c r="AC724" s="110"/>
      <c r="AD724" s="42"/>
      <c r="AE724" s="43"/>
    </row>
    <row r="725" customFormat="false" ht="16.5" hidden="false" customHeight="true" outlineLevel="0" collapsed="false">
      <c r="A725" s="97" t="n">
        <f aca="false">ROW(A722)</f>
        <v>722</v>
      </c>
      <c r="B725" s="97" t="n">
        <v>12</v>
      </c>
      <c r="C725" s="100" t="n">
        <v>1</v>
      </c>
      <c r="D725" s="85"/>
      <c r="E725" s="98" t="s">
        <v>2067</v>
      </c>
      <c r="F725" s="99" t="s">
        <v>2045</v>
      </c>
      <c r="G725" s="100" t="s">
        <v>1883</v>
      </c>
      <c r="H725" s="100" t="s">
        <v>1995</v>
      </c>
      <c r="I725" s="100" t="s">
        <v>62</v>
      </c>
      <c r="J725" s="98" t="s">
        <v>527</v>
      </c>
      <c r="K725" s="101" t="s">
        <v>2068</v>
      </c>
      <c r="L725" s="102" t="n">
        <v>45763</v>
      </c>
      <c r="M725" s="100" t="n">
        <v>6521</v>
      </c>
      <c r="N725" s="100" t="n">
        <v>7758</v>
      </c>
      <c r="O725" s="100" t="n">
        <v>1237</v>
      </c>
      <c r="P725" s="100" t="n">
        <v>1200</v>
      </c>
      <c r="Q725" s="100"/>
      <c r="R725" s="103" t="n">
        <f aca="false">合約與計費!$D$4</f>
        <v>0.296</v>
      </c>
      <c r="S725" s="104" t="n">
        <f aca="false">ROUND(P725*R725,0)</f>
        <v>355</v>
      </c>
      <c r="T725" s="105"/>
      <c r="U725" s="100"/>
      <c r="V725" s="100"/>
      <c r="W725" s="106"/>
      <c r="X725" s="100"/>
      <c r="Y725" s="100"/>
      <c r="Z725" s="107"/>
      <c r="AA725" s="108"/>
      <c r="AB725" s="109"/>
      <c r="AC725" s="110"/>
      <c r="AD725" s="42"/>
      <c r="AE725" s="43"/>
    </row>
    <row r="726" customFormat="false" ht="16.5" hidden="false" customHeight="true" outlineLevel="0" collapsed="false">
      <c r="A726" s="97" t="n">
        <f aca="false">ROW(A723)</f>
        <v>723</v>
      </c>
      <c r="B726" s="97" t="n">
        <v>13</v>
      </c>
      <c r="C726" s="100" t="n">
        <v>1</v>
      </c>
      <c r="D726" s="85"/>
      <c r="E726" s="98" t="s">
        <v>2069</v>
      </c>
      <c r="F726" s="99" t="s">
        <v>2045</v>
      </c>
      <c r="G726" s="100" t="s">
        <v>1883</v>
      </c>
      <c r="H726" s="100" t="s">
        <v>1995</v>
      </c>
      <c r="I726" s="100" t="s">
        <v>62</v>
      </c>
      <c r="J726" s="98" t="s">
        <v>527</v>
      </c>
      <c r="K726" s="101" t="s">
        <v>2070</v>
      </c>
      <c r="L726" s="102" t="n">
        <v>45763</v>
      </c>
      <c r="M726" s="100" t="n">
        <v>6628</v>
      </c>
      <c r="N726" s="100" t="n">
        <v>8176</v>
      </c>
      <c r="O726" s="100" t="n">
        <v>1548</v>
      </c>
      <c r="P726" s="100" t="n">
        <v>1502</v>
      </c>
      <c r="Q726" s="100"/>
      <c r="R726" s="103" t="n">
        <f aca="false">合約與計費!$D$4</f>
        <v>0.296</v>
      </c>
      <c r="S726" s="104" t="n">
        <f aca="false">ROUND(P726*R726,0)</f>
        <v>445</v>
      </c>
      <c r="T726" s="105"/>
      <c r="U726" s="100"/>
      <c r="V726" s="100"/>
      <c r="W726" s="106"/>
      <c r="X726" s="100"/>
      <c r="Y726" s="100"/>
      <c r="Z726" s="107"/>
      <c r="AA726" s="108"/>
      <c r="AB726" s="109"/>
      <c r="AC726" s="110"/>
      <c r="AD726" s="42"/>
      <c r="AE726" s="43"/>
    </row>
    <row r="727" customFormat="false" ht="16.5" hidden="false" customHeight="true" outlineLevel="0" collapsed="false">
      <c r="A727" s="97" t="n">
        <f aca="false">ROW(A724)</f>
        <v>724</v>
      </c>
      <c r="B727" s="97" t="n">
        <v>14</v>
      </c>
      <c r="C727" s="100" t="n">
        <v>1</v>
      </c>
      <c r="D727" s="85"/>
      <c r="E727" s="98" t="s">
        <v>2071</v>
      </c>
      <c r="F727" s="99" t="s">
        <v>2045</v>
      </c>
      <c r="G727" s="100" t="s">
        <v>1883</v>
      </c>
      <c r="H727" s="100" t="s">
        <v>1995</v>
      </c>
      <c r="I727" s="100" t="s">
        <v>62</v>
      </c>
      <c r="J727" s="98" t="s">
        <v>527</v>
      </c>
      <c r="K727" s="101" t="s">
        <v>2072</v>
      </c>
      <c r="L727" s="102" t="n">
        <v>45763</v>
      </c>
      <c r="M727" s="100" t="n">
        <v>6492</v>
      </c>
      <c r="N727" s="100" t="n">
        <v>7724</v>
      </c>
      <c r="O727" s="100" t="n">
        <v>1232</v>
      </c>
      <c r="P727" s="100" t="n">
        <v>1195</v>
      </c>
      <c r="Q727" s="100"/>
      <c r="R727" s="103" t="n">
        <f aca="false">合約與計費!$D$4</f>
        <v>0.296</v>
      </c>
      <c r="S727" s="104" t="n">
        <f aca="false">ROUND(P727*R727,0)</f>
        <v>354</v>
      </c>
      <c r="T727" s="105"/>
      <c r="U727" s="100"/>
      <c r="V727" s="100"/>
      <c r="W727" s="106"/>
      <c r="X727" s="100"/>
      <c r="Y727" s="100"/>
      <c r="Z727" s="107"/>
      <c r="AA727" s="108"/>
      <c r="AB727" s="109"/>
      <c r="AC727" s="110"/>
      <c r="AD727" s="42"/>
      <c r="AE727" s="43"/>
    </row>
    <row r="728" customFormat="false" ht="16.5" hidden="false" customHeight="true" outlineLevel="0" collapsed="false">
      <c r="A728" s="97" t="n">
        <f aca="false">ROW(A725)</f>
        <v>725</v>
      </c>
      <c r="B728" s="97" t="n">
        <v>15</v>
      </c>
      <c r="C728" s="100" t="n">
        <v>1</v>
      </c>
      <c r="D728" s="85"/>
      <c r="E728" s="98" t="s">
        <v>2073</v>
      </c>
      <c r="F728" s="99" t="s">
        <v>2045</v>
      </c>
      <c r="G728" s="100" t="s">
        <v>1883</v>
      </c>
      <c r="H728" s="100" t="s">
        <v>1995</v>
      </c>
      <c r="I728" s="100" t="s">
        <v>62</v>
      </c>
      <c r="J728" s="98" t="s">
        <v>527</v>
      </c>
      <c r="K728" s="101" t="s">
        <v>2074</v>
      </c>
      <c r="L728" s="102" t="n">
        <v>45763</v>
      </c>
      <c r="M728" s="100" t="n">
        <v>3523</v>
      </c>
      <c r="N728" s="100" t="n">
        <v>4928</v>
      </c>
      <c r="O728" s="100" t="n">
        <v>1405</v>
      </c>
      <c r="P728" s="100" t="n">
        <v>1363</v>
      </c>
      <c r="Q728" s="100"/>
      <c r="R728" s="103" t="n">
        <f aca="false">合約與計費!$D$4</f>
        <v>0.296</v>
      </c>
      <c r="S728" s="104" t="n">
        <f aca="false">ROUND(P728*R728,0)</f>
        <v>403</v>
      </c>
      <c r="T728" s="105"/>
      <c r="U728" s="100"/>
      <c r="V728" s="100"/>
      <c r="W728" s="106"/>
      <c r="X728" s="100"/>
      <c r="Y728" s="100"/>
      <c r="Z728" s="107"/>
      <c r="AA728" s="108"/>
      <c r="AB728" s="109"/>
      <c r="AC728" s="110"/>
      <c r="AD728" s="42"/>
      <c r="AE728" s="43"/>
    </row>
    <row r="729" customFormat="false" ht="16.5" hidden="false" customHeight="true" outlineLevel="0" collapsed="false">
      <c r="A729" s="97" t="n">
        <f aca="false">ROW(A726)</f>
        <v>726</v>
      </c>
      <c r="B729" s="97" t="n">
        <v>16</v>
      </c>
      <c r="C729" s="100" t="n">
        <v>1</v>
      </c>
      <c r="D729" s="85"/>
      <c r="E729" s="98" t="s">
        <v>2075</v>
      </c>
      <c r="F729" s="99" t="s">
        <v>2045</v>
      </c>
      <c r="G729" s="100" t="s">
        <v>1883</v>
      </c>
      <c r="H729" s="100" t="s">
        <v>1995</v>
      </c>
      <c r="I729" s="100" t="s">
        <v>62</v>
      </c>
      <c r="J729" s="98" t="s">
        <v>527</v>
      </c>
      <c r="K729" s="101" t="s">
        <v>2076</v>
      </c>
      <c r="L729" s="102" t="n">
        <v>45763</v>
      </c>
      <c r="M729" s="100" t="n">
        <v>12165</v>
      </c>
      <c r="N729" s="100" t="n">
        <v>13640</v>
      </c>
      <c r="O729" s="100" t="n">
        <v>1475</v>
      </c>
      <c r="P729" s="100" t="n">
        <v>1431</v>
      </c>
      <c r="Q729" s="100"/>
      <c r="R729" s="103" t="n">
        <f aca="false">合約與計費!$D$4</f>
        <v>0.296</v>
      </c>
      <c r="S729" s="104" t="n">
        <f aca="false">ROUND(P729*R729,0)</f>
        <v>424</v>
      </c>
      <c r="T729" s="105"/>
      <c r="U729" s="100"/>
      <c r="V729" s="100"/>
      <c r="W729" s="106"/>
      <c r="X729" s="100"/>
      <c r="Y729" s="100"/>
      <c r="Z729" s="107"/>
      <c r="AA729" s="108"/>
      <c r="AB729" s="109"/>
      <c r="AC729" s="110"/>
      <c r="AD729" s="42"/>
      <c r="AE729" s="43"/>
    </row>
    <row r="730" customFormat="false" ht="16.5" hidden="false" customHeight="true" outlineLevel="0" collapsed="false">
      <c r="A730" s="97" t="n">
        <f aca="false">ROW(A727)</f>
        <v>727</v>
      </c>
      <c r="B730" s="97" t="n">
        <v>17</v>
      </c>
      <c r="C730" s="100" t="n">
        <v>1</v>
      </c>
      <c r="D730" s="85"/>
      <c r="E730" s="98" t="s">
        <v>2077</v>
      </c>
      <c r="F730" s="99" t="s">
        <v>2045</v>
      </c>
      <c r="G730" s="100" t="s">
        <v>1883</v>
      </c>
      <c r="H730" s="100" t="s">
        <v>1995</v>
      </c>
      <c r="I730" s="100" t="s">
        <v>62</v>
      </c>
      <c r="J730" s="98" t="s">
        <v>527</v>
      </c>
      <c r="K730" s="101" t="s">
        <v>2078</v>
      </c>
      <c r="L730" s="102" t="n">
        <v>45763</v>
      </c>
      <c r="M730" s="100" t="n">
        <v>6565</v>
      </c>
      <c r="N730" s="100" t="n">
        <v>8054</v>
      </c>
      <c r="O730" s="100" t="n">
        <v>1489</v>
      </c>
      <c r="P730" s="100" t="n">
        <v>1444</v>
      </c>
      <c r="Q730" s="100"/>
      <c r="R730" s="103" t="n">
        <f aca="false">合約與計費!$D$4</f>
        <v>0.296</v>
      </c>
      <c r="S730" s="104" t="n">
        <f aca="false">ROUND(P730*R730,0)</f>
        <v>427</v>
      </c>
      <c r="T730" s="105"/>
      <c r="U730" s="100"/>
      <c r="V730" s="100"/>
      <c r="W730" s="106"/>
      <c r="X730" s="100"/>
      <c r="Y730" s="100"/>
      <c r="Z730" s="107"/>
      <c r="AA730" s="108"/>
      <c r="AB730" s="109"/>
      <c r="AC730" s="110"/>
      <c r="AD730" s="42"/>
      <c r="AE730" s="43"/>
    </row>
    <row r="731" customFormat="false" ht="16.5" hidden="false" customHeight="true" outlineLevel="0" collapsed="false">
      <c r="A731" s="97" t="n">
        <f aca="false">ROW(A728)</f>
        <v>728</v>
      </c>
      <c r="B731" s="97" t="n">
        <v>18</v>
      </c>
      <c r="C731" s="100" t="n">
        <v>1</v>
      </c>
      <c r="D731" s="85"/>
      <c r="E731" s="98" t="s">
        <v>2079</v>
      </c>
      <c r="F731" s="99" t="s">
        <v>2045</v>
      </c>
      <c r="G731" s="100" t="s">
        <v>1883</v>
      </c>
      <c r="H731" s="100" t="s">
        <v>1995</v>
      </c>
      <c r="I731" s="100" t="s">
        <v>62</v>
      </c>
      <c r="J731" s="98" t="s">
        <v>527</v>
      </c>
      <c r="K731" s="101" t="s">
        <v>2080</v>
      </c>
      <c r="L731" s="102" t="n">
        <v>45763</v>
      </c>
      <c r="M731" s="100" t="n">
        <v>8088</v>
      </c>
      <c r="N731" s="100" t="n">
        <v>9516</v>
      </c>
      <c r="O731" s="100" t="n">
        <v>1428</v>
      </c>
      <c r="P731" s="100" t="n">
        <v>1385</v>
      </c>
      <c r="Q731" s="100"/>
      <c r="R731" s="103" t="n">
        <f aca="false">合約與計費!$D$4</f>
        <v>0.296</v>
      </c>
      <c r="S731" s="104" t="n">
        <f aca="false">ROUND(P731*R731,0)</f>
        <v>410</v>
      </c>
      <c r="T731" s="105"/>
      <c r="U731" s="100"/>
      <c r="V731" s="100"/>
      <c r="W731" s="106"/>
      <c r="X731" s="100"/>
      <c r="Y731" s="100"/>
      <c r="Z731" s="107"/>
      <c r="AA731" s="108"/>
      <c r="AB731" s="109"/>
      <c r="AC731" s="110"/>
      <c r="AD731" s="42"/>
      <c r="AE731" s="43"/>
    </row>
    <row r="732" customFormat="false" ht="16.5" hidden="false" customHeight="true" outlineLevel="0" collapsed="false">
      <c r="A732" s="111" t="n">
        <f aca="false">ROW(A729)</f>
        <v>729</v>
      </c>
      <c r="B732" s="111" t="n">
        <v>19</v>
      </c>
      <c r="C732" s="114" t="n">
        <v>1</v>
      </c>
      <c r="D732" s="85"/>
      <c r="E732" s="112" t="s">
        <v>2081</v>
      </c>
      <c r="F732" s="113" t="s">
        <v>2045</v>
      </c>
      <c r="G732" s="114" t="s">
        <v>1883</v>
      </c>
      <c r="H732" s="114" t="s">
        <v>1995</v>
      </c>
      <c r="I732" s="114" t="s">
        <v>62</v>
      </c>
      <c r="J732" s="98" t="s">
        <v>527</v>
      </c>
      <c r="K732" s="101" t="s">
        <v>2082</v>
      </c>
      <c r="L732" s="102" t="n">
        <v>45763</v>
      </c>
      <c r="M732" s="100" t="n">
        <v>5359</v>
      </c>
      <c r="N732" s="100" t="n">
        <v>6475</v>
      </c>
      <c r="O732" s="100" t="n">
        <v>1116</v>
      </c>
      <c r="P732" s="100" t="n">
        <v>1083</v>
      </c>
      <c r="Q732" s="100" t="n">
        <f aca="false">ROUND(SUM(P714:P732),2)</f>
        <v>22669</v>
      </c>
      <c r="R732" s="103" t="n">
        <f aca="false">合約與計費!$D$4</f>
        <v>0.296</v>
      </c>
      <c r="S732" s="104" t="n">
        <f aca="false">ROUND(P732*R732,0)</f>
        <v>321</v>
      </c>
      <c r="T732" s="105" t="n">
        <f aca="false">ROUND(SUM(S714:S732),2)</f>
        <v>6712</v>
      </c>
      <c r="U732" s="100"/>
      <c r="V732" s="100"/>
      <c r="W732" s="106"/>
      <c r="X732" s="100"/>
      <c r="Y732" s="100" t="n">
        <f aca="false">ROUND(SUM(X714:X732),2)</f>
        <v>95</v>
      </c>
      <c r="Z732" s="107"/>
      <c r="AA732" s="108"/>
      <c r="AB732" s="109" t="n">
        <f aca="false">ROUND(SUM(AA714:AA732),2)</f>
        <v>266</v>
      </c>
      <c r="AC732" s="110"/>
      <c r="AD732" s="42"/>
      <c r="AE732" s="43"/>
    </row>
    <row r="733" customFormat="false" ht="16.5" hidden="false" customHeight="true" outlineLevel="0" collapsed="false">
      <c r="A733" s="84" t="n">
        <f aca="false">ROW(A730)</f>
        <v>730</v>
      </c>
      <c r="B733" s="84" t="s">
        <v>455</v>
      </c>
      <c r="C733" s="32" t="n">
        <v>1</v>
      </c>
      <c r="D733" s="85" t="n">
        <v>238</v>
      </c>
      <c r="E733" s="86" t="s">
        <v>2083</v>
      </c>
      <c r="F733" s="87" t="s">
        <v>2084</v>
      </c>
      <c r="G733" s="32" t="s">
        <v>1883</v>
      </c>
      <c r="H733" s="32" t="s">
        <v>1995</v>
      </c>
      <c r="I733" s="172" t="s">
        <v>426</v>
      </c>
      <c r="J733" s="86" t="s">
        <v>460</v>
      </c>
      <c r="K733" s="88" t="s">
        <v>2085</v>
      </c>
      <c r="L733" s="89" t="n">
        <v>45777</v>
      </c>
      <c r="M733" s="32" t="n">
        <v>56</v>
      </c>
      <c r="N733" s="32" t="n">
        <v>77</v>
      </c>
      <c r="O733" s="32" t="n">
        <v>21</v>
      </c>
      <c r="P733" s="32" t="n">
        <v>20</v>
      </c>
      <c r="Q733" s="32"/>
      <c r="R733" s="90" t="n">
        <f aca="false">合約與計費!$D$4</f>
        <v>0.296</v>
      </c>
      <c r="S733" s="91" t="n">
        <f aca="false">ROUND(P733*R733,0)</f>
        <v>6</v>
      </c>
      <c r="T733" s="92"/>
      <c r="U733" s="32" t="n">
        <v>123</v>
      </c>
      <c r="V733" s="32" t="n">
        <v>164</v>
      </c>
      <c r="W733" s="32" t="n">
        <v>41</v>
      </c>
      <c r="X733" s="32" t="n">
        <v>40</v>
      </c>
      <c r="Y733" s="32"/>
      <c r="Z733" s="93" t="n">
        <f aca="false">合約與計費!$E$4</f>
        <v>2.8</v>
      </c>
      <c r="AA733" s="94" t="n">
        <f aca="false">ROUND(X733*Z733,0)</f>
        <v>112</v>
      </c>
      <c r="AB733" s="95"/>
      <c r="AC733" s="96"/>
      <c r="AD733" s="42"/>
      <c r="AE733" s="43"/>
    </row>
    <row r="734" customFormat="false" ht="16.5" hidden="false" customHeight="true" outlineLevel="0" collapsed="false">
      <c r="A734" s="111" t="n">
        <f aca="false">ROW(A731)</f>
        <v>731</v>
      </c>
      <c r="B734" s="111" t="s">
        <v>462</v>
      </c>
      <c r="C734" s="114" t="n">
        <v>1</v>
      </c>
      <c r="D734" s="85"/>
      <c r="E734" s="112" t="s">
        <v>2086</v>
      </c>
      <c r="F734" s="113" t="s">
        <v>2084</v>
      </c>
      <c r="G734" s="114" t="s">
        <v>1883</v>
      </c>
      <c r="H734" s="114" t="s">
        <v>1995</v>
      </c>
      <c r="I734" s="173" t="s">
        <v>426</v>
      </c>
      <c r="J734" s="112" t="s">
        <v>464</v>
      </c>
      <c r="K734" s="115" t="s">
        <v>2087</v>
      </c>
      <c r="L734" s="116" t="n">
        <v>45777</v>
      </c>
      <c r="M734" s="114" t="n">
        <v>634</v>
      </c>
      <c r="N734" s="114" t="n">
        <v>885</v>
      </c>
      <c r="O734" s="114" t="n">
        <v>251</v>
      </c>
      <c r="P734" s="114" t="n">
        <v>243</v>
      </c>
      <c r="Q734" s="114" t="n">
        <f aca="false">ROUND(SUM(P733:P734),2)</f>
        <v>263</v>
      </c>
      <c r="R734" s="117" t="n">
        <f aca="false">合約與計費!$D$4</f>
        <v>0.296</v>
      </c>
      <c r="S734" s="118" t="n">
        <f aca="false">ROUND(P734*R734,0)</f>
        <v>72</v>
      </c>
      <c r="T734" s="119" t="n">
        <f aca="false">ROUND(SUM(S733:S734),2)</f>
        <v>78</v>
      </c>
      <c r="U734" s="114"/>
      <c r="V734" s="114"/>
      <c r="W734" s="120"/>
      <c r="X734" s="114"/>
      <c r="Y734" s="114" t="n">
        <f aca="false">ROUND(SUM(X733:X734),2)</f>
        <v>40</v>
      </c>
      <c r="Z734" s="121"/>
      <c r="AA734" s="122"/>
      <c r="AB734" s="123" t="n">
        <f aca="false">ROUND(SUM(AA733:AA734),2)</f>
        <v>112</v>
      </c>
      <c r="AC734" s="124"/>
      <c r="AD734" s="42" t="n">
        <v>0.0605</v>
      </c>
      <c r="AE734" s="43" t="n">
        <v>0.6</v>
      </c>
    </row>
    <row r="735" customFormat="false" ht="16.5" hidden="false" customHeight="true" outlineLevel="0" collapsed="false">
      <c r="A735" s="84" t="n">
        <f aca="false">ROW(A732)</f>
        <v>732</v>
      </c>
      <c r="B735" s="84" t="s">
        <v>455</v>
      </c>
      <c r="C735" s="32" t="n">
        <v>1</v>
      </c>
      <c r="D735" s="85" t="n">
        <v>242</v>
      </c>
      <c r="E735" s="86" t="s">
        <v>2088</v>
      </c>
      <c r="F735" s="87" t="s">
        <v>2089</v>
      </c>
      <c r="G735" s="32" t="s">
        <v>1883</v>
      </c>
      <c r="H735" s="32" t="s">
        <v>1995</v>
      </c>
      <c r="I735" s="172" t="s">
        <v>76</v>
      </c>
      <c r="J735" s="86" t="s">
        <v>460</v>
      </c>
      <c r="K735" s="88" t="s">
        <v>2090</v>
      </c>
      <c r="L735" s="89" t="n">
        <v>45772</v>
      </c>
      <c r="M735" s="32" t="n">
        <v>140</v>
      </c>
      <c r="N735" s="32" t="n">
        <v>202</v>
      </c>
      <c r="O735" s="32" t="n">
        <v>62</v>
      </c>
      <c r="P735" s="32" t="n">
        <v>60</v>
      </c>
      <c r="Q735" s="32"/>
      <c r="R735" s="90" t="n">
        <f aca="false">合約與計費!$D$4</f>
        <v>0.296</v>
      </c>
      <c r="S735" s="91" t="n">
        <f aca="false">ROUND(P735*R735,0)</f>
        <v>18</v>
      </c>
      <c r="T735" s="92"/>
      <c r="U735" s="32" t="n">
        <v>470</v>
      </c>
      <c r="V735" s="32" t="n">
        <v>578</v>
      </c>
      <c r="W735" s="32" t="n">
        <v>108</v>
      </c>
      <c r="X735" s="32" t="n">
        <v>105</v>
      </c>
      <c r="Y735" s="32"/>
      <c r="Z735" s="93" t="n">
        <f aca="false">合約與計費!$E$4</f>
        <v>2.8</v>
      </c>
      <c r="AA735" s="94" t="n">
        <f aca="false">ROUND(X735*Z735,0)</f>
        <v>294</v>
      </c>
      <c r="AB735" s="95"/>
      <c r="AC735" s="96"/>
      <c r="AD735" s="42"/>
      <c r="AE735" s="43"/>
    </row>
    <row r="736" customFormat="false" ht="16.5" hidden="false" customHeight="true" outlineLevel="0" collapsed="false">
      <c r="A736" s="111" t="n">
        <f aca="false">ROW(A733)</f>
        <v>733</v>
      </c>
      <c r="B736" s="111" t="s">
        <v>462</v>
      </c>
      <c r="C736" s="114" t="n">
        <v>1</v>
      </c>
      <c r="D736" s="85"/>
      <c r="E736" s="112" t="s">
        <v>2091</v>
      </c>
      <c r="F736" s="113" t="s">
        <v>2089</v>
      </c>
      <c r="G736" s="114" t="s">
        <v>1883</v>
      </c>
      <c r="H736" s="114" t="s">
        <v>1995</v>
      </c>
      <c r="I736" s="173" t="s">
        <v>76</v>
      </c>
      <c r="J736" s="112" t="s">
        <v>464</v>
      </c>
      <c r="K736" s="115" t="s">
        <v>2092</v>
      </c>
      <c r="L736" s="116" t="n">
        <v>45772</v>
      </c>
      <c r="M736" s="114" t="n">
        <v>824</v>
      </c>
      <c r="N736" s="114" t="n">
        <v>926</v>
      </c>
      <c r="O736" s="114" t="n">
        <v>102</v>
      </c>
      <c r="P736" s="114" t="n">
        <v>99</v>
      </c>
      <c r="Q736" s="114" t="n">
        <f aca="false">ROUND(SUM(P735:P736),2)</f>
        <v>159</v>
      </c>
      <c r="R736" s="117" t="n">
        <f aca="false">合約與計費!$D$4</f>
        <v>0.296</v>
      </c>
      <c r="S736" s="118" t="n">
        <f aca="false">ROUND(P736*R736,0)</f>
        <v>29</v>
      </c>
      <c r="T736" s="119" t="n">
        <f aca="false">ROUND(SUM(S735:S736),2)</f>
        <v>47</v>
      </c>
      <c r="U736" s="114"/>
      <c r="V736" s="114"/>
      <c r="W736" s="120"/>
      <c r="X736" s="114"/>
      <c r="Y736" s="114" t="n">
        <f aca="false">ROUND(SUM(X735:X736),2)</f>
        <v>105</v>
      </c>
      <c r="Z736" s="121"/>
      <c r="AA736" s="122"/>
      <c r="AB736" s="123" t="n">
        <f aca="false">ROUND(SUM(AA735:AA736),2)</f>
        <v>294</v>
      </c>
      <c r="AC736" s="124"/>
      <c r="AD736" s="42" t="n">
        <v>0.0661</v>
      </c>
      <c r="AE736" s="43" t="n">
        <v>0.6</v>
      </c>
    </row>
    <row r="737" customFormat="false" ht="16.5" hidden="false" customHeight="true" outlineLevel="0" collapsed="false">
      <c r="A737" s="84" t="n">
        <f aca="false">ROW(A734)</f>
        <v>734</v>
      </c>
      <c r="B737" s="84" t="s">
        <v>455</v>
      </c>
      <c r="C737" s="32" t="n">
        <v>1</v>
      </c>
      <c r="D737" s="85" t="n">
        <v>245</v>
      </c>
      <c r="E737" s="86" t="s">
        <v>2093</v>
      </c>
      <c r="F737" s="87" t="s">
        <v>2094</v>
      </c>
      <c r="G737" s="32" t="s">
        <v>1883</v>
      </c>
      <c r="H737" s="32" t="s">
        <v>1995</v>
      </c>
      <c r="I737" s="172" t="s">
        <v>346</v>
      </c>
      <c r="J737" s="86" t="s">
        <v>460</v>
      </c>
      <c r="K737" s="88" t="s">
        <v>2095</v>
      </c>
      <c r="L737" s="89" t="n">
        <v>45777</v>
      </c>
      <c r="M737" s="32" t="n">
        <v>36</v>
      </c>
      <c r="N737" s="32" t="n">
        <v>39</v>
      </c>
      <c r="O737" s="32" t="n">
        <v>3</v>
      </c>
      <c r="P737" s="32" t="n">
        <v>3</v>
      </c>
      <c r="Q737" s="32"/>
      <c r="R737" s="90" t="n">
        <f aca="false">合約與計費!$D$4</f>
        <v>0.296</v>
      </c>
      <c r="S737" s="91" t="n">
        <f aca="false">ROUND(P737*R737,0)</f>
        <v>1</v>
      </c>
      <c r="T737" s="92"/>
      <c r="U737" s="32" t="n">
        <v>204</v>
      </c>
      <c r="V737" s="32" t="n">
        <v>213</v>
      </c>
      <c r="W737" s="32" t="n">
        <v>9</v>
      </c>
      <c r="X737" s="32" t="n">
        <v>9</v>
      </c>
      <c r="Y737" s="32"/>
      <c r="Z737" s="93" t="n">
        <f aca="false">合約與計費!$E$4</f>
        <v>2.8</v>
      </c>
      <c r="AA737" s="94" t="n">
        <f aca="false">ROUND(X737*Z737,0)</f>
        <v>25</v>
      </c>
      <c r="AB737" s="95"/>
      <c r="AC737" s="96"/>
      <c r="AD737" s="42"/>
      <c r="AE737" s="43"/>
    </row>
    <row r="738" customFormat="false" ht="16.5" hidden="false" customHeight="true" outlineLevel="0" collapsed="false">
      <c r="A738" s="111" t="n">
        <f aca="false">ROW(A735)</f>
        <v>735</v>
      </c>
      <c r="B738" s="111" t="s">
        <v>462</v>
      </c>
      <c r="C738" s="114" t="n">
        <v>1</v>
      </c>
      <c r="D738" s="85"/>
      <c r="E738" s="112" t="s">
        <v>2096</v>
      </c>
      <c r="F738" s="113" t="s">
        <v>2094</v>
      </c>
      <c r="G738" s="114" t="s">
        <v>1883</v>
      </c>
      <c r="H738" s="114" t="s">
        <v>1995</v>
      </c>
      <c r="I738" s="173" t="s">
        <v>346</v>
      </c>
      <c r="J738" s="112" t="s">
        <v>464</v>
      </c>
      <c r="K738" s="115" t="s">
        <v>2097</v>
      </c>
      <c r="L738" s="116" t="n">
        <v>45777</v>
      </c>
      <c r="M738" s="114" t="n">
        <v>1834</v>
      </c>
      <c r="N738" s="114" t="n">
        <v>2134</v>
      </c>
      <c r="O738" s="114" t="n">
        <v>300</v>
      </c>
      <c r="P738" s="114" t="n">
        <v>291</v>
      </c>
      <c r="Q738" s="114" t="n">
        <f aca="false">ROUND(SUM(P737:P738),2)</f>
        <v>294</v>
      </c>
      <c r="R738" s="117" t="n">
        <f aca="false">合約與計費!$D$4</f>
        <v>0.296</v>
      </c>
      <c r="S738" s="118" t="n">
        <f aca="false">ROUND(P738*R738,0)</f>
        <v>86</v>
      </c>
      <c r="T738" s="119" t="n">
        <f aca="false">ROUND(SUM(S737:S738),2)</f>
        <v>87</v>
      </c>
      <c r="U738" s="114"/>
      <c r="V738" s="114"/>
      <c r="W738" s="120"/>
      <c r="X738" s="114"/>
      <c r="Y738" s="114" t="n">
        <f aca="false">ROUND(SUM(X737:X738),2)</f>
        <v>9</v>
      </c>
      <c r="Z738" s="121"/>
      <c r="AA738" s="122"/>
      <c r="AB738" s="123" t="n">
        <f aca="false">ROUND(SUM(AA737:AA738),2)</f>
        <v>25</v>
      </c>
      <c r="AC738" s="124"/>
      <c r="AD738" s="42" t="n">
        <v>0.0613</v>
      </c>
      <c r="AE738" s="43" t="n">
        <v>0.1</v>
      </c>
    </row>
    <row r="739" customFormat="false" ht="16.5" hidden="false" customHeight="true" outlineLevel="0" collapsed="false">
      <c r="A739" s="84" t="n">
        <f aca="false">ROW(A736)</f>
        <v>736</v>
      </c>
      <c r="B739" s="84" t="s">
        <v>455</v>
      </c>
      <c r="C739" s="32" t="n">
        <v>1</v>
      </c>
      <c r="D739" s="85" t="n">
        <v>80</v>
      </c>
      <c r="E739" s="86" t="s">
        <v>2098</v>
      </c>
      <c r="F739" s="87" t="s">
        <v>2099</v>
      </c>
      <c r="G739" s="32" t="s">
        <v>1883</v>
      </c>
      <c r="H739" s="32" t="s">
        <v>2100</v>
      </c>
      <c r="I739" s="32" t="s">
        <v>49</v>
      </c>
      <c r="J739" s="86" t="s">
        <v>460</v>
      </c>
      <c r="K739" s="88" t="s">
        <v>2101</v>
      </c>
      <c r="L739" s="89" t="n">
        <v>45758</v>
      </c>
      <c r="M739" s="32" t="n">
        <v>624</v>
      </c>
      <c r="N739" s="32" t="n">
        <v>727</v>
      </c>
      <c r="O739" s="32" t="n">
        <v>103</v>
      </c>
      <c r="P739" s="32" t="n">
        <v>100</v>
      </c>
      <c r="Q739" s="32"/>
      <c r="R739" s="90" t="n">
        <f aca="false">合約與計費!$D$4</f>
        <v>0.296</v>
      </c>
      <c r="S739" s="91" t="n">
        <f aca="false">ROUND(P739*R739,0)</f>
        <v>30</v>
      </c>
      <c r="T739" s="92"/>
      <c r="U739" s="32" t="n">
        <v>317</v>
      </c>
      <c r="V739" s="32" t="n">
        <v>338</v>
      </c>
      <c r="W739" s="32" t="n">
        <v>21</v>
      </c>
      <c r="X739" s="32" t="n">
        <v>20</v>
      </c>
      <c r="Y739" s="32"/>
      <c r="Z739" s="93" t="n">
        <f aca="false">合約與計費!$E$4</f>
        <v>2.8</v>
      </c>
      <c r="AA739" s="94" t="n">
        <f aca="false">ROUND(X739*Z739,0)</f>
        <v>56</v>
      </c>
      <c r="AB739" s="95"/>
      <c r="AC739" s="96"/>
      <c r="AD739" s="42"/>
      <c r="AE739" s="43"/>
    </row>
    <row r="740" customFormat="false" ht="16.5" hidden="false" customHeight="true" outlineLevel="0" collapsed="false">
      <c r="A740" s="97" t="n">
        <f aca="false">ROW(A737)</f>
        <v>737</v>
      </c>
      <c r="B740" s="97" t="s">
        <v>462</v>
      </c>
      <c r="C740" s="100" t="n">
        <v>1</v>
      </c>
      <c r="D740" s="85"/>
      <c r="E740" s="98" t="s">
        <v>2102</v>
      </c>
      <c r="F740" s="99" t="s">
        <v>2099</v>
      </c>
      <c r="G740" s="100" t="s">
        <v>1883</v>
      </c>
      <c r="H740" s="100" t="s">
        <v>2100</v>
      </c>
      <c r="I740" s="100" t="s">
        <v>49</v>
      </c>
      <c r="J740" s="98" t="s">
        <v>464</v>
      </c>
      <c r="K740" s="101" t="s">
        <v>2103</v>
      </c>
      <c r="L740" s="102" t="n">
        <v>45758</v>
      </c>
      <c r="M740" s="100" t="n">
        <v>266</v>
      </c>
      <c r="N740" s="100" t="n">
        <v>334</v>
      </c>
      <c r="O740" s="100" t="n">
        <v>68</v>
      </c>
      <c r="P740" s="100" t="n">
        <v>66</v>
      </c>
      <c r="Q740" s="100"/>
      <c r="R740" s="103" t="n">
        <f aca="false">合約與計費!$D$4</f>
        <v>0.296</v>
      </c>
      <c r="S740" s="104" t="n">
        <f aca="false">ROUND(P740*R740,0)</f>
        <v>20</v>
      </c>
      <c r="T740" s="105"/>
      <c r="U740" s="100"/>
      <c r="V740" s="100"/>
      <c r="W740" s="106"/>
      <c r="X740" s="100"/>
      <c r="Y740" s="100"/>
      <c r="Z740" s="107"/>
      <c r="AA740" s="108"/>
      <c r="AB740" s="109"/>
      <c r="AC740" s="110"/>
      <c r="AD740" s="42" t="n">
        <v>0.0466</v>
      </c>
      <c r="AE740" s="43" t="n">
        <v>0.9</v>
      </c>
    </row>
    <row r="741" customFormat="false" ht="16.5" hidden="false" customHeight="true" outlineLevel="0" collapsed="false">
      <c r="A741" s="97" t="n">
        <f aca="false">ROW(A738)</f>
        <v>738</v>
      </c>
      <c r="B741" s="97" t="s">
        <v>466</v>
      </c>
      <c r="C741" s="100" t="n">
        <v>1</v>
      </c>
      <c r="D741" s="85"/>
      <c r="E741" s="98" t="s">
        <v>2104</v>
      </c>
      <c r="F741" s="99" t="s">
        <v>2099</v>
      </c>
      <c r="G741" s="100" t="s">
        <v>1883</v>
      </c>
      <c r="H741" s="100" t="s">
        <v>2100</v>
      </c>
      <c r="I741" s="100" t="s">
        <v>49</v>
      </c>
      <c r="J741" s="98" t="s">
        <v>471</v>
      </c>
      <c r="K741" s="101" t="s">
        <v>2105</v>
      </c>
      <c r="L741" s="102" t="n">
        <v>45758</v>
      </c>
      <c r="M741" s="100" t="n">
        <v>450</v>
      </c>
      <c r="N741" s="100" t="n">
        <v>529</v>
      </c>
      <c r="O741" s="100" t="n">
        <v>79</v>
      </c>
      <c r="P741" s="100" t="n">
        <v>77</v>
      </c>
      <c r="Q741" s="100"/>
      <c r="R741" s="103" t="n">
        <f aca="false">合約與計費!$D$4</f>
        <v>0.296</v>
      </c>
      <c r="S741" s="104" t="n">
        <f aca="false">ROUND(P741*R741,0)</f>
        <v>23</v>
      </c>
      <c r="T741" s="105"/>
      <c r="U741" s="100"/>
      <c r="V741" s="100"/>
      <c r="W741" s="106"/>
      <c r="X741" s="100"/>
      <c r="Y741" s="100"/>
      <c r="Z741" s="107"/>
      <c r="AA741" s="108"/>
      <c r="AB741" s="109"/>
      <c r="AC741" s="110"/>
      <c r="AD741" s="42" t="n">
        <v>0.0497</v>
      </c>
      <c r="AE741" s="43" t="n">
        <v>0.8</v>
      </c>
    </row>
    <row r="742" customFormat="false" ht="16.5" hidden="false" customHeight="true" outlineLevel="0" collapsed="false">
      <c r="A742" s="97" t="n">
        <f aca="false">ROW(A739)</f>
        <v>739</v>
      </c>
      <c r="B742" s="97" t="s">
        <v>469</v>
      </c>
      <c r="C742" s="100" t="n">
        <v>1</v>
      </c>
      <c r="D742" s="85"/>
      <c r="E742" s="98" t="s">
        <v>2106</v>
      </c>
      <c r="F742" s="99" t="s">
        <v>2099</v>
      </c>
      <c r="G742" s="100" t="s">
        <v>1883</v>
      </c>
      <c r="H742" s="100" t="s">
        <v>2100</v>
      </c>
      <c r="I742" s="100" t="s">
        <v>49</v>
      </c>
      <c r="J742" s="98" t="s">
        <v>471</v>
      </c>
      <c r="K742" s="101" t="s">
        <v>2107</v>
      </c>
      <c r="L742" s="102" t="n">
        <v>45758</v>
      </c>
      <c r="M742" s="100" t="n">
        <v>3822</v>
      </c>
      <c r="N742" s="100" t="n">
        <v>4646</v>
      </c>
      <c r="O742" s="100" t="n">
        <v>824</v>
      </c>
      <c r="P742" s="100" t="n">
        <v>799</v>
      </c>
      <c r="Q742" s="100"/>
      <c r="R742" s="103" t="n">
        <f aca="false">合約與計費!$D$4</f>
        <v>0.296</v>
      </c>
      <c r="S742" s="104" t="n">
        <f aca="false">ROUND(P742*R742,0)</f>
        <v>237</v>
      </c>
      <c r="T742" s="105"/>
      <c r="U742" s="100"/>
      <c r="V742" s="100"/>
      <c r="W742" s="106"/>
      <c r="X742" s="100"/>
      <c r="Y742" s="100"/>
      <c r="Z742" s="107"/>
      <c r="AA742" s="108"/>
      <c r="AB742" s="109"/>
      <c r="AC742" s="110"/>
      <c r="AD742" s="42" t="n">
        <v>0.0914</v>
      </c>
      <c r="AE742" s="43" t="n">
        <v>0.7</v>
      </c>
    </row>
    <row r="743" customFormat="false" ht="16.5" hidden="false" customHeight="true" outlineLevel="0" collapsed="false">
      <c r="A743" s="97" t="n">
        <f aca="false">ROW(A740)</f>
        <v>740</v>
      </c>
      <c r="B743" s="97" t="s">
        <v>473</v>
      </c>
      <c r="C743" s="100" t="n">
        <v>1</v>
      </c>
      <c r="D743" s="85"/>
      <c r="E743" s="98" t="s">
        <v>2108</v>
      </c>
      <c r="F743" s="99" t="s">
        <v>2099</v>
      </c>
      <c r="G743" s="100" t="s">
        <v>1883</v>
      </c>
      <c r="H743" s="100" t="s">
        <v>2100</v>
      </c>
      <c r="I743" s="100" t="s">
        <v>49</v>
      </c>
      <c r="J743" s="98" t="s">
        <v>471</v>
      </c>
      <c r="K743" s="101" t="s">
        <v>2109</v>
      </c>
      <c r="L743" s="102" t="n">
        <v>45758</v>
      </c>
      <c r="M743" s="100" t="n">
        <v>4074</v>
      </c>
      <c r="N743" s="100" t="n">
        <v>4805</v>
      </c>
      <c r="O743" s="100" t="n">
        <v>731</v>
      </c>
      <c r="P743" s="100" t="n">
        <v>709</v>
      </c>
      <c r="Q743" s="100"/>
      <c r="R743" s="103" t="n">
        <f aca="false">合約與計費!$D$4</f>
        <v>0.296</v>
      </c>
      <c r="S743" s="104" t="n">
        <f aca="false">ROUND(P743*R743,0)</f>
        <v>210</v>
      </c>
      <c r="T743" s="105"/>
      <c r="U743" s="100"/>
      <c r="V743" s="100"/>
      <c r="W743" s="106"/>
      <c r="X743" s="100"/>
      <c r="Y743" s="100"/>
      <c r="Z743" s="107"/>
      <c r="AA743" s="108"/>
      <c r="AB743" s="109"/>
      <c r="AC743" s="110"/>
      <c r="AD743" s="42" t="n">
        <v>0.1149</v>
      </c>
      <c r="AE743" s="43" t="n">
        <v>0.5</v>
      </c>
    </row>
    <row r="744" customFormat="false" ht="16.5" hidden="false" customHeight="true" outlineLevel="0" collapsed="false">
      <c r="A744" s="97" t="n">
        <f aca="false">ROW(A741)</f>
        <v>741</v>
      </c>
      <c r="B744" s="97" t="s">
        <v>476</v>
      </c>
      <c r="C744" s="100" t="n">
        <v>1</v>
      </c>
      <c r="D744" s="85"/>
      <c r="E744" s="98" t="s">
        <v>2110</v>
      </c>
      <c r="F744" s="99" t="s">
        <v>2099</v>
      </c>
      <c r="G744" s="100" t="s">
        <v>1883</v>
      </c>
      <c r="H744" s="100" t="s">
        <v>2100</v>
      </c>
      <c r="I744" s="100" t="s">
        <v>49</v>
      </c>
      <c r="J744" s="98" t="s">
        <v>471</v>
      </c>
      <c r="K744" s="101" t="s">
        <v>2111</v>
      </c>
      <c r="L744" s="102" t="n">
        <v>45758</v>
      </c>
      <c r="M744" s="100" t="n">
        <v>3663</v>
      </c>
      <c r="N744" s="100" t="n">
        <v>4654</v>
      </c>
      <c r="O744" s="100" t="n">
        <v>991</v>
      </c>
      <c r="P744" s="100" t="n">
        <v>961</v>
      </c>
      <c r="Q744" s="100"/>
      <c r="R744" s="103" t="n">
        <f aca="false">合約與計費!$D$4</f>
        <v>0.296</v>
      </c>
      <c r="S744" s="104" t="n">
        <f aca="false">ROUND(P744*R744,0)</f>
        <v>284</v>
      </c>
      <c r="T744" s="105"/>
      <c r="U744" s="100"/>
      <c r="V744" s="100"/>
      <c r="W744" s="106"/>
      <c r="X744" s="100"/>
      <c r="Y744" s="100"/>
      <c r="Z744" s="107"/>
      <c r="AA744" s="108"/>
      <c r="AB744" s="109"/>
      <c r="AC744" s="110"/>
      <c r="AD744" s="42" t="n">
        <v>0.0885</v>
      </c>
      <c r="AE744" s="43" t="n">
        <v>0.7</v>
      </c>
    </row>
    <row r="745" customFormat="false" ht="16.5" hidden="false" customHeight="true" outlineLevel="0" collapsed="false">
      <c r="A745" s="97" t="n">
        <f aca="false">ROW(A742)</f>
        <v>742</v>
      </c>
      <c r="B745" s="97" t="s">
        <v>479</v>
      </c>
      <c r="C745" s="100" t="n">
        <v>1</v>
      </c>
      <c r="D745" s="85"/>
      <c r="E745" s="98" t="s">
        <v>2112</v>
      </c>
      <c r="F745" s="99" t="s">
        <v>2099</v>
      </c>
      <c r="G745" s="100" t="s">
        <v>1883</v>
      </c>
      <c r="H745" s="100" t="s">
        <v>2100</v>
      </c>
      <c r="I745" s="100" t="s">
        <v>49</v>
      </c>
      <c r="J745" s="98" t="s">
        <v>471</v>
      </c>
      <c r="K745" s="101" t="s">
        <v>2113</v>
      </c>
      <c r="L745" s="102" t="n">
        <v>45758</v>
      </c>
      <c r="M745" s="100" t="n">
        <v>3104</v>
      </c>
      <c r="N745" s="100" t="n">
        <v>3622</v>
      </c>
      <c r="O745" s="100" t="n">
        <v>518</v>
      </c>
      <c r="P745" s="100" t="n">
        <v>502</v>
      </c>
      <c r="Q745" s="100"/>
      <c r="R745" s="103" t="n">
        <f aca="false">合約與計費!$D$4</f>
        <v>0.296</v>
      </c>
      <c r="S745" s="104" t="n">
        <f aca="false">ROUND(P745*R745,0)</f>
        <v>149</v>
      </c>
      <c r="T745" s="105"/>
      <c r="U745" s="100"/>
      <c r="V745" s="100"/>
      <c r="W745" s="106"/>
      <c r="X745" s="100"/>
      <c r="Y745" s="100"/>
      <c r="Z745" s="107"/>
      <c r="AA745" s="108"/>
      <c r="AB745" s="109"/>
      <c r="AC745" s="110"/>
      <c r="AD745" s="42" t="n">
        <v>0.1004</v>
      </c>
      <c r="AE745" s="43" t="n">
        <v>0.7</v>
      </c>
    </row>
    <row r="746" customFormat="false" ht="16.5" hidden="false" customHeight="true" outlineLevel="0" collapsed="false">
      <c r="A746" s="97" t="n">
        <f aca="false">ROW(A743)</f>
        <v>743</v>
      </c>
      <c r="B746" s="97" t="s">
        <v>482</v>
      </c>
      <c r="C746" s="100" t="n">
        <v>1</v>
      </c>
      <c r="D746" s="85"/>
      <c r="E746" s="98" t="s">
        <v>2114</v>
      </c>
      <c r="F746" s="99" t="s">
        <v>2099</v>
      </c>
      <c r="G746" s="100" t="s">
        <v>1883</v>
      </c>
      <c r="H746" s="100" t="s">
        <v>2100</v>
      </c>
      <c r="I746" s="100" t="s">
        <v>49</v>
      </c>
      <c r="J746" s="98" t="s">
        <v>471</v>
      </c>
      <c r="K746" s="101" t="s">
        <v>2115</v>
      </c>
      <c r="L746" s="102" t="n">
        <v>45758</v>
      </c>
      <c r="M746" s="100" t="n">
        <v>4591</v>
      </c>
      <c r="N746" s="100" t="n">
        <v>5023</v>
      </c>
      <c r="O746" s="100" t="n">
        <v>432</v>
      </c>
      <c r="P746" s="100" t="n">
        <v>419</v>
      </c>
      <c r="Q746" s="100"/>
      <c r="R746" s="103" t="n">
        <f aca="false">合約與計費!$D$4</f>
        <v>0.296</v>
      </c>
      <c r="S746" s="104" t="n">
        <f aca="false">ROUND(P746*R746,0)</f>
        <v>124</v>
      </c>
      <c r="T746" s="105"/>
      <c r="U746" s="100"/>
      <c r="V746" s="100"/>
      <c r="W746" s="106"/>
      <c r="X746" s="100"/>
      <c r="Y746" s="100"/>
      <c r="Z746" s="107"/>
      <c r="AA746" s="108"/>
      <c r="AB746" s="109"/>
      <c r="AC746" s="110"/>
      <c r="AD746" s="42" t="n">
        <v>0.1181</v>
      </c>
      <c r="AE746" s="43" t="n">
        <v>0.6</v>
      </c>
    </row>
    <row r="747" customFormat="false" ht="16.5" hidden="false" customHeight="true" outlineLevel="0" collapsed="false">
      <c r="A747" s="97" t="n">
        <f aca="false">ROW(A744)</f>
        <v>744</v>
      </c>
      <c r="B747" s="97" t="s">
        <v>485</v>
      </c>
      <c r="C747" s="100" t="n">
        <v>1</v>
      </c>
      <c r="D747" s="85"/>
      <c r="E747" s="98" t="s">
        <v>2116</v>
      </c>
      <c r="F747" s="99" t="s">
        <v>2099</v>
      </c>
      <c r="G747" s="100" t="s">
        <v>1883</v>
      </c>
      <c r="H747" s="100" t="s">
        <v>2100</v>
      </c>
      <c r="I747" s="100" t="s">
        <v>49</v>
      </c>
      <c r="J747" s="98" t="s">
        <v>471</v>
      </c>
      <c r="K747" s="101" t="s">
        <v>2117</v>
      </c>
      <c r="L747" s="102" t="n">
        <v>45758</v>
      </c>
      <c r="M747" s="100" t="n">
        <v>3578</v>
      </c>
      <c r="N747" s="100" t="n">
        <v>4186</v>
      </c>
      <c r="O747" s="100" t="n">
        <v>608</v>
      </c>
      <c r="P747" s="100" t="n">
        <v>590</v>
      </c>
      <c r="Q747" s="100"/>
      <c r="R747" s="103" t="n">
        <f aca="false">合約與計費!$D$4</f>
        <v>0.296</v>
      </c>
      <c r="S747" s="104" t="n">
        <f aca="false">ROUND(P747*R747,0)</f>
        <v>175</v>
      </c>
      <c r="T747" s="105"/>
      <c r="U747" s="100"/>
      <c r="V747" s="100"/>
      <c r="W747" s="106"/>
      <c r="X747" s="100"/>
      <c r="Y747" s="100"/>
      <c r="Z747" s="107"/>
      <c r="AA747" s="108"/>
      <c r="AB747" s="109"/>
      <c r="AC747" s="110"/>
      <c r="AD747" s="42" t="n">
        <v>0.1074</v>
      </c>
      <c r="AE747" s="43" t="n">
        <v>0.7</v>
      </c>
    </row>
    <row r="748" customFormat="false" ht="16.5" hidden="false" customHeight="true" outlineLevel="0" collapsed="false">
      <c r="A748" s="111" t="n">
        <f aca="false">ROW(A745)</f>
        <v>745</v>
      </c>
      <c r="B748" s="111" t="n">
        <v>10</v>
      </c>
      <c r="C748" s="114" t="n">
        <v>1</v>
      </c>
      <c r="D748" s="85"/>
      <c r="E748" s="112" t="s">
        <v>2118</v>
      </c>
      <c r="F748" s="113" t="s">
        <v>2099</v>
      </c>
      <c r="G748" s="114" t="s">
        <v>1883</v>
      </c>
      <c r="H748" s="114" t="s">
        <v>2100</v>
      </c>
      <c r="I748" s="114" t="s">
        <v>49</v>
      </c>
      <c r="J748" s="112" t="s">
        <v>471</v>
      </c>
      <c r="K748" s="115" t="s">
        <v>2119</v>
      </c>
      <c r="L748" s="116" t="n">
        <v>45758</v>
      </c>
      <c r="M748" s="114" t="n">
        <v>2982</v>
      </c>
      <c r="N748" s="114" t="n">
        <v>3541</v>
      </c>
      <c r="O748" s="100" t="n">
        <v>559</v>
      </c>
      <c r="P748" s="100" t="n">
        <v>542</v>
      </c>
      <c r="Q748" s="100" t="n">
        <f aca="false">ROUND(SUM(P739:P748),2)</f>
        <v>4765</v>
      </c>
      <c r="R748" s="117" t="n">
        <f aca="false">合約與計費!$D$4</f>
        <v>0.296</v>
      </c>
      <c r="S748" s="118" t="n">
        <f aca="false">ROUND(P748*R748,0)</f>
        <v>160</v>
      </c>
      <c r="T748" s="105" t="n">
        <f aca="false">ROUND(SUM(S739:S748),2)</f>
        <v>1412</v>
      </c>
      <c r="U748" s="114"/>
      <c r="V748" s="114"/>
      <c r="W748" s="120"/>
      <c r="X748" s="114"/>
      <c r="Y748" s="100" t="n">
        <f aca="false">ROUND(SUM(X739:X748),2)</f>
        <v>20</v>
      </c>
      <c r="Z748" s="121"/>
      <c r="AA748" s="108"/>
      <c r="AB748" s="109" t="n">
        <f aca="false">ROUND(SUM(AA739:AA748),2)</f>
        <v>56</v>
      </c>
      <c r="AC748" s="124"/>
      <c r="AD748" s="42" t="n">
        <v>0.048</v>
      </c>
      <c r="AE748" s="43" t="n">
        <v>1</v>
      </c>
    </row>
    <row r="749" customFormat="false" ht="16.5" hidden="false" customHeight="true" outlineLevel="0" collapsed="false">
      <c r="A749" s="84" t="n">
        <f aca="false">ROW(A746)</f>
        <v>746</v>
      </c>
      <c r="B749" s="84" t="s">
        <v>455</v>
      </c>
      <c r="C749" s="32" t="n">
        <v>1</v>
      </c>
      <c r="D749" s="85" t="n">
        <v>81</v>
      </c>
      <c r="E749" s="86" t="s">
        <v>2120</v>
      </c>
      <c r="F749" s="87" t="s">
        <v>2121</v>
      </c>
      <c r="G749" s="32" t="s">
        <v>1883</v>
      </c>
      <c r="H749" s="32" t="s">
        <v>2100</v>
      </c>
      <c r="I749" s="32" t="s">
        <v>56</v>
      </c>
      <c r="J749" s="86" t="s">
        <v>460</v>
      </c>
      <c r="K749" s="88" t="s">
        <v>2122</v>
      </c>
      <c r="L749" s="89" t="n">
        <v>45775</v>
      </c>
      <c r="M749" s="32" t="n">
        <v>125</v>
      </c>
      <c r="N749" s="32" t="n">
        <v>150</v>
      </c>
      <c r="O749" s="32" t="n">
        <v>25</v>
      </c>
      <c r="P749" s="32" t="n">
        <v>24</v>
      </c>
      <c r="Q749" s="32"/>
      <c r="R749" s="90" t="n">
        <f aca="false">合約與計費!$D$4</f>
        <v>0.296</v>
      </c>
      <c r="S749" s="91" t="n">
        <f aca="false">ROUND(P749*R749,0)</f>
        <v>7</v>
      </c>
      <c r="T749" s="92"/>
      <c r="U749" s="32" t="n">
        <v>165</v>
      </c>
      <c r="V749" s="32" t="n">
        <v>217</v>
      </c>
      <c r="W749" s="32" t="n">
        <v>52</v>
      </c>
      <c r="X749" s="32" t="n">
        <v>50</v>
      </c>
      <c r="Y749" s="32"/>
      <c r="Z749" s="93" t="n">
        <f aca="false">合約與計費!$E$4</f>
        <v>2.8</v>
      </c>
      <c r="AA749" s="94" t="n">
        <f aca="false">ROUND(X749*Z749,0)</f>
        <v>140</v>
      </c>
      <c r="AB749" s="95"/>
      <c r="AC749" s="96"/>
      <c r="AD749" s="42"/>
      <c r="AE749" s="43"/>
    </row>
    <row r="750" customFormat="false" ht="16.5" hidden="false" customHeight="true" outlineLevel="0" collapsed="false">
      <c r="A750" s="97" t="n">
        <f aca="false">ROW(A747)</f>
        <v>747</v>
      </c>
      <c r="B750" s="97" t="s">
        <v>462</v>
      </c>
      <c r="C750" s="100" t="n">
        <v>1</v>
      </c>
      <c r="D750" s="85"/>
      <c r="E750" s="98" t="s">
        <v>2123</v>
      </c>
      <c r="F750" s="99" t="s">
        <v>2121</v>
      </c>
      <c r="G750" s="100" t="s">
        <v>1883</v>
      </c>
      <c r="H750" s="100" t="s">
        <v>2100</v>
      </c>
      <c r="I750" s="100" t="s">
        <v>56</v>
      </c>
      <c r="J750" s="98" t="s">
        <v>464</v>
      </c>
      <c r="K750" s="101" t="s">
        <v>2124</v>
      </c>
      <c r="L750" s="102" t="n">
        <v>45775</v>
      </c>
      <c r="M750" s="100" t="n">
        <v>132</v>
      </c>
      <c r="N750" s="100" t="n">
        <v>158</v>
      </c>
      <c r="O750" s="100" t="n">
        <v>26</v>
      </c>
      <c r="P750" s="100" t="n">
        <v>25</v>
      </c>
      <c r="Q750" s="100"/>
      <c r="R750" s="103" t="n">
        <f aca="false">合約與計費!$D$4</f>
        <v>0.296</v>
      </c>
      <c r="S750" s="104" t="n">
        <f aca="false">ROUND(P750*R750,0)</f>
        <v>7</v>
      </c>
      <c r="T750" s="105"/>
      <c r="U750" s="100"/>
      <c r="V750" s="100"/>
      <c r="W750" s="106"/>
      <c r="X750" s="100"/>
      <c r="Y750" s="100"/>
      <c r="Z750" s="107"/>
      <c r="AA750" s="108"/>
      <c r="AB750" s="109"/>
      <c r="AC750" s="110"/>
      <c r="AD750" s="42" t="n">
        <v>0.0418</v>
      </c>
      <c r="AE750" s="43" t="n">
        <v>1</v>
      </c>
    </row>
    <row r="751" customFormat="false" ht="17.25" hidden="false" customHeight="true" outlineLevel="0" collapsed="false">
      <c r="A751" s="97" t="n">
        <f aca="false">ROW(A748)</f>
        <v>748</v>
      </c>
      <c r="B751" s="97" t="s">
        <v>466</v>
      </c>
      <c r="C751" s="100" t="n">
        <v>1</v>
      </c>
      <c r="D751" s="85"/>
      <c r="E751" s="98" t="s">
        <v>2125</v>
      </c>
      <c r="F751" s="99" t="s">
        <v>2121</v>
      </c>
      <c r="G751" s="100" t="s">
        <v>1883</v>
      </c>
      <c r="H751" s="100" t="s">
        <v>2100</v>
      </c>
      <c r="I751" s="100" t="s">
        <v>56</v>
      </c>
      <c r="J751" s="98" t="s">
        <v>471</v>
      </c>
      <c r="K751" s="101" t="s">
        <v>2126</v>
      </c>
      <c r="L751" s="102" t="n">
        <v>45775</v>
      </c>
      <c r="M751" s="100" t="n">
        <v>13155</v>
      </c>
      <c r="N751" s="100" t="n">
        <v>16589</v>
      </c>
      <c r="O751" s="100" t="n">
        <v>3434</v>
      </c>
      <c r="P751" s="100" t="n">
        <v>3331</v>
      </c>
      <c r="Q751" s="100"/>
      <c r="R751" s="103" t="n">
        <f aca="false">合約與計費!$D$4</f>
        <v>0.296</v>
      </c>
      <c r="S751" s="104" t="n">
        <f aca="false">ROUND(P751*R751,0)</f>
        <v>986</v>
      </c>
      <c r="T751" s="105"/>
      <c r="U751" s="100"/>
      <c r="V751" s="100"/>
      <c r="W751" s="106"/>
      <c r="X751" s="100"/>
      <c r="Y751" s="100"/>
      <c r="Z751" s="107"/>
      <c r="AA751" s="108"/>
      <c r="AB751" s="109"/>
      <c r="AC751" s="110"/>
      <c r="AD751" s="42" t="n">
        <v>0.0997</v>
      </c>
      <c r="AE751" s="43" t="n">
        <v>0.2</v>
      </c>
    </row>
    <row r="752" customFormat="false" ht="16.5" hidden="false" customHeight="true" outlineLevel="0" collapsed="false">
      <c r="A752" s="97" t="n">
        <f aca="false">ROW(A749)</f>
        <v>749</v>
      </c>
      <c r="B752" s="97" t="s">
        <v>469</v>
      </c>
      <c r="C752" s="100" t="n">
        <v>1</v>
      </c>
      <c r="D752" s="85"/>
      <c r="E752" s="98" t="s">
        <v>2127</v>
      </c>
      <c r="F752" s="99" t="s">
        <v>2121</v>
      </c>
      <c r="G752" s="100" t="s">
        <v>1883</v>
      </c>
      <c r="H752" s="100" t="s">
        <v>2100</v>
      </c>
      <c r="I752" s="100" t="s">
        <v>56</v>
      </c>
      <c r="J752" s="98" t="s">
        <v>471</v>
      </c>
      <c r="K752" s="101" t="s">
        <v>2128</v>
      </c>
      <c r="L752" s="102" t="n">
        <v>45775</v>
      </c>
      <c r="M752" s="100" t="n">
        <v>1457</v>
      </c>
      <c r="N752" s="100" t="n">
        <v>1787</v>
      </c>
      <c r="O752" s="100" t="n">
        <v>330</v>
      </c>
      <c r="P752" s="100" t="n">
        <v>320</v>
      </c>
      <c r="Q752" s="100"/>
      <c r="R752" s="103" t="n">
        <f aca="false">合約與計費!$D$4</f>
        <v>0.296</v>
      </c>
      <c r="S752" s="104" t="n">
        <f aca="false">ROUND(P752*R752,0)</f>
        <v>95</v>
      </c>
      <c r="T752" s="105"/>
      <c r="U752" s="100"/>
      <c r="V752" s="100"/>
      <c r="W752" s="106"/>
      <c r="X752" s="100"/>
      <c r="Y752" s="100"/>
      <c r="Z752" s="107"/>
      <c r="AA752" s="108"/>
      <c r="AB752" s="109"/>
      <c r="AC752" s="110"/>
      <c r="AD752" s="42" t="n">
        <v>0.1096</v>
      </c>
      <c r="AE752" s="43" t="n">
        <v>0.3</v>
      </c>
    </row>
    <row r="753" customFormat="false" ht="16.5" hidden="false" customHeight="true" outlineLevel="0" collapsed="false">
      <c r="A753" s="111" t="n">
        <f aca="false">ROW(A750)</f>
        <v>750</v>
      </c>
      <c r="B753" s="111" t="s">
        <v>473</v>
      </c>
      <c r="C753" s="114" t="n">
        <v>1</v>
      </c>
      <c r="D753" s="85"/>
      <c r="E753" s="112" t="s">
        <v>2129</v>
      </c>
      <c r="F753" s="113" t="s">
        <v>2121</v>
      </c>
      <c r="G753" s="114" t="s">
        <v>1883</v>
      </c>
      <c r="H753" s="114" t="s">
        <v>2100</v>
      </c>
      <c r="I753" s="114" t="s">
        <v>56</v>
      </c>
      <c r="J753" s="112" t="s">
        <v>471</v>
      </c>
      <c r="K753" s="115" t="s">
        <v>2130</v>
      </c>
      <c r="L753" s="116" t="n">
        <v>45775</v>
      </c>
      <c r="M753" s="114" t="n">
        <v>6191</v>
      </c>
      <c r="N753" s="114" t="n">
        <v>7782</v>
      </c>
      <c r="O753" s="114" t="n">
        <v>1591</v>
      </c>
      <c r="P753" s="114" t="n">
        <v>1543</v>
      </c>
      <c r="Q753" s="114" t="n">
        <f aca="false">ROUND(SUM(P749:P753),2)</f>
        <v>5243</v>
      </c>
      <c r="R753" s="117" t="n">
        <f aca="false">合約與計費!$D$4</f>
        <v>0.296</v>
      </c>
      <c r="S753" s="118" t="n">
        <f aca="false">ROUND(P753*R753,0)</f>
        <v>457</v>
      </c>
      <c r="T753" s="119" t="n">
        <f aca="false">ROUND(SUM(S749:S753),2)</f>
        <v>1552</v>
      </c>
      <c r="U753" s="114"/>
      <c r="V753" s="114"/>
      <c r="W753" s="120"/>
      <c r="X753" s="114"/>
      <c r="Y753" s="114" t="n">
        <f aca="false">ROUND(SUM(X749:X753),2)</f>
        <v>50</v>
      </c>
      <c r="Z753" s="121"/>
      <c r="AA753" s="122"/>
      <c r="AB753" s="123" t="n">
        <f aca="false">ROUND(SUM(AA749:AA753),2)</f>
        <v>140</v>
      </c>
      <c r="AC753" s="124"/>
      <c r="AD753" s="42" t="n">
        <v>0.0885</v>
      </c>
      <c r="AE753" s="43" t="n">
        <v>0.5</v>
      </c>
    </row>
    <row r="754" customFormat="false" ht="16.5" hidden="false" customHeight="true" outlineLevel="0" collapsed="false">
      <c r="A754" s="84" t="n">
        <f aca="false">ROW(A751)</f>
        <v>751</v>
      </c>
      <c r="B754" s="84" t="s">
        <v>455</v>
      </c>
      <c r="C754" s="32" t="n">
        <v>1</v>
      </c>
      <c r="D754" s="85" t="n">
        <v>82</v>
      </c>
      <c r="E754" s="86" t="s">
        <v>2131</v>
      </c>
      <c r="F754" s="87" t="s">
        <v>2132</v>
      </c>
      <c r="G754" s="32" t="s">
        <v>1883</v>
      </c>
      <c r="H754" s="32" t="s">
        <v>2100</v>
      </c>
      <c r="I754" s="32" t="s">
        <v>144</v>
      </c>
      <c r="J754" s="86" t="s">
        <v>460</v>
      </c>
      <c r="K754" s="88" t="s">
        <v>2133</v>
      </c>
      <c r="L754" s="89" t="n">
        <v>45775</v>
      </c>
      <c r="M754" s="32" t="n">
        <v>2332</v>
      </c>
      <c r="N754" s="32" t="n">
        <v>2687</v>
      </c>
      <c r="O754" s="32" t="n">
        <v>355</v>
      </c>
      <c r="P754" s="32" t="n">
        <v>344</v>
      </c>
      <c r="Q754" s="32"/>
      <c r="R754" s="90" t="n">
        <f aca="false">合約與計費!$D$4</f>
        <v>0.296</v>
      </c>
      <c r="S754" s="91" t="n">
        <f aca="false">ROUND(P754*R754,0)</f>
        <v>102</v>
      </c>
      <c r="T754" s="92"/>
      <c r="U754" s="32" t="n">
        <v>142</v>
      </c>
      <c r="V754" s="32" t="n">
        <v>185</v>
      </c>
      <c r="W754" s="32" t="n">
        <v>43</v>
      </c>
      <c r="X754" s="32" t="n">
        <v>42</v>
      </c>
      <c r="Y754" s="32"/>
      <c r="Z754" s="93" t="n">
        <f aca="false">合約與計費!$E$4</f>
        <v>2.8</v>
      </c>
      <c r="AA754" s="94" t="n">
        <f aca="false">ROUND(X754*Z754,0)</f>
        <v>118</v>
      </c>
      <c r="AB754" s="95"/>
      <c r="AC754" s="96"/>
      <c r="AD754" s="42"/>
      <c r="AE754" s="43"/>
    </row>
    <row r="755" customFormat="false" ht="16.5" hidden="false" customHeight="true" outlineLevel="0" collapsed="false">
      <c r="A755" s="97" t="n">
        <f aca="false">ROW(A752)</f>
        <v>752</v>
      </c>
      <c r="B755" s="97" t="s">
        <v>462</v>
      </c>
      <c r="C755" s="100" t="n">
        <v>1</v>
      </c>
      <c r="D755" s="85"/>
      <c r="E755" s="98" t="s">
        <v>2134</v>
      </c>
      <c r="F755" s="99" t="s">
        <v>2132</v>
      </c>
      <c r="G755" s="100" t="s">
        <v>1883</v>
      </c>
      <c r="H755" s="100" t="s">
        <v>2100</v>
      </c>
      <c r="I755" s="100" t="s">
        <v>144</v>
      </c>
      <c r="J755" s="98" t="s">
        <v>464</v>
      </c>
      <c r="K755" s="101" t="s">
        <v>2135</v>
      </c>
      <c r="L755" s="102" t="n">
        <v>45775</v>
      </c>
      <c r="M755" s="100" t="n">
        <v>271</v>
      </c>
      <c r="N755" s="100" t="n">
        <v>311</v>
      </c>
      <c r="O755" s="100" t="n">
        <v>40</v>
      </c>
      <c r="P755" s="100" t="n">
        <v>39</v>
      </c>
      <c r="Q755" s="100"/>
      <c r="R755" s="103" t="n">
        <f aca="false">合約與計費!$D$4</f>
        <v>0.296</v>
      </c>
      <c r="S755" s="104" t="n">
        <f aca="false">ROUND(P755*R755,0)</f>
        <v>12</v>
      </c>
      <c r="T755" s="105"/>
      <c r="U755" s="100"/>
      <c r="V755" s="100"/>
      <c r="W755" s="106"/>
      <c r="X755" s="100"/>
      <c r="Y755" s="100"/>
      <c r="Z755" s="107"/>
      <c r="AA755" s="108"/>
      <c r="AB755" s="109"/>
      <c r="AC755" s="110"/>
      <c r="AD755" s="42" t="n">
        <v>0.0501</v>
      </c>
      <c r="AE755" s="43" t="n">
        <v>0.9</v>
      </c>
    </row>
    <row r="756" customFormat="false" ht="16.5" hidden="false" customHeight="true" outlineLevel="0" collapsed="false">
      <c r="A756" s="97" t="n">
        <f aca="false">ROW(A753)</f>
        <v>753</v>
      </c>
      <c r="B756" s="97" t="s">
        <v>466</v>
      </c>
      <c r="C756" s="100" t="n">
        <v>1</v>
      </c>
      <c r="D756" s="85"/>
      <c r="E756" s="98" t="s">
        <v>2136</v>
      </c>
      <c r="F756" s="99" t="s">
        <v>2132</v>
      </c>
      <c r="G756" s="100" t="s">
        <v>1883</v>
      </c>
      <c r="H756" s="100" t="s">
        <v>2100</v>
      </c>
      <c r="I756" s="100" t="s">
        <v>144</v>
      </c>
      <c r="J756" s="98" t="s">
        <v>471</v>
      </c>
      <c r="K756" s="101" t="s">
        <v>2137</v>
      </c>
      <c r="L756" s="102" t="n">
        <v>45775</v>
      </c>
      <c r="M756" s="100" t="n">
        <v>6079</v>
      </c>
      <c r="N756" s="100" t="n">
        <v>6737</v>
      </c>
      <c r="O756" s="100" t="n">
        <v>658</v>
      </c>
      <c r="P756" s="100" t="n">
        <v>638</v>
      </c>
      <c r="Q756" s="100"/>
      <c r="R756" s="103" t="n">
        <f aca="false">合約與計費!$D$4</f>
        <v>0.296</v>
      </c>
      <c r="S756" s="104" t="n">
        <f aca="false">ROUND(P756*R756,0)</f>
        <v>189</v>
      </c>
      <c r="T756" s="105"/>
      <c r="U756" s="100"/>
      <c r="V756" s="100"/>
      <c r="W756" s="106"/>
      <c r="X756" s="100"/>
      <c r="Y756" s="100"/>
      <c r="Z756" s="107"/>
      <c r="AA756" s="108"/>
      <c r="AB756" s="109"/>
      <c r="AC756" s="110"/>
      <c r="AD756" s="42" t="n">
        <v>0.095</v>
      </c>
      <c r="AE756" s="43" t="n">
        <v>0.3</v>
      </c>
    </row>
    <row r="757" customFormat="false" ht="16.5" hidden="false" customHeight="true" outlineLevel="0" collapsed="false">
      <c r="A757" s="97" t="n">
        <f aca="false">ROW(A754)</f>
        <v>754</v>
      </c>
      <c r="B757" s="97" t="s">
        <v>469</v>
      </c>
      <c r="C757" s="100" t="n">
        <v>1</v>
      </c>
      <c r="D757" s="85"/>
      <c r="E757" s="98" t="s">
        <v>2138</v>
      </c>
      <c r="F757" s="99" t="s">
        <v>2132</v>
      </c>
      <c r="G757" s="100" t="s">
        <v>1883</v>
      </c>
      <c r="H757" s="100" t="s">
        <v>2100</v>
      </c>
      <c r="I757" s="100" t="s">
        <v>144</v>
      </c>
      <c r="J757" s="98" t="s">
        <v>471</v>
      </c>
      <c r="K757" s="101" t="s">
        <v>2139</v>
      </c>
      <c r="L757" s="102" t="n">
        <v>45775</v>
      </c>
      <c r="M757" s="100" t="n">
        <v>4686</v>
      </c>
      <c r="N757" s="100" t="n">
        <v>5333</v>
      </c>
      <c r="O757" s="100" t="n">
        <v>647</v>
      </c>
      <c r="P757" s="100" t="n">
        <v>628</v>
      </c>
      <c r="Q757" s="100"/>
      <c r="R757" s="103" t="n">
        <f aca="false">合約與計費!$D$4</f>
        <v>0.296</v>
      </c>
      <c r="S757" s="104" t="n">
        <f aca="false">ROUND(P757*R757,0)</f>
        <v>186</v>
      </c>
      <c r="T757" s="105"/>
      <c r="U757" s="100"/>
      <c r="V757" s="100"/>
      <c r="W757" s="106"/>
      <c r="X757" s="100"/>
      <c r="Y757" s="100"/>
      <c r="Z757" s="107"/>
      <c r="AA757" s="108"/>
      <c r="AB757" s="109"/>
      <c r="AC757" s="110"/>
      <c r="AD757" s="42" t="n">
        <v>0.0911</v>
      </c>
      <c r="AE757" s="43" t="n">
        <v>0.6</v>
      </c>
    </row>
    <row r="758" customFormat="false" ht="16.5" hidden="false" customHeight="true" outlineLevel="0" collapsed="false">
      <c r="A758" s="97" t="n">
        <f aca="false">ROW(A755)</f>
        <v>755</v>
      </c>
      <c r="B758" s="97" t="s">
        <v>473</v>
      </c>
      <c r="C758" s="100" t="n">
        <v>1</v>
      </c>
      <c r="D758" s="85"/>
      <c r="E758" s="98" t="s">
        <v>2140</v>
      </c>
      <c r="F758" s="99" t="s">
        <v>2132</v>
      </c>
      <c r="G758" s="100" t="s">
        <v>1883</v>
      </c>
      <c r="H758" s="100" t="s">
        <v>2100</v>
      </c>
      <c r="I758" s="100" t="s">
        <v>144</v>
      </c>
      <c r="J758" s="98" t="s">
        <v>471</v>
      </c>
      <c r="K758" s="101" t="s">
        <v>2141</v>
      </c>
      <c r="L758" s="102" t="n">
        <v>45775</v>
      </c>
      <c r="M758" s="100" t="n">
        <v>2977</v>
      </c>
      <c r="N758" s="100" t="n">
        <v>3760</v>
      </c>
      <c r="O758" s="100" t="n">
        <v>783</v>
      </c>
      <c r="P758" s="100" t="n">
        <v>760</v>
      </c>
      <c r="Q758" s="100"/>
      <c r="R758" s="103" t="n">
        <f aca="false">合約與計費!$D$4</f>
        <v>0.296</v>
      </c>
      <c r="S758" s="104" t="n">
        <f aca="false">ROUND(P758*R758,0)</f>
        <v>225</v>
      </c>
      <c r="T758" s="105"/>
      <c r="U758" s="100"/>
      <c r="V758" s="100"/>
      <c r="W758" s="106"/>
      <c r="X758" s="100"/>
      <c r="Y758" s="100"/>
      <c r="Z758" s="107"/>
      <c r="AA758" s="108"/>
      <c r="AB758" s="109"/>
      <c r="AC758" s="110"/>
      <c r="AD758" s="42" t="n">
        <v>0.1212</v>
      </c>
      <c r="AE758" s="43" t="n">
        <v>0.6</v>
      </c>
    </row>
    <row r="759" customFormat="false" ht="16.5" hidden="false" customHeight="true" outlineLevel="0" collapsed="false">
      <c r="A759" s="97" t="n">
        <f aca="false">ROW(A756)</f>
        <v>756</v>
      </c>
      <c r="B759" s="97" t="s">
        <v>476</v>
      </c>
      <c r="C759" s="100" t="n">
        <v>1</v>
      </c>
      <c r="D759" s="85"/>
      <c r="E759" s="98" t="s">
        <v>2142</v>
      </c>
      <c r="F759" s="99" t="s">
        <v>2132</v>
      </c>
      <c r="G759" s="100" t="s">
        <v>1883</v>
      </c>
      <c r="H759" s="100" t="s">
        <v>2100</v>
      </c>
      <c r="I759" s="100" t="s">
        <v>144</v>
      </c>
      <c r="J759" s="98" t="s">
        <v>471</v>
      </c>
      <c r="K759" s="101" t="s">
        <v>2143</v>
      </c>
      <c r="L759" s="102" t="n">
        <v>45775</v>
      </c>
      <c r="M759" s="100" t="n">
        <v>3277</v>
      </c>
      <c r="N759" s="100" t="n">
        <v>3852</v>
      </c>
      <c r="O759" s="100" t="n">
        <v>575</v>
      </c>
      <c r="P759" s="100" t="n">
        <v>558</v>
      </c>
      <c r="Q759" s="100"/>
      <c r="R759" s="103" t="n">
        <f aca="false">合約與計費!$D$4</f>
        <v>0.296</v>
      </c>
      <c r="S759" s="104" t="n">
        <f aca="false">ROUND(P759*R759,0)</f>
        <v>165</v>
      </c>
      <c r="T759" s="105"/>
      <c r="U759" s="100"/>
      <c r="V759" s="100"/>
      <c r="W759" s="106"/>
      <c r="X759" s="100"/>
      <c r="Y759" s="100"/>
      <c r="Z759" s="107"/>
      <c r="AA759" s="108"/>
      <c r="AB759" s="109"/>
      <c r="AC759" s="110"/>
      <c r="AD759" s="42" t="n">
        <v>0.0615</v>
      </c>
      <c r="AE759" s="43" t="n">
        <v>0.9</v>
      </c>
    </row>
    <row r="760" customFormat="false" ht="16.5" hidden="false" customHeight="true" outlineLevel="0" collapsed="false">
      <c r="A760" s="97" t="n">
        <f aca="false">ROW(A757)</f>
        <v>757</v>
      </c>
      <c r="B760" s="97" t="s">
        <v>479</v>
      </c>
      <c r="C760" s="100" t="n">
        <v>1</v>
      </c>
      <c r="D760" s="85"/>
      <c r="E760" s="98" t="s">
        <v>2144</v>
      </c>
      <c r="F760" s="99" t="s">
        <v>2132</v>
      </c>
      <c r="G760" s="100" t="s">
        <v>1883</v>
      </c>
      <c r="H760" s="100" t="s">
        <v>2100</v>
      </c>
      <c r="I760" s="100" t="s">
        <v>144</v>
      </c>
      <c r="J760" s="98" t="s">
        <v>471</v>
      </c>
      <c r="K760" s="101" t="s">
        <v>2145</v>
      </c>
      <c r="L760" s="102" t="n">
        <v>45775</v>
      </c>
      <c r="M760" s="100" t="n">
        <v>3554</v>
      </c>
      <c r="N760" s="100" t="n">
        <v>4311</v>
      </c>
      <c r="O760" s="100" t="n">
        <v>757</v>
      </c>
      <c r="P760" s="100" t="n">
        <v>734</v>
      </c>
      <c r="Q760" s="100"/>
      <c r="R760" s="103" t="n">
        <f aca="false">合約與計費!$D$4</f>
        <v>0.296</v>
      </c>
      <c r="S760" s="104" t="n">
        <f aca="false">ROUND(P760*R760,0)</f>
        <v>217</v>
      </c>
      <c r="T760" s="105"/>
      <c r="U760" s="100"/>
      <c r="V760" s="100"/>
      <c r="W760" s="106"/>
      <c r="X760" s="100"/>
      <c r="Y760" s="100"/>
      <c r="Z760" s="107"/>
      <c r="AA760" s="108"/>
      <c r="AB760" s="109"/>
      <c r="AC760" s="110"/>
      <c r="AD760" s="42" t="n">
        <v>0.0981</v>
      </c>
      <c r="AE760" s="43" t="n">
        <v>0.7</v>
      </c>
    </row>
    <row r="761" customFormat="false" ht="16.5" hidden="false" customHeight="true" outlineLevel="0" collapsed="false">
      <c r="A761" s="97" t="n">
        <f aca="false">ROW(A758)</f>
        <v>758</v>
      </c>
      <c r="B761" s="97" t="s">
        <v>482</v>
      </c>
      <c r="C761" s="100" t="n">
        <v>1</v>
      </c>
      <c r="D761" s="85"/>
      <c r="E761" s="98" t="s">
        <v>2146</v>
      </c>
      <c r="F761" s="99" t="s">
        <v>2132</v>
      </c>
      <c r="G761" s="100" t="s">
        <v>1883</v>
      </c>
      <c r="H761" s="100" t="s">
        <v>2100</v>
      </c>
      <c r="I761" s="100" t="s">
        <v>144</v>
      </c>
      <c r="J761" s="98" t="s">
        <v>471</v>
      </c>
      <c r="K761" s="101" t="s">
        <v>2147</v>
      </c>
      <c r="L761" s="102" t="n">
        <v>45775</v>
      </c>
      <c r="M761" s="100" t="n">
        <v>4141</v>
      </c>
      <c r="N761" s="100" t="n">
        <v>5139</v>
      </c>
      <c r="O761" s="100" t="n">
        <v>998</v>
      </c>
      <c r="P761" s="100" t="n">
        <v>968</v>
      </c>
      <c r="Q761" s="100"/>
      <c r="R761" s="103" t="n">
        <f aca="false">合約與計費!$D$4</f>
        <v>0.296</v>
      </c>
      <c r="S761" s="104" t="n">
        <f aca="false">ROUND(P761*R761,0)</f>
        <v>287</v>
      </c>
      <c r="T761" s="105"/>
      <c r="U761" s="100"/>
      <c r="V761" s="100"/>
      <c r="W761" s="106"/>
      <c r="X761" s="100"/>
      <c r="Y761" s="100"/>
      <c r="Z761" s="107"/>
      <c r="AA761" s="108"/>
      <c r="AB761" s="109"/>
      <c r="AC761" s="110"/>
      <c r="AD761" s="42" t="n">
        <v>0.1082</v>
      </c>
      <c r="AE761" s="43" t="n">
        <v>0.5</v>
      </c>
    </row>
    <row r="762" customFormat="false" ht="16.5" hidden="false" customHeight="true" outlineLevel="0" collapsed="false">
      <c r="A762" s="97" t="n">
        <f aca="false">ROW(A759)</f>
        <v>759</v>
      </c>
      <c r="B762" s="97" t="s">
        <v>485</v>
      </c>
      <c r="C762" s="100" t="n">
        <v>1</v>
      </c>
      <c r="D762" s="85"/>
      <c r="E762" s="98" t="s">
        <v>2148</v>
      </c>
      <c r="F762" s="99" t="s">
        <v>2132</v>
      </c>
      <c r="G762" s="100" t="s">
        <v>1883</v>
      </c>
      <c r="H762" s="100" t="s">
        <v>2100</v>
      </c>
      <c r="I762" s="100" t="s">
        <v>144</v>
      </c>
      <c r="J762" s="98" t="s">
        <v>471</v>
      </c>
      <c r="K762" s="101" t="s">
        <v>2149</v>
      </c>
      <c r="L762" s="102" t="n">
        <v>45775</v>
      </c>
      <c r="M762" s="100" t="n">
        <v>4364</v>
      </c>
      <c r="N762" s="100" t="n">
        <v>5129</v>
      </c>
      <c r="O762" s="100" t="n">
        <v>765</v>
      </c>
      <c r="P762" s="100" t="n">
        <v>742</v>
      </c>
      <c r="Q762" s="100"/>
      <c r="R762" s="103" t="n">
        <f aca="false">合約與計費!$D$4</f>
        <v>0.296</v>
      </c>
      <c r="S762" s="104" t="n">
        <f aca="false">ROUND(P762*R762,0)</f>
        <v>220</v>
      </c>
      <c r="T762" s="105"/>
      <c r="U762" s="100"/>
      <c r="V762" s="100"/>
      <c r="W762" s="106"/>
      <c r="X762" s="100"/>
      <c r="Y762" s="100"/>
      <c r="Z762" s="107"/>
      <c r="AA762" s="108"/>
      <c r="AB762" s="109"/>
      <c r="AC762" s="110"/>
      <c r="AD762" s="42" t="n">
        <v>0.1029</v>
      </c>
      <c r="AE762" s="43" t="n">
        <v>0.6</v>
      </c>
    </row>
    <row r="763" customFormat="false" ht="16.5" hidden="false" customHeight="true" outlineLevel="0" collapsed="false">
      <c r="A763" s="111" t="n">
        <f aca="false">ROW(A760)</f>
        <v>760</v>
      </c>
      <c r="B763" s="111" t="n">
        <v>10</v>
      </c>
      <c r="C763" s="114" t="n">
        <v>1</v>
      </c>
      <c r="D763" s="85"/>
      <c r="E763" s="112" t="s">
        <v>2150</v>
      </c>
      <c r="F763" s="113" t="s">
        <v>2132</v>
      </c>
      <c r="G763" s="114" t="s">
        <v>1883</v>
      </c>
      <c r="H763" s="114" t="s">
        <v>2100</v>
      </c>
      <c r="I763" s="114" t="s">
        <v>144</v>
      </c>
      <c r="J763" s="112" t="s">
        <v>471</v>
      </c>
      <c r="K763" s="115" t="s">
        <v>2151</v>
      </c>
      <c r="L763" s="116" t="n">
        <v>45775</v>
      </c>
      <c r="M763" s="114" t="n">
        <v>4360</v>
      </c>
      <c r="N763" s="114" t="n">
        <v>5036</v>
      </c>
      <c r="O763" s="114" t="n">
        <v>676</v>
      </c>
      <c r="P763" s="114" t="n">
        <v>656</v>
      </c>
      <c r="Q763" s="114" t="n">
        <f aca="false">ROUND(SUM(P754:P763),2)</f>
        <v>6067</v>
      </c>
      <c r="R763" s="117" t="n">
        <f aca="false">合約與計費!$D$4</f>
        <v>0.296</v>
      </c>
      <c r="S763" s="118" t="n">
        <f aca="false">ROUND(P763*R763,0)</f>
        <v>194</v>
      </c>
      <c r="T763" s="119" t="n">
        <f aca="false">ROUND(SUM(S754:S763),2)</f>
        <v>1797</v>
      </c>
      <c r="U763" s="114"/>
      <c r="V763" s="114"/>
      <c r="W763" s="120"/>
      <c r="X763" s="114"/>
      <c r="Y763" s="114" t="n">
        <f aca="false">ROUND(SUM(X754:X763),2)</f>
        <v>42</v>
      </c>
      <c r="Z763" s="121"/>
      <c r="AA763" s="122"/>
      <c r="AB763" s="123" t="n">
        <f aca="false">ROUND(SUM(AA754:AA763),2)</f>
        <v>118</v>
      </c>
      <c r="AC763" s="124"/>
      <c r="AD763" s="42" t="n">
        <v>0.1005</v>
      </c>
      <c r="AE763" s="43" t="n">
        <v>0.7</v>
      </c>
    </row>
    <row r="764" customFormat="false" ht="16.5" hidden="false" customHeight="true" outlineLevel="0" collapsed="false">
      <c r="A764" s="84" t="n">
        <f aca="false">ROW(A761)</f>
        <v>761</v>
      </c>
      <c r="B764" s="84" t="s">
        <v>455</v>
      </c>
      <c r="C764" s="32" t="n">
        <v>1</v>
      </c>
      <c r="D764" s="85" t="n">
        <v>86</v>
      </c>
      <c r="E764" s="86" t="s">
        <v>2152</v>
      </c>
      <c r="F764" s="87" t="s">
        <v>2153</v>
      </c>
      <c r="G764" s="32" t="s">
        <v>1883</v>
      </c>
      <c r="H764" s="32" t="s">
        <v>2100</v>
      </c>
      <c r="I764" s="32" t="s">
        <v>405</v>
      </c>
      <c r="J764" s="86" t="s">
        <v>460</v>
      </c>
      <c r="K764" s="88" t="s">
        <v>2154</v>
      </c>
      <c r="L764" s="89" t="n">
        <v>45762</v>
      </c>
      <c r="M764" s="32" t="n">
        <v>1916</v>
      </c>
      <c r="N764" s="32" t="n">
        <v>2330</v>
      </c>
      <c r="O764" s="32" t="n">
        <v>414</v>
      </c>
      <c r="P764" s="32" t="n">
        <v>402</v>
      </c>
      <c r="Q764" s="32"/>
      <c r="R764" s="90" t="n">
        <f aca="false">合約與計費!$D$4</f>
        <v>0.296</v>
      </c>
      <c r="S764" s="91" t="n">
        <f aca="false">ROUND(P764*R764,0)</f>
        <v>119</v>
      </c>
      <c r="T764" s="92"/>
      <c r="U764" s="32" t="n">
        <v>319</v>
      </c>
      <c r="V764" s="32" t="n">
        <v>367</v>
      </c>
      <c r="W764" s="32" t="n">
        <v>48</v>
      </c>
      <c r="X764" s="32" t="n">
        <v>47</v>
      </c>
      <c r="Y764" s="32"/>
      <c r="Z764" s="93" t="n">
        <f aca="false">合約與計費!$E$4</f>
        <v>2.8</v>
      </c>
      <c r="AA764" s="94" t="n">
        <f aca="false">ROUND(X764*Z764,0)</f>
        <v>132</v>
      </c>
      <c r="AB764" s="95"/>
      <c r="AC764" s="96"/>
      <c r="AD764" s="42"/>
      <c r="AE764" s="43"/>
    </row>
    <row r="765" customFormat="false" ht="16.5" hidden="false" customHeight="true" outlineLevel="0" collapsed="false">
      <c r="A765" s="97" t="n">
        <f aca="false">ROW(A762)</f>
        <v>762</v>
      </c>
      <c r="B765" s="97" t="s">
        <v>462</v>
      </c>
      <c r="C765" s="100" t="n">
        <v>1</v>
      </c>
      <c r="D765" s="85"/>
      <c r="E765" s="98" t="s">
        <v>2155</v>
      </c>
      <c r="F765" s="99" t="s">
        <v>2153</v>
      </c>
      <c r="G765" s="100" t="s">
        <v>1883</v>
      </c>
      <c r="H765" s="100" t="s">
        <v>2100</v>
      </c>
      <c r="I765" s="100" t="s">
        <v>405</v>
      </c>
      <c r="J765" s="98" t="s">
        <v>527</v>
      </c>
      <c r="K765" s="101" t="s">
        <v>2156</v>
      </c>
      <c r="L765" s="102" t="n">
        <v>45762</v>
      </c>
      <c r="M765" s="100" t="n">
        <v>1748</v>
      </c>
      <c r="N765" s="100" t="n">
        <v>2107</v>
      </c>
      <c r="O765" s="100" t="n">
        <v>359</v>
      </c>
      <c r="P765" s="100" t="n">
        <v>348</v>
      </c>
      <c r="Q765" s="100"/>
      <c r="R765" s="103" t="n">
        <f aca="false">合約與計費!$D$4</f>
        <v>0.296</v>
      </c>
      <c r="S765" s="104" t="n">
        <f aca="false">ROUND(P765*R765,0)</f>
        <v>103</v>
      </c>
      <c r="T765" s="105"/>
      <c r="U765" s="100"/>
      <c r="V765" s="100"/>
      <c r="W765" s="106"/>
      <c r="X765" s="100"/>
      <c r="Y765" s="100"/>
      <c r="Z765" s="107"/>
      <c r="AA765" s="108"/>
      <c r="AB765" s="109"/>
      <c r="AC765" s="110"/>
      <c r="AD765" s="42"/>
      <c r="AE765" s="43"/>
    </row>
    <row r="766" customFormat="false" ht="16.5" hidden="false" customHeight="true" outlineLevel="0" collapsed="false">
      <c r="A766" s="97" t="n">
        <f aca="false">ROW(A763)</f>
        <v>763</v>
      </c>
      <c r="B766" s="97" t="s">
        <v>466</v>
      </c>
      <c r="C766" s="100" t="n">
        <v>1</v>
      </c>
      <c r="D766" s="85"/>
      <c r="E766" s="98" t="s">
        <v>2157</v>
      </c>
      <c r="F766" s="99" t="s">
        <v>2153</v>
      </c>
      <c r="G766" s="100" t="s">
        <v>1883</v>
      </c>
      <c r="H766" s="100" t="s">
        <v>2100</v>
      </c>
      <c r="I766" s="100" t="s">
        <v>405</v>
      </c>
      <c r="J766" s="98" t="s">
        <v>527</v>
      </c>
      <c r="K766" s="101" t="s">
        <v>2158</v>
      </c>
      <c r="L766" s="102" t="n">
        <v>45762</v>
      </c>
      <c r="M766" s="100" t="n">
        <v>5084</v>
      </c>
      <c r="N766" s="100" t="n">
        <v>6393</v>
      </c>
      <c r="O766" s="100" t="n">
        <v>1309</v>
      </c>
      <c r="P766" s="100" t="n">
        <v>1270</v>
      </c>
      <c r="Q766" s="100"/>
      <c r="R766" s="103" t="n">
        <f aca="false">合約與計費!$D$4</f>
        <v>0.296</v>
      </c>
      <c r="S766" s="104" t="n">
        <f aca="false">ROUND(P766*R766,0)</f>
        <v>376</v>
      </c>
      <c r="T766" s="105"/>
      <c r="U766" s="100"/>
      <c r="V766" s="100"/>
      <c r="W766" s="106"/>
      <c r="X766" s="100"/>
      <c r="Y766" s="100"/>
      <c r="Z766" s="107"/>
      <c r="AA766" s="108"/>
      <c r="AB766" s="109"/>
      <c r="AC766" s="110"/>
      <c r="AD766" s="42"/>
      <c r="AE766" s="43"/>
    </row>
    <row r="767" customFormat="false" ht="16.5" hidden="false" customHeight="true" outlineLevel="0" collapsed="false">
      <c r="A767" s="111" t="n">
        <f aca="false">ROW(A764)</f>
        <v>764</v>
      </c>
      <c r="B767" s="111" t="s">
        <v>469</v>
      </c>
      <c r="C767" s="114" t="n">
        <v>1</v>
      </c>
      <c r="D767" s="85"/>
      <c r="E767" s="112" t="s">
        <v>2159</v>
      </c>
      <c r="F767" s="113" t="s">
        <v>2153</v>
      </c>
      <c r="G767" s="114" t="s">
        <v>1883</v>
      </c>
      <c r="H767" s="114" t="s">
        <v>2100</v>
      </c>
      <c r="I767" s="114" t="s">
        <v>405</v>
      </c>
      <c r="J767" s="112" t="s">
        <v>527</v>
      </c>
      <c r="K767" s="115" t="s">
        <v>2160</v>
      </c>
      <c r="L767" s="116" t="n">
        <v>45762</v>
      </c>
      <c r="M767" s="114" t="n">
        <v>7330</v>
      </c>
      <c r="N767" s="114" t="n">
        <v>8035</v>
      </c>
      <c r="O767" s="114" t="n">
        <v>705</v>
      </c>
      <c r="P767" s="114" t="n">
        <v>684</v>
      </c>
      <c r="Q767" s="114" t="n">
        <f aca="false">ROUND(SUM(P764:P767),2)</f>
        <v>2704</v>
      </c>
      <c r="R767" s="117" t="n">
        <f aca="false">合約與計費!$D$4</f>
        <v>0.296</v>
      </c>
      <c r="S767" s="118" t="n">
        <f aca="false">ROUND(P767*R767,0)</f>
        <v>202</v>
      </c>
      <c r="T767" s="119" t="n">
        <f aca="false">ROUND(SUM(S764:S767),2)</f>
        <v>800</v>
      </c>
      <c r="U767" s="114"/>
      <c r="V767" s="114"/>
      <c r="W767" s="120"/>
      <c r="X767" s="114"/>
      <c r="Y767" s="114" t="n">
        <f aca="false">ROUND(SUM(X764:X767),2)</f>
        <v>47</v>
      </c>
      <c r="Z767" s="121"/>
      <c r="AA767" s="122"/>
      <c r="AB767" s="123" t="n">
        <f aca="false">ROUND(SUM(AA764:AA767),2)</f>
        <v>132</v>
      </c>
      <c r="AC767" s="124"/>
      <c r="AD767" s="42"/>
      <c r="AE767" s="43"/>
    </row>
    <row r="768" customFormat="false" ht="16.5" hidden="false" customHeight="true" outlineLevel="0" collapsed="false">
      <c r="A768" s="84" t="n">
        <f aca="false">ROW(A765)</f>
        <v>765</v>
      </c>
      <c r="B768" s="84" t="s">
        <v>455</v>
      </c>
      <c r="C768" s="32" t="n">
        <v>1</v>
      </c>
      <c r="D768" s="85" t="n">
        <v>87</v>
      </c>
      <c r="E768" s="86" t="s">
        <v>2161</v>
      </c>
      <c r="F768" s="87" t="s">
        <v>2162</v>
      </c>
      <c r="G768" s="32" t="s">
        <v>1883</v>
      </c>
      <c r="H768" s="32" t="s">
        <v>2100</v>
      </c>
      <c r="I768" s="32" t="s">
        <v>10</v>
      </c>
      <c r="J768" s="86" t="s">
        <v>460</v>
      </c>
      <c r="K768" s="88" t="s">
        <v>2163</v>
      </c>
      <c r="L768" s="89" t="n">
        <v>45719</v>
      </c>
      <c r="M768" s="32" t="n">
        <v>303</v>
      </c>
      <c r="N768" s="32" t="n">
        <v>366</v>
      </c>
      <c r="O768" s="32" t="n">
        <v>63</v>
      </c>
      <c r="P768" s="32" t="n">
        <v>61</v>
      </c>
      <c r="Q768" s="32"/>
      <c r="R768" s="90" t="n">
        <f aca="false">合約與計費!$D$4</f>
        <v>0.296</v>
      </c>
      <c r="S768" s="91" t="n">
        <f aca="false">ROUND(P768*R768,0)</f>
        <v>18</v>
      </c>
      <c r="T768" s="92"/>
      <c r="U768" s="32" t="n">
        <v>390</v>
      </c>
      <c r="V768" s="32" t="n">
        <v>460</v>
      </c>
      <c r="W768" s="32" t="n">
        <v>70</v>
      </c>
      <c r="X768" s="32" t="n">
        <v>68</v>
      </c>
      <c r="Y768" s="32"/>
      <c r="Z768" s="93" t="n">
        <f aca="false">合約與計費!$E$4</f>
        <v>2.8</v>
      </c>
      <c r="AA768" s="94" t="n">
        <f aca="false">ROUND(X768*Z768,0)</f>
        <v>190</v>
      </c>
      <c r="AB768" s="95"/>
      <c r="AC768" s="96"/>
      <c r="AD768" s="42"/>
      <c r="AE768" s="43"/>
    </row>
    <row r="769" customFormat="false" ht="16.5" hidden="false" customHeight="true" outlineLevel="0" collapsed="false">
      <c r="A769" s="97" t="n">
        <f aca="false">ROW(A766)</f>
        <v>766</v>
      </c>
      <c r="B769" s="97" t="s">
        <v>462</v>
      </c>
      <c r="C769" s="100" t="n">
        <v>1</v>
      </c>
      <c r="D769" s="85"/>
      <c r="E769" s="98" t="s">
        <v>2164</v>
      </c>
      <c r="F769" s="99" t="s">
        <v>2162</v>
      </c>
      <c r="G769" s="100" t="s">
        <v>1883</v>
      </c>
      <c r="H769" s="100" t="s">
        <v>2100</v>
      </c>
      <c r="I769" s="100" t="s">
        <v>10</v>
      </c>
      <c r="J769" s="98" t="s">
        <v>464</v>
      </c>
      <c r="K769" s="101" t="s">
        <v>2165</v>
      </c>
      <c r="L769" s="102" t="n">
        <v>45719</v>
      </c>
      <c r="M769" s="100" t="n">
        <v>193</v>
      </c>
      <c r="N769" s="100" t="n">
        <v>238</v>
      </c>
      <c r="O769" s="100" t="n">
        <v>45</v>
      </c>
      <c r="P769" s="100" t="n">
        <v>44</v>
      </c>
      <c r="Q769" s="100"/>
      <c r="R769" s="103" t="n">
        <f aca="false">合約與計費!$D$4</f>
        <v>0.296</v>
      </c>
      <c r="S769" s="104" t="n">
        <f aca="false">ROUND(P769*R769,0)</f>
        <v>13</v>
      </c>
      <c r="T769" s="105"/>
      <c r="U769" s="100"/>
      <c r="V769" s="100"/>
      <c r="W769" s="106"/>
      <c r="X769" s="100"/>
      <c r="Y769" s="100"/>
      <c r="Z769" s="107"/>
      <c r="AA769" s="108"/>
      <c r="AB769" s="109"/>
      <c r="AC769" s="110"/>
      <c r="AD769" s="42" t="n">
        <v>0.0392</v>
      </c>
      <c r="AE769" s="43" t="n">
        <v>0.9</v>
      </c>
    </row>
    <row r="770" customFormat="false" ht="16.5" hidden="false" customHeight="true" outlineLevel="0" collapsed="false">
      <c r="A770" s="97" t="n">
        <f aca="false">ROW(A767)</f>
        <v>767</v>
      </c>
      <c r="B770" s="97" t="s">
        <v>466</v>
      </c>
      <c r="C770" s="100" t="n">
        <v>1</v>
      </c>
      <c r="D770" s="85"/>
      <c r="E770" s="98" t="s">
        <v>2166</v>
      </c>
      <c r="F770" s="99" t="s">
        <v>2162</v>
      </c>
      <c r="G770" s="100" t="s">
        <v>1883</v>
      </c>
      <c r="H770" s="100" t="s">
        <v>2100</v>
      </c>
      <c r="I770" s="100" t="s">
        <v>10</v>
      </c>
      <c r="J770" s="98" t="s">
        <v>471</v>
      </c>
      <c r="K770" s="101" t="s">
        <v>2167</v>
      </c>
      <c r="L770" s="102" t="n">
        <v>45719</v>
      </c>
      <c r="M770" s="100" t="n">
        <v>20386</v>
      </c>
      <c r="N770" s="100" t="n">
        <v>24068</v>
      </c>
      <c r="O770" s="100" t="n">
        <v>3682</v>
      </c>
      <c r="P770" s="100" t="n">
        <v>3572</v>
      </c>
      <c r="Q770" s="100"/>
      <c r="R770" s="103" t="n">
        <f aca="false">合約與計費!$D$4</f>
        <v>0.296</v>
      </c>
      <c r="S770" s="104" t="n">
        <f aca="false">ROUND(P770*R770,0)</f>
        <v>1057</v>
      </c>
      <c r="T770" s="105"/>
      <c r="U770" s="100"/>
      <c r="V770" s="100"/>
      <c r="W770" s="106"/>
      <c r="X770" s="100"/>
      <c r="Y770" s="100"/>
      <c r="Z770" s="107"/>
      <c r="AA770" s="108"/>
      <c r="AB770" s="109"/>
      <c r="AC770" s="110"/>
      <c r="AD770" s="42" t="n">
        <v>0.0883</v>
      </c>
      <c r="AE770" s="43" t="n">
        <v>0.5</v>
      </c>
    </row>
    <row r="771" customFormat="false" ht="16.5" hidden="false" customHeight="true" outlineLevel="0" collapsed="false">
      <c r="A771" s="97" t="n">
        <f aca="false">ROW(A768)</f>
        <v>768</v>
      </c>
      <c r="B771" s="97" t="s">
        <v>469</v>
      </c>
      <c r="C771" s="100" t="n">
        <v>1</v>
      </c>
      <c r="D771" s="85"/>
      <c r="E771" s="98" t="s">
        <v>2168</v>
      </c>
      <c r="F771" s="99" t="s">
        <v>2162</v>
      </c>
      <c r="G771" s="100" t="s">
        <v>1883</v>
      </c>
      <c r="H771" s="100" t="s">
        <v>2100</v>
      </c>
      <c r="I771" s="100" t="s">
        <v>10</v>
      </c>
      <c r="J771" s="98" t="s">
        <v>471</v>
      </c>
      <c r="K771" s="101" t="s">
        <v>2169</v>
      </c>
      <c r="L771" s="102" t="n">
        <v>45719</v>
      </c>
      <c r="M771" s="100" t="n">
        <v>19428</v>
      </c>
      <c r="N771" s="100" t="n">
        <v>23367</v>
      </c>
      <c r="O771" s="100" t="n">
        <v>3939</v>
      </c>
      <c r="P771" s="100" t="n">
        <v>3821</v>
      </c>
      <c r="Q771" s="100"/>
      <c r="R771" s="103" t="n">
        <f aca="false">合約與計費!$D$4</f>
        <v>0.296</v>
      </c>
      <c r="S771" s="104" t="n">
        <f aca="false">ROUND(P771*R771,0)</f>
        <v>1131</v>
      </c>
      <c r="T771" s="105"/>
      <c r="U771" s="100"/>
      <c r="V771" s="100"/>
      <c r="W771" s="106"/>
      <c r="X771" s="100"/>
      <c r="Y771" s="100"/>
      <c r="Z771" s="107"/>
      <c r="AA771" s="108"/>
      <c r="AB771" s="109"/>
      <c r="AC771" s="110"/>
      <c r="AD771" s="42" t="n">
        <v>0.1927</v>
      </c>
      <c r="AE771" s="43" t="n">
        <v>0.8</v>
      </c>
    </row>
    <row r="772" customFormat="false" ht="16.5" hidden="false" customHeight="true" outlineLevel="0" collapsed="false">
      <c r="A772" s="111" t="n">
        <f aca="false">ROW(A769)</f>
        <v>769</v>
      </c>
      <c r="B772" s="111" t="s">
        <v>473</v>
      </c>
      <c r="C772" s="114" t="n">
        <v>1</v>
      </c>
      <c r="D772" s="85"/>
      <c r="E772" s="112" t="s">
        <v>2170</v>
      </c>
      <c r="F772" s="113" t="s">
        <v>2162</v>
      </c>
      <c r="G772" s="114" t="s">
        <v>1883</v>
      </c>
      <c r="H772" s="114" t="s">
        <v>2100</v>
      </c>
      <c r="I772" s="114" t="s">
        <v>10</v>
      </c>
      <c r="J772" s="112" t="s">
        <v>471</v>
      </c>
      <c r="K772" s="115" t="s">
        <v>2171</v>
      </c>
      <c r="L772" s="116" t="n">
        <v>45719</v>
      </c>
      <c r="M772" s="114" t="n">
        <v>1426</v>
      </c>
      <c r="N772" s="114" t="n">
        <v>1687</v>
      </c>
      <c r="O772" s="114" t="n">
        <v>261</v>
      </c>
      <c r="P772" s="114" t="n">
        <v>253</v>
      </c>
      <c r="Q772" s="114" t="n">
        <f aca="false">ROUND(SUM(P768:P772),2)</f>
        <v>7751</v>
      </c>
      <c r="R772" s="117" t="n">
        <f aca="false">合約與計費!$D$4</f>
        <v>0.296</v>
      </c>
      <c r="S772" s="118" t="n">
        <f aca="false">ROUND(P772*R772,0)</f>
        <v>75</v>
      </c>
      <c r="T772" s="119" t="n">
        <f aca="false">ROUND(SUM(S768:S772),2)</f>
        <v>2294</v>
      </c>
      <c r="U772" s="114"/>
      <c r="V772" s="114"/>
      <c r="W772" s="120"/>
      <c r="X772" s="114"/>
      <c r="Y772" s="114" t="n">
        <f aca="false">ROUND(SUM(X768:X772),2)</f>
        <v>68</v>
      </c>
      <c r="Z772" s="121"/>
      <c r="AA772" s="122"/>
      <c r="AB772" s="123" t="n">
        <f aca="false">ROUND(SUM(AA768:AA772),2)</f>
        <v>190</v>
      </c>
      <c r="AC772" s="124"/>
      <c r="AD772" s="42" t="n">
        <v>0.0502</v>
      </c>
      <c r="AE772" s="43" t="n">
        <v>0.3</v>
      </c>
    </row>
    <row r="773" customFormat="false" ht="16.5" hidden="false" customHeight="true" outlineLevel="0" collapsed="false">
      <c r="A773" s="84" t="n">
        <f aca="false">ROW(A770)</f>
        <v>770</v>
      </c>
      <c r="B773" s="84" t="s">
        <v>455</v>
      </c>
      <c r="C773" s="32" t="n">
        <v>1</v>
      </c>
      <c r="D773" s="85" t="n">
        <v>88</v>
      </c>
      <c r="E773" s="86" t="s">
        <v>2172</v>
      </c>
      <c r="F773" s="87" t="s">
        <v>2173</v>
      </c>
      <c r="G773" s="32" t="s">
        <v>1883</v>
      </c>
      <c r="H773" s="32" t="s">
        <v>2100</v>
      </c>
      <c r="I773" s="32" t="s">
        <v>404</v>
      </c>
      <c r="J773" s="86" t="s">
        <v>460</v>
      </c>
      <c r="K773" s="88" t="s">
        <v>2174</v>
      </c>
      <c r="L773" s="89" t="n">
        <v>45755</v>
      </c>
      <c r="M773" s="32" t="n">
        <v>949</v>
      </c>
      <c r="N773" s="32" t="n">
        <v>1028</v>
      </c>
      <c r="O773" s="32" t="n">
        <v>79</v>
      </c>
      <c r="P773" s="32" t="n">
        <v>77</v>
      </c>
      <c r="Q773" s="32"/>
      <c r="R773" s="90" t="n">
        <f aca="false">合約與計費!$D$4</f>
        <v>0.296</v>
      </c>
      <c r="S773" s="91" t="n">
        <f aca="false">ROUND(P773*R773,0)</f>
        <v>23</v>
      </c>
      <c r="T773" s="92"/>
      <c r="U773" s="32" t="n">
        <v>1327</v>
      </c>
      <c r="V773" s="32" t="n">
        <v>1466</v>
      </c>
      <c r="W773" s="32" t="n">
        <v>139</v>
      </c>
      <c r="X773" s="32" t="n">
        <v>135</v>
      </c>
      <c r="Y773" s="32"/>
      <c r="Z773" s="93" t="n">
        <f aca="false">合約與計費!$E$4</f>
        <v>2.8</v>
      </c>
      <c r="AA773" s="94" t="n">
        <f aca="false">ROUND(X773*Z773,0)</f>
        <v>378</v>
      </c>
      <c r="AB773" s="95"/>
      <c r="AC773" s="96" t="s">
        <v>2175</v>
      </c>
      <c r="AD773" s="42"/>
      <c r="AE773" s="43"/>
    </row>
    <row r="774" customFormat="false" ht="16.5" hidden="false" customHeight="true" outlineLevel="0" collapsed="false">
      <c r="A774" s="97" t="n">
        <f aca="false">ROW(A771)</f>
        <v>771</v>
      </c>
      <c r="B774" s="97" t="s">
        <v>462</v>
      </c>
      <c r="C774" s="100" t="n">
        <v>1</v>
      </c>
      <c r="D774" s="85"/>
      <c r="E774" s="98" t="s">
        <v>2176</v>
      </c>
      <c r="F774" s="99" t="s">
        <v>2173</v>
      </c>
      <c r="G774" s="100" t="s">
        <v>1883</v>
      </c>
      <c r="H774" s="100" t="s">
        <v>2100</v>
      </c>
      <c r="I774" s="100" t="s">
        <v>404</v>
      </c>
      <c r="J774" s="98" t="s">
        <v>464</v>
      </c>
      <c r="K774" s="101" t="s">
        <v>2177</v>
      </c>
      <c r="L774" s="102" t="n">
        <v>45755</v>
      </c>
      <c r="M774" s="100" t="n">
        <v>818</v>
      </c>
      <c r="N774" s="100" t="n">
        <v>939</v>
      </c>
      <c r="O774" s="100" t="n">
        <v>121</v>
      </c>
      <c r="P774" s="100" t="n">
        <v>117</v>
      </c>
      <c r="Q774" s="100"/>
      <c r="R774" s="103" t="n">
        <f aca="false">合約與計費!$D$4</f>
        <v>0.296</v>
      </c>
      <c r="S774" s="104" t="n">
        <f aca="false">ROUND(P774*R774,0)</f>
        <v>35</v>
      </c>
      <c r="T774" s="105"/>
      <c r="U774" s="100"/>
      <c r="V774" s="100"/>
      <c r="W774" s="106"/>
      <c r="X774" s="100"/>
      <c r="Y774" s="100"/>
      <c r="Z774" s="107"/>
      <c r="AA774" s="108"/>
      <c r="AB774" s="109"/>
      <c r="AC774" s="110"/>
      <c r="AD774" s="42" t="n">
        <v>0.0568</v>
      </c>
      <c r="AE774" s="43" t="n">
        <v>0.6</v>
      </c>
    </row>
    <row r="775" customFormat="false" ht="16.5" hidden="false" customHeight="true" outlineLevel="0" collapsed="false">
      <c r="A775" s="97" t="n">
        <f aca="false">ROW(A772)</f>
        <v>772</v>
      </c>
      <c r="B775" s="97" t="s">
        <v>466</v>
      </c>
      <c r="C775" s="100" t="n">
        <v>1</v>
      </c>
      <c r="D775" s="85"/>
      <c r="E775" s="98" t="s">
        <v>2178</v>
      </c>
      <c r="F775" s="99" t="s">
        <v>2173</v>
      </c>
      <c r="G775" s="100" t="s">
        <v>1883</v>
      </c>
      <c r="H775" s="100" t="s">
        <v>2100</v>
      </c>
      <c r="I775" s="100" t="s">
        <v>404</v>
      </c>
      <c r="J775" s="98" t="s">
        <v>471</v>
      </c>
      <c r="K775" s="101" t="s">
        <v>2179</v>
      </c>
      <c r="L775" s="102" t="n">
        <v>45755</v>
      </c>
      <c r="M775" s="100" t="n">
        <v>4519</v>
      </c>
      <c r="N775" s="100" t="n">
        <v>5345</v>
      </c>
      <c r="O775" s="100" t="n">
        <v>826</v>
      </c>
      <c r="P775" s="100" t="n">
        <v>801</v>
      </c>
      <c r="Q775" s="100"/>
      <c r="R775" s="103" t="n">
        <f aca="false">合約與計費!$D$4</f>
        <v>0.296</v>
      </c>
      <c r="S775" s="104" t="n">
        <f aca="false">ROUND(P775*R775,0)</f>
        <v>237</v>
      </c>
      <c r="T775" s="105"/>
      <c r="U775" s="100"/>
      <c r="V775" s="100"/>
      <c r="W775" s="106"/>
      <c r="X775" s="100"/>
      <c r="Y775" s="100"/>
      <c r="Z775" s="107"/>
      <c r="AA775" s="108"/>
      <c r="AB775" s="109"/>
      <c r="AC775" s="110"/>
      <c r="AD775" s="42" t="n">
        <v>0.1054</v>
      </c>
      <c r="AE775" s="43" t="n">
        <v>0.5</v>
      </c>
    </row>
    <row r="776" customFormat="false" ht="16.5" hidden="false" customHeight="true" outlineLevel="0" collapsed="false">
      <c r="A776" s="97" t="n">
        <f aca="false">ROW(A773)</f>
        <v>773</v>
      </c>
      <c r="B776" s="97" t="s">
        <v>469</v>
      </c>
      <c r="C776" s="100" t="n">
        <v>1</v>
      </c>
      <c r="D776" s="85"/>
      <c r="E776" s="98" t="s">
        <v>2180</v>
      </c>
      <c r="F776" s="99" t="s">
        <v>2173</v>
      </c>
      <c r="G776" s="100" t="s">
        <v>1883</v>
      </c>
      <c r="H776" s="100" t="s">
        <v>2100</v>
      </c>
      <c r="I776" s="100" t="s">
        <v>404</v>
      </c>
      <c r="J776" s="98" t="s">
        <v>471</v>
      </c>
      <c r="K776" s="101" t="s">
        <v>2181</v>
      </c>
      <c r="L776" s="102" t="n">
        <v>45755</v>
      </c>
      <c r="M776" s="100" t="n">
        <v>2140</v>
      </c>
      <c r="N776" s="100" t="n">
        <v>2420</v>
      </c>
      <c r="O776" s="100" t="n">
        <v>280</v>
      </c>
      <c r="P776" s="100" t="n">
        <v>272</v>
      </c>
      <c r="Q776" s="100"/>
      <c r="R776" s="103" t="n">
        <f aca="false">合約與計費!$D$4</f>
        <v>0.296</v>
      </c>
      <c r="S776" s="104" t="n">
        <f aca="false">ROUND(P776*R776,0)</f>
        <v>81</v>
      </c>
      <c r="T776" s="105"/>
      <c r="U776" s="100"/>
      <c r="V776" s="100"/>
      <c r="W776" s="106"/>
      <c r="X776" s="100"/>
      <c r="Y776" s="100"/>
      <c r="Z776" s="107"/>
      <c r="AA776" s="108"/>
      <c r="AB776" s="109"/>
      <c r="AC776" s="110"/>
      <c r="AD776" s="42" t="n">
        <v>0.0861</v>
      </c>
      <c r="AE776" s="43" t="n">
        <v>0.9</v>
      </c>
    </row>
    <row r="777" customFormat="false" ht="16.5" hidden="false" customHeight="true" outlineLevel="0" collapsed="false">
      <c r="A777" s="97" t="n">
        <f aca="false">ROW(A774)</f>
        <v>774</v>
      </c>
      <c r="B777" s="97" t="s">
        <v>473</v>
      </c>
      <c r="C777" s="100" t="n">
        <v>1</v>
      </c>
      <c r="D777" s="85"/>
      <c r="E777" s="98" t="s">
        <v>2182</v>
      </c>
      <c r="F777" s="99" t="s">
        <v>2173</v>
      </c>
      <c r="G777" s="100" t="s">
        <v>1883</v>
      </c>
      <c r="H777" s="100" t="s">
        <v>2100</v>
      </c>
      <c r="I777" s="100" t="s">
        <v>404</v>
      </c>
      <c r="J777" s="98" t="s">
        <v>471</v>
      </c>
      <c r="K777" s="101" t="s">
        <v>2183</v>
      </c>
      <c r="L777" s="102" t="n">
        <v>45755</v>
      </c>
      <c r="M777" s="100" t="n">
        <v>5808</v>
      </c>
      <c r="N777" s="100" t="n">
        <v>6714</v>
      </c>
      <c r="O777" s="100" t="n">
        <v>906</v>
      </c>
      <c r="P777" s="100" t="n">
        <v>879</v>
      </c>
      <c r="Q777" s="100"/>
      <c r="R777" s="103" t="n">
        <f aca="false">合約與計費!$D$4</f>
        <v>0.296</v>
      </c>
      <c r="S777" s="104" t="n">
        <f aca="false">ROUND(P777*R777,0)</f>
        <v>260</v>
      </c>
      <c r="T777" s="105"/>
      <c r="U777" s="100"/>
      <c r="V777" s="100"/>
      <c r="W777" s="106"/>
      <c r="X777" s="100"/>
      <c r="Y777" s="100"/>
      <c r="Z777" s="107"/>
      <c r="AA777" s="108"/>
      <c r="AB777" s="109"/>
      <c r="AC777" s="110"/>
      <c r="AD777" s="42" t="n">
        <v>0.1238</v>
      </c>
      <c r="AE777" s="43" t="n">
        <v>0.3</v>
      </c>
    </row>
    <row r="778" customFormat="false" ht="16.5" hidden="false" customHeight="true" outlineLevel="0" collapsed="false">
      <c r="A778" s="97" t="n">
        <f aca="false">ROW(A775)</f>
        <v>775</v>
      </c>
      <c r="B778" s="97" t="s">
        <v>476</v>
      </c>
      <c r="C778" s="100" t="n">
        <v>1</v>
      </c>
      <c r="D778" s="85"/>
      <c r="E778" s="98" t="s">
        <v>2184</v>
      </c>
      <c r="F778" s="99" t="s">
        <v>2173</v>
      </c>
      <c r="G778" s="100" t="s">
        <v>1883</v>
      </c>
      <c r="H778" s="100" t="s">
        <v>2100</v>
      </c>
      <c r="I778" s="100" t="s">
        <v>404</v>
      </c>
      <c r="J778" s="98" t="s">
        <v>471</v>
      </c>
      <c r="K778" s="101" t="s">
        <v>2185</v>
      </c>
      <c r="L778" s="102" t="n">
        <v>45755</v>
      </c>
      <c r="M778" s="100" t="n">
        <v>6514</v>
      </c>
      <c r="N778" s="100" t="n">
        <v>7588</v>
      </c>
      <c r="O778" s="100" t="n">
        <v>1074</v>
      </c>
      <c r="P778" s="100" t="n">
        <v>1042</v>
      </c>
      <c r="Q778" s="100"/>
      <c r="R778" s="103" t="n">
        <f aca="false">合約與計費!$D$4</f>
        <v>0.296</v>
      </c>
      <c r="S778" s="104" t="n">
        <f aca="false">ROUND(P778*R778,0)</f>
        <v>308</v>
      </c>
      <c r="T778" s="105"/>
      <c r="U778" s="100"/>
      <c r="V778" s="100"/>
      <c r="W778" s="106"/>
      <c r="X778" s="100"/>
      <c r="Y778" s="100"/>
      <c r="Z778" s="107"/>
      <c r="AA778" s="108"/>
      <c r="AB778" s="109"/>
      <c r="AC778" s="110"/>
      <c r="AD778" s="42" t="n">
        <v>0.1037</v>
      </c>
      <c r="AE778" s="43" t="n">
        <v>0.6</v>
      </c>
    </row>
    <row r="779" customFormat="false" ht="16.5" hidden="false" customHeight="true" outlineLevel="0" collapsed="false">
      <c r="A779" s="97" t="n">
        <f aca="false">ROW(A776)</f>
        <v>776</v>
      </c>
      <c r="B779" s="97" t="s">
        <v>479</v>
      </c>
      <c r="C779" s="100" t="n">
        <v>1</v>
      </c>
      <c r="D779" s="85"/>
      <c r="E779" s="98" t="s">
        <v>2186</v>
      </c>
      <c r="F779" s="99" t="s">
        <v>2173</v>
      </c>
      <c r="G779" s="100" t="s">
        <v>1883</v>
      </c>
      <c r="H779" s="100" t="s">
        <v>2100</v>
      </c>
      <c r="I779" s="100" t="s">
        <v>404</v>
      </c>
      <c r="J779" s="98" t="s">
        <v>471</v>
      </c>
      <c r="K779" s="101" t="s">
        <v>2187</v>
      </c>
      <c r="L779" s="102" t="n">
        <v>45755</v>
      </c>
      <c r="M779" s="100" t="n">
        <v>3085</v>
      </c>
      <c r="N779" s="100" t="n">
        <v>3672</v>
      </c>
      <c r="O779" s="100" t="n">
        <v>587</v>
      </c>
      <c r="P779" s="100" t="n">
        <v>569</v>
      </c>
      <c r="Q779" s="100"/>
      <c r="R779" s="103" t="n">
        <f aca="false">合約與計費!$D$4</f>
        <v>0.296</v>
      </c>
      <c r="S779" s="104" t="n">
        <f aca="false">ROUND(P779*R779,0)</f>
        <v>168</v>
      </c>
      <c r="T779" s="105"/>
      <c r="U779" s="100"/>
      <c r="V779" s="100"/>
      <c r="W779" s="106"/>
      <c r="X779" s="100"/>
      <c r="Y779" s="100"/>
      <c r="Z779" s="107"/>
      <c r="AA779" s="108"/>
      <c r="AB779" s="109"/>
      <c r="AC779" s="110"/>
      <c r="AD779" s="42" t="n">
        <v>0.1241</v>
      </c>
      <c r="AE779" s="43" t="n">
        <v>1</v>
      </c>
    </row>
    <row r="780" customFormat="false" ht="16.5" hidden="false" customHeight="true" outlineLevel="0" collapsed="false">
      <c r="A780" s="97" t="n">
        <f aca="false">ROW(A777)</f>
        <v>777</v>
      </c>
      <c r="B780" s="97" t="s">
        <v>482</v>
      </c>
      <c r="C780" s="100" t="n">
        <v>1</v>
      </c>
      <c r="D780" s="85"/>
      <c r="E780" s="98" t="s">
        <v>2188</v>
      </c>
      <c r="F780" s="99" t="s">
        <v>2173</v>
      </c>
      <c r="G780" s="100" t="s">
        <v>1883</v>
      </c>
      <c r="H780" s="100" t="s">
        <v>2100</v>
      </c>
      <c r="I780" s="100" t="s">
        <v>404</v>
      </c>
      <c r="J780" s="98" t="s">
        <v>471</v>
      </c>
      <c r="K780" s="101" t="s">
        <v>2189</v>
      </c>
      <c r="L780" s="102" t="n">
        <v>45755</v>
      </c>
      <c r="M780" s="100" t="n">
        <v>4095</v>
      </c>
      <c r="N780" s="100" t="n">
        <v>4794</v>
      </c>
      <c r="O780" s="100" t="n">
        <v>699</v>
      </c>
      <c r="P780" s="100" t="n">
        <v>678</v>
      </c>
      <c r="Q780" s="100"/>
      <c r="R780" s="103" t="n">
        <f aca="false">合約與計費!$D$4</f>
        <v>0.296</v>
      </c>
      <c r="S780" s="104" t="n">
        <f aca="false">ROUND(P780*R780,0)</f>
        <v>201</v>
      </c>
      <c r="T780" s="105"/>
      <c r="U780" s="100"/>
      <c r="V780" s="100"/>
      <c r="W780" s="106"/>
      <c r="X780" s="100"/>
      <c r="Y780" s="100"/>
      <c r="Z780" s="107"/>
      <c r="AA780" s="108"/>
      <c r="AB780" s="109"/>
      <c r="AC780" s="110"/>
      <c r="AD780" s="42" t="n">
        <v>0.1005</v>
      </c>
      <c r="AE780" s="43" t="n">
        <v>1</v>
      </c>
    </row>
    <row r="781" customFormat="false" ht="16.5" hidden="false" customHeight="true" outlineLevel="0" collapsed="false">
      <c r="A781" s="97" t="n">
        <f aca="false">ROW(A778)</f>
        <v>778</v>
      </c>
      <c r="B781" s="97" t="s">
        <v>485</v>
      </c>
      <c r="C781" s="100" t="n">
        <v>1</v>
      </c>
      <c r="D781" s="85"/>
      <c r="E781" s="98" t="s">
        <v>2190</v>
      </c>
      <c r="F781" s="99" t="s">
        <v>2173</v>
      </c>
      <c r="G781" s="100" t="s">
        <v>1883</v>
      </c>
      <c r="H781" s="100" t="s">
        <v>2100</v>
      </c>
      <c r="I781" s="100" t="s">
        <v>404</v>
      </c>
      <c r="J781" s="98" t="s">
        <v>471</v>
      </c>
      <c r="K781" s="101" t="s">
        <v>2191</v>
      </c>
      <c r="L781" s="102" t="n">
        <v>45755</v>
      </c>
      <c r="M781" s="100" t="n">
        <v>182</v>
      </c>
      <c r="N781" s="100" t="n">
        <v>214</v>
      </c>
      <c r="O781" s="100" t="n">
        <v>32</v>
      </c>
      <c r="P781" s="100" t="n">
        <v>31</v>
      </c>
      <c r="Q781" s="100"/>
      <c r="R781" s="103" t="n">
        <f aca="false">合約與計費!$D$4</f>
        <v>0.296</v>
      </c>
      <c r="S781" s="104" t="n">
        <f aca="false">ROUND(P781*R781,0)</f>
        <v>9</v>
      </c>
      <c r="T781" s="105"/>
      <c r="U781" s="100"/>
      <c r="V781" s="100"/>
      <c r="W781" s="106"/>
      <c r="X781" s="100"/>
      <c r="Y781" s="100"/>
      <c r="Z781" s="107"/>
      <c r="AA781" s="108"/>
      <c r="AB781" s="109"/>
      <c r="AC781" s="110"/>
      <c r="AD781" s="42" t="n">
        <v>0.03</v>
      </c>
      <c r="AE781" s="43" t="n">
        <v>1</v>
      </c>
    </row>
    <row r="782" customFormat="false" ht="16.5" hidden="false" customHeight="true" outlineLevel="0" collapsed="false">
      <c r="A782" s="97" t="n">
        <f aca="false">ROW(A779)</f>
        <v>779</v>
      </c>
      <c r="B782" s="97" t="n">
        <v>10</v>
      </c>
      <c r="C782" s="100" t="n">
        <v>1</v>
      </c>
      <c r="D782" s="85"/>
      <c r="E782" s="98" t="s">
        <v>2192</v>
      </c>
      <c r="F782" s="99" t="s">
        <v>2173</v>
      </c>
      <c r="G782" s="100" t="s">
        <v>1883</v>
      </c>
      <c r="H782" s="100" t="s">
        <v>2100</v>
      </c>
      <c r="I782" s="100" t="s">
        <v>404</v>
      </c>
      <c r="J782" s="98" t="s">
        <v>471</v>
      </c>
      <c r="K782" s="101" t="s">
        <v>2193</v>
      </c>
      <c r="L782" s="102" t="n">
        <v>45755</v>
      </c>
      <c r="M782" s="100" t="n">
        <v>6350</v>
      </c>
      <c r="N782" s="100" t="n">
        <v>7400</v>
      </c>
      <c r="O782" s="100" t="n">
        <v>1050</v>
      </c>
      <c r="P782" s="100" t="n">
        <v>1019</v>
      </c>
      <c r="Q782" s="100"/>
      <c r="R782" s="103" t="n">
        <f aca="false">合約與計費!$D$4</f>
        <v>0.296</v>
      </c>
      <c r="S782" s="104" t="n">
        <f aca="false">ROUND(P782*R782,0)</f>
        <v>302</v>
      </c>
      <c r="T782" s="105"/>
      <c r="U782" s="100"/>
      <c r="V782" s="100"/>
      <c r="W782" s="106"/>
      <c r="X782" s="100"/>
      <c r="Y782" s="100"/>
      <c r="Z782" s="107"/>
      <c r="AA782" s="108"/>
      <c r="AB782" s="109"/>
      <c r="AC782" s="110"/>
      <c r="AD782" s="42" t="n">
        <v>0.0999</v>
      </c>
      <c r="AE782" s="43" t="n">
        <v>0.2</v>
      </c>
    </row>
    <row r="783" customFormat="false" ht="16.5" hidden="false" customHeight="true" outlineLevel="0" collapsed="false">
      <c r="A783" s="97" t="n">
        <f aca="false">ROW(A780)</f>
        <v>780</v>
      </c>
      <c r="B783" s="97" t="n">
        <v>11</v>
      </c>
      <c r="C783" s="100" t="n">
        <v>1</v>
      </c>
      <c r="D783" s="85"/>
      <c r="E783" s="98" t="s">
        <v>2194</v>
      </c>
      <c r="F783" s="99" t="s">
        <v>2173</v>
      </c>
      <c r="G783" s="100" t="s">
        <v>1883</v>
      </c>
      <c r="H783" s="100" t="s">
        <v>2100</v>
      </c>
      <c r="I783" s="100" t="s">
        <v>404</v>
      </c>
      <c r="J783" s="98" t="s">
        <v>471</v>
      </c>
      <c r="K783" s="101" t="s">
        <v>2195</v>
      </c>
      <c r="L783" s="102" t="n">
        <v>45755</v>
      </c>
      <c r="M783" s="100" t="n">
        <v>4636</v>
      </c>
      <c r="N783" s="100" t="n">
        <v>5503</v>
      </c>
      <c r="O783" s="100" t="n">
        <v>867</v>
      </c>
      <c r="P783" s="100" t="n">
        <v>841</v>
      </c>
      <c r="Q783" s="100"/>
      <c r="R783" s="103" t="n">
        <f aca="false">合約與計費!$D$4</f>
        <v>0.296</v>
      </c>
      <c r="S783" s="104" t="n">
        <f aca="false">ROUND(P783*R783,0)</f>
        <v>249</v>
      </c>
      <c r="T783" s="105"/>
      <c r="U783" s="100"/>
      <c r="V783" s="100"/>
      <c r="W783" s="106"/>
      <c r="X783" s="100"/>
      <c r="Y783" s="100"/>
      <c r="Z783" s="107"/>
      <c r="AA783" s="108"/>
      <c r="AB783" s="109"/>
      <c r="AC783" s="110"/>
      <c r="AD783" s="42" t="n">
        <v>0.1787</v>
      </c>
      <c r="AE783" s="43" t="n">
        <v>0.6</v>
      </c>
    </row>
    <row r="784" customFormat="false" ht="16.5" hidden="false" customHeight="true" outlineLevel="0" collapsed="false">
      <c r="A784" s="111" t="n">
        <f aca="false">ROW(A781)</f>
        <v>781</v>
      </c>
      <c r="B784" s="111" t="n">
        <v>12</v>
      </c>
      <c r="C784" s="114" t="n">
        <v>1</v>
      </c>
      <c r="D784" s="85"/>
      <c r="E784" s="112" t="s">
        <v>2196</v>
      </c>
      <c r="F784" s="113" t="s">
        <v>2173</v>
      </c>
      <c r="G784" s="114" t="s">
        <v>1883</v>
      </c>
      <c r="H784" s="114" t="s">
        <v>2100</v>
      </c>
      <c r="I784" s="114" t="s">
        <v>404</v>
      </c>
      <c r="J784" s="112" t="s">
        <v>471</v>
      </c>
      <c r="K784" s="115" t="s">
        <v>2197</v>
      </c>
      <c r="L784" s="116" t="n">
        <v>45755</v>
      </c>
      <c r="M784" s="114" t="n">
        <v>4444</v>
      </c>
      <c r="N784" s="114" t="n">
        <v>5270</v>
      </c>
      <c r="O784" s="114" t="n">
        <v>826</v>
      </c>
      <c r="P784" s="114" t="n">
        <v>801</v>
      </c>
      <c r="Q784" s="114" t="n">
        <f aca="false">ROUND(SUM(P773:P784),2)</f>
        <v>7127</v>
      </c>
      <c r="R784" s="117" t="n">
        <f aca="false">合約與計費!$D$4</f>
        <v>0.296</v>
      </c>
      <c r="S784" s="118" t="n">
        <f aca="false">ROUND(P784*R784,0)</f>
        <v>237</v>
      </c>
      <c r="T784" s="119" t="n">
        <f aca="false">ROUND(SUM(S773:S784),2)</f>
        <v>2110</v>
      </c>
      <c r="U784" s="114"/>
      <c r="V784" s="114"/>
      <c r="W784" s="120"/>
      <c r="X784" s="114"/>
      <c r="Y784" s="114" t="n">
        <f aca="false">ROUND(SUM(X773:X784),2)</f>
        <v>135</v>
      </c>
      <c r="Z784" s="121"/>
      <c r="AA784" s="122"/>
      <c r="AB784" s="123" t="n">
        <f aca="false">ROUND(SUM(AA773:AA784),2)</f>
        <v>378</v>
      </c>
      <c r="AC784" s="124"/>
      <c r="AD784" s="42" t="n">
        <v>0.1032</v>
      </c>
      <c r="AE784" s="43" t="n">
        <v>0.5</v>
      </c>
    </row>
    <row r="785" customFormat="false" ht="32.25" hidden="false" customHeight="false" outlineLevel="0" collapsed="false">
      <c r="A785" s="97" t="n">
        <f aca="false">ROW(A782)</f>
        <v>782</v>
      </c>
      <c r="B785" s="97" t="s">
        <v>455</v>
      </c>
      <c r="C785" s="100" t="n">
        <v>1</v>
      </c>
      <c r="D785" s="228"/>
      <c r="E785" s="98" t="s">
        <v>2198</v>
      </c>
      <c r="F785" s="99" t="s">
        <v>2199</v>
      </c>
      <c r="G785" s="100" t="s">
        <v>1883</v>
      </c>
      <c r="H785" s="100" t="s">
        <v>2100</v>
      </c>
      <c r="I785" s="229" t="s">
        <v>2200</v>
      </c>
      <c r="J785" s="98" t="s">
        <v>464</v>
      </c>
      <c r="K785" s="101" t="s">
        <v>2201</v>
      </c>
      <c r="L785" s="102" t="n">
        <v>45727</v>
      </c>
      <c r="M785" s="100" t="n">
        <v>20178</v>
      </c>
      <c r="N785" s="100" t="n">
        <v>23935</v>
      </c>
      <c r="O785" s="100" t="n">
        <v>3757</v>
      </c>
      <c r="P785" s="100" t="n">
        <v>3644</v>
      </c>
      <c r="Q785" s="100"/>
      <c r="R785" s="103" t="n">
        <f aca="false">合約與計費!$D$4</f>
        <v>0.296</v>
      </c>
      <c r="S785" s="104" t="n">
        <f aca="false">ROUND(P785*R785,0)</f>
        <v>1079</v>
      </c>
      <c r="T785" s="105"/>
      <c r="U785" s="100"/>
      <c r="V785" s="100"/>
      <c r="W785" s="106"/>
      <c r="X785" s="100"/>
      <c r="Y785" s="100"/>
      <c r="Z785" s="107"/>
      <c r="AA785" s="108"/>
      <c r="AB785" s="109"/>
      <c r="AC785" s="110" t="s">
        <v>2202</v>
      </c>
      <c r="AD785" s="42" t="n">
        <v>0.1528</v>
      </c>
      <c r="AE785" s="43" t="n">
        <v>0.8</v>
      </c>
    </row>
    <row r="786" customFormat="false" ht="31.5" hidden="false" customHeight="false" outlineLevel="0" collapsed="false">
      <c r="A786" s="97" t="n">
        <f aca="false">ROW(A783)</f>
        <v>783</v>
      </c>
      <c r="B786" s="97" t="s">
        <v>462</v>
      </c>
      <c r="C786" s="100" t="n">
        <v>1</v>
      </c>
      <c r="D786" s="228"/>
      <c r="E786" s="98" t="s">
        <v>2203</v>
      </c>
      <c r="F786" s="99" t="s">
        <v>2199</v>
      </c>
      <c r="G786" s="100" t="s">
        <v>1883</v>
      </c>
      <c r="H786" s="100" t="s">
        <v>2100</v>
      </c>
      <c r="I786" s="229" t="s">
        <v>2200</v>
      </c>
      <c r="J786" s="98" t="s">
        <v>471</v>
      </c>
      <c r="K786" s="101" t="s">
        <v>2204</v>
      </c>
      <c r="L786" s="102" t="n">
        <v>45790</v>
      </c>
      <c r="M786" s="100" t="n">
        <v>72</v>
      </c>
      <c r="N786" s="100" t="n">
        <v>149</v>
      </c>
      <c r="O786" s="100" t="n">
        <v>77</v>
      </c>
      <c r="P786" s="100" t="n">
        <v>75</v>
      </c>
      <c r="Q786" s="100"/>
      <c r="R786" s="103" t="n">
        <f aca="false">合約與計費!$D$4</f>
        <v>0.296</v>
      </c>
      <c r="S786" s="104" t="n">
        <f aca="false">ROUND(P786*R786,0)</f>
        <v>22</v>
      </c>
      <c r="T786" s="105"/>
      <c r="U786" s="100"/>
      <c r="V786" s="100"/>
      <c r="W786" s="106"/>
      <c r="X786" s="100"/>
      <c r="Y786" s="100"/>
      <c r="Z786" s="107"/>
      <c r="AA786" s="108"/>
      <c r="AB786" s="109"/>
      <c r="AC786" s="110"/>
      <c r="AD786" s="42" t="n">
        <v>0.2926</v>
      </c>
      <c r="AE786" s="43" t="n">
        <v>0.8</v>
      </c>
    </row>
    <row r="787" customFormat="false" ht="31.5" hidden="false" customHeight="false" outlineLevel="0" collapsed="false">
      <c r="A787" s="97" t="n">
        <f aca="false">ROW(A784)</f>
        <v>784</v>
      </c>
      <c r="B787" s="97" t="s">
        <v>466</v>
      </c>
      <c r="C787" s="100" t="n">
        <v>1</v>
      </c>
      <c r="D787" s="228"/>
      <c r="E787" s="98" t="s">
        <v>2205</v>
      </c>
      <c r="F787" s="99" t="s">
        <v>2199</v>
      </c>
      <c r="G787" s="100" t="s">
        <v>1883</v>
      </c>
      <c r="H787" s="100" t="s">
        <v>2100</v>
      </c>
      <c r="I787" s="229" t="s">
        <v>2206</v>
      </c>
      <c r="J787" s="98" t="s">
        <v>464</v>
      </c>
      <c r="K787" s="101" t="s">
        <v>2207</v>
      </c>
      <c r="L787" s="102" t="n">
        <v>45727</v>
      </c>
      <c r="M787" s="100" t="n">
        <v>224</v>
      </c>
      <c r="N787" s="100" t="n">
        <v>292</v>
      </c>
      <c r="O787" s="100" t="n">
        <v>68</v>
      </c>
      <c r="P787" s="100" t="n">
        <v>66</v>
      </c>
      <c r="Q787" s="100"/>
      <c r="R787" s="103" t="n">
        <f aca="false">合約與計費!$D$4</f>
        <v>0.296</v>
      </c>
      <c r="S787" s="104" t="n">
        <f aca="false">ROUND(P787*R787,0)</f>
        <v>20</v>
      </c>
      <c r="T787" s="105"/>
      <c r="U787" s="100"/>
      <c r="V787" s="100"/>
      <c r="W787" s="106"/>
      <c r="X787" s="100"/>
      <c r="Y787" s="100"/>
      <c r="Z787" s="107"/>
      <c r="AA787" s="108"/>
      <c r="AB787" s="109"/>
      <c r="AC787" s="110"/>
      <c r="AD787" s="42" t="n">
        <v>0.3009</v>
      </c>
      <c r="AE787" s="43" t="n">
        <v>0.6</v>
      </c>
    </row>
    <row r="788" customFormat="false" ht="31.5" hidden="false" customHeight="false" outlineLevel="0" collapsed="false">
      <c r="A788" s="97" t="n">
        <f aca="false">ROW(A785)</f>
        <v>785</v>
      </c>
      <c r="B788" s="97" t="s">
        <v>469</v>
      </c>
      <c r="C788" s="100" t="n">
        <v>1</v>
      </c>
      <c r="D788" s="228"/>
      <c r="E788" s="98" t="s">
        <v>2208</v>
      </c>
      <c r="F788" s="99" t="s">
        <v>2199</v>
      </c>
      <c r="G788" s="100" t="s">
        <v>1883</v>
      </c>
      <c r="H788" s="100" t="s">
        <v>2100</v>
      </c>
      <c r="I788" s="229" t="s">
        <v>2209</v>
      </c>
      <c r="J788" s="98" t="s">
        <v>464</v>
      </c>
      <c r="K788" s="101" t="s">
        <v>2210</v>
      </c>
      <c r="L788" s="102" t="n">
        <v>45727</v>
      </c>
      <c r="M788" s="100" t="n">
        <v>4482</v>
      </c>
      <c r="N788" s="100" t="n">
        <v>5314</v>
      </c>
      <c r="O788" s="100" t="n">
        <v>832</v>
      </c>
      <c r="P788" s="100" t="n">
        <v>807</v>
      </c>
      <c r="Q788" s="100"/>
      <c r="R788" s="103" t="n">
        <f aca="false">合約與計費!$D$4</f>
        <v>0.296</v>
      </c>
      <c r="S788" s="104" t="n">
        <f aca="false">ROUND(P788*R788,0)</f>
        <v>239</v>
      </c>
      <c r="T788" s="105"/>
      <c r="U788" s="100"/>
      <c r="V788" s="100"/>
      <c r="W788" s="106"/>
      <c r="X788" s="100"/>
      <c r="Y788" s="100"/>
      <c r="Z788" s="107"/>
      <c r="AA788" s="108"/>
      <c r="AB788" s="109"/>
      <c r="AC788" s="110" t="s">
        <v>2202</v>
      </c>
      <c r="AD788" s="42" t="n">
        <v>0.1605</v>
      </c>
      <c r="AE788" s="43" t="n">
        <v>0.3</v>
      </c>
    </row>
    <row r="789" customFormat="false" ht="31.5" hidden="false" customHeight="false" outlineLevel="0" collapsed="false">
      <c r="A789" s="97" t="n">
        <f aca="false">ROW(A786)</f>
        <v>786</v>
      </c>
      <c r="B789" s="97" t="s">
        <v>473</v>
      </c>
      <c r="C789" s="100" t="n">
        <v>1</v>
      </c>
      <c r="D789" s="228"/>
      <c r="E789" s="98" t="s">
        <v>2211</v>
      </c>
      <c r="F789" s="99" t="s">
        <v>2199</v>
      </c>
      <c r="G789" s="100" t="s">
        <v>1883</v>
      </c>
      <c r="H789" s="100" t="s">
        <v>2100</v>
      </c>
      <c r="I789" s="229" t="s">
        <v>2206</v>
      </c>
      <c r="J789" s="98" t="s">
        <v>460</v>
      </c>
      <c r="K789" s="101" t="s">
        <v>2212</v>
      </c>
      <c r="L789" s="102" t="n">
        <v>45727</v>
      </c>
      <c r="M789" s="100" t="n">
        <v>5511</v>
      </c>
      <c r="N789" s="100" t="n">
        <v>6206</v>
      </c>
      <c r="O789" s="100" t="n">
        <v>695</v>
      </c>
      <c r="P789" s="100" t="n">
        <v>674</v>
      </c>
      <c r="Q789" s="100"/>
      <c r="R789" s="103" t="n">
        <f aca="false">合約與計費!$D$4</f>
        <v>0.296</v>
      </c>
      <c r="S789" s="104" t="n">
        <f aca="false">ROUND(P789*R789,0)</f>
        <v>200</v>
      </c>
      <c r="T789" s="105"/>
      <c r="U789" s="100" t="n">
        <v>1</v>
      </c>
      <c r="V789" s="100" t="n">
        <v>1</v>
      </c>
      <c r="W789" s="100" t="n">
        <v>0</v>
      </c>
      <c r="X789" s="100" t="n">
        <v>0</v>
      </c>
      <c r="Y789" s="100"/>
      <c r="Z789" s="107" t="n">
        <f aca="false">合約與計費!$E$4</f>
        <v>2.8</v>
      </c>
      <c r="AA789" s="108" t="n">
        <f aca="false">ROUND(X789*Z789,0)</f>
        <v>0</v>
      </c>
      <c r="AB789" s="109"/>
      <c r="AC789" s="110"/>
      <c r="AD789" s="42"/>
      <c r="AE789" s="230"/>
    </row>
    <row r="790" customFormat="false" ht="31.5" hidden="false" customHeight="false" outlineLevel="0" collapsed="false">
      <c r="A790" s="97" t="n">
        <f aca="false">ROW(A787)</f>
        <v>787</v>
      </c>
      <c r="B790" s="97" t="s">
        <v>476</v>
      </c>
      <c r="C790" s="100" t="n">
        <v>1</v>
      </c>
      <c r="D790" s="228"/>
      <c r="E790" s="98" t="s">
        <v>2213</v>
      </c>
      <c r="F790" s="99" t="s">
        <v>2199</v>
      </c>
      <c r="G790" s="100" t="s">
        <v>1883</v>
      </c>
      <c r="H790" s="100" t="s">
        <v>2100</v>
      </c>
      <c r="I790" s="229" t="s">
        <v>2214</v>
      </c>
      <c r="J790" s="98" t="s">
        <v>464</v>
      </c>
      <c r="K790" s="101" t="s">
        <v>2215</v>
      </c>
      <c r="L790" s="102" t="n">
        <v>45727</v>
      </c>
      <c r="M790" s="100" t="n">
        <v>70</v>
      </c>
      <c r="N790" s="100" t="n">
        <v>94</v>
      </c>
      <c r="O790" s="100" t="n">
        <v>24</v>
      </c>
      <c r="P790" s="100" t="n">
        <v>23</v>
      </c>
      <c r="Q790" s="100"/>
      <c r="R790" s="103" t="n">
        <f aca="false">合約與計費!$D$4</f>
        <v>0.296</v>
      </c>
      <c r="S790" s="104" t="n">
        <f aca="false">ROUND(P790*R790,0)</f>
        <v>7</v>
      </c>
      <c r="T790" s="105"/>
      <c r="U790" s="100"/>
      <c r="V790" s="100"/>
      <c r="W790" s="106"/>
      <c r="X790" s="100"/>
      <c r="Y790" s="100"/>
      <c r="Z790" s="107"/>
      <c r="AA790" s="108"/>
      <c r="AB790" s="109"/>
      <c r="AC790" s="110"/>
      <c r="AD790" s="42" t="n">
        <v>0.0635</v>
      </c>
      <c r="AE790" s="43" t="n">
        <v>1</v>
      </c>
    </row>
    <row r="791" customFormat="false" ht="31.5" hidden="false" customHeight="false" outlineLevel="0" collapsed="false">
      <c r="A791" s="97" t="n">
        <f aca="false">ROW(A788)</f>
        <v>788</v>
      </c>
      <c r="B791" s="97" t="s">
        <v>479</v>
      </c>
      <c r="C791" s="100" t="n">
        <v>1</v>
      </c>
      <c r="D791" s="228"/>
      <c r="E791" s="98" t="s">
        <v>2216</v>
      </c>
      <c r="F791" s="99" t="s">
        <v>2199</v>
      </c>
      <c r="G791" s="100" t="s">
        <v>1883</v>
      </c>
      <c r="H791" s="100" t="s">
        <v>2100</v>
      </c>
      <c r="I791" s="229" t="s">
        <v>2217</v>
      </c>
      <c r="J791" s="98" t="s">
        <v>460</v>
      </c>
      <c r="K791" s="101" t="s">
        <v>2218</v>
      </c>
      <c r="L791" s="102" t="n">
        <v>45790</v>
      </c>
      <c r="M791" s="100" t="n">
        <v>16683</v>
      </c>
      <c r="N791" s="100" t="n">
        <v>19587</v>
      </c>
      <c r="O791" s="100" t="n">
        <v>2904</v>
      </c>
      <c r="P791" s="100" t="n">
        <v>2817</v>
      </c>
      <c r="Q791" s="100"/>
      <c r="R791" s="103" t="n">
        <f aca="false">合約與計費!$D$4</f>
        <v>0.296</v>
      </c>
      <c r="S791" s="104" t="n">
        <f aca="false">ROUND(P791*R791,0)</f>
        <v>834</v>
      </c>
      <c r="T791" s="105"/>
      <c r="U791" s="100" t="n">
        <v>3</v>
      </c>
      <c r="V791" s="100" t="n">
        <v>9</v>
      </c>
      <c r="W791" s="100" t="n">
        <v>6</v>
      </c>
      <c r="X791" s="100" t="n">
        <v>6</v>
      </c>
      <c r="Y791" s="100"/>
      <c r="Z791" s="107" t="n">
        <f aca="false">合約與計費!$E$4</f>
        <v>2.8</v>
      </c>
      <c r="AA791" s="108" t="n">
        <f aca="false">ROUND(X791*Z791,0)</f>
        <v>17</v>
      </c>
      <c r="AB791" s="109"/>
      <c r="AC791" s="110"/>
      <c r="AD791" s="42"/>
      <c r="AE791" s="230"/>
    </row>
    <row r="792" customFormat="false" ht="31.5" hidden="false" customHeight="false" outlineLevel="0" collapsed="false">
      <c r="A792" s="97" t="n">
        <f aca="false">ROW(A789)</f>
        <v>789</v>
      </c>
      <c r="B792" s="97" t="s">
        <v>482</v>
      </c>
      <c r="C792" s="100" t="n">
        <v>1</v>
      </c>
      <c r="D792" s="228"/>
      <c r="E792" s="98" t="s">
        <v>2219</v>
      </c>
      <c r="F792" s="99" t="s">
        <v>2199</v>
      </c>
      <c r="G792" s="100" t="s">
        <v>1883</v>
      </c>
      <c r="H792" s="100" t="s">
        <v>2100</v>
      </c>
      <c r="I792" s="229" t="s">
        <v>2217</v>
      </c>
      <c r="J792" s="98" t="s">
        <v>464</v>
      </c>
      <c r="K792" s="101" t="s">
        <v>2220</v>
      </c>
      <c r="L792" s="102" t="n">
        <v>45790</v>
      </c>
      <c r="M792" s="100" t="n">
        <v>6963</v>
      </c>
      <c r="N792" s="100" t="n">
        <v>8137</v>
      </c>
      <c r="O792" s="100" t="n">
        <v>1174</v>
      </c>
      <c r="P792" s="100" t="n">
        <v>1139</v>
      </c>
      <c r="Q792" s="100"/>
      <c r="R792" s="103" t="n">
        <f aca="false">合約與計費!$D$4</f>
        <v>0.296</v>
      </c>
      <c r="S792" s="104" t="n">
        <f aca="false">ROUND(P792*R792,0)</f>
        <v>337</v>
      </c>
      <c r="T792" s="105"/>
      <c r="U792" s="100"/>
      <c r="V792" s="100"/>
      <c r="W792" s="106"/>
      <c r="X792" s="100"/>
      <c r="Y792" s="100"/>
      <c r="Z792" s="107"/>
      <c r="AA792" s="108"/>
      <c r="AB792" s="109"/>
      <c r="AC792" s="110"/>
      <c r="AD792" s="42" t="n">
        <v>0.1171</v>
      </c>
      <c r="AE792" s="43" t="n">
        <v>0.7</v>
      </c>
    </row>
    <row r="793" customFormat="false" ht="32.25" hidden="false" customHeight="false" outlineLevel="0" collapsed="false">
      <c r="A793" s="111" t="n">
        <f aca="false">ROW(A790)</f>
        <v>790</v>
      </c>
      <c r="B793" s="111" t="s">
        <v>485</v>
      </c>
      <c r="C793" s="114" t="n">
        <v>1</v>
      </c>
      <c r="D793" s="228"/>
      <c r="E793" s="112" t="s">
        <v>2221</v>
      </c>
      <c r="F793" s="113" t="s">
        <v>2199</v>
      </c>
      <c r="G793" s="114" t="s">
        <v>1883</v>
      </c>
      <c r="H793" s="114" t="s">
        <v>2100</v>
      </c>
      <c r="I793" s="231" t="s">
        <v>2214</v>
      </c>
      <c r="J793" s="112" t="s">
        <v>460</v>
      </c>
      <c r="K793" s="115" t="s">
        <v>2222</v>
      </c>
      <c r="L793" s="116" t="n">
        <v>45727</v>
      </c>
      <c r="M793" s="114" t="n">
        <v>3919</v>
      </c>
      <c r="N793" s="114" t="n">
        <v>4317</v>
      </c>
      <c r="O793" s="114" t="n">
        <v>398</v>
      </c>
      <c r="P793" s="114" t="n">
        <v>386</v>
      </c>
      <c r="Q793" s="114" t="n">
        <f aca="false">ROUND(SUM(P785:P793),2)</f>
        <v>9631</v>
      </c>
      <c r="R793" s="117" t="n">
        <f aca="false">合約與計費!$D$4</f>
        <v>0.296</v>
      </c>
      <c r="S793" s="118" t="n">
        <f aca="false">ROUND(P793*R793,0)</f>
        <v>114</v>
      </c>
      <c r="T793" s="119" t="n">
        <f aca="false">ROUND(SUM(S785:S793),2)</f>
        <v>2852</v>
      </c>
      <c r="U793" s="114" t="n">
        <v>3</v>
      </c>
      <c r="V793" s="114" t="n">
        <v>3</v>
      </c>
      <c r="W793" s="114" t="n">
        <v>0</v>
      </c>
      <c r="X793" s="114" t="n">
        <v>0</v>
      </c>
      <c r="Y793" s="114" t="n">
        <f aca="false">ROUND(SUM(X785:X793),2)</f>
        <v>6</v>
      </c>
      <c r="Z793" s="121" t="n">
        <f aca="false">合約與計費!$E$4</f>
        <v>2.8</v>
      </c>
      <c r="AA793" s="122" t="n">
        <f aca="false">ROUND(X793*Z793,0)</f>
        <v>0</v>
      </c>
      <c r="AB793" s="123" t="n">
        <f aca="false">ROUND(SUM(AA785:AA793),2)</f>
        <v>17</v>
      </c>
      <c r="AC793" s="124"/>
      <c r="AD793" s="42"/>
      <c r="AE793" s="230"/>
    </row>
    <row r="794" customFormat="false" ht="16.5" hidden="false" customHeight="true" outlineLevel="0" collapsed="false">
      <c r="A794" s="85" t="n">
        <f aca="false">ROW(A791)</f>
        <v>791</v>
      </c>
      <c r="B794" s="85" t="s">
        <v>455</v>
      </c>
      <c r="C794" s="216" t="n">
        <v>1</v>
      </c>
      <c r="D794" s="85" t="n">
        <v>239</v>
      </c>
      <c r="E794" s="214" t="s">
        <v>2223</v>
      </c>
      <c r="F794" s="215" t="s">
        <v>2224</v>
      </c>
      <c r="G794" s="216" t="s">
        <v>1883</v>
      </c>
      <c r="H794" s="216" t="s">
        <v>2100</v>
      </c>
      <c r="I794" s="216" t="s">
        <v>9</v>
      </c>
      <c r="J794" s="214" t="s">
        <v>460</v>
      </c>
      <c r="K794" s="232" t="s">
        <v>2225</v>
      </c>
      <c r="L794" s="218" t="n">
        <v>45770</v>
      </c>
      <c r="M794" s="216" t="n">
        <v>173</v>
      </c>
      <c r="N794" s="216" t="n">
        <v>227</v>
      </c>
      <c r="O794" s="114" t="n">
        <v>54</v>
      </c>
      <c r="P794" s="114" t="n">
        <v>52</v>
      </c>
      <c r="Q794" s="114" t="n">
        <f aca="false">ROUND(SUM(P794),2)</f>
        <v>52</v>
      </c>
      <c r="R794" s="219" t="n">
        <f aca="false">合約與計費!$D$4</f>
        <v>0.296</v>
      </c>
      <c r="S794" s="220" t="n">
        <f aca="false">ROUND(P794*R794,0)</f>
        <v>15</v>
      </c>
      <c r="T794" s="119" t="n">
        <f aca="false">ROUND(SUM(S794),2)</f>
        <v>15</v>
      </c>
      <c r="U794" s="216" t="n">
        <v>543</v>
      </c>
      <c r="V794" s="216" t="n">
        <v>611</v>
      </c>
      <c r="W794" s="216" t="n">
        <v>68</v>
      </c>
      <c r="X794" s="216" t="n">
        <v>66</v>
      </c>
      <c r="Y794" s="216" t="n">
        <f aca="false">ROUND(SUM(X794),2)</f>
        <v>66</v>
      </c>
      <c r="Z794" s="221" t="n">
        <f aca="false">合約與計費!$E$4</f>
        <v>2.8</v>
      </c>
      <c r="AA794" s="222" t="n">
        <f aca="false">ROUND(X794*Z794,0)</f>
        <v>185</v>
      </c>
      <c r="AB794" s="223" t="n">
        <f aca="false">ROUND(SUM(AA794),2)</f>
        <v>185</v>
      </c>
      <c r="AC794" s="224"/>
      <c r="AD794" s="42"/>
      <c r="AE794" s="43"/>
    </row>
    <row r="795" customFormat="false" ht="16.5" hidden="false" customHeight="true" outlineLevel="0" collapsed="false">
      <c r="A795" s="84" t="n">
        <f aca="false">ROW(A792)</f>
        <v>792</v>
      </c>
      <c r="B795" s="84" t="s">
        <v>455</v>
      </c>
      <c r="C795" s="32" t="n">
        <v>1</v>
      </c>
      <c r="D795" s="85" t="n">
        <v>240</v>
      </c>
      <c r="E795" s="86" t="s">
        <v>2226</v>
      </c>
      <c r="F795" s="87" t="s">
        <v>2227</v>
      </c>
      <c r="G795" s="32" t="s">
        <v>1883</v>
      </c>
      <c r="H795" s="32" t="s">
        <v>2100</v>
      </c>
      <c r="I795" s="172" t="s">
        <v>47</v>
      </c>
      <c r="J795" s="86" t="s">
        <v>460</v>
      </c>
      <c r="K795" s="88" t="s">
        <v>2228</v>
      </c>
      <c r="L795" s="89" t="n">
        <v>45754</v>
      </c>
      <c r="M795" s="32" t="n">
        <v>671</v>
      </c>
      <c r="N795" s="32" t="n">
        <v>838</v>
      </c>
      <c r="O795" s="32" t="n">
        <v>167</v>
      </c>
      <c r="P795" s="32" t="n">
        <v>162</v>
      </c>
      <c r="Q795" s="32"/>
      <c r="R795" s="90" t="n">
        <f aca="false">合約與計費!$D$4</f>
        <v>0.296</v>
      </c>
      <c r="S795" s="91" t="n">
        <f aca="false">ROUND(P795*R795,0)</f>
        <v>48</v>
      </c>
      <c r="T795" s="92"/>
      <c r="U795" s="32" t="n">
        <v>1482</v>
      </c>
      <c r="V795" s="32" t="n">
        <v>1729</v>
      </c>
      <c r="W795" s="32" t="n">
        <v>247</v>
      </c>
      <c r="X795" s="32" t="n">
        <v>240</v>
      </c>
      <c r="Y795" s="32"/>
      <c r="Z795" s="93" t="n">
        <f aca="false">合約與計費!$E$4</f>
        <v>2.8</v>
      </c>
      <c r="AA795" s="94" t="n">
        <f aca="false">ROUND(X795*Z795,0)</f>
        <v>672</v>
      </c>
      <c r="AB795" s="95"/>
      <c r="AC795" s="96"/>
      <c r="AD795" s="42"/>
      <c r="AE795" s="43"/>
    </row>
    <row r="796" customFormat="false" ht="16.5" hidden="false" customHeight="true" outlineLevel="0" collapsed="false">
      <c r="A796" s="111" t="n">
        <f aca="false">ROW(A793)</f>
        <v>793</v>
      </c>
      <c r="B796" s="111" t="s">
        <v>462</v>
      </c>
      <c r="C796" s="114" t="n">
        <v>1</v>
      </c>
      <c r="D796" s="85"/>
      <c r="E796" s="112" t="s">
        <v>2229</v>
      </c>
      <c r="F796" s="113" t="s">
        <v>2227</v>
      </c>
      <c r="G796" s="114" t="s">
        <v>1883</v>
      </c>
      <c r="H796" s="114" t="s">
        <v>2100</v>
      </c>
      <c r="I796" s="173" t="s">
        <v>47</v>
      </c>
      <c r="J796" s="112" t="s">
        <v>464</v>
      </c>
      <c r="K796" s="115" t="s">
        <v>2230</v>
      </c>
      <c r="L796" s="116" t="n">
        <v>45754</v>
      </c>
      <c r="M796" s="114" t="n">
        <v>223</v>
      </c>
      <c r="N796" s="114" t="n">
        <v>270</v>
      </c>
      <c r="O796" s="114" t="n">
        <v>47</v>
      </c>
      <c r="P796" s="114" t="n">
        <v>46</v>
      </c>
      <c r="Q796" s="114" t="n">
        <f aca="false">ROUND(SUM(P795:P796),2)</f>
        <v>208</v>
      </c>
      <c r="R796" s="117" t="n">
        <f aca="false">合約與計費!$D$4</f>
        <v>0.296</v>
      </c>
      <c r="S796" s="118" t="n">
        <f aca="false">ROUND(P796*R796,0)</f>
        <v>14</v>
      </c>
      <c r="T796" s="119" t="n">
        <f aca="false">ROUND(SUM(S795:S796),2)</f>
        <v>62</v>
      </c>
      <c r="U796" s="114"/>
      <c r="V796" s="114"/>
      <c r="W796" s="120"/>
      <c r="X796" s="114"/>
      <c r="Y796" s="114" t="n">
        <f aca="false">ROUND(SUM(X795:X796),2)</f>
        <v>240</v>
      </c>
      <c r="Z796" s="121"/>
      <c r="AA796" s="122"/>
      <c r="AB796" s="123" t="n">
        <f aca="false">ROUND(SUM(AA795:AA796),2)</f>
        <v>672</v>
      </c>
      <c r="AC796" s="124"/>
      <c r="AD796" s="42" t="n">
        <v>0.0446</v>
      </c>
      <c r="AE796" s="43" t="n">
        <v>0.9</v>
      </c>
    </row>
    <row r="797" customFormat="false" ht="16.5" hidden="false" customHeight="true" outlineLevel="0" collapsed="false">
      <c r="A797" s="84" t="n">
        <f aca="false">ROW(A794)</f>
        <v>794</v>
      </c>
      <c r="B797" s="84" t="s">
        <v>455</v>
      </c>
      <c r="C797" s="32" t="n">
        <v>1</v>
      </c>
      <c r="D797" s="85" t="n">
        <v>4</v>
      </c>
      <c r="E797" s="86" t="s">
        <v>2231</v>
      </c>
      <c r="F797" s="87" t="s">
        <v>2232</v>
      </c>
      <c r="G797" s="32" t="s">
        <v>1883</v>
      </c>
      <c r="H797" s="32" t="s">
        <v>2233</v>
      </c>
      <c r="I797" s="32" t="s">
        <v>220</v>
      </c>
      <c r="J797" s="86" t="s">
        <v>460</v>
      </c>
      <c r="K797" s="88" t="s">
        <v>2234</v>
      </c>
      <c r="L797" s="89" t="n">
        <v>45740</v>
      </c>
      <c r="M797" s="32" t="n">
        <v>124</v>
      </c>
      <c r="N797" s="32" t="n">
        <v>134</v>
      </c>
      <c r="O797" s="32" t="n">
        <v>10</v>
      </c>
      <c r="P797" s="32" t="n">
        <v>10</v>
      </c>
      <c r="Q797" s="32"/>
      <c r="R797" s="90" t="n">
        <f aca="false">合約與計費!$D$4</f>
        <v>0.296</v>
      </c>
      <c r="S797" s="91" t="n">
        <f aca="false">ROUND(P797*R797,0)</f>
        <v>3</v>
      </c>
      <c r="T797" s="92"/>
      <c r="U797" s="32" t="n">
        <v>489</v>
      </c>
      <c r="V797" s="32" t="n">
        <v>560</v>
      </c>
      <c r="W797" s="32" t="n">
        <v>71</v>
      </c>
      <c r="X797" s="32" t="n">
        <v>69</v>
      </c>
      <c r="Y797" s="32"/>
      <c r="Z797" s="93" t="n">
        <f aca="false">合約與計費!$E$4</f>
        <v>2.8</v>
      </c>
      <c r="AA797" s="94" t="n">
        <f aca="false">ROUND(X797*Z797,0)</f>
        <v>193</v>
      </c>
      <c r="AB797" s="95"/>
      <c r="AC797" s="96"/>
      <c r="AD797" s="42"/>
      <c r="AE797" s="43"/>
    </row>
    <row r="798" customFormat="false" ht="16.5" hidden="false" customHeight="true" outlineLevel="0" collapsed="false">
      <c r="A798" s="97" t="n">
        <f aca="false">ROW(A795)</f>
        <v>795</v>
      </c>
      <c r="B798" s="97" t="s">
        <v>462</v>
      </c>
      <c r="C798" s="100" t="n">
        <v>1</v>
      </c>
      <c r="D798" s="85"/>
      <c r="E798" s="98" t="s">
        <v>2235</v>
      </c>
      <c r="F798" s="99" t="s">
        <v>2232</v>
      </c>
      <c r="G798" s="100" t="s">
        <v>1883</v>
      </c>
      <c r="H798" s="100" t="s">
        <v>2233</v>
      </c>
      <c r="I798" s="100" t="s">
        <v>220</v>
      </c>
      <c r="J798" s="98" t="s">
        <v>464</v>
      </c>
      <c r="K798" s="101" t="s">
        <v>2236</v>
      </c>
      <c r="L798" s="102" t="n">
        <v>45740</v>
      </c>
      <c r="M798" s="100" t="n">
        <v>663</v>
      </c>
      <c r="N798" s="100" t="n">
        <v>934</v>
      </c>
      <c r="O798" s="100" t="n">
        <v>271</v>
      </c>
      <c r="P798" s="100" t="n">
        <v>263</v>
      </c>
      <c r="Q798" s="100"/>
      <c r="R798" s="103" t="n">
        <f aca="false">合約與計費!$D$4</f>
        <v>0.296</v>
      </c>
      <c r="S798" s="104" t="n">
        <f aca="false">ROUND(P798*R798,0)</f>
        <v>78</v>
      </c>
      <c r="T798" s="105"/>
      <c r="U798" s="100"/>
      <c r="V798" s="100"/>
      <c r="W798" s="106"/>
      <c r="X798" s="100"/>
      <c r="Y798" s="100"/>
      <c r="Z798" s="107"/>
      <c r="AA798" s="108"/>
      <c r="AB798" s="109"/>
      <c r="AC798" s="110"/>
      <c r="AD798" s="42" t="n">
        <v>0.0585</v>
      </c>
      <c r="AE798" s="43" t="n">
        <v>0.6</v>
      </c>
    </row>
    <row r="799" customFormat="false" ht="16.5" hidden="false" customHeight="true" outlineLevel="0" collapsed="false">
      <c r="A799" s="97" t="n">
        <f aca="false">ROW(A796)</f>
        <v>796</v>
      </c>
      <c r="B799" s="97" t="s">
        <v>466</v>
      </c>
      <c r="C799" s="100" t="n">
        <v>1</v>
      </c>
      <c r="D799" s="85"/>
      <c r="E799" s="98" t="s">
        <v>2237</v>
      </c>
      <c r="F799" s="99" t="s">
        <v>2232</v>
      </c>
      <c r="G799" s="100" t="s">
        <v>1883</v>
      </c>
      <c r="H799" s="100" t="s">
        <v>2233</v>
      </c>
      <c r="I799" s="100" t="s">
        <v>220</v>
      </c>
      <c r="J799" s="98" t="s">
        <v>464</v>
      </c>
      <c r="K799" s="101" t="s">
        <v>2238</v>
      </c>
      <c r="L799" s="102" t="n">
        <v>45740</v>
      </c>
      <c r="M799" s="100" t="n">
        <v>823</v>
      </c>
      <c r="N799" s="100" t="n">
        <v>945</v>
      </c>
      <c r="O799" s="100" t="n">
        <v>122</v>
      </c>
      <c r="P799" s="100" t="n">
        <v>118</v>
      </c>
      <c r="Q799" s="100"/>
      <c r="R799" s="103" t="n">
        <f aca="false">合約與計費!$D$4</f>
        <v>0.296</v>
      </c>
      <c r="S799" s="104" t="n">
        <f aca="false">ROUND(P799*R799,0)</f>
        <v>35</v>
      </c>
      <c r="T799" s="105"/>
      <c r="U799" s="100"/>
      <c r="V799" s="100"/>
      <c r="W799" s="106"/>
      <c r="X799" s="100"/>
      <c r="Y799" s="100"/>
      <c r="Z799" s="107"/>
      <c r="AA799" s="108"/>
      <c r="AB799" s="109"/>
      <c r="AC799" s="110"/>
      <c r="AD799" s="42" t="n">
        <v>0.0642</v>
      </c>
      <c r="AE799" s="43" t="n">
        <v>0.6</v>
      </c>
    </row>
    <row r="800" customFormat="false" ht="16.5" hidden="false" customHeight="true" outlineLevel="0" collapsed="false">
      <c r="A800" s="97" t="n">
        <f aca="false">ROW(A797)</f>
        <v>797</v>
      </c>
      <c r="B800" s="97" t="s">
        <v>469</v>
      </c>
      <c r="C800" s="100" t="n">
        <v>1</v>
      </c>
      <c r="D800" s="85"/>
      <c r="E800" s="98" t="s">
        <v>2239</v>
      </c>
      <c r="F800" s="99" t="s">
        <v>2232</v>
      </c>
      <c r="G800" s="100" t="s">
        <v>1883</v>
      </c>
      <c r="H800" s="100" t="s">
        <v>2233</v>
      </c>
      <c r="I800" s="100" t="s">
        <v>220</v>
      </c>
      <c r="J800" s="98" t="s">
        <v>527</v>
      </c>
      <c r="K800" s="101" t="s">
        <v>2240</v>
      </c>
      <c r="L800" s="102" t="n">
        <v>45740</v>
      </c>
      <c r="M800" s="100" t="n">
        <v>7445</v>
      </c>
      <c r="N800" s="100" t="n">
        <v>9015</v>
      </c>
      <c r="O800" s="100" t="n">
        <v>1570</v>
      </c>
      <c r="P800" s="100" t="n">
        <v>1523</v>
      </c>
      <c r="Q800" s="100"/>
      <c r="R800" s="103" t="n">
        <f aca="false">合約與計費!$D$4</f>
        <v>0.296</v>
      </c>
      <c r="S800" s="104" t="n">
        <f aca="false">ROUND(P800*R800,0)</f>
        <v>451</v>
      </c>
      <c r="T800" s="105"/>
      <c r="U800" s="100"/>
      <c r="V800" s="100"/>
      <c r="W800" s="106"/>
      <c r="X800" s="100"/>
      <c r="Y800" s="100"/>
      <c r="Z800" s="107"/>
      <c r="AA800" s="108"/>
      <c r="AB800" s="109"/>
      <c r="AC800" s="110"/>
      <c r="AD800" s="42"/>
      <c r="AE800" s="43"/>
    </row>
    <row r="801" customFormat="false" ht="16.5" hidden="false" customHeight="true" outlineLevel="0" collapsed="false">
      <c r="A801" s="97" t="n">
        <f aca="false">ROW(A798)</f>
        <v>798</v>
      </c>
      <c r="B801" s="97" t="s">
        <v>473</v>
      </c>
      <c r="C801" s="100" t="n">
        <v>1</v>
      </c>
      <c r="D801" s="85"/>
      <c r="E801" s="98" t="s">
        <v>2241</v>
      </c>
      <c r="F801" s="99" t="s">
        <v>2232</v>
      </c>
      <c r="G801" s="100" t="s">
        <v>1883</v>
      </c>
      <c r="H801" s="100" t="s">
        <v>2233</v>
      </c>
      <c r="I801" s="100" t="s">
        <v>220</v>
      </c>
      <c r="J801" s="98" t="s">
        <v>527</v>
      </c>
      <c r="K801" s="101" t="s">
        <v>2242</v>
      </c>
      <c r="L801" s="102" t="n">
        <v>45740</v>
      </c>
      <c r="M801" s="100" t="n">
        <v>2219</v>
      </c>
      <c r="N801" s="100" t="n">
        <v>2767</v>
      </c>
      <c r="O801" s="100" t="n">
        <v>548</v>
      </c>
      <c r="P801" s="100" t="n">
        <v>532</v>
      </c>
      <c r="Q801" s="100"/>
      <c r="R801" s="103" t="n">
        <f aca="false">合約與計費!$D$4</f>
        <v>0.296</v>
      </c>
      <c r="S801" s="104" t="n">
        <f aca="false">ROUND(P801*R801,0)</f>
        <v>157</v>
      </c>
      <c r="T801" s="105"/>
      <c r="U801" s="100"/>
      <c r="V801" s="100"/>
      <c r="W801" s="106"/>
      <c r="X801" s="100"/>
      <c r="Y801" s="100"/>
      <c r="Z801" s="107"/>
      <c r="AA801" s="108"/>
      <c r="AB801" s="109"/>
      <c r="AC801" s="110"/>
      <c r="AD801" s="42"/>
      <c r="AE801" s="43"/>
    </row>
    <row r="802" customFormat="false" ht="16.5" hidden="false" customHeight="true" outlineLevel="0" collapsed="false">
      <c r="A802" s="97" t="n">
        <f aca="false">ROW(A799)</f>
        <v>799</v>
      </c>
      <c r="B802" s="97" t="s">
        <v>476</v>
      </c>
      <c r="C802" s="100" t="n">
        <v>1</v>
      </c>
      <c r="D802" s="85"/>
      <c r="E802" s="98" t="s">
        <v>2243</v>
      </c>
      <c r="F802" s="99" t="s">
        <v>2232</v>
      </c>
      <c r="G802" s="100" t="s">
        <v>1883</v>
      </c>
      <c r="H802" s="100" t="s">
        <v>2233</v>
      </c>
      <c r="I802" s="100" t="s">
        <v>220</v>
      </c>
      <c r="J802" s="98" t="s">
        <v>527</v>
      </c>
      <c r="K802" s="101" t="s">
        <v>2244</v>
      </c>
      <c r="L802" s="102" t="n">
        <v>45740</v>
      </c>
      <c r="M802" s="100" t="n">
        <v>2601</v>
      </c>
      <c r="N802" s="100" t="n">
        <v>3498</v>
      </c>
      <c r="O802" s="100" t="n">
        <v>897</v>
      </c>
      <c r="P802" s="100" t="n">
        <v>870</v>
      </c>
      <c r="Q802" s="100"/>
      <c r="R802" s="103" t="n">
        <f aca="false">合約與計費!$D$4</f>
        <v>0.296</v>
      </c>
      <c r="S802" s="104" t="n">
        <f aca="false">ROUND(P802*R802,0)</f>
        <v>258</v>
      </c>
      <c r="T802" s="105"/>
      <c r="U802" s="100"/>
      <c r="V802" s="100"/>
      <c r="W802" s="106"/>
      <c r="X802" s="100"/>
      <c r="Y802" s="100"/>
      <c r="Z802" s="107"/>
      <c r="AA802" s="108"/>
      <c r="AB802" s="109"/>
      <c r="AC802" s="110"/>
      <c r="AD802" s="42"/>
      <c r="AE802" s="43"/>
    </row>
    <row r="803" customFormat="false" ht="16.5" hidden="false" customHeight="true" outlineLevel="0" collapsed="false">
      <c r="A803" s="97" t="n">
        <f aca="false">ROW(A800)</f>
        <v>800</v>
      </c>
      <c r="B803" s="97" t="s">
        <v>479</v>
      </c>
      <c r="C803" s="100" t="n">
        <v>1</v>
      </c>
      <c r="D803" s="85"/>
      <c r="E803" s="98" t="s">
        <v>2245</v>
      </c>
      <c r="F803" s="99" t="s">
        <v>2232</v>
      </c>
      <c r="G803" s="100" t="s">
        <v>1883</v>
      </c>
      <c r="H803" s="100" t="s">
        <v>2233</v>
      </c>
      <c r="I803" s="100" t="s">
        <v>220</v>
      </c>
      <c r="J803" s="98" t="s">
        <v>527</v>
      </c>
      <c r="K803" s="101" t="s">
        <v>2246</v>
      </c>
      <c r="L803" s="102" t="n">
        <v>45740</v>
      </c>
      <c r="M803" s="100" t="n">
        <v>8324</v>
      </c>
      <c r="N803" s="100" t="n">
        <v>10262</v>
      </c>
      <c r="O803" s="100" t="n">
        <v>1938</v>
      </c>
      <c r="P803" s="100" t="n">
        <v>1880</v>
      </c>
      <c r="Q803" s="100"/>
      <c r="R803" s="103" t="n">
        <f aca="false">合約與計費!$D$4</f>
        <v>0.296</v>
      </c>
      <c r="S803" s="104" t="n">
        <f aca="false">ROUND(P803*R803,0)</f>
        <v>556</v>
      </c>
      <c r="T803" s="105"/>
      <c r="U803" s="100"/>
      <c r="V803" s="100"/>
      <c r="W803" s="106"/>
      <c r="X803" s="100"/>
      <c r="Y803" s="100"/>
      <c r="Z803" s="107"/>
      <c r="AA803" s="108"/>
      <c r="AB803" s="109"/>
      <c r="AC803" s="110"/>
      <c r="AD803" s="42"/>
      <c r="AE803" s="43"/>
    </row>
    <row r="804" customFormat="false" ht="16.5" hidden="false" customHeight="true" outlineLevel="0" collapsed="false">
      <c r="A804" s="97" t="n">
        <f aca="false">ROW(A801)</f>
        <v>801</v>
      </c>
      <c r="B804" s="97" t="s">
        <v>482</v>
      </c>
      <c r="C804" s="100" t="n">
        <v>1</v>
      </c>
      <c r="D804" s="85"/>
      <c r="E804" s="98" t="s">
        <v>2247</v>
      </c>
      <c r="F804" s="99" t="s">
        <v>2232</v>
      </c>
      <c r="G804" s="100" t="s">
        <v>1883</v>
      </c>
      <c r="H804" s="100" t="s">
        <v>2233</v>
      </c>
      <c r="I804" s="100" t="s">
        <v>220</v>
      </c>
      <c r="J804" s="98" t="s">
        <v>527</v>
      </c>
      <c r="K804" s="101" t="s">
        <v>2248</v>
      </c>
      <c r="L804" s="102" t="n">
        <v>45740</v>
      </c>
      <c r="M804" s="100" t="n">
        <v>9649</v>
      </c>
      <c r="N804" s="100" t="n">
        <v>11844</v>
      </c>
      <c r="O804" s="100" t="n">
        <v>2195</v>
      </c>
      <c r="P804" s="100" t="n">
        <v>2129</v>
      </c>
      <c r="Q804" s="100"/>
      <c r="R804" s="103" t="n">
        <f aca="false">合約與計費!$D$4</f>
        <v>0.296</v>
      </c>
      <c r="S804" s="104" t="n">
        <f aca="false">ROUND(P804*R804,0)</f>
        <v>630</v>
      </c>
      <c r="T804" s="105"/>
      <c r="U804" s="100"/>
      <c r="V804" s="100"/>
      <c r="W804" s="106"/>
      <c r="X804" s="100"/>
      <c r="Y804" s="100"/>
      <c r="Z804" s="107"/>
      <c r="AA804" s="108"/>
      <c r="AB804" s="109"/>
      <c r="AC804" s="110"/>
      <c r="AD804" s="42"/>
      <c r="AE804" s="43"/>
    </row>
    <row r="805" customFormat="false" ht="16.5" hidden="false" customHeight="true" outlineLevel="0" collapsed="false">
      <c r="A805" s="97" t="n">
        <f aca="false">ROW(A802)</f>
        <v>802</v>
      </c>
      <c r="B805" s="97" t="s">
        <v>485</v>
      </c>
      <c r="C805" s="100" t="n">
        <v>1</v>
      </c>
      <c r="D805" s="85"/>
      <c r="E805" s="98" t="s">
        <v>2249</v>
      </c>
      <c r="F805" s="99" t="s">
        <v>2232</v>
      </c>
      <c r="G805" s="100" t="s">
        <v>1883</v>
      </c>
      <c r="H805" s="100" t="s">
        <v>2233</v>
      </c>
      <c r="I805" s="100" t="s">
        <v>220</v>
      </c>
      <c r="J805" s="98" t="s">
        <v>527</v>
      </c>
      <c r="K805" s="101" t="s">
        <v>2250</v>
      </c>
      <c r="L805" s="102" t="n">
        <v>45740</v>
      </c>
      <c r="M805" s="100" t="n">
        <v>8898</v>
      </c>
      <c r="N805" s="100" t="n">
        <v>11154</v>
      </c>
      <c r="O805" s="100" t="n">
        <v>2256</v>
      </c>
      <c r="P805" s="100" t="n">
        <v>2188</v>
      </c>
      <c r="Q805" s="100"/>
      <c r="R805" s="103" t="n">
        <f aca="false">合約與計費!$D$4</f>
        <v>0.296</v>
      </c>
      <c r="S805" s="104" t="n">
        <f aca="false">ROUND(P805*R805,0)</f>
        <v>648</v>
      </c>
      <c r="T805" s="105"/>
      <c r="U805" s="100"/>
      <c r="V805" s="100"/>
      <c r="W805" s="106"/>
      <c r="X805" s="100"/>
      <c r="Y805" s="100"/>
      <c r="Z805" s="107"/>
      <c r="AA805" s="108"/>
      <c r="AB805" s="109"/>
      <c r="AC805" s="110"/>
      <c r="AD805" s="42"/>
      <c r="AE805" s="43"/>
    </row>
    <row r="806" customFormat="false" ht="16.5" hidden="false" customHeight="true" outlineLevel="0" collapsed="false">
      <c r="A806" s="97" t="n">
        <f aca="false">ROW(A803)</f>
        <v>803</v>
      </c>
      <c r="B806" s="97" t="n">
        <v>10</v>
      </c>
      <c r="C806" s="100" t="n">
        <v>1</v>
      </c>
      <c r="D806" s="85"/>
      <c r="E806" s="98" t="s">
        <v>2251</v>
      </c>
      <c r="F806" s="99" t="s">
        <v>2232</v>
      </c>
      <c r="G806" s="100" t="s">
        <v>1883</v>
      </c>
      <c r="H806" s="100" t="s">
        <v>2233</v>
      </c>
      <c r="I806" s="100" t="s">
        <v>220</v>
      </c>
      <c r="J806" s="98" t="s">
        <v>527</v>
      </c>
      <c r="K806" s="101" t="s">
        <v>2252</v>
      </c>
      <c r="L806" s="102" t="n">
        <v>45740</v>
      </c>
      <c r="M806" s="100" t="n">
        <v>9</v>
      </c>
      <c r="N806" s="100" t="n">
        <v>120</v>
      </c>
      <c r="O806" s="100" t="n">
        <v>111</v>
      </c>
      <c r="P806" s="100" t="n">
        <v>108</v>
      </c>
      <c r="Q806" s="100"/>
      <c r="R806" s="103" t="n">
        <f aca="false">合約與計費!$D$4</f>
        <v>0.296</v>
      </c>
      <c r="S806" s="104" t="n">
        <f aca="false">ROUND(P806*R806,0)</f>
        <v>32</v>
      </c>
      <c r="T806" s="105"/>
      <c r="U806" s="100"/>
      <c r="V806" s="100"/>
      <c r="W806" s="106"/>
      <c r="X806" s="100"/>
      <c r="Y806" s="100"/>
      <c r="Z806" s="107"/>
      <c r="AA806" s="108"/>
      <c r="AB806" s="109"/>
      <c r="AC806" s="110"/>
      <c r="AD806" s="42"/>
      <c r="AE806" s="43"/>
    </row>
    <row r="807" customFormat="false" ht="16.5" hidden="false" customHeight="true" outlineLevel="0" collapsed="false">
      <c r="A807" s="97" t="n">
        <f aca="false">ROW(A804)</f>
        <v>804</v>
      </c>
      <c r="B807" s="97" t="n">
        <v>11</v>
      </c>
      <c r="C807" s="100" t="n">
        <v>1</v>
      </c>
      <c r="D807" s="85"/>
      <c r="E807" s="98" t="s">
        <v>2253</v>
      </c>
      <c r="F807" s="99" t="s">
        <v>2232</v>
      </c>
      <c r="G807" s="100" t="s">
        <v>1883</v>
      </c>
      <c r="H807" s="100" t="s">
        <v>2233</v>
      </c>
      <c r="I807" s="100" t="s">
        <v>220</v>
      </c>
      <c r="J807" s="98" t="s">
        <v>527</v>
      </c>
      <c r="K807" s="101" t="s">
        <v>2254</v>
      </c>
      <c r="L807" s="102" t="n">
        <v>45740</v>
      </c>
      <c r="M807" s="100" t="n">
        <v>4884</v>
      </c>
      <c r="N807" s="100" t="n">
        <v>5791</v>
      </c>
      <c r="O807" s="100" t="n">
        <v>907</v>
      </c>
      <c r="P807" s="100" t="n">
        <v>880</v>
      </c>
      <c r="Q807" s="100"/>
      <c r="R807" s="103" t="n">
        <f aca="false">合約與計費!$D$4</f>
        <v>0.296</v>
      </c>
      <c r="S807" s="104" t="n">
        <f aca="false">ROUND(P807*R807,0)</f>
        <v>260</v>
      </c>
      <c r="T807" s="105"/>
      <c r="U807" s="100"/>
      <c r="V807" s="100"/>
      <c r="W807" s="106"/>
      <c r="X807" s="100"/>
      <c r="Y807" s="100"/>
      <c r="Z807" s="107"/>
      <c r="AA807" s="108"/>
      <c r="AB807" s="109"/>
      <c r="AC807" s="110"/>
      <c r="AD807" s="42"/>
      <c r="AE807" s="43"/>
    </row>
    <row r="808" customFormat="false" ht="16.5" hidden="false" customHeight="true" outlineLevel="0" collapsed="false">
      <c r="A808" s="97" t="n">
        <f aca="false">ROW(A805)</f>
        <v>805</v>
      </c>
      <c r="B808" s="97" t="n">
        <v>12</v>
      </c>
      <c r="C808" s="100" t="n">
        <v>1</v>
      </c>
      <c r="D808" s="85"/>
      <c r="E808" s="98" t="s">
        <v>2255</v>
      </c>
      <c r="F808" s="99" t="s">
        <v>2232</v>
      </c>
      <c r="G808" s="100" t="s">
        <v>1883</v>
      </c>
      <c r="H808" s="100" t="s">
        <v>2233</v>
      </c>
      <c r="I808" s="100" t="s">
        <v>220</v>
      </c>
      <c r="J808" s="98" t="s">
        <v>527</v>
      </c>
      <c r="K808" s="101" t="s">
        <v>2256</v>
      </c>
      <c r="L808" s="102" t="n">
        <v>45740</v>
      </c>
      <c r="M808" s="100" t="n">
        <v>912</v>
      </c>
      <c r="N808" s="100" t="n">
        <v>1132</v>
      </c>
      <c r="O808" s="100" t="n">
        <v>220</v>
      </c>
      <c r="P808" s="100" t="n">
        <v>213</v>
      </c>
      <c r="Q808" s="100"/>
      <c r="R808" s="103" t="n">
        <f aca="false">合約與計費!$D$4</f>
        <v>0.296</v>
      </c>
      <c r="S808" s="104" t="n">
        <f aca="false">ROUND(P808*R808,0)</f>
        <v>63</v>
      </c>
      <c r="T808" s="105"/>
      <c r="U808" s="100"/>
      <c r="V808" s="100"/>
      <c r="W808" s="106"/>
      <c r="X808" s="100"/>
      <c r="Y808" s="100"/>
      <c r="Z808" s="107"/>
      <c r="AA808" s="108"/>
      <c r="AB808" s="109"/>
      <c r="AC808" s="110"/>
      <c r="AD808" s="42"/>
      <c r="AE808" s="43"/>
    </row>
    <row r="809" customFormat="false" ht="16.5" hidden="false" customHeight="true" outlineLevel="0" collapsed="false">
      <c r="A809" s="97" t="n">
        <f aca="false">ROW(A806)</f>
        <v>806</v>
      </c>
      <c r="B809" s="97" t="n">
        <v>13</v>
      </c>
      <c r="C809" s="100" t="n">
        <v>1</v>
      </c>
      <c r="D809" s="85"/>
      <c r="E809" s="98" t="s">
        <v>2257</v>
      </c>
      <c r="F809" s="99" t="s">
        <v>2232</v>
      </c>
      <c r="G809" s="100" t="s">
        <v>1883</v>
      </c>
      <c r="H809" s="100" t="s">
        <v>2233</v>
      </c>
      <c r="I809" s="100" t="s">
        <v>220</v>
      </c>
      <c r="J809" s="98" t="s">
        <v>527</v>
      </c>
      <c r="K809" s="101" t="s">
        <v>2258</v>
      </c>
      <c r="L809" s="102" t="n">
        <v>45740</v>
      </c>
      <c r="M809" s="100" t="n">
        <v>2729</v>
      </c>
      <c r="N809" s="100" t="n">
        <v>3177</v>
      </c>
      <c r="O809" s="100" t="n">
        <v>448</v>
      </c>
      <c r="P809" s="100" t="n">
        <v>435</v>
      </c>
      <c r="Q809" s="100"/>
      <c r="R809" s="103" t="n">
        <f aca="false">合約與計費!$D$4</f>
        <v>0.296</v>
      </c>
      <c r="S809" s="104" t="n">
        <f aca="false">ROUND(P809*R809,0)</f>
        <v>129</v>
      </c>
      <c r="T809" s="105"/>
      <c r="U809" s="100"/>
      <c r="V809" s="100"/>
      <c r="W809" s="106"/>
      <c r="X809" s="100"/>
      <c r="Y809" s="100"/>
      <c r="Z809" s="107"/>
      <c r="AA809" s="108"/>
      <c r="AB809" s="109"/>
      <c r="AC809" s="110"/>
      <c r="AD809" s="42"/>
      <c r="AE809" s="43"/>
    </row>
    <row r="810" customFormat="false" ht="16.5" hidden="false" customHeight="true" outlineLevel="0" collapsed="false">
      <c r="A810" s="97" t="n">
        <f aca="false">ROW(A807)</f>
        <v>807</v>
      </c>
      <c r="B810" s="97" t="n">
        <v>14</v>
      </c>
      <c r="C810" s="100" t="n">
        <v>1</v>
      </c>
      <c r="D810" s="85"/>
      <c r="E810" s="98" t="s">
        <v>2259</v>
      </c>
      <c r="F810" s="99" t="s">
        <v>2232</v>
      </c>
      <c r="G810" s="100" t="s">
        <v>1883</v>
      </c>
      <c r="H810" s="100" t="s">
        <v>2233</v>
      </c>
      <c r="I810" s="100" t="s">
        <v>220</v>
      </c>
      <c r="J810" s="98" t="s">
        <v>527</v>
      </c>
      <c r="K810" s="101" t="s">
        <v>2260</v>
      </c>
      <c r="L810" s="102" t="n">
        <v>45740</v>
      </c>
      <c r="M810" s="100" t="n">
        <v>127</v>
      </c>
      <c r="N810" s="100" t="n">
        <v>625</v>
      </c>
      <c r="O810" s="100" t="n">
        <v>498</v>
      </c>
      <c r="P810" s="100" t="n">
        <v>483</v>
      </c>
      <c r="Q810" s="100"/>
      <c r="R810" s="103" t="n">
        <f aca="false">合約與計費!$D$4</f>
        <v>0.296</v>
      </c>
      <c r="S810" s="104" t="n">
        <f aca="false">ROUND(P810*R810,0)</f>
        <v>143</v>
      </c>
      <c r="T810" s="105"/>
      <c r="U810" s="100"/>
      <c r="V810" s="100"/>
      <c r="W810" s="106"/>
      <c r="X810" s="100"/>
      <c r="Y810" s="100"/>
      <c r="Z810" s="107"/>
      <c r="AA810" s="108"/>
      <c r="AB810" s="109"/>
      <c r="AC810" s="110"/>
      <c r="AD810" s="42"/>
      <c r="AE810" s="43"/>
    </row>
    <row r="811" customFormat="false" ht="16.5" hidden="false" customHeight="true" outlineLevel="0" collapsed="false">
      <c r="A811" s="97" t="n">
        <f aca="false">ROW(A808)</f>
        <v>808</v>
      </c>
      <c r="B811" s="97" t="n">
        <v>15</v>
      </c>
      <c r="C811" s="100" t="n">
        <v>1</v>
      </c>
      <c r="D811" s="85"/>
      <c r="E811" s="98" t="s">
        <v>2261</v>
      </c>
      <c r="F811" s="99" t="s">
        <v>2232</v>
      </c>
      <c r="G811" s="100" t="s">
        <v>1883</v>
      </c>
      <c r="H811" s="100" t="s">
        <v>2233</v>
      </c>
      <c r="I811" s="100" t="s">
        <v>220</v>
      </c>
      <c r="J811" s="98" t="s">
        <v>527</v>
      </c>
      <c r="K811" s="101" t="s">
        <v>2262</v>
      </c>
      <c r="L811" s="102" t="n">
        <v>45740</v>
      </c>
      <c r="M811" s="100" t="n">
        <v>5512</v>
      </c>
      <c r="N811" s="100" t="n">
        <v>6196</v>
      </c>
      <c r="O811" s="100" t="n">
        <v>684</v>
      </c>
      <c r="P811" s="100" t="n">
        <v>663</v>
      </c>
      <c r="Q811" s="100"/>
      <c r="R811" s="103" t="n">
        <f aca="false">合約與計費!$D$4</f>
        <v>0.296</v>
      </c>
      <c r="S811" s="104" t="n">
        <f aca="false">ROUND(P811*R811,0)</f>
        <v>196</v>
      </c>
      <c r="T811" s="105"/>
      <c r="U811" s="100"/>
      <c r="V811" s="100"/>
      <c r="W811" s="106"/>
      <c r="X811" s="100"/>
      <c r="Y811" s="100"/>
      <c r="Z811" s="107"/>
      <c r="AA811" s="108"/>
      <c r="AB811" s="109"/>
      <c r="AC811" s="110"/>
      <c r="AD811" s="42"/>
      <c r="AE811" s="43"/>
    </row>
    <row r="812" customFormat="false" ht="16.5" hidden="false" customHeight="true" outlineLevel="0" collapsed="false">
      <c r="A812" s="97" t="n">
        <f aca="false">ROW(A809)</f>
        <v>809</v>
      </c>
      <c r="B812" s="97" t="n">
        <v>16</v>
      </c>
      <c r="C812" s="100" t="n">
        <v>1</v>
      </c>
      <c r="D812" s="85"/>
      <c r="E812" s="98" t="s">
        <v>2263</v>
      </c>
      <c r="F812" s="99" t="s">
        <v>2232</v>
      </c>
      <c r="G812" s="100" t="s">
        <v>1883</v>
      </c>
      <c r="H812" s="100" t="s">
        <v>2233</v>
      </c>
      <c r="I812" s="100" t="s">
        <v>220</v>
      </c>
      <c r="J812" s="98" t="s">
        <v>527</v>
      </c>
      <c r="K812" s="101" t="s">
        <v>2264</v>
      </c>
      <c r="L812" s="102" t="n">
        <v>45740</v>
      </c>
      <c r="M812" s="100" t="n">
        <v>7615</v>
      </c>
      <c r="N812" s="100" t="n">
        <v>8781</v>
      </c>
      <c r="O812" s="100" t="n">
        <v>1166</v>
      </c>
      <c r="P812" s="100" t="n">
        <v>1131</v>
      </c>
      <c r="Q812" s="100"/>
      <c r="R812" s="103" t="n">
        <f aca="false">合約與計費!$D$4</f>
        <v>0.296</v>
      </c>
      <c r="S812" s="104" t="n">
        <f aca="false">ROUND(P812*R812,0)</f>
        <v>335</v>
      </c>
      <c r="T812" s="105"/>
      <c r="U812" s="100"/>
      <c r="V812" s="100"/>
      <c r="W812" s="106"/>
      <c r="X812" s="100"/>
      <c r="Y812" s="100"/>
      <c r="Z812" s="107"/>
      <c r="AA812" s="108"/>
      <c r="AB812" s="109"/>
      <c r="AC812" s="110"/>
      <c r="AD812" s="42"/>
      <c r="AE812" s="43"/>
    </row>
    <row r="813" customFormat="false" ht="16.5" hidden="false" customHeight="true" outlineLevel="0" collapsed="false">
      <c r="A813" s="97" t="n">
        <f aca="false">ROW(A810)</f>
        <v>810</v>
      </c>
      <c r="B813" s="97" t="n">
        <v>17</v>
      </c>
      <c r="C813" s="100" t="n">
        <v>1</v>
      </c>
      <c r="D813" s="85"/>
      <c r="E813" s="98" t="s">
        <v>2265</v>
      </c>
      <c r="F813" s="99" t="s">
        <v>2232</v>
      </c>
      <c r="G813" s="100" t="s">
        <v>1883</v>
      </c>
      <c r="H813" s="100" t="s">
        <v>2233</v>
      </c>
      <c r="I813" s="100" t="s">
        <v>220</v>
      </c>
      <c r="J813" s="98" t="s">
        <v>527</v>
      </c>
      <c r="K813" s="101" t="s">
        <v>2266</v>
      </c>
      <c r="L813" s="102" t="n">
        <v>45740</v>
      </c>
      <c r="M813" s="100" t="n">
        <v>5793</v>
      </c>
      <c r="N813" s="100" t="n">
        <v>6989</v>
      </c>
      <c r="O813" s="100" t="n">
        <v>1196</v>
      </c>
      <c r="P813" s="100" t="n">
        <v>1160</v>
      </c>
      <c r="Q813" s="100"/>
      <c r="R813" s="103" t="n">
        <f aca="false">合約與計費!$D$4</f>
        <v>0.296</v>
      </c>
      <c r="S813" s="104" t="n">
        <f aca="false">ROUND(P813*R813,0)</f>
        <v>343</v>
      </c>
      <c r="T813" s="105"/>
      <c r="U813" s="100"/>
      <c r="V813" s="100"/>
      <c r="W813" s="106"/>
      <c r="X813" s="100"/>
      <c r="Y813" s="100"/>
      <c r="Z813" s="107"/>
      <c r="AA813" s="108"/>
      <c r="AB813" s="109"/>
      <c r="AC813" s="110"/>
      <c r="AD813" s="42"/>
      <c r="AE813" s="43"/>
    </row>
    <row r="814" customFormat="false" ht="16.5" hidden="false" customHeight="true" outlineLevel="0" collapsed="false">
      <c r="A814" s="97" t="n">
        <f aca="false">ROW(A811)</f>
        <v>811</v>
      </c>
      <c r="B814" s="97" t="n">
        <v>18</v>
      </c>
      <c r="C814" s="100" t="n">
        <v>1</v>
      </c>
      <c r="D814" s="85"/>
      <c r="E814" s="98" t="s">
        <v>2267</v>
      </c>
      <c r="F814" s="99" t="s">
        <v>2232</v>
      </c>
      <c r="G814" s="100" t="s">
        <v>1883</v>
      </c>
      <c r="H814" s="100" t="s">
        <v>2233</v>
      </c>
      <c r="I814" s="100" t="s">
        <v>220</v>
      </c>
      <c r="J814" s="98" t="s">
        <v>527</v>
      </c>
      <c r="K814" s="101" t="s">
        <v>2268</v>
      </c>
      <c r="L814" s="102" t="n">
        <v>45740</v>
      </c>
      <c r="M814" s="100" t="n">
        <v>9912</v>
      </c>
      <c r="N814" s="100" t="n">
        <v>12379</v>
      </c>
      <c r="O814" s="100" t="n">
        <v>2467</v>
      </c>
      <c r="P814" s="100" t="n">
        <v>2393</v>
      </c>
      <c r="Q814" s="100"/>
      <c r="R814" s="103" t="n">
        <f aca="false">合約與計費!$D$4</f>
        <v>0.296</v>
      </c>
      <c r="S814" s="104" t="n">
        <f aca="false">ROUND(P814*R814,0)</f>
        <v>708</v>
      </c>
      <c r="T814" s="105"/>
      <c r="U814" s="100"/>
      <c r="V814" s="100"/>
      <c r="W814" s="106"/>
      <c r="X814" s="100"/>
      <c r="Y814" s="100"/>
      <c r="Z814" s="107"/>
      <c r="AA814" s="108"/>
      <c r="AB814" s="109"/>
      <c r="AC814" s="110"/>
      <c r="AD814" s="42"/>
      <c r="AE814" s="43"/>
    </row>
    <row r="815" customFormat="false" ht="16.5" hidden="false" customHeight="true" outlineLevel="0" collapsed="false">
      <c r="A815" s="111" t="n">
        <f aca="false">ROW(A812)</f>
        <v>812</v>
      </c>
      <c r="B815" s="111" t="n">
        <v>19</v>
      </c>
      <c r="C815" s="114" t="n">
        <v>1</v>
      </c>
      <c r="D815" s="85"/>
      <c r="E815" s="112" t="s">
        <v>2269</v>
      </c>
      <c r="F815" s="113" t="s">
        <v>2232</v>
      </c>
      <c r="G815" s="114" t="s">
        <v>1883</v>
      </c>
      <c r="H815" s="114" t="s">
        <v>2233</v>
      </c>
      <c r="I815" s="114" t="s">
        <v>220</v>
      </c>
      <c r="J815" s="98" t="s">
        <v>527</v>
      </c>
      <c r="K815" s="101" t="s">
        <v>2270</v>
      </c>
      <c r="L815" s="102" t="n">
        <v>45740</v>
      </c>
      <c r="M815" s="100" t="n">
        <v>3675</v>
      </c>
      <c r="N815" s="100" t="n">
        <v>4392</v>
      </c>
      <c r="O815" s="100" t="n">
        <v>717</v>
      </c>
      <c r="P815" s="100" t="n">
        <v>695</v>
      </c>
      <c r="Q815" s="100" t="n">
        <f aca="false">ROUND(SUM(P797:P815),2)</f>
        <v>17674</v>
      </c>
      <c r="R815" s="103" t="n">
        <f aca="false">合約與計費!$D$4</f>
        <v>0.296</v>
      </c>
      <c r="S815" s="104" t="n">
        <f aca="false">ROUND(P815*R815,0)</f>
        <v>206</v>
      </c>
      <c r="T815" s="105" t="n">
        <f aca="false">ROUND(SUM(S797:S815),2)</f>
        <v>5231</v>
      </c>
      <c r="U815" s="100"/>
      <c r="V815" s="100"/>
      <c r="W815" s="106"/>
      <c r="X815" s="100"/>
      <c r="Y815" s="100" t="n">
        <f aca="false">ROUND(SUM(X797:X815),2)</f>
        <v>69</v>
      </c>
      <c r="Z815" s="107"/>
      <c r="AA815" s="108"/>
      <c r="AB815" s="109" t="n">
        <f aca="false">ROUND(SUM(AA797:AA815),2)</f>
        <v>193</v>
      </c>
      <c r="AC815" s="110"/>
      <c r="AD815" s="42"/>
      <c r="AE815" s="43"/>
    </row>
    <row r="816" customFormat="false" ht="16.5" hidden="false" customHeight="true" outlineLevel="0" collapsed="false">
      <c r="A816" s="84" t="n">
        <f aca="false">ROW(A813)</f>
        <v>813</v>
      </c>
      <c r="B816" s="84" t="s">
        <v>455</v>
      </c>
      <c r="C816" s="32" t="n">
        <v>1</v>
      </c>
      <c r="D816" s="85" t="n">
        <v>90</v>
      </c>
      <c r="E816" s="86" t="s">
        <v>2271</v>
      </c>
      <c r="F816" s="87" t="s">
        <v>2272</v>
      </c>
      <c r="G816" s="32" t="s">
        <v>1883</v>
      </c>
      <c r="H816" s="32" t="s">
        <v>2233</v>
      </c>
      <c r="I816" s="32" t="s">
        <v>416</v>
      </c>
      <c r="J816" s="86" t="s">
        <v>460</v>
      </c>
      <c r="K816" s="88" t="s">
        <v>2273</v>
      </c>
      <c r="L816" s="89" t="n">
        <v>45757</v>
      </c>
      <c r="M816" s="32" t="n">
        <v>188</v>
      </c>
      <c r="N816" s="32" t="n">
        <v>214</v>
      </c>
      <c r="O816" s="32" t="n">
        <v>26</v>
      </c>
      <c r="P816" s="32" t="n">
        <v>25</v>
      </c>
      <c r="Q816" s="32"/>
      <c r="R816" s="90" t="n">
        <f aca="false">合約與計費!$D$4</f>
        <v>0.296</v>
      </c>
      <c r="S816" s="91" t="n">
        <f aca="false">ROUND(P816*R816,0)</f>
        <v>7</v>
      </c>
      <c r="T816" s="92"/>
      <c r="U816" s="32" t="n">
        <v>322</v>
      </c>
      <c r="V816" s="32" t="n">
        <v>428</v>
      </c>
      <c r="W816" s="32" t="n">
        <v>106</v>
      </c>
      <c r="X816" s="32" t="n">
        <v>103</v>
      </c>
      <c r="Y816" s="32"/>
      <c r="Z816" s="93" t="n">
        <f aca="false">合約與計費!$E$4</f>
        <v>2.8</v>
      </c>
      <c r="AA816" s="94" t="n">
        <f aca="false">ROUND(X816*Z816,0)</f>
        <v>288</v>
      </c>
      <c r="AB816" s="95"/>
      <c r="AC816" s="96"/>
      <c r="AD816" s="42"/>
      <c r="AE816" s="43"/>
    </row>
    <row r="817" customFormat="false" ht="16.5" hidden="false" customHeight="true" outlineLevel="0" collapsed="false">
      <c r="A817" s="97" t="n">
        <f aca="false">ROW(A814)</f>
        <v>814</v>
      </c>
      <c r="B817" s="97" t="s">
        <v>462</v>
      </c>
      <c r="C817" s="100" t="n">
        <v>1</v>
      </c>
      <c r="D817" s="85"/>
      <c r="E817" s="98" t="s">
        <v>2274</v>
      </c>
      <c r="F817" s="99" t="s">
        <v>2272</v>
      </c>
      <c r="G817" s="100" t="s">
        <v>1883</v>
      </c>
      <c r="H817" s="100" t="s">
        <v>2233</v>
      </c>
      <c r="I817" s="100" t="s">
        <v>416</v>
      </c>
      <c r="J817" s="98" t="s">
        <v>464</v>
      </c>
      <c r="K817" s="101" t="s">
        <v>2275</v>
      </c>
      <c r="L817" s="102" t="n">
        <v>45757</v>
      </c>
      <c r="M817" s="100" t="n">
        <v>279</v>
      </c>
      <c r="N817" s="100" t="n">
        <v>320</v>
      </c>
      <c r="O817" s="100" t="n">
        <v>41</v>
      </c>
      <c r="P817" s="100" t="n">
        <v>40</v>
      </c>
      <c r="Q817" s="100"/>
      <c r="R817" s="103" t="n">
        <f aca="false">合約與計費!$D$4</f>
        <v>0.296</v>
      </c>
      <c r="S817" s="104" t="n">
        <f aca="false">ROUND(P817*R817,0)</f>
        <v>12</v>
      </c>
      <c r="T817" s="105"/>
      <c r="U817" s="100"/>
      <c r="V817" s="100"/>
      <c r="W817" s="106"/>
      <c r="X817" s="100"/>
      <c r="Y817" s="100"/>
      <c r="Z817" s="107"/>
      <c r="AA817" s="108"/>
      <c r="AB817" s="109"/>
      <c r="AC817" s="110"/>
      <c r="AD817" s="42" t="n">
        <v>0.026</v>
      </c>
      <c r="AE817" s="43" t="n">
        <v>0.9</v>
      </c>
    </row>
    <row r="818" customFormat="false" ht="16.5" hidden="false" customHeight="true" outlineLevel="0" collapsed="false">
      <c r="A818" s="97" t="n">
        <f aca="false">ROW(A815)</f>
        <v>815</v>
      </c>
      <c r="B818" s="97" t="s">
        <v>466</v>
      </c>
      <c r="C818" s="100" t="n">
        <v>1</v>
      </c>
      <c r="D818" s="85"/>
      <c r="E818" s="98" t="s">
        <v>2276</v>
      </c>
      <c r="F818" s="99" t="s">
        <v>2272</v>
      </c>
      <c r="G818" s="100" t="s">
        <v>1883</v>
      </c>
      <c r="H818" s="100" t="s">
        <v>2233</v>
      </c>
      <c r="I818" s="100" t="s">
        <v>416</v>
      </c>
      <c r="J818" s="98" t="s">
        <v>527</v>
      </c>
      <c r="K818" s="101" t="s">
        <v>2277</v>
      </c>
      <c r="L818" s="102" t="n">
        <v>45757</v>
      </c>
      <c r="M818" s="100" t="n">
        <v>8454</v>
      </c>
      <c r="N818" s="100" t="n">
        <v>10551</v>
      </c>
      <c r="O818" s="100" t="n">
        <v>2097</v>
      </c>
      <c r="P818" s="100" t="n">
        <v>2034</v>
      </c>
      <c r="Q818" s="100"/>
      <c r="R818" s="103" t="n">
        <f aca="false">合約與計費!$D$4</f>
        <v>0.296</v>
      </c>
      <c r="S818" s="104" t="n">
        <f aca="false">ROUND(P818*R818,0)</f>
        <v>602</v>
      </c>
      <c r="T818" s="105"/>
      <c r="U818" s="100"/>
      <c r="V818" s="100"/>
      <c r="W818" s="106"/>
      <c r="X818" s="100"/>
      <c r="Y818" s="100"/>
      <c r="Z818" s="107"/>
      <c r="AA818" s="108"/>
      <c r="AB818" s="109"/>
      <c r="AC818" s="110"/>
      <c r="AD818" s="42"/>
      <c r="AE818" s="43"/>
    </row>
    <row r="819" customFormat="false" ht="16.5" hidden="false" customHeight="true" outlineLevel="0" collapsed="false">
      <c r="A819" s="97" t="n">
        <f aca="false">ROW(A816)</f>
        <v>816</v>
      </c>
      <c r="B819" s="97" t="s">
        <v>469</v>
      </c>
      <c r="C819" s="100" t="n">
        <v>1</v>
      </c>
      <c r="D819" s="85"/>
      <c r="E819" s="98" t="s">
        <v>2278</v>
      </c>
      <c r="F819" s="99" t="s">
        <v>2272</v>
      </c>
      <c r="G819" s="100" t="s">
        <v>1883</v>
      </c>
      <c r="H819" s="100" t="s">
        <v>2233</v>
      </c>
      <c r="I819" s="100" t="s">
        <v>416</v>
      </c>
      <c r="J819" s="98" t="s">
        <v>527</v>
      </c>
      <c r="K819" s="101" t="s">
        <v>2279</v>
      </c>
      <c r="L819" s="102" t="n">
        <v>45757</v>
      </c>
      <c r="M819" s="100" t="n">
        <v>5598</v>
      </c>
      <c r="N819" s="100" t="n">
        <v>6838</v>
      </c>
      <c r="O819" s="100" t="n">
        <v>1240</v>
      </c>
      <c r="P819" s="100" t="n">
        <v>1203</v>
      </c>
      <c r="Q819" s="100"/>
      <c r="R819" s="103" t="n">
        <f aca="false">合約與計費!$D$4</f>
        <v>0.296</v>
      </c>
      <c r="S819" s="104" t="n">
        <f aca="false">ROUND(P819*R819,0)</f>
        <v>356</v>
      </c>
      <c r="T819" s="105"/>
      <c r="U819" s="100"/>
      <c r="V819" s="100"/>
      <c r="W819" s="106"/>
      <c r="X819" s="100"/>
      <c r="Y819" s="100"/>
      <c r="Z819" s="107"/>
      <c r="AA819" s="108"/>
      <c r="AB819" s="109"/>
      <c r="AC819" s="110"/>
      <c r="AD819" s="42"/>
      <c r="AE819" s="43"/>
    </row>
    <row r="820" customFormat="false" ht="16.5" hidden="false" customHeight="true" outlineLevel="0" collapsed="false">
      <c r="A820" s="97" t="n">
        <f aca="false">ROW(A817)</f>
        <v>817</v>
      </c>
      <c r="B820" s="97" t="s">
        <v>473</v>
      </c>
      <c r="C820" s="100" t="n">
        <v>1</v>
      </c>
      <c r="D820" s="85"/>
      <c r="E820" s="98" t="s">
        <v>2280</v>
      </c>
      <c r="F820" s="99" t="s">
        <v>2272</v>
      </c>
      <c r="G820" s="100" t="s">
        <v>1883</v>
      </c>
      <c r="H820" s="100" t="s">
        <v>2233</v>
      </c>
      <c r="I820" s="100" t="s">
        <v>416</v>
      </c>
      <c r="J820" s="98" t="s">
        <v>527</v>
      </c>
      <c r="K820" s="101" t="s">
        <v>2281</v>
      </c>
      <c r="L820" s="102" t="n">
        <v>45757</v>
      </c>
      <c r="M820" s="100" t="n">
        <v>7193</v>
      </c>
      <c r="N820" s="100" t="n">
        <v>8831</v>
      </c>
      <c r="O820" s="100" t="n">
        <v>1638</v>
      </c>
      <c r="P820" s="100" t="n">
        <v>1589</v>
      </c>
      <c r="Q820" s="100"/>
      <c r="R820" s="103" t="n">
        <f aca="false">合約與計費!$D$4</f>
        <v>0.296</v>
      </c>
      <c r="S820" s="104" t="n">
        <f aca="false">ROUND(P820*R820,0)</f>
        <v>470</v>
      </c>
      <c r="T820" s="105"/>
      <c r="U820" s="100"/>
      <c r="V820" s="100"/>
      <c r="W820" s="106"/>
      <c r="X820" s="100"/>
      <c r="Y820" s="100"/>
      <c r="Z820" s="107"/>
      <c r="AA820" s="108"/>
      <c r="AB820" s="109"/>
      <c r="AC820" s="110"/>
      <c r="AD820" s="42"/>
      <c r="AE820" s="43"/>
    </row>
    <row r="821" customFormat="false" ht="16.5" hidden="false" customHeight="true" outlineLevel="0" collapsed="false">
      <c r="A821" s="97" t="n">
        <f aca="false">ROW(A818)</f>
        <v>818</v>
      </c>
      <c r="B821" s="97" t="s">
        <v>476</v>
      </c>
      <c r="C821" s="100" t="n">
        <v>1</v>
      </c>
      <c r="D821" s="85"/>
      <c r="E821" s="98" t="s">
        <v>2282</v>
      </c>
      <c r="F821" s="99" t="s">
        <v>2272</v>
      </c>
      <c r="G821" s="100" t="s">
        <v>1883</v>
      </c>
      <c r="H821" s="100" t="s">
        <v>2233</v>
      </c>
      <c r="I821" s="100" t="s">
        <v>416</v>
      </c>
      <c r="J821" s="98" t="s">
        <v>527</v>
      </c>
      <c r="K821" s="101" t="s">
        <v>2283</v>
      </c>
      <c r="L821" s="102" t="n">
        <v>45757</v>
      </c>
      <c r="M821" s="100" t="n">
        <v>2772</v>
      </c>
      <c r="N821" s="100" t="n">
        <v>3561</v>
      </c>
      <c r="O821" s="100" t="n">
        <v>789</v>
      </c>
      <c r="P821" s="100" t="n">
        <v>765</v>
      </c>
      <c r="Q821" s="100"/>
      <c r="R821" s="103" t="n">
        <f aca="false">合約與計費!$D$4</f>
        <v>0.296</v>
      </c>
      <c r="S821" s="104" t="n">
        <f aca="false">ROUND(P821*R821,0)</f>
        <v>226</v>
      </c>
      <c r="T821" s="105"/>
      <c r="U821" s="100"/>
      <c r="V821" s="100"/>
      <c r="W821" s="106"/>
      <c r="X821" s="100"/>
      <c r="Y821" s="100"/>
      <c r="Z821" s="107"/>
      <c r="AA821" s="108"/>
      <c r="AB821" s="109"/>
      <c r="AC821" s="110"/>
      <c r="AD821" s="42"/>
      <c r="AE821" s="43"/>
    </row>
    <row r="822" customFormat="false" ht="16.5" hidden="false" customHeight="true" outlineLevel="0" collapsed="false">
      <c r="A822" s="97" t="n">
        <f aca="false">ROW(A819)</f>
        <v>819</v>
      </c>
      <c r="B822" s="97" t="s">
        <v>479</v>
      </c>
      <c r="C822" s="100" t="n">
        <v>1</v>
      </c>
      <c r="D822" s="85"/>
      <c r="E822" s="98" t="s">
        <v>2284</v>
      </c>
      <c r="F822" s="99" t="s">
        <v>2272</v>
      </c>
      <c r="G822" s="100" t="s">
        <v>1883</v>
      </c>
      <c r="H822" s="100" t="s">
        <v>2233</v>
      </c>
      <c r="I822" s="100" t="s">
        <v>416</v>
      </c>
      <c r="J822" s="98" t="s">
        <v>527</v>
      </c>
      <c r="K822" s="101" t="s">
        <v>2285</v>
      </c>
      <c r="L822" s="102" t="n">
        <v>45757</v>
      </c>
      <c r="M822" s="100" t="n">
        <v>2118</v>
      </c>
      <c r="N822" s="100" t="n">
        <v>2460</v>
      </c>
      <c r="O822" s="100" t="n">
        <v>342</v>
      </c>
      <c r="P822" s="100" t="n">
        <v>332</v>
      </c>
      <c r="Q822" s="100"/>
      <c r="R822" s="103" t="n">
        <f aca="false">合約與計費!$D$4</f>
        <v>0.296</v>
      </c>
      <c r="S822" s="104" t="n">
        <f aca="false">ROUND(P822*R822,0)</f>
        <v>98</v>
      </c>
      <c r="T822" s="105"/>
      <c r="U822" s="100"/>
      <c r="V822" s="100"/>
      <c r="W822" s="106"/>
      <c r="X822" s="100"/>
      <c r="Y822" s="100"/>
      <c r="Z822" s="107"/>
      <c r="AA822" s="108"/>
      <c r="AB822" s="109"/>
      <c r="AC822" s="110"/>
      <c r="AD822" s="42"/>
      <c r="AE822" s="43"/>
    </row>
    <row r="823" customFormat="false" ht="16.5" hidden="false" customHeight="true" outlineLevel="0" collapsed="false">
      <c r="A823" s="111" t="n">
        <f aca="false">ROW(A820)</f>
        <v>820</v>
      </c>
      <c r="B823" s="111" t="s">
        <v>482</v>
      </c>
      <c r="C823" s="114" t="n">
        <v>1</v>
      </c>
      <c r="D823" s="85"/>
      <c r="E823" s="112" t="s">
        <v>2286</v>
      </c>
      <c r="F823" s="113" t="s">
        <v>2272</v>
      </c>
      <c r="G823" s="114" t="s">
        <v>1883</v>
      </c>
      <c r="H823" s="114" t="s">
        <v>2233</v>
      </c>
      <c r="I823" s="114" t="s">
        <v>416</v>
      </c>
      <c r="J823" s="98" t="s">
        <v>527</v>
      </c>
      <c r="K823" s="101" t="s">
        <v>2287</v>
      </c>
      <c r="L823" s="102" t="n">
        <v>45757</v>
      </c>
      <c r="M823" s="100" t="n">
        <v>13526</v>
      </c>
      <c r="N823" s="100" t="n">
        <v>16025</v>
      </c>
      <c r="O823" s="100" t="n">
        <v>2499</v>
      </c>
      <c r="P823" s="100" t="n">
        <v>2424</v>
      </c>
      <c r="Q823" s="100" t="n">
        <f aca="false">ROUND(SUM(P816:P823),2)</f>
        <v>8412</v>
      </c>
      <c r="R823" s="103" t="n">
        <f aca="false">合約與計費!$D$4</f>
        <v>0.296</v>
      </c>
      <c r="S823" s="104" t="n">
        <f aca="false">ROUND(P823*R823,0)</f>
        <v>718</v>
      </c>
      <c r="T823" s="105" t="n">
        <f aca="false">ROUND(SUM(S816:S823),2)</f>
        <v>2489</v>
      </c>
      <c r="U823" s="100"/>
      <c r="V823" s="100"/>
      <c r="W823" s="106"/>
      <c r="X823" s="100"/>
      <c r="Y823" s="100" t="n">
        <f aca="false">ROUND(SUM(X816:X823),2)</f>
        <v>103</v>
      </c>
      <c r="Z823" s="107"/>
      <c r="AA823" s="108"/>
      <c r="AB823" s="109" t="n">
        <f aca="false">ROUND(SUM(AA816:AA823),2)</f>
        <v>288</v>
      </c>
      <c r="AC823" s="110"/>
      <c r="AD823" s="42"/>
      <c r="AE823" s="43"/>
    </row>
    <row r="824" customFormat="false" ht="16.5" hidden="false" customHeight="true" outlineLevel="0" collapsed="false">
      <c r="A824" s="84" t="n">
        <f aca="false">ROW(A821)</f>
        <v>821</v>
      </c>
      <c r="B824" s="84" t="s">
        <v>455</v>
      </c>
      <c r="C824" s="32" t="n">
        <v>1</v>
      </c>
      <c r="D824" s="85" t="n">
        <v>91</v>
      </c>
      <c r="E824" s="86" t="s">
        <v>2288</v>
      </c>
      <c r="F824" s="87" t="s">
        <v>2289</v>
      </c>
      <c r="G824" s="32" t="s">
        <v>1883</v>
      </c>
      <c r="H824" s="32" t="s">
        <v>2233</v>
      </c>
      <c r="I824" s="32" t="s">
        <v>179</v>
      </c>
      <c r="J824" s="86" t="s">
        <v>460</v>
      </c>
      <c r="K824" s="88" t="s">
        <v>2290</v>
      </c>
      <c r="L824" s="89" t="n">
        <v>45755</v>
      </c>
      <c r="M824" s="32" t="n">
        <v>50</v>
      </c>
      <c r="N824" s="32" t="n">
        <v>58</v>
      </c>
      <c r="O824" s="32" t="n">
        <v>8</v>
      </c>
      <c r="P824" s="32" t="n">
        <v>8</v>
      </c>
      <c r="Q824" s="32"/>
      <c r="R824" s="90" t="n">
        <f aca="false">合約與計費!$D$4</f>
        <v>0.296</v>
      </c>
      <c r="S824" s="91" t="n">
        <f aca="false">ROUND(P824*R824,0)</f>
        <v>2</v>
      </c>
      <c r="T824" s="92"/>
      <c r="U824" s="32" t="n">
        <v>177</v>
      </c>
      <c r="V824" s="32" t="n">
        <v>227</v>
      </c>
      <c r="W824" s="32" t="n">
        <v>50</v>
      </c>
      <c r="X824" s="32" t="n">
        <v>49</v>
      </c>
      <c r="Y824" s="32"/>
      <c r="Z824" s="93" t="n">
        <f aca="false">合約與計費!$E$4</f>
        <v>2.8</v>
      </c>
      <c r="AA824" s="94" t="n">
        <f aca="false">ROUND(X824*Z824,0)</f>
        <v>137</v>
      </c>
      <c r="AB824" s="95"/>
      <c r="AC824" s="96"/>
      <c r="AD824" s="42"/>
      <c r="AE824" s="43"/>
    </row>
    <row r="825" customFormat="false" ht="16.5" hidden="false" customHeight="true" outlineLevel="0" collapsed="false">
      <c r="A825" s="97" t="n">
        <f aca="false">ROW(A822)</f>
        <v>822</v>
      </c>
      <c r="B825" s="97" t="s">
        <v>2291</v>
      </c>
      <c r="C825" s="100" t="n">
        <v>1</v>
      </c>
      <c r="D825" s="85"/>
      <c r="E825" s="98" t="s">
        <v>2292</v>
      </c>
      <c r="F825" s="99" t="s">
        <v>2289</v>
      </c>
      <c r="G825" s="100" t="s">
        <v>1883</v>
      </c>
      <c r="H825" s="100" t="s">
        <v>2233</v>
      </c>
      <c r="I825" s="100" t="s">
        <v>179</v>
      </c>
      <c r="J825" s="98" t="s">
        <v>464</v>
      </c>
      <c r="K825" s="101" t="s">
        <v>2293</v>
      </c>
      <c r="L825" s="102" t="n">
        <v>45905</v>
      </c>
      <c r="M825" s="100" t="n">
        <v>4099</v>
      </c>
      <c r="N825" s="100" t="n">
        <v>4147</v>
      </c>
      <c r="O825" s="100" t="n">
        <v>48</v>
      </c>
      <c r="P825" s="100" t="n">
        <v>47</v>
      </c>
      <c r="Q825" s="100"/>
      <c r="R825" s="103" t="n">
        <f aca="false">合約與計費!$D$4</f>
        <v>0.296</v>
      </c>
      <c r="S825" s="104" t="n">
        <f aca="false">ROUND(P825*R825,0)</f>
        <v>14</v>
      </c>
      <c r="T825" s="105"/>
      <c r="U825" s="100"/>
      <c r="V825" s="100"/>
      <c r="W825" s="106"/>
      <c r="X825" s="100"/>
      <c r="Y825" s="100"/>
      <c r="Z825" s="107"/>
      <c r="AA825" s="108"/>
      <c r="AB825" s="109"/>
      <c r="AC825" s="110"/>
      <c r="AD825" s="42" t="n">
        <v>0.0844</v>
      </c>
      <c r="AE825" s="43" t="n">
        <v>0.8</v>
      </c>
    </row>
    <row r="826" customFormat="false" ht="16.5" hidden="false" customHeight="true" outlineLevel="0" collapsed="false">
      <c r="A826" s="97" t="n">
        <f aca="false">ROW(A823)</f>
        <v>823</v>
      </c>
      <c r="B826" s="97" t="s">
        <v>462</v>
      </c>
      <c r="C826" s="100" t="n">
        <v>1</v>
      </c>
      <c r="D826" s="85"/>
      <c r="E826" s="98" t="s">
        <v>2294</v>
      </c>
      <c r="F826" s="99" t="s">
        <v>2289</v>
      </c>
      <c r="G826" s="100" t="s">
        <v>1883</v>
      </c>
      <c r="H826" s="100" t="s">
        <v>2233</v>
      </c>
      <c r="I826" s="100" t="s">
        <v>179</v>
      </c>
      <c r="J826" s="98" t="s">
        <v>527</v>
      </c>
      <c r="K826" s="101" t="s">
        <v>2295</v>
      </c>
      <c r="L826" s="102" t="n">
        <v>45755</v>
      </c>
      <c r="M826" s="100" t="n">
        <v>2738</v>
      </c>
      <c r="N826" s="100" t="n">
        <v>3508</v>
      </c>
      <c r="O826" s="100" t="n">
        <v>770</v>
      </c>
      <c r="P826" s="100" t="n">
        <v>747</v>
      </c>
      <c r="Q826" s="100"/>
      <c r="R826" s="103" t="n">
        <f aca="false">合約與計費!$D$4</f>
        <v>0.296</v>
      </c>
      <c r="S826" s="104" t="n">
        <f aca="false">ROUND(P826*R826,0)</f>
        <v>221</v>
      </c>
      <c r="T826" s="105"/>
      <c r="U826" s="100"/>
      <c r="V826" s="100"/>
      <c r="W826" s="106"/>
      <c r="X826" s="100"/>
      <c r="Y826" s="100"/>
      <c r="Z826" s="107"/>
      <c r="AA826" s="108"/>
      <c r="AB826" s="109"/>
      <c r="AC826" s="110"/>
      <c r="AD826" s="42"/>
      <c r="AE826" s="43"/>
    </row>
    <row r="827" customFormat="false" ht="16.5" hidden="false" customHeight="true" outlineLevel="0" collapsed="false">
      <c r="A827" s="97" t="n">
        <f aca="false">ROW(A824)</f>
        <v>824</v>
      </c>
      <c r="B827" s="97" t="s">
        <v>466</v>
      </c>
      <c r="C827" s="100" t="n">
        <v>1</v>
      </c>
      <c r="D827" s="85"/>
      <c r="E827" s="98" t="s">
        <v>2296</v>
      </c>
      <c r="F827" s="99" t="s">
        <v>2289</v>
      </c>
      <c r="G827" s="100" t="s">
        <v>1883</v>
      </c>
      <c r="H827" s="100" t="s">
        <v>2233</v>
      </c>
      <c r="I827" s="100" t="s">
        <v>179</v>
      </c>
      <c r="J827" s="98" t="s">
        <v>527</v>
      </c>
      <c r="K827" s="101" t="s">
        <v>2297</v>
      </c>
      <c r="L827" s="102" t="n">
        <v>45755</v>
      </c>
      <c r="M827" s="100" t="n">
        <v>5609</v>
      </c>
      <c r="N827" s="100" t="n">
        <v>7329</v>
      </c>
      <c r="O827" s="100" t="n">
        <v>1720</v>
      </c>
      <c r="P827" s="100" t="n">
        <v>1668</v>
      </c>
      <c r="Q827" s="100"/>
      <c r="R827" s="103" t="n">
        <f aca="false">合約與計費!$D$4</f>
        <v>0.296</v>
      </c>
      <c r="S827" s="104" t="n">
        <f aca="false">ROUND(P827*R827,0)</f>
        <v>494</v>
      </c>
      <c r="T827" s="105"/>
      <c r="U827" s="100"/>
      <c r="V827" s="100"/>
      <c r="W827" s="106"/>
      <c r="X827" s="100"/>
      <c r="Y827" s="100"/>
      <c r="Z827" s="107"/>
      <c r="AA827" s="108"/>
      <c r="AB827" s="109"/>
      <c r="AC827" s="110"/>
      <c r="AD827" s="42"/>
      <c r="AE827" s="43"/>
    </row>
    <row r="828" customFormat="false" ht="16.5" hidden="false" customHeight="true" outlineLevel="0" collapsed="false">
      <c r="A828" s="97" t="n">
        <f aca="false">ROW(A825)</f>
        <v>825</v>
      </c>
      <c r="B828" s="97" t="s">
        <v>469</v>
      </c>
      <c r="C828" s="100" t="n">
        <v>1</v>
      </c>
      <c r="D828" s="85"/>
      <c r="E828" s="98" t="s">
        <v>2298</v>
      </c>
      <c r="F828" s="99" t="s">
        <v>2289</v>
      </c>
      <c r="G828" s="100" t="s">
        <v>1883</v>
      </c>
      <c r="H828" s="100" t="s">
        <v>2233</v>
      </c>
      <c r="I828" s="100" t="s">
        <v>179</v>
      </c>
      <c r="J828" s="98" t="s">
        <v>527</v>
      </c>
      <c r="K828" s="101" t="s">
        <v>2299</v>
      </c>
      <c r="L828" s="102" t="n">
        <v>45755</v>
      </c>
      <c r="M828" s="100" t="n">
        <v>5165</v>
      </c>
      <c r="N828" s="100" t="n">
        <v>6198</v>
      </c>
      <c r="O828" s="100" t="n">
        <v>1033</v>
      </c>
      <c r="P828" s="100" t="n">
        <v>1002</v>
      </c>
      <c r="Q828" s="100"/>
      <c r="R828" s="103" t="n">
        <f aca="false">合約與計費!$D$4</f>
        <v>0.296</v>
      </c>
      <c r="S828" s="104" t="n">
        <f aca="false">ROUND(P828*R828,0)</f>
        <v>297</v>
      </c>
      <c r="T828" s="105"/>
      <c r="U828" s="100"/>
      <c r="V828" s="100"/>
      <c r="W828" s="106"/>
      <c r="X828" s="100"/>
      <c r="Y828" s="100"/>
      <c r="Z828" s="107"/>
      <c r="AA828" s="108"/>
      <c r="AB828" s="109"/>
      <c r="AC828" s="110"/>
      <c r="AD828" s="42"/>
      <c r="AE828" s="43"/>
    </row>
    <row r="829" customFormat="false" ht="16.5" hidden="false" customHeight="true" outlineLevel="0" collapsed="false">
      <c r="A829" s="97" t="n">
        <f aca="false">ROW(A826)</f>
        <v>826</v>
      </c>
      <c r="B829" s="97" t="s">
        <v>473</v>
      </c>
      <c r="C829" s="100" t="n">
        <v>1</v>
      </c>
      <c r="D829" s="85"/>
      <c r="E829" s="98" t="s">
        <v>2300</v>
      </c>
      <c r="F829" s="99" t="s">
        <v>2289</v>
      </c>
      <c r="G829" s="100" t="s">
        <v>1883</v>
      </c>
      <c r="H829" s="100" t="s">
        <v>2233</v>
      </c>
      <c r="I829" s="100" t="s">
        <v>179</v>
      </c>
      <c r="J829" s="98" t="s">
        <v>527</v>
      </c>
      <c r="K829" s="101" t="s">
        <v>2301</v>
      </c>
      <c r="L829" s="102" t="n">
        <v>45755</v>
      </c>
      <c r="M829" s="100" t="n">
        <v>6308</v>
      </c>
      <c r="N829" s="100" t="n">
        <v>7220</v>
      </c>
      <c r="O829" s="100" t="n">
        <v>912</v>
      </c>
      <c r="P829" s="100" t="n">
        <v>885</v>
      </c>
      <c r="Q829" s="100"/>
      <c r="R829" s="103" t="n">
        <f aca="false">合約與計費!$D$4</f>
        <v>0.296</v>
      </c>
      <c r="S829" s="104" t="n">
        <f aca="false">ROUND(P829*R829,0)</f>
        <v>262</v>
      </c>
      <c r="T829" s="105"/>
      <c r="U829" s="100"/>
      <c r="V829" s="100"/>
      <c r="W829" s="106"/>
      <c r="X829" s="100"/>
      <c r="Y829" s="100"/>
      <c r="Z829" s="107"/>
      <c r="AA829" s="108"/>
      <c r="AB829" s="109"/>
      <c r="AC829" s="110"/>
      <c r="AD829" s="42"/>
      <c r="AE829" s="43"/>
    </row>
    <row r="830" customFormat="false" ht="16.5" hidden="false" customHeight="true" outlineLevel="0" collapsed="false">
      <c r="A830" s="97" t="n">
        <f aca="false">ROW(A827)</f>
        <v>827</v>
      </c>
      <c r="B830" s="97" t="s">
        <v>476</v>
      </c>
      <c r="C830" s="100" t="n">
        <v>1</v>
      </c>
      <c r="D830" s="85"/>
      <c r="E830" s="98" t="s">
        <v>2302</v>
      </c>
      <c r="F830" s="99" t="s">
        <v>2289</v>
      </c>
      <c r="G830" s="100" t="s">
        <v>1883</v>
      </c>
      <c r="H830" s="100" t="s">
        <v>2233</v>
      </c>
      <c r="I830" s="100" t="s">
        <v>179</v>
      </c>
      <c r="J830" s="98" t="s">
        <v>527</v>
      </c>
      <c r="K830" s="101" t="s">
        <v>2303</v>
      </c>
      <c r="L830" s="102" t="n">
        <v>45755</v>
      </c>
      <c r="M830" s="100" t="n">
        <v>6134</v>
      </c>
      <c r="N830" s="100" t="n">
        <v>7379</v>
      </c>
      <c r="O830" s="100" t="n">
        <v>1245</v>
      </c>
      <c r="P830" s="100" t="n">
        <v>1208</v>
      </c>
      <c r="Q830" s="100"/>
      <c r="R830" s="103" t="n">
        <f aca="false">合約與計費!$D$4</f>
        <v>0.296</v>
      </c>
      <c r="S830" s="104" t="n">
        <f aca="false">ROUND(P830*R830,0)</f>
        <v>358</v>
      </c>
      <c r="T830" s="105"/>
      <c r="U830" s="100"/>
      <c r="V830" s="100"/>
      <c r="W830" s="106"/>
      <c r="X830" s="100"/>
      <c r="Y830" s="100"/>
      <c r="Z830" s="107"/>
      <c r="AA830" s="108"/>
      <c r="AB830" s="109"/>
      <c r="AC830" s="110"/>
      <c r="AD830" s="42"/>
      <c r="AE830" s="43"/>
    </row>
    <row r="831" customFormat="false" ht="16.5" hidden="false" customHeight="true" outlineLevel="0" collapsed="false">
      <c r="A831" s="97" t="n">
        <f aca="false">ROW(A828)</f>
        <v>828</v>
      </c>
      <c r="B831" s="97" t="s">
        <v>479</v>
      </c>
      <c r="C831" s="100" t="n">
        <v>1</v>
      </c>
      <c r="D831" s="85"/>
      <c r="E831" s="98" t="s">
        <v>2304</v>
      </c>
      <c r="F831" s="99" t="s">
        <v>2289</v>
      </c>
      <c r="G831" s="100" t="s">
        <v>1883</v>
      </c>
      <c r="H831" s="100" t="s">
        <v>2233</v>
      </c>
      <c r="I831" s="100" t="s">
        <v>179</v>
      </c>
      <c r="J831" s="98" t="s">
        <v>527</v>
      </c>
      <c r="K831" s="101" t="s">
        <v>2305</v>
      </c>
      <c r="L831" s="102" t="n">
        <v>45755</v>
      </c>
      <c r="M831" s="100" t="n">
        <v>5243</v>
      </c>
      <c r="N831" s="100" t="n">
        <v>6513</v>
      </c>
      <c r="O831" s="100" t="n">
        <v>1270</v>
      </c>
      <c r="P831" s="100" t="n">
        <v>1232</v>
      </c>
      <c r="Q831" s="100"/>
      <c r="R831" s="103" t="n">
        <f aca="false">合約與計費!$D$4</f>
        <v>0.296</v>
      </c>
      <c r="S831" s="104" t="n">
        <f aca="false">ROUND(P831*R831,0)</f>
        <v>365</v>
      </c>
      <c r="T831" s="105"/>
      <c r="U831" s="100"/>
      <c r="V831" s="100"/>
      <c r="W831" s="106"/>
      <c r="X831" s="100"/>
      <c r="Y831" s="100"/>
      <c r="Z831" s="107"/>
      <c r="AA831" s="108"/>
      <c r="AB831" s="109"/>
      <c r="AC831" s="110"/>
      <c r="AD831" s="42"/>
      <c r="AE831" s="43"/>
    </row>
    <row r="832" customFormat="false" ht="16.5" hidden="false" customHeight="true" outlineLevel="0" collapsed="false">
      <c r="A832" s="97" t="n">
        <f aca="false">ROW(A829)</f>
        <v>829</v>
      </c>
      <c r="B832" s="97" t="s">
        <v>482</v>
      </c>
      <c r="C832" s="100" t="n">
        <v>1</v>
      </c>
      <c r="D832" s="85"/>
      <c r="E832" s="98" t="s">
        <v>2306</v>
      </c>
      <c r="F832" s="99" t="s">
        <v>2289</v>
      </c>
      <c r="G832" s="100" t="s">
        <v>1883</v>
      </c>
      <c r="H832" s="100" t="s">
        <v>2233</v>
      </c>
      <c r="I832" s="100" t="s">
        <v>179</v>
      </c>
      <c r="J832" s="98" t="s">
        <v>527</v>
      </c>
      <c r="K832" s="101" t="s">
        <v>2307</v>
      </c>
      <c r="L832" s="102" t="n">
        <v>45755</v>
      </c>
      <c r="M832" s="100" t="n">
        <v>6131</v>
      </c>
      <c r="N832" s="100" t="n">
        <v>7704</v>
      </c>
      <c r="O832" s="100" t="n">
        <v>1573</v>
      </c>
      <c r="P832" s="100" t="n">
        <v>1526</v>
      </c>
      <c r="Q832" s="100"/>
      <c r="R832" s="103" t="n">
        <f aca="false">合約與計費!$D$4</f>
        <v>0.296</v>
      </c>
      <c r="S832" s="104" t="n">
        <f aca="false">ROUND(P832*R832,0)</f>
        <v>452</v>
      </c>
      <c r="T832" s="105"/>
      <c r="U832" s="100"/>
      <c r="V832" s="100"/>
      <c r="W832" s="106"/>
      <c r="X832" s="100"/>
      <c r="Y832" s="100"/>
      <c r="Z832" s="107"/>
      <c r="AA832" s="108"/>
      <c r="AB832" s="109"/>
      <c r="AC832" s="110"/>
      <c r="AD832" s="42"/>
      <c r="AE832" s="43"/>
    </row>
    <row r="833" customFormat="false" ht="16.5" hidden="false" customHeight="true" outlineLevel="0" collapsed="false">
      <c r="A833" s="97" t="n">
        <f aca="false">ROW(A830)</f>
        <v>830</v>
      </c>
      <c r="B833" s="97" t="s">
        <v>485</v>
      </c>
      <c r="C833" s="100" t="n">
        <v>1</v>
      </c>
      <c r="D833" s="85"/>
      <c r="E833" s="98" t="s">
        <v>2308</v>
      </c>
      <c r="F833" s="99" t="s">
        <v>2289</v>
      </c>
      <c r="G833" s="100" t="s">
        <v>1883</v>
      </c>
      <c r="H833" s="100" t="s">
        <v>2233</v>
      </c>
      <c r="I833" s="100" t="s">
        <v>179</v>
      </c>
      <c r="J833" s="98" t="s">
        <v>527</v>
      </c>
      <c r="K833" s="101" t="s">
        <v>2309</v>
      </c>
      <c r="L833" s="102" t="n">
        <v>45755</v>
      </c>
      <c r="M833" s="100" t="n">
        <v>7553</v>
      </c>
      <c r="N833" s="100" t="n">
        <v>9172</v>
      </c>
      <c r="O833" s="100" t="n">
        <v>1619</v>
      </c>
      <c r="P833" s="100" t="n">
        <v>1570</v>
      </c>
      <c r="Q833" s="100"/>
      <c r="R833" s="103" t="n">
        <f aca="false">合約與計費!$D$4</f>
        <v>0.296</v>
      </c>
      <c r="S833" s="104" t="n">
        <f aca="false">ROUND(P833*R833,0)</f>
        <v>465</v>
      </c>
      <c r="T833" s="105"/>
      <c r="U833" s="100"/>
      <c r="V833" s="100"/>
      <c r="W833" s="106"/>
      <c r="X833" s="100"/>
      <c r="Y833" s="100"/>
      <c r="Z833" s="107"/>
      <c r="AA833" s="108"/>
      <c r="AB833" s="109"/>
      <c r="AC833" s="110"/>
      <c r="AD833" s="42"/>
      <c r="AE833" s="43"/>
    </row>
    <row r="834" customFormat="false" ht="16.5" hidden="false" customHeight="true" outlineLevel="0" collapsed="false">
      <c r="A834" s="97" t="n">
        <f aca="false">ROW(A831)</f>
        <v>831</v>
      </c>
      <c r="B834" s="97" t="s">
        <v>1779</v>
      </c>
      <c r="C834" s="100" t="n">
        <v>1</v>
      </c>
      <c r="D834" s="85"/>
      <c r="E834" s="98" t="s">
        <v>2310</v>
      </c>
      <c r="F834" s="99" t="s">
        <v>2289</v>
      </c>
      <c r="G834" s="100" t="s">
        <v>1883</v>
      </c>
      <c r="H834" s="100" t="s">
        <v>2233</v>
      </c>
      <c r="I834" s="100" t="s">
        <v>179</v>
      </c>
      <c r="J834" s="98" t="s">
        <v>527</v>
      </c>
      <c r="K834" s="101" t="s">
        <v>2311</v>
      </c>
      <c r="L834" s="102" t="n">
        <v>45755</v>
      </c>
      <c r="M834" s="100" t="n">
        <v>8092</v>
      </c>
      <c r="N834" s="100" t="n">
        <v>9605</v>
      </c>
      <c r="O834" s="100" t="n">
        <v>1513</v>
      </c>
      <c r="P834" s="100" t="n">
        <v>1468</v>
      </c>
      <c r="Q834" s="100"/>
      <c r="R834" s="103" t="n">
        <f aca="false">合約與計費!$D$4</f>
        <v>0.296</v>
      </c>
      <c r="S834" s="104" t="n">
        <f aca="false">ROUND(P834*R834,0)</f>
        <v>435</v>
      </c>
      <c r="T834" s="105"/>
      <c r="U834" s="100"/>
      <c r="V834" s="100"/>
      <c r="W834" s="106"/>
      <c r="X834" s="100"/>
      <c r="Y834" s="100"/>
      <c r="Z834" s="107"/>
      <c r="AA834" s="108"/>
      <c r="AB834" s="109"/>
      <c r="AC834" s="110"/>
      <c r="AD834" s="42"/>
      <c r="AE834" s="43"/>
    </row>
    <row r="835" customFormat="false" ht="16.5" hidden="false" customHeight="true" outlineLevel="0" collapsed="false">
      <c r="A835" s="97" t="n">
        <f aca="false">ROW(A832)</f>
        <v>832</v>
      </c>
      <c r="B835" s="97" t="s">
        <v>2312</v>
      </c>
      <c r="C835" s="114" t="n">
        <v>1</v>
      </c>
      <c r="D835" s="85"/>
      <c r="E835" s="98" t="s">
        <v>2313</v>
      </c>
      <c r="F835" s="113" t="s">
        <v>2289</v>
      </c>
      <c r="G835" s="114" t="s">
        <v>1883</v>
      </c>
      <c r="H835" s="114" t="s">
        <v>2233</v>
      </c>
      <c r="I835" s="114" t="s">
        <v>179</v>
      </c>
      <c r="J835" s="112" t="s">
        <v>527</v>
      </c>
      <c r="K835" s="115" t="s">
        <v>2314</v>
      </c>
      <c r="L835" s="116" t="n">
        <v>45755</v>
      </c>
      <c r="M835" s="114" t="n">
        <v>6756</v>
      </c>
      <c r="N835" s="114" t="n">
        <v>8083</v>
      </c>
      <c r="O835" s="114" t="n">
        <v>1327</v>
      </c>
      <c r="P835" s="114" t="n">
        <v>1287</v>
      </c>
      <c r="Q835" s="114" t="n">
        <f aca="false">ROUND(SUM(P824:P835),2)</f>
        <v>12648</v>
      </c>
      <c r="R835" s="117" t="n">
        <f aca="false">合約與計費!$D$4</f>
        <v>0.296</v>
      </c>
      <c r="S835" s="118" t="n">
        <f aca="false">ROUND(P835*R835,0)</f>
        <v>381</v>
      </c>
      <c r="T835" s="119" t="n">
        <f aca="false">ROUND(SUM(S824:S835),2)</f>
        <v>3746</v>
      </c>
      <c r="U835" s="114"/>
      <c r="V835" s="114"/>
      <c r="W835" s="120"/>
      <c r="X835" s="114"/>
      <c r="Y835" s="114" t="n">
        <f aca="false">ROUND(SUM(X824:X835),2)</f>
        <v>49</v>
      </c>
      <c r="Z835" s="121"/>
      <c r="AA835" s="122"/>
      <c r="AB835" s="123" t="n">
        <f aca="false">ROUND(SUM(AA824:AA835),2)</f>
        <v>137</v>
      </c>
      <c r="AC835" s="124"/>
      <c r="AD835" s="42"/>
      <c r="AE835" s="43"/>
    </row>
    <row r="836" customFormat="false" ht="16.5" hidden="false" customHeight="true" outlineLevel="0" collapsed="false">
      <c r="A836" s="84" t="n">
        <f aca="false">ROW(A833)</f>
        <v>833</v>
      </c>
      <c r="B836" s="84" t="s">
        <v>455</v>
      </c>
      <c r="C836" s="32" t="n">
        <v>1</v>
      </c>
      <c r="D836" s="85" t="n">
        <v>92</v>
      </c>
      <c r="E836" s="86" t="s">
        <v>2315</v>
      </c>
      <c r="F836" s="87" t="s">
        <v>2316</v>
      </c>
      <c r="G836" s="32" t="s">
        <v>1883</v>
      </c>
      <c r="H836" s="32" t="s">
        <v>2233</v>
      </c>
      <c r="I836" s="32" t="s">
        <v>342</v>
      </c>
      <c r="J836" s="86" t="s">
        <v>460</v>
      </c>
      <c r="K836" s="88" t="s">
        <v>2317</v>
      </c>
      <c r="L836" s="89" t="n">
        <v>45754</v>
      </c>
      <c r="M836" s="32" t="n">
        <v>1921</v>
      </c>
      <c r="N836" s="32" t="n">
        <v>2254</v>
      </c>
      <c r="O836" s="32" t="n">
        <v>333</v>
      </c>
      <c r="P836" s="32" t="n">
        <v>323</v>
      </c>
      <c r="Q836" s="32"/>
      <c r="R836" s="90" t="n">
        <f aca="false">合約與計費!$D$4</f>
        <v>0.296</v>
      </c>
      <c r="S836" s="91" t="n">
        <f aca="false">ROUND(P836*R836,0)</f>
        <v>96</v>
      </c>
      <c r="T836" s="92"/>
      <c r="U836" s="32" t="n">
        <v>199</v>
      </c>
      <c r="V836" s="32" t="n">
        <v>248</v>
      </c>
      <c r="W836" s="32" t="n">
        <v>49</v>
      </c>
      <c r="X836" s="32" t="n">
        <v>48</v>
      </c>
      <c r="Y836" s="32"/>
      <c r="Z836" s="93" t="n">
        <f aca="false">合約與計費!$E$4</f>
        <v>2.8</v>
      </c>
      <c r="AA836" s="94" t="n">
        <f aca="false">ROUND(X836*Z836,0)</f>
        <v>134</v>
      </c>
      <c r="AB836" s="95"/>
      <c r="AC836" s="96"/>
      <c r="AD836" s="42"/>
      <c r="AE836" s="43"/>
    </row>
    <row r="837" customFormat="false" ht="16.5" hidden="false" customHeight="true" outlineLevel="0" collapsed="false">
      <c r="A837" s="97" t="n">
        <f aca="false">ROW(A834)</f>
        <v>834</v>
      </c>
      <c r="B837" s="97" t="s">
        <v>462</v>
      </c>
      <c r="C837" s="100" t="n">
        <v>1</v>
      </c>
      <c r="D837" s="85"/>
      <c r="E837" s="98" t="s">
        <v>2318</v>
      </c>
      <c r="F837" s="99" t="s">
        <v>2316</v>
      </c>
      <c r="G837" s="100" t="s">
        <v>1883</v>
      </c>
      <c r="H837" s="100" t="s">
        <v>2233</v>
      </c>
      <c r="I837" s="100" t="s">
        <v>342</v>
      </c>
      <c r="J837" s="98" t="s">
        <v>527</v>
      </c>
      <c r="K837" s="101" t="s">
        <v>2319</v>
      </c>
      <c r="L837" s="102" t="n">
        <v>45754</v>
      </c>
      <c r="M837" s="100" t="n">
        <v>9354</v>
      </c>
      <c r="N837" s="100" t="n">
        <v>10838</v>
      </c>
      <c r="O837" s="100" t="n">
        <v>1484</v>
      </c>
      <c r="P837" s="100" t="n">
        <v>1439</v>
      </c>
      <c r="Q837" s="100"/>
      <c r="R837" s="103" t="n">
        <f aca="false">合約與計費!$D$4</f>
        <v>0.296</v>
      </c>
      <c r="S837" s="104" t="n">
        <f aca="false">ROUND(P837*R837,0)</f>
        <v>426</v>
      </c>
      <c r="T837" s="105"/>
      <c r="U837" s="100"/>
      <c r="V837" s="100"/>
      <c r="W837" s="106"/>
      <c r="X837" s="100"/>
      <c r="Y837" s="100"/>
      <c r="Z837" s="107"/>
      <c r="AA837" s="108"/>
      <c r="AB837" s="109"/>
      <c r="AC837" s="110"/>
      <c r="AD837" s="42"/>
      <c r="AE837" s="43"/>
    </row>
    <row r="838" customFormat="false" ht="16.5" hidden="false" customHeight="true" outlineLevel="0" collapsed="false">
      <c r="A838" s="97" t="n">
        <f aca="false">ROW(A835)</f>
        <v>835</v>
      </c>
      <c r="B838" s="97" t="s">
        <v>466</v>
      </c>
      <c r="C838" s="100" t="n">
        <v>1</v>
      </c>
      <c r="D838" s="85"/>
      <c r="E838" s="98" t="s">
        <v>2320</v>
      </c>
      <c r="F838" s="99" t="s">
        <v>2316</v>
      </c>
      <c r="G838" s="100" t="s">
        <v>1883</v>
      </c>
      <c r="H838" s="100" t="s">
        <v>2233</v>
      </c>
      <c r="I838" s="100" t="s">
        <v>342</v>
      </c>
      <c r="J838" s="98" t="s">
        <v>527</v>
      </c>
      <c r="K838" s="101" t="s">
        <v>2321</v>
      </c>
      <c r="L838" s="102" t="n">
        <v>45754</v>
      </c>
      <c r="M838" s="100" t="n">
        <v>8059</v>
      </c>
      <c r="N838" s="100" t="n">
        <v>9968</v>
      </c>
      <c r="O838" s="100" t="n">
        <v>1909</v>
      </c>
      <c r="P838" s="100" t="n">
        <v>1852</v>
      </c>
      <c r="Q838" s="100"/>
      <c r="R838" s="103" t="n">
        <f aca="false">合約與計費!$D$4</f>
        <v>0.296</v>
      </c>
      <c r="S838" s="104" t="n">
        <f aca="false">ROUND(P838*R838,0)</f>
        <v>548</v>
      </c>
      <c r="T838" s="105"/>
      <c r="U838" s="100"/>
      <c r="V838" s="100"/>
      <c r="W838" s="106"/>
      <c r="X838" s="100"/>
      <c r="Y838" s="100"/>
      <c r="Z838" s="107"/>
      <c r="AA838" s="108"/>
      <c r="AB838" s="109"/>
      <c r="AC838" s="110"/>
      <c r="AD838" s="42"/>
      <c r="AE838" s="43"/>
    </row>
    <row r="839" customFormat="false" ht="16.5" hidden="false" customHeight="true" outlineLevel="0" collapsed="false">
      <c r="A839" s="97" t="n">
        <f aca="false">ROW(A836)</f>
        <v>836</v>
      </c>
      <c r="B839" s="97" t="s">
        <v>469</v>
      </c>
      <c r="C839" s="100" t="n">
        <v>1</v>
      </c>
      <c r="D839" s="85"/>
      <c r="E839" s="98" t="s">
        <v>2322</v>
      </c>
      <c r="F839" s="99" t="s">
        <v>2316</v>
      </c>
      <c r="G839" s="100" t="s">
        <v>1883</v>
      </c>
      <c r="H839" s="100" t="s">
        <v>2233</v>
      </c>
      <c r="I839" s="100" t="s">
        <v>342</v>
      </c>
      <c r="J839" s="98" t="s">
        <v>527</v>
      </c>
      <c r="K839" s="101" t="s">
        <v>2323</v>
      </c>
      <c r="L839" s="102" t="n">
        <v>45754</v>
      </c>
      <c r="M839" s="100" t="n">
        <v>11118</v>
      </c>
      <c r="N839" s="100" t="n">
        <v>13163</v>
      </c>
      <c r="O839" s="100" t="n">
        <v>2045</v>
      </c>
      <c r="P839" s="100" t="n">
        <v>1984</v>
      </c>
      <c r="Q839" s="100"/>
      <c r="R839" s="103" t="n">
        <f aca="false">合約與計費!$D$4</f>
        <v>0.296</v>
      </c>
      <c r="S839" s="104" t="n">
        <f aca="false">ROUND(P839*R839,0)</f>
        <v>587</v>
      </c>
      <c r="T839" s="105"/>
      <c r="U839" s="100"/>
      <c r="V839" s="100"/>
      <c r="W839" s="106"/>
      <c r="X839" s="100"/>
      <c r="Y839" s="100"/>
      <c r="Z839" s="107"/>
      <c r="AA839" s="108"/>
      <c r="AB839" s="109"/>
      <c r="AC839" s="110"/>
      <c r="AD839" s="42"/>
      <c r="AE839" s="43"/>
    </row>
    <row r="840" customFormat="false" ht="16.5" hidden="false" customHeight="true" outlineLevel="0" collapsed="false">
      <c r="A840" s="111" t="n">
        <f aca="false">ROW(A837)</f>
        <v>837</v>
      </c>
      <c r="B840" s="111" t="s">
        <v>473</v>
      </c>
      <c r="C840" s="114" t="n">
        <v>1</v>
      </c>
      <c r="D840" s="85"/>
      <c r="E840" s="112" t="s">
        <v>2324</v>
      </c>
      <c r="F840" s="113" t="s">
        <v>2316</v>
      </c>
      <c r="G840" s="114" t="s">
        <v>1883</v>
      </c>
      <c r="H840" s="114" t="s">
        <v>2233</v>
      </c>
      <c r="I840" s="114" t="s">
        <v>342</v>
      </c>
      <c r="J840" s="112" t="s">
        <v>527</v>
      </c>
      <c r="K840" s="115" t="s">
        <v>2325</v>
      </c>
      <c r="L840" s="116" t="n">
        <v>45754</v>
      </c>
      <c r="M840" s="114" t="n">
        <v>2554</v>
      </c>
      <c r="N840" s="114" t="n">
        <v>3024</v>
      </c>
      <c r="O840" s="114" t="n">
        <v>470</v>
      </c>
      <c r="P840" s="114" t="n">
        <v>456</v>
      </c>
      <c r="Q840" s="114" t="n">
        <f aca="false">ROUND(SUM(P836:P840),2)</f>
        <v>6054</v>
      </c>
      <c r="R840" s="117" t="n">
        <f aca="false">合約與計費!$D$4</f>
        <v>0.296</v>
      </c>
      <c r="S840" s="118" t="n">
        <f aca="false">ROUND(P840*R840,0)</f>
        <v>135</v>
      </c>
      <c r="T840" s="119" t="n">
        <f aca="false">ROUND(SUM(S836:S840),2)</f>
        <v>1792</v>
      </c>
      <c r="U840" s="114"/>
      <c r="V840" s="114"/>
      <c r="W840" s="120"/>
      <c r="X840" s="114"/>
      <c r="Y840" s="114" t="n">
        <f aca="false">ROUND(SUM(X836:X840),2)</f>
        <v>48</v>
      </c>
      <c r="Z840" s="121"/>
      <c r="AA840" s="122"/>
      <c r="AB840" s="123" t="n">
        <f aca="false">ROUND(SUM(AA836:AA840),2)</f>
        <v>134</v>
      </c>
      <c r="AC840" s="124"/>
      <c r="AD840" s="42"/>
      <c r="AE840" s="43"/>
    </row>
    <row r="841" customFormat="false" ht="16.5" hidden="false" customHeight="true" outlineLevel="0" collapsed="false">
      <c r="A841" s="84" t="n">
        <f aca="false">ROW(A838)</f>
        <v>838</v>
      </c>
      <c r="B841" s="84" t="s">
        <v>455</v>
      </c>
      <c r="C841" s="32" t="n">
        <v>1</v>
      </c>
      <c r="D841" s="85" t="n">
        <v>93</v>
      </c>
      <c r="E841" s="86" t="s">
        <v>2326</v>
      </c>
      <c r="F841" s="87" t="s">
        <v>2327</v>
      </c>
      <c r="G841" s="32" t="s">
        <v>1883</v>
      </c>
      <c r="H841" s="32" t="s">
        <v>2233</v>
      </c>
      <c r="I841" s="32" t="s">
        <v>343</v>
      </c>
      <c r="J841" s="86" t="s">
        <v>460</v>
      </c>
      <c r="K841" s="88" t="s">
        <v>2328</v>
      </c>
      <c r="L841" s="89" t="n">
        <v>45747</v>
      </c>
      <c r="M841" s="32" t="n">
        <v>1258</v>
      </c>
      <c r="N841" s="32" t="n">
        <v>1540</v>
      </c>
      <c r="O841" s="32" t="n">
        <v>282</v>
      </c>
      <c r="P841" s="32" t="n">
        <v>274</v>
      </c>
      <c r="Q841" s="32"/>
      <c r="R841" s="90" t="n">
        <f aca="false">合約與計費!$D$4</f>
        <v>0.296</v>
      </c>
      <c r="S841" s="91" t="n">
        <f aca="false">ROUND(P841*R841,0)</f>
        <v>81</v>
      </c>
      <c r="T841" s="92"/>
      <c r="U841" s="32" t="n">
        <v>358</v>
      </c>
      <c r="V841" s="32" t="n">
        <v>438</v>
      </c>
      <c r="W841" s="32" t="n">
        <v>80</v>
      </c>
      <c r="X841" s="32" t="n">
        <v>78</v>
      </c>
      <c r="Y841" s="32"/>
      <c r="Z841" s="93" t="n">
        <f aca="false">合約與計費!$E$4</f>
        <v>2.8</v>
      </c>
      <c r="AA841" s="94" t="n">
        <f aca="false">ROUND(X841*Z841,0)</f>
        <v>218</v>
      </c>
      <c r="AB841" s="95"/>
      <c r="AC841" s="96"/>
      <c r="AD841" s="42"/>
      <c r="AE841" s="43"/>
    </row>
    <row r="842" customFormat="false" ht="16.5" hidden="false" customHeight="true" outlineLevel="0" collapsed="false">
      <c r="A842" s="97" t="n">
        <f aca="false">ROW(A839)</f>
        <v>839</v>
      </c>
      <c r="B842" s="97" t="s">
        <v>462</v>
      </c>
      <c r="C842" s="100" t="n">
        <v>1</v>
      </c>
      <c r="D842" s="85"/>
      <c r="E842" s="98" t="s">
        <v>2329</v>
      </c>
      <c r="F842" s="99" t="s">
        <v>2327</v>
      </c>
      <c r="G842" s="100" t="s">
        <v>1883</v>
      </c>
      <c r="H842" s="100" t="s">
        <v>2233</v>
      </c>
      <c r="I842" s="100" t="s">
        <v>343</v>
      </c>
      <c r="J842" s="98" t="s">
        <v>464</v>
      </c>
      <c r="K842" s="101" t="s">
        <v>2330</v>
      </c>
      <c r="L842" s="102" t="n">
        <v>45747</v>
      </c>
      <c r="M842" s="100" t="n">
        <v>635</v>
      </c>
      <c r="N842" s="100" t="n">
        <v>853</v>
      </c>
      <c r="O842" s="100" t="n">
        <v>218</v>
      </c>
      <c r="P842" s="100" t="n">
        <v>211</v>
      </c>
      <c r="Q842" s="100"/>
      <c r="R842" s="103" t="n">
        <f aca="false">合約與計費!$D$4</f>
        <v>0.296</v>
      </c>
      <c r="S842" s="104" t="n">
        <f aca="false">ROUND(P842*R842,0)</f>
        <v>62</v>
      </c>
      <c r="T842" s="105"/>
      <c r="U842" s="100"/>
      <c r="V842" s="100"/>
      <c r="W842" s="106"/>
      <c r="X842" s="100"/>
      <c r="Y842" s="100"/>
      <c r="Z842" s="107"/>
      <c r="AA842" s="108"/>
      <c r="AB842" s="109"/>
      <c r="AC842" s="110"/>
      <c r="AD842" s="42" t="n">
        <v>0.0493</v>
      </c>
      <c r="AE842" s="43" t="n">
        <v>0.7</v>
      </c>
    </row>
    <row r="843" customFormat="false" ht="16.5" hidden="false" customHeight="true" outlineLevel="0" collapsed="false">
      <c r="A843" s="97" t="n">
        <f aca="false">ROW(A840)</f>
        <v>840</v>
      </c>
      <c r="B843" s="97" t="s">
        <v>466</v>
      </c>
      <c r="C843" s="100" t="n">
        <v>1</v>
      </c>
      <c r="D843" s="85"/>
      <c r="E843" s="98" t="s">
        <v>2331</v>
      </c>
      <c r="F843" s="99" t="s">
        <v>2327</v>
      </c>
      <c r="G843" s="100" t="s">
        <v>1883</v>
      </c>
      <c r="H843" s="100" t="s">
        <v>2233</v>
      </c>
      <c r="I843" s="100" t="s">
        <v>343</v>
      </c>
      <c r="J843" s="98" t="s">
        <v>527</v>
      </c>
      <c r="K843" s="101" t="s">
        <v>2332</v>
      </c>
      <c r="L843" s="102" t="n">
        <v>45747</v>
      </c>
      <c r="M843" s="100" t="n">
        <v>2129</v>
      </c>
      <c r="N843" s="100" t="n">
        <v>2655</v>
      </c>
      <c r="O843" s="100" t="n">
        <v>526</v>
      </c>
      <c r="P843" s="100" t="n">
        <v>510</v>
      </c>
      <c r="Q843" s="100"/>
      <c r="R843" s="103" t="n">
        <f aca="false">合約與計費!$D$4</f>
        <v>0.296</v>
      </c>
      <c r="S843" s="104" t="n">
        <f aca="false">ROUND(P843*R843,0)</f>
        <v>151</v>
      </c>
      <c r="T843" s="105"/>
      <c r="U843" s="100"/>
      <c r="V843" s="100"/>
      <c r="W843" s="106"/>
      <c r="X843" s="100"/>
      <c r="Y843" s="100"/>
      <c r="Z843" s="107"/>
      <c r="AA843" s="108"/>
      <c r="AB843" s="109"/>
      <c r="AC843" s="110"/>
      <c r="AD843" s="42"/>
      <c r="AE843" s="43"/>
    </row>
    <row r="844" customFormat="false" ht="16.5" hidden="false" customHeight="true" outlineLevel="0" collapsed="false">
      <c r="A844" s="97" t="n">
        <f aca="false">ROW(A841)</f>
        <v>841</v>
      </c>
      <c r="B844" s="97" t="s">
        <v>469</v>
      </c>
      <c r="C844" s="100" t="n">
        <v>1</v>
      </c>
      <c r="D844" s="85"/>
      <c r="E844" s="98" t="s">
        <v>2333</v>
      </c>
      <c r="F844" s="99" t="s">
        <v>2327</v>
      </c>
      <c r="G844" s="100" t="s">
        <v>1883</v>
      </c>
      <c r="H844" s="100" t="s">
        <v>2233</v>
      </c>
      <c r="I844" s="100" t="s">
        <v>343</v>
      </c>
      <c r="J844" s="98" t="s">
        <v>527</v>
      </c>
      <c r="K844" s="101" t="s">
        <v>2334</v>
      </c>
      <c r="L844" s="102" t="n">
        <v>45747</v>
      </c>
      <c r="M844" s="100" t="n">
        <v>3356</v>
      </c>
      <c r="N844" s="100" t="n">
        <v>4177</v>
      </c>
      <c r="O844" s="100" t="n">
        <v>821</v>
      </c>
      <c r="P844" s="100" t="n">
        <v>796</v>
      </c>
      <c r="Q844" s="100"/>
      <c r="R844" s="103" t="n">
        <f aca="false">合約與計費!$D$4</f>
        <v>0.296</v>
      </c>
      <c r="S844" s="104" t="n">
        <f aca="false">ROUND(P844*R844,0)</f>
        <v>236</v>
      </c>
      <c r="T844" s="105"/>
      <c r="U844" s="100"/>
      <c r="V844" s="100"/>
      <c r="W844" s="106"/>
      <c r="X844" s="100"/>
      <c r="Y844" s="100"/>
      <c r="Z844" s="107"/>
      <c r="AA844" s="108"/>
      <c r="AB844" s="109"/>
      <c r="AC844" s="110"/>
      <c r="AD844" s="42"/>
      <c r="AE844" s="43"/>
    </row>
    <row r="845" customFormat="false" ht="16.5" hidden="false" customHeight="true" outlineLevel="0" collapsed="false">
      <c r="A845" s="97" t="n">
        <f aca="false">ROW(A842)</f>
        <v>842</v>
      </c>
      <c r="B845" s="97" t="s">
        <v>473</v>
      </c>
      <c r="C845" s="100" t="n">
        <v>1</v>
      </c>
      <c r="D845" s="85"/>
      <c r="E845" s="98" t="s">
        <v>2335</v>
      </c>
      <c r="F845" s="99" t="s">
        <v>2327</v>
      </c>
      <c r="G845" s="100" t="s">
        <v>1883</v>
      </c>
      <c r="H845" s="100" t="s">
        <v>2233</v>
      </c>
      <c r="I845" s="100" t="s">
        <v>343</v>
      </c>
      <c r="J845" s="98" t="s">
        <v>527</v>
      </c>
      <c r="K845" s="101" t="s">
        <v>2336</v>
      </c>
      <c r="L845" s="102" t="n">
        <v>45747</v>
      </c>
      <c r="M845" s="100" t="n">
        <v>8270</v>
      </c>
      <c r="N845" s="100" t="n">
        <v>10461</v>
      </c>
      <c r="O845" s="100" t="n">
        <v>2191</v>
      </c>
      <c r="P845" s="100" t="n">
        <v>2125</v>
      </c>
      <c r="Q845" s="100"/>
      <c r="R845" s="103" t="n">
        <f aca="false">合約與計費!$D$4</f>
        <v>0.296</v>
      </c>
      <c r="S845" s="104" t="n">
        <f aca="false">ROUND(P845*R845,0)</f>
        <v>629</v>
      </c>
      <c r="T845" s="105"/>
      <c r="U845" s="100"/>
      <c r="V845" s="100"/>
      <c r="W845" s="106"/>
      <c r="X845" s="100"/>
      <c r="Y845" s="100"/>
      <c r="Z845" s="107"/>
      <c r="AA845" s="108"/>
      <c r="AB845" s="109"/>
      <c r="AC845" s="110"/>
      <c r="AD845" s="42"/>
      <c r="AE845" s="43"/>
    </row>
    <row r="846" customFormat="false" ht="16.5" hidden="false" customHeight="true" outlineLevel="0" collapsed="false">
      <c r="A846" s="97" t="n">
        <f aca="false">ROW(A843)</f>
        <v>843</v>
      </c>
      <c r="B846" s="97" t="s">
        <v>476</v>
      </c>
      <c r="C846" s="100" t="n">
        <v>1</v>
      </c>
      <c r="D846" s="85"/>
      <c r="E846" s="98" t="s">
        <v>2337</v>
      </c>
      <c r="F846" s="99" t="s">
        <v>2327</v>
      </c>
      <c r="G846" s="100" t="s">
        <v>1883</v>
      </c>
      <c r="H846" s="100" t="s">
        <v>2233</v>
      </c>
      <c r="I846" s="100" t="s">
        <v>343</v>
      </c>
      <c r="J846" s="98" t="s">
        <v>527</v>
      </c>
      <c r="K846" s="101" t="s">
        <v>2338</v>
      </c>
      <c r="L846" s="102" t="n">
        <v>45747</v>
      </c>
      <c r="M846" s="100" t="n">
        <v>6137</v>
      </c>
      <c r="N846" s="100" t="n">
        <v>7528</v>
      </c>
      <c r="O846" s="100" t="n">
        <v>1391</v>
      </c>
      <c r="P846" s="100" t="n">
        <v>1349</v>
      </c>
      <c r="Q846" s="100"/>
      <c r="R846" s="103" t="n">
        <f aca="false">合約與計費!$D$4</f>
        <v>0.296</v>
      </c>
      <c r="S846" s="104" t="n">
        <f aca="false">ROUND(P846*R846,0)</f>
        <v>399</v>
      </c>
      <c r="T846" s="105"/>
      <c r="U846" s="100"/>
      <c r="V846" s="100"/>
      <c r="W846" s="106"/>
      <c r="X846" s="100"/>
      <c r="Y846" s="100"/>
      <c r="Z846" s="107"/>
      <c r="AA846" s="108"/>
      <c r="AB846" s="109"/>
      <c r="AC846" s="110"/>
      <c r="AD846" s="42"/>
      <c r="AE846" s="43"/>
    </row>
    <row r="847" customFormat="false" ht="16.5" hidden="false" customHeight="true" outlineLevel="0" collapsed="false">
      <c r="A847" s="111" t="n">
        <f aca="false">ROW(A844)</f>
        <v>844</v>
      </c>
      <c r="B847" s="111" t="s">
        <v>479</v>
      </c>
      <c r="C847" s="114" t="n">
        <v>1</v>
      </c>
      <c r="D847" s="85"/>
      <c r="E847" s="112" t="s">
        <v>2339</v>
      </c>
      <c r="F847" s="113" t="s">
        <v>2327</v>
      </c>
      <c r="G847" s="114" t="s">
        <v>1883</v>
      </c>
      <c r="H847" s="114" t="s">
        <v>2233</v>
      </c>
      <c r="I847" s="114" t="s">
        <v>343</v>
      </c>
      <c r="J847" s="98" t="s">
        <v>527</v>
      </c>
      <c r="K847" s="101" t="s">
        <v>2340</v>
      </c>
      <c r="L847" s="102" t="n">
        <v>45747</v>
      </c>
      <c r="M847" s="100" t="n">
        <v>5669</v>
      </c>
      <c r="N847" s="100" t="n">
        <v>7258</v>
      </c>
      <c r="O847" s="114" t="n">
        <v>1589</v>
      </c>
      <c r="P847" s="114" t="n">
        <v>1541</v>
      </c>
      <c r="Q847" s="114" t="n">
        <f aca="false">ROUND(SUM(P841:P847),2)</f>
        <v>6806</v>
      </c>
      <c r="R847" s="117" t="n">
        <f aca="false">合約與計費!$D$4</f>
        <v>0.296</v>
      </c>
      <c r="S847" s="118" t="n">
        <f aca="false">ROUND(P847*R847,0)</f>
        <v>456</v>
      </c>
      <c r="T847" s="119" t="n">
        <f aca="false">ROUND(SUM(S841:S847),2)</f>
        <v>2014</v>
      </c>
      <c r="U847" s="100"/>
      <c r="V847" s="100"/>
      <c r="W847" s="106"/>
      <c r="X847" s="100"/>
      <c r="Y847" s="100" t="n">
        <f aca="false">ROUND(SUM(X841:X847),2)</f>
        <v>78</v>
      </c>
      <c r="Z847" s="107"/>
      <c r="AA847" s="108"/>
      <c r="AB847" s="109" t="n">
        <f aca="false">ROUND(SUM(AA841:AA847),2)</f>
        <v>218</v>
      </c>
      <c r="AC847" s="110"/>
      <c r="AD847" s="42"/>
      <c r="AE847" s="43"/>
    </row>
    <row r="848" customFormat="false" ht="16.5" hidden="false" customHeight="true" outlineLevel="0" collapsed="false">
      <c r="A848" s="84" t="n">
        <f aca="false">ROW(A845)</f>
        <v>845</v>
      </c>
      <c r="B848" s="84" t="s">
        <v>455</v>
      </c>
      <c r="C848" s="32" t="n">
        <v>1</v>
      </c>
      <c r="D848" s="85" t="n">
        <v>96</v>
      </c>
      <c r="E848" s="86" t="s">
        <v>2341</v>
      </c>
      <c r="F848" s="87" t="s">
        <v>2342</v>
      </c>
      <c r="G848" s="32" t="s">
        <v>1883</v>
      </c>
      <c r="H848" s="32" t="s">
        <v>2233</v>
      </c>
      <c r="I848" s="32" t="s">
        <v>341</v>
      </c>
      <c r="J848" s="86" t="s">
        <v>460</v>
      </c>
      <c r="K848" s="88" t="s">
        <v>2343</v>
      </c>
      <c r="L848" s="89" t="n">
        <v>45741</v>
      </c>
      <c r="M848" s="32" t="n">
        <v>77</v>
      </c>
      <c r="N848" s="32" t="n">
        <v>94</v>
      </c>
      <c r="O848" s="32" t="n">
        <v>17</v>
      </c>
      <c r="P848" s="32" t="n">
        <v>16</v>
      </c>
      <c r="Q848" s="32"/>
      <c r="R848" s="90" t="n">
        <f aca="false">合約與計費!$D$4</f>
        <v>0.296</v>
      </c>
      <c r="S848" s="91" t="n">
        <f aca="false">ROUND(P848*R848,0)</f>
        <v>5</v>
      </c>
      <c r="T848" s="92"/>
      <c r="U848" s="32" t="n">
        <v>338</v>
      </c>
      <c r="V848" s="32" t="n">
        <v>413</v>
      </c>
      <c r="W848" s="32" t="n">
        <v>75</v>
      </c>
      <c r="X848" s="32" t="n">
        <v>73</v>
      </c>
      <c r="Y848" s="32"/>
      <c r="Z848" s="93" t="n">
        <f aca="false">合約與計費!$E$4</f>
        <v>2.8</v>
      </c>
      <c r="AA848" s="94" t="n">
        <f aca="false">ROUND(X848*Z848,0)</f>
        <v>204</v>
      </c>
      <c r="AB848" s="95"/>
      <c r="AC848" s="96"/>
      <c r="AD848" s="42"/>
      <c r="AE848" s="43"/>
    </row>
    <row r="849" customFormat="false" ht="16.5" hidden="false" customHeight="true" outlineLevel="0" collapsed="false">
      <c r="A849" s="97" t="n">
        <f aca="false">ROW(A846)</f>
        <v>846</v>
      </c>
      <c r="B849" s="97" t="s">
        <v>462</v>
      </c>
      <c r="C849" s="100" t="n">
        <v>1</v>
      </c>
      <c r="D849" s="85"/>
      <c r="E849" s="98" t="s">
        <v>2344</v>
      </c>
      <c r="F849" s="99" t="s">
        <v>2342</v>
      </c>
      <c r="G849" s="100" t="s">
        <v>1883</v>
      </c>
      <c r="H849" s="100" t="s">
        <v>2233</v>
      </c>
      <c r="I849" s="100" t="s">
        <v>341</v>
      </c>
      <c r="J849" s="98" t="s">
        <v>527</v>
      </c>
      <c r="K849" s="101" t="s">
        <v>2345</v>
      </c>
      <c r="L849" s="102" t="n">
        <v>45741</v>
      </c>
      <c r="M849" s="100" t="n">
        <v>6603</v>
      </c>
      <c r="N849" s="100" t="n">
        <v>7867</v>
      </c>
      <c r="O849" s="100" t="n">
        <v>1264</v>
      </c>
      <c r="P849" s="100" t="n">
        <v>1226</v>
      </c>
      <c r="Q849" s="100"/>
      <c r="R849" s="103" t="n">
        <f aca="false">合約與計費!$D$4</f>
        <v>0.296</v>
      </c>
      <c r="S849" s="104" t="n">
        <f aca="false">ROUND(P849*R849,0)</f>
        <v>363</v>
      </c>
      <c r="T849" s="105"/>
      <c r="U849" s="100"/>
      <c r="V849" s="100"/>
      <c r="W849" s="106"/>
      <c r="X849" s="100"/>
      <c r="Y849" s="100"/>
      <c r="Z849" s="107"/>
      <c r="AA849" s="108"/>
      <c r="AB849" s="109"/>
      <c r="AC849" s="110"/>
      <c r="AD849" s="42"/>
      <c r="AE849" s="43"/>
    </row>
    <row r="850" customFormat="false" ht="16.5" hidden="false" customHeight="true" outlineLevel="0" collapsed="false">
      <c r="A850" s="97" t="n">
        <f aca="false">ROW(A847)</f>
        <v>847</v>
      </c>
      <c r="B850" s="97" t="s">
        <v>466</v>
      </c>
      <c r="C850" s="100" t="n">
        <v>1</v>
      </c>
      <c r="D850" s="85"/>
      <c r="E850" s="98" t="s">
        <v>2346</v>
      </c>
      <c r="F850" s="99" t="s">
        <v>2342</v>
      </c>
      <c r="G850" s="100" t="s">
        <v>1883</v>
      </c>
      <c r="H850" s="100" t="s">
        <v>2233</v>
      </c>
      <c r="I850" s="100" t="s">
        <v>341</v>
      </c>
      <c r="J850" s="98" t="s">
        <v>527</v>
      </c>
      <c r="K850" s="101" t="s">
        <v>2347</v>
      </c>
      <c r="L850" s="102" t="n">
        <v>45741</v>
      </c>
      <c r="M850" s="100" t="n">
        <v>1133</v>
      </c>
      <c r="N850" s="100" t="n">
        <v>1473</v>
      </c>
      <c r="O850" s="100" t="n">
        <v>340</v>
      </c>
      <c r="P850" s="100" t="n">
        <v>330</v>
      </c>
      <c r="Q850" s="100"/>
      <c r="R850" s="103" t="n">
        <f aca="false">合約與計費!$D$4</f>
        <v>0.296</v>
      </c>
      <c r="S850" s="104" t="n">
        <f aca="false">ROUND(P850*R850,0)</f>
        <v>98</v>
      </c>
      <c r="T850" s="105"/>
      <c r="U850" s="100"/>
      <c r="V850" s="100"/>
      <c r="W850" s="106"/>
      <c r="X850" s="100"/>
      <c r="Y850" s="100"/>
      <c r="Z850" s="107"/>
      <c r="AA850" s="108"/>
      <c r="AB850" s="109"/>
      <c r="AC850" s="110"/>
      <c r="AD850" s="42"/>
      <c r="AE850" s="43"/>
    </row>
    <row r="851" customFormat="false" ht="16.5" hidden="false" customHeight="true" outlineLevel="0" collapsed="false">
      <c r="A851" s="97" t="n">
        <f aca="false">ROW(A848)</f>
        <v>848</v>
      </c>
      <c r="B851" s="97" t="s">
        <v>469</v>
      </c>
      <c r="C851" s="100" t="n">
        <v>1</v>
      </c>
      <c r="D851" s="85"/>
      <c r="E851" s="98" t="s">
        <v>2348</v>
      </c>
      <c r="F851" s="99" t="s">
        <v>2342</v>
      </c>
      <c r="G851" s="100" t="s">
        <v>1883</v>
      </c>
      <c r="H851" s="100" t="s">
        <v>2233</v>
      </c>
      <c r="I851" s="100" t="s">
        <v>341</v>
      </c>
      <c r="J851" s="98" t="s">
        <v>527</v>
      </c>
      <c r="K851" s="101" t="s">
        <v>2349</v>
      </c>
      <c r="L851" s="102" t="n">
        <v>45741</v>
      </c>
      <c r="M851" s="100" t="n">
        <v>8224</v>
      </c>
      <c r="N851" s="100" t="n">
        <v>10048</v>
      </c>
      <c r="O851" s="100" t="n">
        <v>1824</v>
      </c>
      <c r="P851" s="100" t="n">
        <v>1769</v>
      </c>
      <c r="Q851" s="100"/>
      <c r="R851" s="103" t="n">
        <f aca="false">合約與計費!$D$4</f>
        <v>0.296</v>
      </c>
      <c r="S851" s="104" t="n">
        <f aca="false">ROUND(P851*R851,0)</f>
        <v>524</v>
      </c>
      <c r="T851" s="105"/>
      <c r="U851" s="100"/>
      <c r="V851" s="100"/>
      <c r="W851" s="106"/>
      <c r="X851" s="100"/>
      <c r="Y851" s="100"/>
      <c r="Z851" s="107"/>
      <c r="AA851" s="108"/>
      <c r="AB851" s="109"/>
      <c r="AC851" s="110"/>
      <c r="AD851" s="42"/>
      <c r="AE851" s="43"/>
    </row>
    <row r="852" customFormat="false" ht="16.5" hidden="false" customHeight="true" outlineLevel="0" collapsed="false">
      <c r="A852" s="97" t="n">
        <f aca="false">ROW(A849)</f>
        <v>849</v>
      </c>
      <c r="B852" s="97" t="s">
        <v>473</v>
      </c>
      <c r="C852" s="100" t="n">
        <v>1</v>
      </c>
      <c r="D852" s="85"/>
      <c r="E852" s="98" t="s">
        <v>2350</v>
      </c>
      <c r="F852" s="99" t="s">
        <v>2342</v>
      </c>
      <c r="G852" s="100" t="s">
        <v>1883</v>
      </c>
      <c r="H852" s="100" t="s">
        <v>2233</v>
      </c>
      <c r="I852" s="100" t="s">
        <v>341</v>
      </c>
      <c r="J852" s="98" t="s">
        <v>527</v>
      </c>
      <c r="K852" s="101" t="s">
        <v>2351</v>
      </c>
      <c r="L852" s="102" t="n">
        <v>45741</v>
      </c>
      <c r="M852" s="100" t="n">
        <v>999</v>
      </c>
      <c r="N852" s="100" t="n">
        <v>1000</v>
      </c>
      <c r="O852" s="100" t="n">
        <v>1</v>
      </c>
      <c r="P852" s="100" t="n">
        <v>1</v>
      </c>
      <c r="Q852" s="100"/>
      <c r="R852" s="103" t="n">
        <f aca="false">合約與計費!$D$4</f>
        <v>0.296</v>
      </c>
      <c r="S852" s="104" t="n">
        <f aca="false">ROUND(P852*R852,0)</f>
        <v>0</v>
      </c>
      <c r="T852" s="105"/>
      <c r="U852" s="100"/>
      <c r="V852" s="100"/>
      <c r="W852" s="106"/>
      <c r="X852" s="100"/>
      <c r="Y852" s="100"/>
      <c r="Z852" s="107"/>
      <c r="AA852" s="108"/>
      <c r="AB852" s="109"/>
      <c r="AC852" s="110"/>
      <c r="AD852" s="42"/>
      <c r="AE852" s="43"/>
    </row>
    <row r="853" customFormat="false" ht="16.5" hidden="false" customHeight="true" outlineLevel="0" collapsed="false">
      <c r="A853" s="97" t="n">
        <f aca="false">ROW(A850)</f>
        <v>850</v>
      </c>
      <c r="B853" s="97" t="s">
        <v>476</v>
      </c>
      <c r="C853" s="100" t="n">
        <v>1</v>
      </c>
      <c r="D853" s="85"/>
      <c r="E853" s="98" t="s">
        <v>2352</v>
      </c>
      <c r="F853" s="99" t="s">
        <v>2342</v>
      </c>
      <c r="G853" s="100" t="s">
        <v>1883</v>
      </c>
      <c r="H853" s="100" t="s">
        <v>2233</v>
      </c>
      <c r="I853" s="100" t="s">
        <v>341</v>
      </c>
      <c r="J853" s="98" t="s">
        <v>527</v>
      </c>
      <c r="K853" s="101" t="s">
        <v>2353</v>
      </c>
      <c r="L853" s="102" t="n">
        <v>45741</v>
      </c>
      <c r="M853" s="100" t="n">
        <v>10935</v>
      </c>
      <c r="N853" s="100" t="n">
        <v>13059</v>
      </c>
      <c r="O853" s="100" t="n">
        <v>2124</v>
      </c>
      <c r="P853" s="100" t="n">
        <v>2060</v>
      </c>
      <c r="Q853" s="100"/>
      <c r="R853" s="103" t="n">
        <f aca="false">合約與計費!$D$4</f>
        <v>0.296</v>
      </c>
      <c r="S853" s="104" t="n">
        <f aca="false">ROUND(P853*R853,0)</f>
        <v>610</v>
      </c>
      <c r="T853" s="105"/>
      <c r="U853" s="100"/>
      <c r="V853" s="100"/>
      <c r="W853" s="106"/>
      <c r="X853" s="100"/>
      <c r="Y853" s="100"/>
      <c r="Z853" s="107"/>
      <c r="AA853" s="108"/>
      <c r="AB853" s="109"/>
      <c r="AC853" s="110"/>
      <c r="AD853" s="42"/>
      <c r="AE853" s="43"/>
    </row>
    <row r="854" customFormat="false" ht="16.5" hidden="false" customHeight="true" outlineLevel="0" collapsed="false">
      <c r="A854" s="97" t="n">
        <f aca="false">ROW(A851)</f>
        <v>851</v>
      </c>
      <c r="B854" s="97" t="s">
        <v>479</v>
      </c>
      <c r="C854" s="100" t="n">
        <v>1</v>
      </c>
      <c r="D854" s="85"/>
      <c r="E854" s="98" t="s">
        <v>2354</v>
      </c>
      <c r="F854" s="99" t="s">
        <v>2342</v>
      </c>
      <c r="G854" s="100" t="s">
        <v>1883</v>
      </c>
      <c r="H854" s="100" t="s">
        <v>2233</v>
      </c>
      <c r="I854" s="100" t="s">
        <v>341</v>
      </c>
      <c r="J854" s="98" t="s">
        <v>527</v>
      </c>
      <c r="K854" s="101" t="s">
        <v>2355</v>
      </c>
      <c r="L854" s="102" t="n">
        <v>45741</v>
      </c>
      <c r="M854" s="100" t="n">
        <v>3131</v>
      </c>
      <c r="N854" s="100" t="n">
        <v>3899</v>
      </c>
      <c r="O854" s="100" t="n">
        <v>768</v>
      </c>
      <c r="P854" s="100" t="n">
        <v>745</v>
      </c>
      <c r="Q854" s="100"/>
      <c r="R854" s="103" t="n">
        <f aca="false">合約與計費!$D$4</f>
        <v>0.296</v>
      </c>
      <c r="S854" s="104" t="n">
        <f aca="false">ROUND(P854*R854,0)</f>
        <v>221</v>
      </c>
      <c r="T854" s="105"/>
      <c r="U854" s="100"/>
      <c r="V854" s="100"/>
      <c r="W854" s="106"/>
      <c r="X854" s="100"/>
      <c r="Y854" s="100"/>
      <c r="Z854" s="107"/>
      <c r="AA854" s="108"/>
      <c r="AB854" s="109"/>
      <c r="AC854" s="110"/>
      <c r="AD854" s="42"/>
      <c r="AE854" s="43"/>
    </row>
    <row r="855" customFormat="false" ht="16.5" hidden="false" customHeight="true" outlineLevel="0" collapsed="false">
      <c r="A855" s="97" t="n">
        <f aca="false">ROW(A852)</f>
        <v>852</v>
      </c>
      <c r="B855" s="97" t="s">
        <v>482</v>
      </c>
      <c r="C855" s="100" t="n">
        <v>1</v>
      </c>
      <c r="D855" s="85"/>
      <c r="E855" s="98" t="s">
        <v>2356</v>
      </c>
      <c r="F855" s="99" t="s">
        <v>2342</v>
      </c>
      <c r="G855" s="100" t="s">
        <v>1883</v>
      </c>
      <c r="H855" s="100" t="s">
        <v>2233</v>
      </c>
      <c r="I855" s="100" t="s">
        <v>341</v>
      </c>
      <c r="J855" s="98" t="s">
        <v>527</v>
      </c>
      <c r="K855" s="101" t="s">
        <v>2357</v>
      </c>
      <c r="L855" s="102" t="n">
        <v>45741</v>
      </c>
      <c r="M855" s="100" t="n">
        <v>7282</v>
      </c>
      <c r="N855" s="100" t="n">
        <v>8648</v>
      </c>
      <c r="O855" s="100" t="n">
        <v>1366</v>
      </c>
      <c r="P855" s="100" t="n">
        <v>1325</v>
      </c>
      <c r="Q855" s="100"/>
      <c r="R855" s="103" t="n">
        <f aca="false">合約與計費!$D$4</f>
        <v>0.296</v>
      </c>
      <c r="S855" s="104" t="n">
        <f aca="false">ROUND(P855*R855,0)</f>
        <v>392</v>
      </c>
      <c r="T855" s="105"/>
      <c r="U855" s="100"/>
      <c r="V855" s="100"/>
      <c r="W855" s="106"/>
      <c r="X855" s="100"/>
      <c r="Y855" s="100"/>
      <c r="Z855" s="107"/>
      <c r="AA855" s="108"/>
      <c r="AB855" s="109"/>
      <c r="AC855" s="110"/>
      <c r="AD855" s="42"/>
      <c r="AE855" s="43"/>
    </row>
    <row r="856" customFormat="false" ht="16.5" hidden="false" customHeight="true" outlineLevel="0" collapsed="false">
      <c r="A856" s="97" t="n">
        <f aca="false">ROW(A853)</f>
        <v>853</v>
      </c>
      <c r="B856" s="97" t="s">
        <v>485</v>
      </c>
      <c r="C856" s="100" t="n">
        <v>1</v>
      </c>
      <c r="D856" s="85"/>
      <c r="E856" s="98" t="s">
        <v>2358</v>
      </c>
      <c r="F856" s="99" t="s">
        <v>2342</v>
      </c>
      <c r="G856" s="100" t="s">
        <v>1883</v>
      </c>
      <c r="H856" s="100" t="s">
        <v>2233</v>
      </c>
      <c r="I856" s="100" t="s">
        <v>341</v>
      </c>
      <c r="J856" s="98" t="s">
        <v>527</v>
      </c>
      <c r="K856" s="101" t="s">
        <v>2359</v>
      </c>
      <c r="L856" s="102" t="n">
        <v>45741</v>
      </c>
      <c r="M856" s="100" t="n">
        <v>12059</v>
      </c>
      <c r="N856" s="100" t="n">
        <v>14178</v>
      </c>
      <c r="O856" s="100" t="n">
        <v>2119</v>
      </c>
      <c r="P856" s="100" t="n">
        <v>2055</v>
      </c>
      <c r="Q856" s="100"/>
      <c r="R856" s="103" t="n">
        <f aca="false">合約與計費!$D$4</f>
        <v>0.296</v>
      </c>
      <c r="S856" s="104" t="n">
        <f aca="false">ROUND(P856*R856,0)</f>
        <v>608</v>
      </c>
      <c r="T856" s="105"/>
      <c r="U856" s="100"/>
      <c r="V856" s="100"/>
      <c r="W856" s="106"/>
      <c r="X856" s="100"/>
      <c r="Y856" s="100"/>
      <c r="Z856" s="107"/>
      <c r="AA856" s="108"/>
      <c r="AB856" s="109"/>
      <c r="AC856" s="110"/>
      <c r="AD856" s="42"/>
      <c r="AE856" s="43"/>
    </row>
    <row r="857" customFormat="false" ht="16.5" hidden="false" customHeight="true" outlineLevel="0" collapsed="false">
      <c r="A857" s="111" t="n">
        <f aca="false">ROW(A854)</f>
        <v>854</v>
      </c>
      <c r="B857" s="111" t="n">
        <v>10</v>
      </c>
      <c r="C857" s="114" t="n">
        <v>1</v>
      </c>
      <c r="D857" s="85"/>
      <c r="E857" s="112" t="s">
        <v>2360</v>
      </c>
      <c r="F857" s="113" t="s">
        <v>2342</v>
      </c>
      <c r="G857" s="114" t="s">
        <v>1883</v>
      </c>
      <c r="H857" s="114" t="s">
        <v>2233</v>
      </c>
      <c r="I857" s="114" t="s">
        <v>341</v>
      </c>
      <c r="J857" s="112" t="s">
        <v>527</v>
      </c>
      <c r="K857" s="115" t="s">
        <v>2361</v>
      </c>
      <c r="L857" s="116" t="n">
        <v>45741</v>
      </c>
      <c r="M857" s="114" t="n">
        <v>12610</v>
      </c>
      <c r="N857" s="114" t="n">
        <v>15003</v>
      </c>
      <c r="O857" s="114" t="n">
        <v>2393</v>
      </c>
      <c r="P857" s="114" t="n">
        <v>2321</v>
      </c>
      <c r="Q857" s="114" t="n">
        <f aca="false">ROUND(SUM(P848:P857),2)</f>
        <v>11848</v>
      </c>
      <c r="R857" s="117" t="n">
        <f aca="false">合約與計費!$D$4</f>
        <v>0.296</v>
      </c>
      <c r="S857" s="118" t="n">
        <f aca="false">ROUND(P857*R857,0)</f>
        <v>687</v>
      </c>
      <c r="T857" s="119" t="n">
        <f aca="false">ROUND(SUM(S848:S857),2)</f>
        <v>3508</v>
      </c>
      <c r="U857" s="114"/>
      <c r="V857" s="114"/>
      <c r="W857" s="120"/>
      <c r="X857" s="114"/>
      <c r="Y857" s="114" t="n">
        <f aca="false">ROUND(SUM(X848:X857),2)</f>
        <v>73</v>
      </c>
      <c r="Z857" s="121"/>
      <c r="AA857" s="122"/>
      <c r="AB857" s="123" t="n">
        <f aca="false">ROUND(SUM(AA848:AA857),2)</f>
        <v>204</v>
      </c>
      <c r="AC857" s="124"/>
      <c r="AD857" s="42"/>
      <c r="AE857" s="43"/>
    </row>
    <row r="858" customFormat="false" ht="16.5" hidden="false" customHeight="true" outlineLevel="0" collapsed="false">
      <c r="A858" s="84" t="n">
        <f aca="false">ROW(A855)</f>
        <v>855</v>
      </c>
      <c r="B858" s="84" t="s">
        <v>455</v>
      </c>
      <c r="C858" s="32" t="n">
        <v>1</v>
      </c>
      <c r="D858" s="85" t="n">
        <v>195</v>
      </c>
      <c r="E858" s="86" t="s">
        <v>2362</v>
      </c>
      <c r="F858" s="87" t="s">
        <v>2363</v>
      </c>
      <c r="G858" s="32" t="s">
        <v>1883</v>
      </c>
      <c r="H858" s="32" t="s">
        <v>2233</v>
      </c>
      <c r="I858" s="32" t="s">
        <v>250</v>
      </c>
      <c r="J858" s="86" t="s">
        <v>460</v>
      </c>
      <c r="K858" s="88" t="s">
        <v>2364</v>
      </c>
      <c r="L858" s="89" t="n">
        <v>45754</v>
      </c>
      <c r="M858" s="32" t="n">
        <v>1504</v>
      </c>
      <c r="N858" s="32" t="n">
        <v>1847</v>
      </c>
      <c r="O858" s="32" t="n">
        <v>343</v>
      </c>
      <c r="P858" s="32" t="n">
        <v>333</v>
      </c>
      <c r="Q858" s="32"/>
      <c r="R858" s="90" t="n">
        <f aca="false">合約與計費!$D$4</f>
        <v>0.296</v>
      </c>
      <c r="S858" s="91" t="n">
        <f aca="false">ROUND(P858*R858,0)</f>
        <v>99</v>
      </c>
      <c r="T858" s="92"/>
      <c r="U858" s="32" t="n">
        <v>267</v>
      </c>
      <c r="V858" s="32" t="n">
        <v>295</v>
      </c>
      <c r="W858" s="32" t="n">
        <v>28</v>
      </c>
      <c r="X858" s="32" t="n">
        <v>27</v>
      </c>
      <c r="Y858" s="32"/>
      <c r="Z858" s="93" t="n">
        <f aca="false">合約與計費!$E$4</f>
        <v>2.8</v>
      </c>
      <c r="AA858" s="94" t="n">
        <f aca="false">ROUND(X858*Z858,0)</f>
        <v>76</v>
      </c>
      <c r="AB858" s="95"/>
      <c r="AC858" s="96"/>
      <c r="AD858" s="42"/>
      <c r="AE858" s="43"/>
    </row>
    <row r="859" customFormat="false" ht="16.5" hidden="false" customHeight="true" outlineLevel="0" collapsed="false">
      <c r="A859" s="111" t="n">
        <f aca="false">ROW(A856)</f>
        <v>856</v>
      </c>
      <c r="B859" s="111" t="s">
        <v>462</v>
      </c>
      <c r="C859" s="114" t="n">
        <v>1</v>
      </c>
      <c r="D859" s="85"/>
      <c r="E859" s="112" t="s">
        <v>2365</v>
      </c>
      <c r="F859" s="113" t="s">
        <v>2363</v>
      </c>
      <c r="G859" s="114" t="s">
        <v>1883</v>
      </c>
      <c r="H859" s="114" t="s">
        <v>2233</v>
      </c>
      <c r="I859" s="114" t="s">
        <v>250</v>
      </c>
      <c r="J859" s="112" t="s">
        <v>464</v>
      </c>
      <c r="K859" s="115" t="s">
        <v>2366</v>
      </c>
      <c r="L859" s="116" t="n">
        <v>45754</v>
      </c>
      <c r="M859" s="114" t="n">
        <v>439</v>
      </c>
      <c r="N859" s="114" t="n">
        <v>613</v>
      </c>
      <c r="O859" s="114" t="n">
        <v>174</v>
      </c>
      <c r="P859" s="114" t="n">
        <v>169</v>
      </c>
      <c r="Q859" s="114" t="n">
        <f aca="false">ROUND(SUM(P858:P859),2)</f>
        <v>502</v>
      </c>
      <c r="R859" s="117" t="n">
        <f aca="false">合約與計費!$D$4</f>
        <v>0.296</v>
      </c>
      <c r="S859" s="118" t="n">
        <f aca="false">ROUND(P859*R859,0)</f>
        <v>50</v>
      </c>
      <c r="T859" s="119" t="n">
        <f aca="false">ROUND(SUM(S858:S859),2)</f>
        <v>149</v>
      </c>
      <c r="U859" s="114"/>
      <c r="V859" s="114"/>
      <c r="W859" s="120"/>
      <c r="X859" s="114"/>
      <c r="Y859" s="114" t="n">
        <f aca="false">ROUND(SUM(X858:X859),2)</f>
        <v>27</v>
      </c>
      <c r="Z859" s="121"/>
      <c r="AA859" s="122"/>
      <c r="AB859" s="123" t="n">
        <f aca="false">ROUND(SUM(AA858:AA859),2)</f>
        <v>76</v>
      </c>
      <c r="AC859" s="124"/>
      <c r="AD859" s="42" t="n">
        <v>0.0692</v>
      </c>
      <c r="AE859" s="43" t="n">
        <v>0.7</v>
      </c>
    </row>
    <row r="860" customFormat="false" ht="16.5" hidden="false" customHeight="true" outlineLevel="0" collapsed="false">
      <c r="A860" s="84" t="n">
        <f aca="false">ROW(A857)</f>
        <v>857</v>
      </c>
      <c r="B860" s="84" t="s">
        <v>455</v>
      </c>
      <c r="C860" s="32" t="n">
        <v>1</v>
      </c>
      <c r="D860" s="85" t="n">
        <v>197</v>
      </c>
      <c r="E860" s="86" t="s">
        <v>2367</v>
      </c>
      <c r="F860" s="87" t="s">
        <v>2368</v>
      </c>
      <c r="G860" s="32" t="s">
        <v>1883</v>
      </c>
      <c r="H860" s="32" t="s">
        <v>2233</v>
      </c>
      <c r="I860" s="32" t="s">
        <v>180</v>
      </c>
      <c r="J860" s="86" t="s">
        <v>460</v>
      </c>
      <c r="K860" s="88" t="s">
        <v>2369</v>
      </c>
      <c r="L860" s="89" t="n">
        <v>45754</v>
      </c>
      <c r="M860" s="32" t="n">
        <v>81</v>
      </c>
      <c r="N860" s="32" t="n">
        <v>89</v>
      </c>
      <c r="O860" s="32" t="n">
        <v>8</v>
      </c>
      <c r="P860" s="32" t="n">
        <v>8</v>
      </c>
      <c r="Q860" s="32"/>
      <c r="R860" s="90" t="n">
        <f aca="false">合約與計費!$D$4</f>
        <v>0.296</v>
      </c>
      <c r="S860" s="91" t="n">
        <f aca="false">ROUND(P860*R860,0)</f>
        <v>2</v>
      </c>
      <c r="T860" s="92"/>
      <c r="U860" s="32" t="n">
        <v>78</v>
      </c>
      <c r="V860" s="32" t="n">
        <v>93</v>
      </c>
      <c r="W860" s="32" t="n">
        <v>15</v>
      </c>
      <c r="X860" s="32" t="n">
        <v>15</v>
      </c>
      <c r="Y860" s="32"/>
      <c r="Z860" s="93" t="n">
        <f aca="false">合約與計費!$E$4</f>
        <v>2.8</v>
      </c>
      <c r="AA860" s="94" t="n">
        <f aca="false">ROUND(X860*Z860,0)</f>
        <v>42</v>
      </c>
      <c r="AB860" s="95"/>
      <c r="AC860" s="96"/>
      <c r="AD860" s="42"/>
      <c r="AE860" s="43"/>
    </row>
    <row r="861" customFormat="false" ht="16.5" hidden="false" customHeight="true" outlineLevel="0" collapsed="false">
      <c r="A861" s="111" t="n">
        <f aca="false">ROW(A858)</f>
        <v>858</v>
      </c>
      <c r="B861" s="111" t="s">
        <v>462</v>
      </c>
      <c r="C861" s="114" t="n">
        <v>1</v>
      </c>
      <c r="D861" s="85"/>
      <c r="E861" s="112" t="s">
        <v>2370</v>
      </c>
      <c r="F861" s="113" t="s">
        <v>2368</v>
      </c>
      <c r="G861" s="114" t="s">
        <v>1883</v>
      </c>
      <c r="H861" s="114" t="s">
        <v>2233</v>
      </c>
      <c r="I861" s="114" t="s">
        <v>180</v>
      </c>
      <c r="J861" s="112" t="s">
        <v>464</v>
      </c>
      <c r="K861" s="115" t="s">
        <v>2371</v>
      </c>
      <c r="L861" s="116" t="n">
        <v>45754</v>
      </c>
      <c r="M861" s="114" t="n">
        <v>1709</v>
      </c>
      <c r="N861" s="114" t="n">
        <v>2126</v>
      </c>
      <c r="O861" s="114" t="n">
        <v>417</v>
      </c>
      <c r="P861" s="114" t="n">
        <v>404</v>
      </c>
      <c r="Q861" s="114" t="n">
        <f aca="false">ROUND(SUM(P860:P861),2)</f>
        <v>412</v>
      </c>
      <c r="R861" s="117" t="n">
        <f aca="false">合約與計費!$D$4</f>
        <v>0.296</v>
      </c>
      <c r="S861" s="118" t="n">
        <f aca="false">ROUND(P861*R861,0)</f>
        <v>120</v>
      </c>
      <c r="T861" s="119" t="n">
        <f aca="false">ROUND(SUM(S860:S861),2)</f>
        <v>122</v>
      </c>
      <c r="U861" s="114"/>
      <c r="V861" s="114"/>
      <c r="W861" s="120"/>
      <c r="X861" s="114"/>
      <c r="Y861" s="114" t="n">
        <f aca="false">ROUND(SUM(X860:X861),2)</f>
        <v>15</v>
      </c>
      <c r="Z861" s="121"/>
      <c r="AA861" s="122"/>
      <c r="AB861" s="123" t="n">
        <f aca="false">ROUND(SUM(AA860:AA861),2)</f>
        <v>42</v>
      </c>
      <c r="AC861" s="124"/>
      <c r="AD861" s="42" t="n">
        <v>0.1058</v>
      </c>
      <c r="AE861" s="43" t="n">
        <v>1</v>
      </c>
    </row>
    <row r="862" customFormat="false" ht="16.5" hidden="false" customHeight="true" outlineLevel="0" collapsed="false">
      <c r="A862" s="85" t="n">
        <f aca="false">ROW(A859)</f>
        <v>859</v>
      </c>
      <c r="B862" s="85" t="s">
        <v>455</v>
      </c>
      <c r="C862" s="216" t="n">
        <v>1</v>
      </c>
      <c r="D862" s="85" t="n">
        <v>198</v>
      </c>
      <c r="E862" s="214" t="s">
        <v>2372</v>
      </c>
      <c r="F862" s="215" t="s">
        <v>2373</v>
      </c>
      <c r="G862" s="216" t="s">
        <v>1883</v>
      </c>
      <c r="H862" s="216" t="s">
        <v>2233</v>
      </c>
      <c r="I862" s="216" t="s">
        <v>415</v>
      </c>
      <c r="J862" s="214" t="s">
        <v>460</v>
      </c>
      <c r="K862" s="232" t="s">
        <v>2374</v>
      </c>
      <c r="L862" s="218" t="n">
        <v>45779</v>
      </c>
      <c r="M862" s="216" t="n">
        <v>18</v>
      </c>
      <c r="N862" s="216" t="n">
        <v>23</v>
      </c>
      <c r="O862" s="114" t="n">
        <v>5</v>
      </c>
      <c r="P862" s="114" t="n">
        <v>5</v>
      </c>
      <c r="Q862" s="114" t="n">
        <f aca="false">ROUND(SUM(P862),2)</f>
        <v>5</v>
      </c>
      <c r="R862" s="219" t="n">
        <f aca="false">合約與計費!$D$4</f>
        <v>0.296</v>
      </c>
      <c r="S862" s="220" t="n">
        <f aca="false">ROUND(P862*R862,0)</f>
        <v>1</v>
      </c>
      <c r="T862" s="119" t="n">
        <f aca="false">ROUND(SUM(S862),2)</f>
        <v>1</v>
      </c>
      <c r="U862" s="216" t="n">
        <v>21</v>
      </c>
      <c r="V862" s="216" t="n">
        <v>31</v>
      </c>
      <c r="W862" s="216" t="n">
        <v>10</v>
      </c>
      <c r="X862" s="216" t="n">
        <v>10</v>
      </c>
      <c r="Y862" s="216" t="n">
        <f aca="false">ROUND(SUM(X862),2)</f>
        <v>10</v>
      </c>
      <c r="Z862" s="221" t="n">
        <f aca="false">合約與計費!$E$4</f>
        <v>2.8</v>
      </c>
      <c r="AA862" s="222" t="n">
        <f aca="false">ROUND(X862*Z862,0)</f>
        <v>28</v>
      </c>
      <c r="AB862" s="223" t="n">
        <f aca="false">ROUND(SUM(AA862),2)</f>
        <v>28</v>
      </c>
      <c r="AC862" s="224"/>
      <c r="AD862" s="42"/>
      <c r="AE862" s="43"/>
    </row>
    <row r="863" customFormat="false" ht="16.5" hidden="false" customHeight="true" outlineLevel="0" collapsed="false">
      <c r="A863" s="85" t="n">
        <f aca="false">ROW(A860)</f>
        <v>860</v>
      </c>
      <c r="B863" s="85" t="s">
        <v>455</v>
      </c>
      <c r="C863" s="216" t="n">
        <v>1</v>
      </c>
      <c r="D863" s="85" t="n">
        <v>199</v>
      </c>
      <c r="E863" s="214" t="s">
        <v>2375</v>
      </c>
      <c r="F863" s="215" t="s">
        <v>2376</v>
      </c>
      <c r="G863" s="216" t="s">
        <v>1883</v>
      </c>
      <c r="H863" s="216" t="s">
        <v>2233</v>
      </c>
      <c r="I863" s="216" t="s">
        <v>347</v>
      </c>
      <c r="J863" s="214" t="s">
        <v>460</v>
      </c>
      <c r="K863" s="232" t="s">
        <v>2377</v>
      </c>
      <c r="L863" s="218" t="n">
        <v>45776</v>
      </c>
      <c r="M863" s="216" t="n">
        <v>13</v>
      </c>
      <c r="N863" s="216" t="n">
        <v>17</v>
      </c>
      <c r="O863" s="114" t="n">
        <v>4</v>
      </c>
      <c r="P863" s="114" t="n">
        <v>4</v>
      </c>
      <c r="Q863" s="114" t="n">
        <f aca="false">ROUND(SUM(P863),2)</f>
        <v>4</v>
      </c>
      <c r="R863" s="219" t="n">
        <f aca="false">合約與計費!$D$4</f>
        <v>0.296</v>
      </c>
      <c r="S863" s="220" t="n">
        <f aca="false">ROUND(P863*R863,0)</f>
        <v>1</v>
      </c>
      <c r="T863" s="119" t="n">
        <f aca="false">ROUND(SUM(S863),2)</f>
        <v>1</v>
      </c>
      <c r="U863" s="216" t="n">
        <v>56</v>
      </c>
      <c r="V863" s="216" t="n">
        <v>138</v>
      </c>
      <c r="W863" s="216" t="n">
        <v>82</v>
      </c>
      <c r="X863" s="216" t="n">
        <v>80</v>
      </c>
      <c r="Y863" s="216" t="n">
        <f aca="false">ROUND(SUM(X863),2)</f>
        <v>80</v>
      </c>
      <c r="Z863" s="221" t="n">
        <f aca="false">合約與計費!$E$4</f>
        <v>2.8</v>
      </c>
      <c r="AA863" s="222" t="n">
        <f aca="false">ROUND(X863*Z863,0)</f>
        <v>224</v>
      </c>
      <c r="AB863" s="223" t="n">
        <f aca="false">ROUND(SUM(AA863),2)</f>
        <v>224</v>
      </c>
      <c r="AC863" s="224"/>
      <c r="AD863" s="42"/>
      <c r="AE863" s="43"/>
    </row>
    <row r="864" customFormat="false" ht="16.5" hidden="false" customHeight="true" outlineLevel="0" collapsed="false">
      <c r="A864" s="85" t="n">
        <f aca="false">ROW(A861)</f>
        <v>861</v>
      </c>
      <c r="B864" s="85" t="s">
        <v>455</v>
      </c>
      <c r="C864" s="216" t="n">
        <v>1</v>
      </c>
      <c r="D864" s="85" t="n">
        <v>200</v>
      </c>
      <c r="E864" s="214" t="s">
        <v>2378</v>
      </c>
      <c r="F864" s="215" t="s">
        <v>2379</v>
      </c>
      <c r="G864" s="216" t="s">
        <v>1883</v>
      </c>
      <c r="H864" s="216" t="s">
        <v>2233</v>
      </c>
      <c r="I864" s="216" t="s">
        <v>254</v>
      </c>
      <c r="J864" s="214" t="s">
        <v>460</v>
      </c>
      <c r="K864" s="232" t="s">
        <v>2380</v>
      </c>
      <c r="L864" s="218" t="n">
        <v>45775</v>
      </c>
      <c r="M864" s="216" t="n">
        <v>82</v>
      </c>
      <c r="N864" s="216" t="n">
        <v>88</v>
      </c>
      <c r="O864" s="114" t="n">
        <v>6</v>
      </c>
      <c r="P864" s="114" t="n">
        <v>6</v>
      </c>
      <c r="Q864" s="114" t="n">
        <f aca="false">ROUND(SUM(P864),2)</f>
        <v>6</v>
      </c>
      <c r="R864" s="219" t="n">
        <f aca="false">合約與計費!$D$4</f>
        <v>0.296</v>
      </c>
      <c r="S864" s="220" t="n">
        <f aca="false">ROUND(P864*R864,0)</f>
        <v>2</v>
      </c>
      <c r="T864" s="119" t="n">
        <f aca="false">ROUND(SUM(S864),2)</f>
        <v>2</v>
      </c>
      <c r="U864" s="216" t="n">
        <v>88</v>
      </c>
      <c r="V864" s="216" t="n">
        <v>99</v>
      </c>
      <c r="W864" s="216" t="n">
        <v>11</v>
      </c>
      <c r="X864" s="216" t="n">
        <v>11</v>
      </c>
      <c r="Y864" s="216" t="n">
        <f aca="false">ROUND(SUM(X864),2)</f>
        <v>11</v>
      </c>
      <c r="Z864" s="221" t="n">
        <f aca="false">合約與計費!$E$4</f>
        <v>2.8</v>
      </c>
      <c r="AA864" s="222" t="n">
        <f aca="false">ROUND(X864*Z864,0)</f>
        <v>31</v>
      </c>
      <c r="AB864" s="223" t="n">
        <f aca="false">ROUND(SUM(AA864),2)</f>
        <v>31</v>
      </c>
      <c r="AC864" s="224"/>
      <c r="AD864" s="42"/>
      <c r="AE864" s="43"/>
    </row>
    <row r="865" customFormat="false" ht="16.5" hidden="false" customHeight="true" outlineLevel="0" collapsed="false">
      <c r="A865" s="85" t="n">
        <f aca="false">ROW(A862)</f>
        <v>862</v>
      </c>
      <c r="B865" s="85" t="s">
        <v>455</v>
      </c>
      <c r="C865" s="216" t="n">
        <v>1</v>
      </c>
      <c r="D865" s="85" t="n">
        <v>201</v>
      </c>
      <c r="E865" s="214" t="s">
        <v>2381</v>
      </c>
      <c r="F865" s="215" t="s">
        <v>2382</v>
      </c>
      <c r="G865" s="216" t="s">
        <v>1883</v>
      </c>
      <c r="H865" s="216" t="s">
        <v>2233</v>
      </c>
      <c r="I865" s="216" t="s">
        <v>356</v>
      </c>
      <c r="J865" s="214" t="s">
        <v>460</v>
      </c>
      <c r="K865" s="232" t="s">
        <v>2383</v>
      </c>
      <c r="L865" s="218" t="n">
        <v>45775</v>
      </c>
      <c r="M865" s="216" t="n">
        <v>215</v>
      </c>
      <c r="N865" s="216" t="n">
        <v>218</v>
      </c>
      <c r="O865" s="114" t="n">
        <v>3</v>
      </c>
      <c r="P865" s="114" t="n">
        <v>3</v>
      </c>
      <c r="Q865" s="114" t="n">
        <f aca="false">ROUND(SUM(P865),2)</f>
        <v>3</v>
      </c>
      <c r="R865" s="219" t="n">
        <f aca="false">合約與計費!$D$4</f>
        <v>0.296</v>
      </c>
      <c r="S865" s="220" t="n">
        <f aca="false">ROUND(P865*R865,0)</f>
        <v>1</v>
      </c>
      <c r="T865" s="119" t="n">
        <f aca="false">ROUND(SUM(S865),2)</f>
        <v>1</v>
      </c>
      <c r="U865" s="216" t="n">
        <v>90</v>
      </c>
      <c r="V865" s="216" t="n">
        <v>108</v>
      </c>
      <c r="W865" s="216" t="n">
        <v>18</v>
      </c>
      <c r="X865" s="216" t="n">
        <v>17</v>
      </c>
      <c r="Y865" s="216" t="n">
        <f aca="false">ROUND(SUM(X865),2)</f>
        <v>17</v>
      </c>
      <c r="Z865" s="221" t="n">
        <f aca="false">合約與計費!$E$4</f>
        <v>2.8</v>
      </c>
      <c r="AA865" s="222" t="n">
        <f aca="false">ROUND(X865*Z865,0)</f>
        <v>48</v>
      </c>
      <c r="AB865" s="223" t="n">
        <f aca="false">ROUND(SUM(AA865),2)</f>
        <v>48</v>
      </c>
      <c r="AC865" s="224"/>
      <c r="AD865" s="42"/>
      <c r="AE865" s="43"/>
    </row>
    <row r="866" customFormat="false" ht="16.5" hidden="false" customHeight="true" outlineLevel="0" collapsed="false">
      <c r="A866" s="84" t="n">
        <f aca="false">ROW(A863)</f>
        <v>863</v>
      </c>
      <c r="B866" s="84" t="s">
        <v>455</v>
      </c>
      <c r="C866" s="32" t="n">
        <v>1</v>
      </c>
      <c r="D866" s="85" t="n">
        <v>202</v>
      </c>
      <c r="E866" s="86" t="s">
        <v>2384</v>
      </c>
      <c r="F866" s="87" t="s">
        <v>2385</v>
      </c>
      <c r="G866" s="32" t="s">
        <v>1883</v>
      </c>
      <c r="H866" s="32" t="s">
        <v>2233</v>
      </c>
      <c r="I866" s="32" t="s">
        <v>328</v>
      </c>
      <c r="J866" s="86" t="s">
        <v>460</v>
      </c>
      <c r="K866" s="88" t="s">
        <v>2386</v>
      </c>
      <c r="L866" s="89" t="n">
        <v>45768</v>
      </c>
      <c r="M866" s="32" t="n">
        <v>68</v>
      </c>
      <c r="N866" s="32" t="n">
        <v>71</v>
      </c>
      <c r="O866" s="32" t="n">
        <v>3</v>
      </c>
      <c r="P866" s="32" t="n">
        <v>3</v>
      </c>
      <c r="Q866" s="32"/>
      <c r="R866" s="90" t="n">
        <f aca="false">合約與計費!$D$4</f>
        <v>0.296</v>
      </c>
      <c r="S866" s="91" t="n">
        <f aca="false">ROUND(P866*R866,0)</f>
        <v>1</v>
      </c>
      <c r="T866" s="92"/>
      <c r="U866" s="32" t="n">
        <v>446</v>
      </c>
      <c r="V866" s="32" t="n">
        <v>506</v>
      </c>
      <c r="W866" s="32" t="n">
        <v>60</v>
      </c>
      <c r="X866" s="32" t="n">
        <v>58</v>
      </c>
      <c r="Y866" s="32"/>
      <c r="Z866" s="93" t="n">
        <f aca="false">合約與計費!$E$4</f>
        <v>2.8</v>
      </c>
      <c r="AA866" s="94" t="n">
        <f aca="false">ROUND(X866*Z866,0)</f>
        <v>162</v>
      </c>
      <c r="AB866" s="95"/>
      <c r="AC866" s="96"/>
      <c r="AD866" s="42"/>
      <c r="AE866" s="43"/>
    </row>
    <row r="867" customFormat="false" ht="16.5" hidden="false" customHeight="true" outlineLevel="0" collapsed="false">
      <c r="A867" s="111" t="n">
        <f aca="false">ROW(A864)</f>
        <v>864</v>
      </c>
      <c r="B867" s="111" t="s">
        <v>462</v>
      </c>
      <c r="C867" s="114" t="n">
        <v>1</v>
      </c>
      <c r="D867" s="85"/>
      <c r="E867" s="112" t="s">
        <v>2387</v>
      </c>
      <c r="F867" s="113" t="s">
        <v>2385</v>
      </c>
      <c r="G867" s="114" t="s">
        <v>1883</v>
      </c>
      <c r="H867" s="114" t="s">
        <v>2233</v>
      </c>
      <c r="I867" s="114" t="s">
        <v>328</v>
      </c>
      <c r="J867" s="112" t="s">
        <v>464</v>
      </c>
      <c r="K867" s="115" t="s">
        <v>2388</v>
      </c>
      <c r="L867" s="116" t="n">
        <v>45786</v>
      </c>
      <c r="M867" s="114" t="n">
        <v>155</v>
      </c>
      <c r="N867" s="114" t="n">
        <v>198</v>
      </c>
      <c r="O867" s="114" t="n">
        <v>43</v>
      </c>
      <c r="P867" s="114" t="n">
        <v>42</v>
      </c>
      <c r="Q867" s="114" t="n">
        <f aca="false">ROUND(SUM(P866:P867),2)</f>
        <v>45</v>
      </c>
      <c r="R867" s="117" t="n">
        <f aca="false">合約與計費!$D$4</f>
        <v>0.296</v>
      </c>
      <c r="S867" s="118" t="n">
        <f aca="false">ROUND(P867*R867,0)</f>
        <v>12</v>
      </c>
      <c r="T867" s="119" t="n">
        <f aca="false">ROUND(SUM(S866:S867),2)</f>
        <v>13</v>
      </c>
      <c r="U867" s="114"/>
      <c r="V867" s="114"/>
      <c r="W867" s="120"/>
      <c r="X867" s="114"/>
      <c r="Y867" s="114" t="n">
        <f aca="false">ROUND(SUM(X866:X867),2)</f>
        <v>58</v>
      </c>
      <c r="Z867" s="121"/>
      <c r="AA867" s="122"/>
      <c r="AB867" s="123" t="n">
        <f aca="false">ROUND(SUM(AA866:AA867),2)</f>
        <v>162</v>
      </c>
      <c r="AC867" s="124"/>
      <c r="AD867" s="42" t="n">
        <v>0.0439</v>
      </c>
      <c r="AE867" s="43" t="n">
        <v>1</v>
      </c>
    </row>
    <row r="868" customFormat="false" ht="16.5" hidden="false" customHeight="true" outlineLevel="0" collapsed="false">
      <c r="A868" s="84" t="n">
        <f aca="false">ROW(A865)</f>
        <v>865</v>
      </c>
      <c r="B868" s="84" t="s">
        <v>455</v>
      </c>
      <c r="C868" s="32" t="n">
        <v>1</v>
      </c>
      <c r="D868" s="85" t="n">
        <v>399</v>
      </c>
      <c r="E868" s="86" t="s">
        <v>2389</v>
      </c>
      <c r="F868" s="87" t="s">
        <v>2390</v>
      </c>
      <c r="G868" s="32" t="s">
        <v>1883</v>
      </c>
      <c r="H868" s="32" t="s">
        <v>2233</v>
      </c>
      <c r="I868" s="172" t="s">
        <v>79</v>
      </c>
      <c r="J868" s="86" t="s">
        <v>460</v>
      </c>
      <c r="K868" s="88" t="s">
        <v>2391</v>
      </c>
      <c r="L868" s="89" t="n">
        <v>45748</v>
      </c>
      <c r="M868" s="32" t="n">
        <v>21</v>
      </c>
      <c r="N868" s="32" t="n">
        <v>25</v>
      </c>
      <c r="O868" s="32" t="n">
        <v>4</v>
      </c>
      <c r="P868" s="32" t="n">
        <v>4</v>
      </c>
      <c r="Q868" s="32"/>
      <c r="R868" s="90" t="n">
        <f aca="false">合約與計費!$D$4</f>
        <v>0.296</v>
      </c>
      <c r="S868" s="91" t="n">
        <f aca="false">ROUND(P868*R868,0)</f>
        <v>1</v>
      </c>
      <c r="T868" s="92"/>
      <c r="U868" s="32" t="n">
        <v>57</v>
      </c>
      <c r="V868" s="32" t="n">
        <v>72</v>
      </c>
      <c r="W868" s="32" t="n">
        <v>15</v>
      </c>
      <c r="X868" s="32" t="n">
        <v>15</v>
      </c>
      <c r="Y868" s="32"/>
      <c r="Z868" s="93" t="n">
        <f aca="false">合約與計費!$E$4</f>
        <v>2.8</v>
      </c>
      <c r="AA868" s="94" t="n">
        <f aca="false">ROUND(X868*Z868,0)</f>
        <v>42</v>
      </c>
      <c r="AB868" s="95"/>
      <c r="AC868" s="96"/>
      <c r="AD868" s="42"/>
      <c r="AE868" s="43"/>
    </row>
    <row r="869" customFormat="false" ht="16.5" hidden="false" customHeight="true" outlineLevel="0" collapsed="false">
      <c r="A869" s="97" t="n">
        <f aca="false">ROW(A866)</f>
        <v>866</v>
      </c>
      <c r="B869" s="97" t="s">
        <v>462</v>
      </c>
      <c r="C869" s="100" t="n">
        <v>1</v>
      </c>
      <c r="D869" s="85"/>
      <c r="E869" s="98" t="s">
        <v>2392</v>
      </c>
      <c r="F869" s="99" t="s">
        <v>2390</v>
      </c>
      <c r="G869" s="100" t="s">
        <v>1883</v>
      </c>
      <c r="H869" s="100" t="s">
        <v>2233</v>
      </c>
      <c r="I869" s="175" t="s">
        <v>79</v>
      </c>
      <c r="J869" s="98" t="s">
        <v>464</v>
      </c>
      <c r="K869" s="101" t="s">
        <v>2393</v>
      </c>
      <c r="L869" s="102" t="n">
        <v>45748</v>
      </c>
      <c r="M869" s="100" t="n">
        <v>262</v>
      </c>
      <c r="N869" s="100" t="n">
        <v>295</v>
      </c>
      <c r="O869" s="100" t="n">
        <v>33</v>
      </c>
      <c r="P869" s="100" t="n">
        <v>32</v>
      </c>
      <c r="Q869" s="100"/>
      <c r="R869" s="103" t="n">
        <f aca="false">合約與計費!$D$4</f>
        <v>0.296</v>
      </c>
      <c r="S869" s="104" t="n">
        <f aca="false">ROUND(P869*R869,0)</f>
        <v>9</v>
      </c>
      <c r="T869" s="105"/>
      <c r="U869" s="100"/>
      <c r="V869" s="100"/>
      <c r="W869" s="106"/>
      <c r="X869" s="100"/>
      <c r="Y869" s="100"/>
      <c r="Z869" s="107"/>
      <c r="AA869" s="108"/>
      <c r="AB869" s="109"/>
      <c r="AC869" s="110"/>
      <c r="AD869" s="42" t="n">
        <v>0.0462</v>
      </c>
      <c r="AE869" s="43" t="n">
        <v>0.9</v>
      </c>
    </row>
    <row r="870" customFormat="false" ht="16.5" hidden="false" customHeight="true" outlineLevel="0" collapsed="false">
      <c r="A870" s="97" t="n">
        <f aca="false">ROW(A867)</f>
        <v>867</v>
      </c>
      <c r="B870" s="97" t="s">
        <v>466</v>
      </c>
      <c r="C870" s="100" t="n">
        <v>1</v>
      </c>
      <c r="D870" s="85"/>
      <c r="E870" s="98" t="s">
        <v>2394</v>
      </c>
      <c r="F870" s="99" t="s">
        <v>2390</v>
      </c>
      <c r="G870" s="100" t="s">
        <v>1883</v>
      </c>
      <c r="H870" s="100" t="s">
        <v>2233</v>
      </c>
      <c r="I870" s="175" t="s">
        <v>79</v>
      </c>
      <c r="J870" s="98" t="s">
        <v>527</v>
      </c>
      <c r="K870" s="101" t="s">
        <v>2395</v>
      </c>
      <c r="L870" s="102" t="n">
        <v>45748</v>
      </c>
      <c r="M870" s="100" t="n">
        <v>1830</v>
      </c>
      <c r="N870" s="100" t="n">
        <v>2248</v>
      </c>
      <c r="O870" s="100" t="n">
        <v>418</v>
      </c>
      <c r="P870" s="100" t="n">
        <v>405</v>
      </c>
      <c r="Q870" s="100"/>
      <c r="R870" s="103" t="n">
        <f aca="false">合約與計費!$D$4</f>
        <v>0.296</v>
      </c>
      <c r="S870" s="104" t="n">
        <f aca="false">ROUND(P870*R870,0)</f>
        <v>120</v>
      </c>
      <c r="T870" s="105"/>
      <c r="U870" s="100"/>
      <c r="V870" s="100"/>
      <c r="W870" s="106"/>
      <c r="X870" s="100"/>
      <c r="Y870" s="100"/>
      <c r="Z870" s="107"/>
      <c r="AA870" s="108"/>
      <c r="AB870" s="109"/>
      <c r="AC870" s="110"/>
      <c r="AD870" s="42"/>
      <c r="AE870" s="43"/>
    </row>
    <row r="871" customFormat="false" ht="16.5" hidden="false" customHeight="true" outlineLevel="0" collapsed="false">
      <c r="A871" s="97" t="n">
        <f aca="false">ROW(A868)</f>
        <v>868</v>
      </c>
      <c r="B871" s="97" t="s">
        <v>469</v>
      </c>
      <c r="C871" s="100" t="n">
        <v>1</v>
      </c>
      <c r="D871" s="85"/>
      <c r="E871" s="98" t="s">
        <v>2396</v>
      </c>
      <c r="F871" s="99" t="s">
        <v>2390</v>
      </c>
      <c r="G871" s="100" t="s">
        <v>1883</v>
      </c>
      <c r="H871" s="100" t="s">
        <v>2233</v>
      </c>
      <c r="I871" s="175" t="s">
        <v>79</v>
      </c>
      <c r="J871" s="98" t="s">
        <v>527</v>
      </c>
      <c r="K871" s="101" t="s">
        <v>2397</v>
      </c>
      <c r="L871" s="102" t="n">
        <v>45748</v>
      </c>
      <c r="M871" s="100" t="n">
        <v>3623</v>
      </c>
      <c r="N871" s="100" t="n">
        <v>4710</v>
      </c>
      <c r="O871" s="100" t="n">
        <v>1087</v>
      </c>
      <c r="P871" s="100" t="n">
        <v>1054</v>
      </c>
      <c r="Q871" s="100"/>
      <c r="R871" s="103" t="n">
        <f aca="false">合約與計費!$D$4</f>
        <v>0.296</v>
      </c>
      <c r="S871" s="104" t="n">
        <f aca="false">ROUND(P871*R871,0)</f>
        <v>312</v>
      </c>
      <c r="T871" s="105"/>
      <c r="U871" s="100"/>
      <c r="V871" s="100"/>
      <c r="W871" s="106"/>
      <c r="X871" s="100"/>
      <c r="Y871" s="100"/>
      <c r="Z871" s="107"/>
      <c r="AA871" s="108"/>
      <c r="AB871" s="109"/>
      <c r="AC871" s="110"/>
      <c r="AD871" s="42"/>
      <c r="AE871" s="43"/>
    </row>
    <row r="872" customFormat="false" ht="16.5" hidden="false" customHeight="true" outlineLevel="0" collapsed="false">
      <c r="A872" s="97" t="n">
        <f aca="false">ROW(A869)</f>
        <v>869</v>
      </c>
      <c r="B872" s="97" t="s">
        <v>473</v>
      </c>
      <c r="C872" s="100" t="n">
        <v>1</v>
      </c>
      <c r="D872" s="85"/>
      <c r="E872" s="98" t="s">
        <v>2398</v>
      </c>
      <c r="F872" s="99" t="s">
        <v>2390</v>
      </c>
      <c r="G872" s="100" t="s">
        <v>1883</v>
      </c>
      <c r="H872" s="100" t="s">
        <v>2233</v>
      </c>
      <c r="I872" s="175" t="s">
        <v>79</v>
      </c>
      <c r="J872" s="98" t="s">
        <v>527</v>
      </c>
      <c r="K872" s="101" t="s">
        <v>2399</v>
      </c>
      <c r="L872" s="102" t="n">
        <v>45748</v>
      </c>
      <c r="M872" s="100" t="n">
        <v>9</v>
      </c>
      <c r="N872" s="100" t="n">
        <v>10</v>
      </c>
      <c r="O872" s="100" t="n">
        <v>1</v>
      </c>
      <c r="P872" s="100" t="n">
        <v>1</v>
      </c>
      <c r="Q872" s="100"/>
      <c r="R872" s="103" t="n">
        <f aca="false">合約與計費!$D$4</f>
        <v>0.296</v>
      </c>
      <c r="S872" s="104" t="n">
        <f aca="false">ROUND(P872*R872,0)</f>
        <v>0</v>
      </c>
      <c r="T872" s="105"/>
      <c r="U872" s="100"/>
      <c r="V872" s="100"/>
      <c r="W872" s="106"/>
      <c r="X872" s="100"/>
      <c r="Y872" s="100"/>
      <c r="Z872" s="107"/>
      <c r="AA872" s="108"/>
      <c r="AB872" s="109"/>
      <c r="AC872" s="110"/>
      <c r="AD872" s="42"/>
      <c r="AE872" s="43"/>
    </row>
    <row r="873" customFormat="false" ht="16.5" hidden="false" customHeight="true" outlineLevel="0" collapsed="false">
      <c r="A873" s="97" t="n">
        <f aca="false">ROW(A870)</f>
        <v>870</v>
      </c>
      <c r="B873" s="97" t="s">
        <v>476</v>
      </c>
      <c r="C873" s="100" t="n">
        <v>1</v>
      </c>
      <c r="D873" s="85"/>
      <c r="E873" s="98" t="s">
        <v>2400</v>
      </c>
      <c r="F873" s="99" t="s">
        <v>2390</v>
      </c>
      <c r="G873" s="100" t="s">
        <v>1883</v>
      </c>
      <c r="H873" s="100" t="s">
        <v>2233</v>
      </c>
      <c r="I873" s="175" t="s">
        <v>79</v>
      </c>
      <c r="J873" s="98" t="s">
        <v>527</v>
      </c>
      <c r="K873" s="101" t="s">
        <v>2401</v>
      </c>
      <c r="L873" s="102" t="n">
        <v>45748</v>
      </c>
      <c r="M873" s="100" t="n">
        <v>524</v>
      </c>
      <c r="N873" s="100" t="n">
        <v>611</v>
      </c>
      <c r="O873" s="100" t="n">
        <v>87</v>
      </c>
      <c r="P873" s="100" t="n">
        <v>84</v>
      </c>
      <c r="Q873" s="100"/>
      <c r="R873" s="103" t="n">
        <f aca="false">合約與計費!$D$4</f>
        <v>0.296</v>
      </c>
      <c r="S873" s="104" t="n">
        <f aca="false">ROUND(P873*R873,0)</f>
        <v>25</v>
      </c>
      <c r="T873" s="105"/>
      <c r="U873" s="100"/>
      <c r="V873" s="100"/>
      <c r="W873" s="106"/>
      <c r="X873" s="100"/>
      <c r="Y873" s="100"/>
      <c r="Z873" s="107"/>
      <c r="AA873" s="108"/>
      <c r="AB873" s="109"/>
      <c r="AC873" s="110"/>
      <c r="AD873" s="42"/>
      <c r="AE873" s="43"/>
    </row>
    <row r="874" customFormat="false" ht="16.5" hidden="false" customHeight="true" outlineLevel="0" collapsed="false">
      <c r="A874" s="111" t="n">
        <f aca="false">ROW(A871)</f>
        <v>871</v>
      </c>
      <c r="B874" s="111" t="s">
        <v>479</v>
      </c>
      <c r="C874" s="114" t="n">
        <v>1</v>
      </c>
      <c r="D874" s="85"/>
      <c r="E874" s="112" t="s">
        <v>2402</v>
      </c>
      <c r="F874" s="113" t="s">
        <v>2390</v>
      </c>
      <c r="G874" s="114" t="s">
        <v>1883</v>
      </c>
      <c r="H874" s="114" t="s">
        <v>2233</v>
      </c>
      <c r="I874" s="173" t="s">
        <v>79</v>
      </c>
      <c r="J874" s="112" t="s">
        <v>527</v>
      </c>
      <c r="K874" s="115" t="s">
        <v>2403</v>
      </c>
      <c r="L874" s="116" t="n">
        <v>45748</v>
      </c>
      <c r="M874" s="114" t="n">
        <v>17402</v>
      </c>
      <c r="N874" s="114" t="n">
        <v>21647</v>
      </c>
      <c r="O874" s="114" t="n">
        <v>4245</v>
      </c>
      <c r="P874" s="114" t="n">
        <v>4118</v>
      </c>
      <c r="Q874" s="114" t="n">
        <f aca="false">ROUND(SUM(P868:P874),2)</f>
        <v>5698</v>
      </c>
      <c r="R874" s="117" t="n">
        <f aca="false">合約與計費!$D$4</f>
        <v>0.296</v>
      </c>
      <c r="S874" s="118" t="n">
        <f aca="false">ROUND(P874*R874,0)</f>
        <v>1219</v>
      </c>
      <c r="T874" s="119" t="n">
        <f aca="false">ROUND(SUM(S868:S874),2)</f>
        <v>1686</v>
      </c>
      <c r="U874" s="114"/>
      <c r="V874" s="114"/>
      <c r="W874" s="120"/>
      <c r="X874" s="114"/>
      <c r="Y874" s="114" t="n">
        <f aca="false">ROUND(SUM(X868:X874),2)</f>
        <v>15</v>
      </c>
      <c r="Z874" s="121"/>
      <c r="AA874" s="122"/>
      <c r="AB874" s="123" t="n">
        <f aca="false">ROUND(SUM(AA868:AA874),2)</f>
        <v>42</v>
      </c>
      <c r="AC874" s="124"/>
      <c r="AD874" s="42"/>
      <c r="AE874" s="43"/>
    </row>
    <row r="875" customFormat="false" ht="16.5" hidden="false" customHeight="true" outlineLevel="0" collapsed="false">
      <c r="A875" s="84" t="n">
        <f aca="false">ROW(A872)</f>
        <v>872</v>
      </c>
      <c r="B875" s="84" t="s">
        <v>455</v>
      </c>
      <c r="C875" s="32" t="n">
        <v>1</v>
      </c>
      <c r="D875" s="85" t="n">
        <v>89</v>
      </c>
      <c r="E875" s="86" t="s">
        <v>2404</v>
      </c>
      <c r="F875" s="87" t="s">
        <v>2405</v>
      </c>
      <c r="G875" s="32" t="s">
        <v>1883</v>
      </c>
      <c r="H875" s="32" t="s">
        <v>2406</v>
      </c>
      <c r="I875" s="32" t="s">
        <v>198</v>
      </c>
      <c r="J875" s="86" t="s">
        <v>460</v>
      </c>
      <c r="K875" s="88" t="s">
        <v>2407</v>
      </c>
      <c r="L875" s="89" t="n">
        <v>45770</v>
      </c>
      <c r="M875" s="32" t="n">
        <v>61</v>
      </c>
      <c r="N875" s="32" t="n">
        <v>70</v>
      </c>
      <c r="O875" s="32" t="n">
        <v>9</v>
      </c>
      <c r="P875" s="32" t="n">
        <v>9</v>
      </c>
      <c r="Q875" s="32"/>
      <c r="R875" s="90" t="n">
        <f aca="false">合約與計費!$D$4</f>
        <v>0.296</v>
      </c>
      <c r="S875" s="91" t="n">
        <f aca="false">ROUND(P875*R875,0)</f>
        <v>3</v>
      </c>
      <c r="T875" s="92"/>
      <c r="U875" s="32" t="n">
        <v>165</v>
      </c>
      <c r="V875" s="32" t="n">
        <v>236</v>
      </c>
      <c r="W875" s="32" t="n">
        <v>71</v>
      </c>
      <c r="X875" s="32" t="n">
        <v>69</v>
      </c>
      <c r="Y875" s="32"/>
      <c r="Z875" s="93" t="n">
        <f aca="false">合約與計費!$E$4</f>
        <v>2.8</v>
      </c>
      <c r="AA875" s="94" t="n">
        <f aca="false">ROUND(X875*Z875,0)</f>
        <v>193</v>
      </c>
      <c r="AB875" s="95"/>
      <c r="AC875" s="96"/>
      <c r="AD875" s="42"/>
      <c r="AE875" s="43"/>
    </row>
    <row r="876" customFormat="false" ht="16.5" hidden="false" customHeight="true" outlineLevel="0" collapsed="false">
      <c r="A876" s="97" t="n">
        <f aca="false">ROW(A873)</f>
        <v>873</v>
      </c>
      <c r="B876" s="97" t="s">
        <v>462</v>
      </c>
      <c r="C876" s="100" t="n">
        <v>1</v>
      </c>
      <c r="D876" s="85"/>
      <c r="E876" s="98" t="s">
        <v>2408</v>
      </c>
      <c r="F876" s="99" t="s">
        <v>2405</v>
      </c>
      <c r="G876" s="100" t="s">
        <v>1883</v>
      </c>
      <c r="H876" s="100" t="s">
        <v>2406</v>
      </c>
      <c r="I876" s="100" t="s">
        <v>198</v>
      </c>
      <c r="J876" s="98" t="s">
        <v>464</v>
      </c>
      <c r="K876" s="101" t="s">
        <v>2409</v>
      </c>
      <c r="L876" s="102" t="n">
        <v>45770</v>
      </c>
      <c r="M876" s="100" t="n">
        <v>919</v>
      </c>
      <c r="N876" s="100" t="n">
        <v>1012</v>
      </c>
      <c r="O876" s="100" t="n">
        <v>93</v>
      </c>
      <c r="P876" s="100" t="n">
        <v>90</v>
      </c>
      <c r="Q876" s="100"/>
      <c r="R876" s="103" t="n">
        <f aca="false">合約與計費!$D$4</f>
        <v>0.296</v>
      </c>
      <c r="S876" s="104" t="n">
        <f aca="false">ROUND(P876*R876,0)</f>
        <v>27</v>
      </c>
      <c r="T876" s="105"/>
      <c r="U876" s="100"/>
      <c r="V876" s="100"/>
      <c r="W876" s="106"/>
      <c r="X876" s="100"/>
      <c r="Y876" s="100"/>
      <c r="Z876" s="107"/>
      <c r="AA876" s="108"/>
      <c r="AB876" s="109"/>
      <c r="AC876" s="110"/>
      <c r="AD876" s="42"/>
      <c r="AE876" s="43"/>
    </row>
    <row r="877" customFormat="false" ht="16.5" hidden="false" customHeight="true" outlineLevel="0" collapsed="false">
      <c r="A877" s="97" t="n">
        <f aca="false">ROW(A874)</f>
        <v>874</v>
      </c>
      <c r="B877" s="97" t="s">
        <v>466</v>
      </c>
      <c r="C877" s="100" t="n">
        <v>1</v>
      </c>
      <c r="D877" s="85"/>
      <c r="E877" s="98" t="s">
        <v>2410</v>
      </c>
      <c r="F877" s="99" t="s">
        <v>2405</v>
      </c>
      <c r="G877" s="100" t="s">
        <v>1883</v>
      </c>
      <c r="H877" s="100" t="s">
        <v>2406</v>
      </c>
      <c r="I877" s="100" t="s">
        <v>198</v>
      </c>
      <c r="J877" s="98" t="s">
        <v>527</v>
      </c>
      <c r="K877" s="101" t="s">
        <v>2411</v>
      </c>
      <c r="L877" s="102" t="n">
        <v>45770</v>
      </c>
      <c r="M877" s="100" t="n">
        <v>15961</v>
      </c>
      <c r="N877" s="100" t="n">
        <v>18930</v>
      </c>
      <c r="O877" s="100" t="n">
        <v>2969</v>
      </c>
      <c r="P877" s="100" t="n">
        <v>2880</v>
      </c>
      <c r="Q877" s="100"/>
      <c r="R877" s="103" t="n">
        <f aca="false">合約與計費!$D$4</f>
        <v>0.296</v>
      </c>
      <c r="S877" s="104" t="n">
        <f aca="false">ROUND(P877*R877,0)</f>
        <v>852</v>
      </c>
      <c r="T877" s="105"/>
      <c r="U877" s="100"/>
      <c r="V877" s="100"/>
      <c r="W877" s="106"/>
      <c r="X877" s="100"/>
      <c r="Y877" s="100"/>
      <c r="Z877" s="107"/>
      <c r="AA877" s="108"/>
      <c r="AB877" s="109"/>
      <c r="AC877" s="110"/>
      <c r="AD877" s="42"/>
      <c r="AE877" s="43" t="n">
        <v>0.4</v>
      </c>
    </row>
    <row r="878" customFormat="false" ht="16.5" hidden="false" customHeight="true" outlineLevel="0" collapsed="false">
      <c r="A878" s="97" t="n">
        <f aca="false">ROW(A875)</f>
        <v>875</v>
      </c>
      <c r="B878" s="97" t="s">
        <v>469</v>
      </c>
      <c r="C878" s="100" t="n">
        <v>1</v>
      </c>
      <c r="D878" s="85"/>
      <c r="E878" s="98" t="s">
        <v>2412</v>
      </c>
      <c r="F878" s="99" t="s">
        <v>2405</v>
      </c>
      <c r="G878" s="100" t="s">
        <v>1883</v>
      </c>
      <c r="H878" s="100" t="s">
        <v>2406</v>
      </c>
      <c r="I878" s="100" t="s">
        <v>198</v>
      </c>
      <c r="J878" s="98" t="s">
        <v>527</v>
      </c>
      <c r="K878" s="101" t="s">
        <v>2413</v>
      </c>
      <c r="L878" s="102" t="n">
        <v>45770</v>
      </c>
      <c r="M878" s="100" t="n">
        <v>15946</v>
      </c>
      <c r="N878" s="100" t="n">
        <v>18912</v>
      </c>
      <c r="O878" s="100" t="n">
        <v>2966</v>
      </c>
      <c r="P878" s="100" t="n">
        <v>2877</v>
      </c>
      <c r="Q878" s="100"/>
      <c r="R878" s="103" t="n">
        <f aca="false">合約與計費!$D$4</f>
        <v>0.296</v>
      </c>
      <c r="S878" s="104" t="n">
        <f aca="false">ROUND(P878*R878,0)</f>
        <v>852</v>
      </c>
      <c r="T878" s="105"/>
      <c r="U878" s="100"/>
      <c r="V878" s="100"/>
      <c r="W878" s="106"/>
      <c r="X878" s="100"/>
      <c r="Y878" s="100"/>
      <c r="Z878" s="107"/>
      <c r="AA878" s="108"/>
      <c r="AB878" s="109"/>
      <c r="AC878" s="110"/>
      <c r="AD878" s="42"/>
      <c r="AE878" s="43" t="n">
        <v>0.5</v>
      </c>
    </row>
    <row r="879" customFormat="false" ht="16.5" hidden="false" customHeight="true" outlineLevel="0" collapsed="false">
      <c r="A879" s="111" t="n">
        <f aca="false">ROW(A876)</f>
        <v>876</v>
      </c>
      <c r="B879" s="111" t="s">
        <v>473</v>
      </c>
      <c r="C879" s="114" t="n">
        <v>1</v>
      </c>
      <c r="D879" s="85"/>
      <c r="E879" s="112" t="s">
        <v>2414</v>
      </c>
      <c r="F879" s="113" t="s">
        <v>2405</v>
      </c>
      <c r="G879" s="114" t="s">
        <v>1883</v>
      </c>
      <c r="H879" s="114" t="s">
        <v>2406</v>
      </c>
      <c r="I879" s="114" t="s">
        <v>198</v>
      </c>
      <c r="J879" s="112" t="s">
        <v>527</v>
      </c>
      <c r="K879" s="115" t="s">
        <v>2415</v>
      </c>
      <c r="L879" s="116" t="n">
        <v>45770</v>
      </c>
      <c r="M879" s="114" t="n">
        <v>5579</v>
      </c>
      <c r="N879" s="114" t="n">
        <v>6673</v>
      </c>
      <c r="O879" s="114" t="n">
        <v>1094</v>
      </c>
      <c r="P879" s="114" t="n">
        <v>1061</v>
      </c>
      <c r="Q879" s="114" t="n">
        <f aca="false">ROUND(SUM(P875:P879),2)</f>
        <v>6917</v>
      </c>
      <c r="R879" s="117" t="n">
        <f aca="false">合約與計費!$D$4</f>
        <v>0.296</v>
      </c>
      <c r="S879" s="118" t="n">
        <f aca="false">ROUND(P879*R879,0)</f>
        <v>314</v>
      </c>
      <c r="T879" s="119" t="n">
        <f aca="false">ROUND(SUM(S875:S879),2)</f>
        <v>2048</v>
      </c>
      <c r="U879" s="114"/>
      <c r="V879" s="114"/>
      <c r="W879" s="120"/>
      <c r="X879" s="114"/>
      <c r="Y879" s="114" t="n">
        <f aca="false">ROUND(SUM(X875:X879),2)</f>
        <v>69</v>
      </c>
      <c r="Z879" s="121"/>
      <c r="AA879" s="122"/>
      <c r="AB879" s="123" t="n">
        <f aca="false">ROUND(SUM(AA875:AA879),2)</f>
        <v>193</v>
      </c>
      <c r="AC879" s="124"/>
      <c r="AD879" s="42"/>
      <c r="AE879" s="43" t="n">
        <v>0.7</v>
      </c>
    </row>
    <row r="880" customFormat="false" ht="16.5" hidden="false" customHeight="true" outlineLevel="0" collapsed="false">
      <c r="A880" s="84" t="n">
        <f aca="false">ROW(A877)</f>
        <v>877</v>
      </c>
      <c r="B880" s="84" t="s">
        <v>455</v>
      </c>
      <c r="C880" s="32" t="n">
        <v>1</v>
      </c>
      <c r="D880" s="85" t="n">
        <v>94</v>
      </c>
      <c r="E880" s="86" t="s">
        <v>2416</v>
      </c>
      <c r="F880" s="87" t="s">
        <v>2417</v>
      </c>
      <c r="G880" s="32" t="s">
        <v>1883</v>
      </c>
      <c r="H880" s="32" t="s">
        <v>2406</v>
      </c>
      <c r="I880" s="32" t="s">
        <v>258</v>
      </c>
      <c r="J880" s="86" t="s">
        <v>460</v>
      </c>
      <c r="K880" s="88" t="s">
        <v>2418</v>
      </c>
      <c r="L880" s="89" t="n">
        <v>45763</v>
      </c>
      <c r="M880" s="32" t="n">
        <v>114</v>
      </c>
      <c r="N880" s="32" t="n">
        <v>179</v>
      </c>
      <c r="O880" s="32" t="n">
        <v>65</v>
      </c>
      <c r="P880" s="32" t="n">
        <v>63</v>
      </c>
      <c r="Q880" s="32"/>
      <c r="R880" s="90" t="n">
        <f aca="false">合約與計費!$D$4</f>
        <v>0.296</v>
      </c>
      <c r="S880" s="91" t="n">
        <f aca="false">ROUND(P880*R880,0)</f>
        <v>19</v>
      </c>
      <c r="T880" s="92"/>
      <c r="U880" s="32" t="n">
        <v>356</v>
      </c>
      <c r="V880" s="32" t="n">
        <v>398</v>
      </c>
      <c r="W880" s="32" t="n">
        <v>42</v>
      </c>
      <c r="X880" s="32" t="n">
        <v>41</v>
      </c>
      <c r="Y880" s="32"/>
      <c r="Z880" s="93" t="n">
        <f aca="false">合約與計費!$E$4</f>
        <v>2.8</v>
      </c>
      <c r="AA880" s="94" t="n">
        <f aca="false">ROUND(X880*Z880,0)</f>
        <v>115</v>
      </c>
      <c r="AB880" s="95"/>
      <c r="AC880" s="96"/>
      <c r="AD880" s="42"/>
      <c r="AE880" s="43"/>
    </row>
    <row r="881" customFormat="false" ht="16.5" hidden="false" customHeight="true" outlineLevel="0" collapsed="false">
      <c r="A881" s="97" t="n">
        <f aca="false">ROW(A878)</f>
        <v>878</v>
      </c>
      <c r="B881" s="97" t="s">
        <v>462</v>
      </c>
      <c r="C881" s="100" t="n">
        <v>1</v>
      </c>
      <c r="D881" s="85"/>
      <c r="E881" s="98" t="s">
        <v>2419</v>
      </c>
      <c r="F881" s="99" t="s">
        <v>2417</v>
      </c>
      <c r="G881" s="100" t="s">
        <v>1883</v>
      </c>
      <c r="H881" s="100" t="s">
        <v>2406</v>
      </c>
      <c r="I881" s="100" t="s">
        <v>258</v>
      </c>
      <c r="J881" s="98" t="s">
        <v>464</v>
      </c>
      <c r="K881" s="101" t="s">
        <v>2420</v>
      </c>
      <c r="L881" s="102" t="n">
        <v>45763</v>
      </c>
      <c r="M881" s="100" t="n">
        <v>2745</v>
      </c>
      <c r="N881" s="100" t="n">
        <v>2902</v>
      </c>
      <c r="O881" s="100" t="n">
        <v>157</v>
      </c>
      <c r="P881" s="100" t="n">
        <v>152</v>
      </c>
      <c r="Q881" s="100"/>
      <c r="R881" s="103" t="n">
        <f aca="false">合約與計費!$D$4</f>
        <v>0.296</v>
      </c>
      <c r="S881" s="104" t="n">
        <f aca="false">ROUND(P881*R881,0)</f>
        <v>45</v>
      </c>
      <c r="T881" s="105"/>
      <c r="U881" s="100"/>
      <c r="V881" s="100"/>
      <c r="W881" s="106"/>
      <c r="X881" s="100"/>
      <c r="Y881" s="100"/>
      <c r="Z881" s="107"/>
      <c r="AA881" s="108"/>
      <c r="AB881" s="109"/>
      <c r="AC881" s="110"/>
      <c r="AD881" s="42" t="n">
        <v>0.0545</v>
      </c>
      <c r="AE881" s="43" t="n">
        <v>1</v>
      </c>
    </row>
    <row r="882" customFormat="false" ht="16.5" hidden="false" customHeight="true" outlineLevel="0" collapsed="false">
      <c r="A882" s="97" t="n">
        <f aca="false">ROW(A879)</f>
        <v>879</v>
      </c>
      <c r="B882" s="97" t="s">
        <v>466</v>
      </c>
      <c r="C882" s="100" t="n">
        <v>1</v>
      </c>
      <c r="D882" s="85"/>
      <c r="E882" s="98" t="s">
        <v>2421</v>
      </c>
      <c r="F882" s="99" t="s">
        <v>2417</v>
      </c>
      <c r="G882" s="100" t="s">
        <v>1883</v>
      </c>
      <c r="H882" s="100" t="s">
        <v>2406</v>
      </c>
      <c r="I882" s="100" t="s">
        <v>258</v>
      </c>
      <c r="J882" s="98" t="s">
        <v>527</v>
      </c>
      <c r="K882" s="101" t="s">
        <v>2422</v>
      </c>
      <c r="L882" s="102" t="n">
        <v>45763</v>
      </c>
      <c r="M882" s="100" t="n">
        <v>8</v>
      </c>
      <c r="N882" s="100" t="n">
        <v>9</v>
      </c>
      <c r="O882" s="100" t="n">
        <v>1</v>
      </c>
      <c r="P882" s="100" t="n">
        <v>1</v>
      </c>
      <c r="Q882" s="100"/>
      <c r="R882" s="103" t="n">
        <f aca="false">合約與計費!$D$4</f>
        <v>0.296</v>
      </c>
      <c r="S882" s="104" t="n">
        <f aca="false">ROUND(P882*R882,0)</f>
        <v>0</v>
      </c>
      <c r="T882" s="105"/>
      <c r="U882" s="100"/>
      <c r="V882" s="100"/>
      <c r="W882" s="106"/>
      <c r="X882" s="100"/>
      <c r="Y882" s="100"/>
      <c r="Z882" s="107"/>
      <c r="AA882" s="108"/>
      <c r="AB882" s="109"/>
      <c r="AC882" s="110"/>
      <c r="AD882" s="42"/>
      <c r="AE882" s="43"/>
    </row>
    <row r="883" customFormat="false" ht="16.5" hidden="false" customHeight="true" outlineLevel="0" collapsed="false">
      <c r="A883" s="97" t="n">
        <f aca="false">ROW(A880)</f>
        <v>880</v>
      </c>
      <c r="B883" s="97" t="s">
        <v>469</v>
      </c>
      <c r="C883" s="100" t="n">
        <v>1</v>
      </c>
      <c r="D883" s="85"/>
      <c r="E883" s="98" t="s">
        <v>2423</v>
      </c>
      <c r="F883" s="99" t="s">
        <v>2417</v>
      </c>
      <c r="G883" s="100" t="s">
        <v>1883</v>
      </c>
      <c r="H883" s="100" t="s">
        <v>2406</v>
      </c>
      <c r="I883" s="100" t="s">
        <v>258</v>
      </c>
      <c r="J883" s="98" t="s">
        <v>527</v>
      </c>
      <c r="K883" s="101" t="s">
        <v>2424</v>
      </c>
      <c r="L883" s="102" t="n">
        <v>45763</v>
      </c>
      <c r="M883" s="100" t="n">
        <v>4482</v>
      </c>
      <c r="N883" s="100" t="n">
        <v>5520</v>
      </c>
      <c r="O883" s="100" t="n">
        <v>1038</v>
      </c>
      <c r="P883" s="100" t="n">
        <v>1007</v>
      </c>
      <c r="Q883" s="100"/>
      <c r="R883" s="103" t="n">
        <f aca="false">合約與計費!$D$4</f>
        <v>0.296</v>
      </c>
      <c r="S883" s="104" t="n">
        <f aca="false">ROUND(P883*R883,0)</f>
        <v>298</v>
      </c>
      <c r="T883" s="105"/>
      <c r="U883" s="100"/>
      <c r="V883" s="100"/>
      <c r="W883" s="106"/>
      <c r="X883" s="100"/>
      <c r="Y883" s="100"/>
      <c r="Z883" s="107"/>
      <c r="AA883" s="108"/>
      <c r="AB883" s="109"/>
      <c r="AC883" s="110"/>
      <c r="AD883" s="42"/>
      <c r="AE883" s="43"/>
    </row>
    <row r="884" customFormat="false" ht="16.5" hidden="false" customHeight="true" outlineLevel="0" collapsed="false">
      <c r="A884" s="97" t="n">
        <f aca="false">ROW(A881)</f>
        <v>881</v>
      </c>
      <c r="B884" s="97" t="s">
        <v>473</v>
      </c>
      <c r="C884" s="100" t="n">
        <v>1</v>
      </c>
      <c r="D884" s="85"/>
      <c r="E884" s="98" t="s">
        <v>2425</v>
      </c>
      <c r="F884" s="99" t="s">
        <v>2417</v>
      </c>
      <c r="G884" s="100" t="s">
        <v>1883</v>
      </c>
      <c r="H884" s="100" t="s">
        <v>2406</v>
      </c>
      <c r="I884" s="100" t="s">
        <v>258</v>
      </c>
      <c r="J884" s="98" t="s">
        <v>527</v>
      </c>
      <c r="K884" s="101" t="s">
        <v>2426</v>
      </c>
      <c r="L884" s="102" t="n">
        <v>45763</v>
      </c>
      <c r="M884" s="100" t="n">
        <v>3399</v>
      </c>
      <c r="N884" s="100" t="n">
        <v>3662</v>
      </c>
      <c r="O884" s="100" t="n">
        <v>263</v>
      </c>
      <c r="P884" s="100" t="n">
        <v>255</v>
      </c>
      <c r="Q884" s="100"/>
      <c r="R884" s="103" t="n">
        <f aca="false">合約與計費!$D$4</f>
        <v>0.296</v>
      </c>
      <c r="S884" s="104" t="n">
        <f aca="false">ROUND(P884*R884,0)</f>
        <v>75</v>
      </c>
      <c r="T884" s="105"/>
      <c r="U884" s="100"/>
      <c r="V884" s="100"/>
      <c r="W884" s="106"/>
      <c r="X884" s="100"/>
      <c r="Y884" s="100"/>
      <c r="Z884" s="107"/>
      <c r="AA884" s="108"/>
      <c r="AB884" s="109"/>
      <c r="AC884" s="110"/>
      <c r="AD884" s="42"/>
      <c r="AE884" s="43"/>
    </row>
    <row r="885" customFormat="false" ht="16.5" hidden="false" customHeight="true" outlineLevel="0" collapsed="false">
      <c r="A885" s="97" t="n">
        <f aca="false">ROW(A882)</f>
        <v>882</v>
      </c>
      <c r="B885" s="97" t="s">
        <v>476</v>
      </c>
      <c r="C885" s="100" t="n">
        <v>1</v>
      </c>
      <c r="D885" s="85"/>
      <c r="E885" s="98" t="s">
        <v>2427</v>
      </c>
      <c r="F885" s="99" t="s">
        <v>2417</v>
      </c>
      <c r="G885" s="100" t="s">
        <v>1883</v>
      </c>
      <c r="H885" s="100" t="s">
        <v>2406</v>
      </c>
      <c r="I885" s="100" t="s">
        <v>258</v>
      </c>
      <c r="J885" s="98" t="s">
        <v>527</v>
      </c>
      <c r="K885" s="101" t="s">
        <v>2428</v>
      </c>
      <c r="L885" s="102" t="n">
        <v>45763</v>
      </c>
      <c r="M885" s="100" t="n">
        <v>4965</v>
      </c>
      <c r="N885" s="100" t="n">
        <v>5735</v>
      </c>
      <c r="O885" s="100" t="n">
        <v>770</v>
      </c>
      <c r="P885" s="100" t="n">
        <v>747</v>
      </c>
      <c r="Q885" s="100"/>
      <c r="R885" s="103" t="n">
        <f aca="false">合約與計費!$D$4</f>
        <v>0.296</v>
      </c>
      <c r="S885" s="104" t="n">
        <f aca="false">ROUND(P885*R885,0)</f>
        <v>221</v>
      </c>
      <c r="T885" s="105"/>
      <c r="U885" s="100"/>
      <c r="V885" s="100"/>
      <c r="W885" s="106"/>
      <c r="X885" s="100"/>
      <c r="Y885" s="100"/>
      <c r="Z885" s="107"/>
      <c r="AA885" s="108"/>
      <c r="AB885" s="109"/>
      <c r="AC885" s="110"/>
      <c r="AD885" s="42"/>
      <c r="AE885" s="43"/>
    </row>
    <row r="886" customFormat="false" ht="16.5" hidden="false" customHeight="true" outlineLevel="0" collapsed="false">
      <c r="A886" s="97" t="n">
        <f aca="false">ROW(A883)</f>
        <v>883</v>
      </c>
      <c r="B886" s="97" t="s">
        <v>479</v>
      </c>
      <c r="C886" s="100" t="n">
        <v>1</v>
      </c>
      <c r="D886" s="85"/>
      <c r="E886" s="98" t="s">
        <v>2429</v>
      </c>
      <c r="F886" s="99" t="s">
        <v>2417</v>
      </c>
      <c r="G886" s="100" t="s">
        <v>1883</v>
      </c>
      <c r="H886" s="100" t="s">
        <v>2406</v>
      </c>
      <c r="I886" s="100" t="s">
        <v>258</v>
      </c>
      <c r="J886" s="98" t="s">
        <v>527</v>
      </c>
      <c r="K886" s="101" t="s">
        <v>2430</v>
      </c>
      <c r="L886" s="102" t="n">
        <v>45763</v>
      </c>
      <c r="M886" s="100" t="n">
        <v>728</v>
      </c>
      <c r="N886" s="100" t="n">
        <v>740</v>
      </c>
      <c r="O886" s="100" t="n">
        <v>12</v>
      </c>
      <c r="P886" s="100" t="n">
        <v>12</v>
      </c>
      <c r="Q886" s="100"/>
      <c r="R886" s="103" t="n">
        <f aca="false">合約與計費!$D$4</f>
        <v>0.296</v>
      </c>
      <c r="S886" s="104" t="n">
        <f aca="false">ROUND(P886*R886,0)</f>
        <v>4</v>
      </c>
      <c r="T886" s="105"/>
      <c r="U886" s="100"/>
      <c r="V886" s="100"/>
      <c r="W886" s="106"/>
      <c r="X886" s="100"/>
      <c r="Y886" s="100"/>
      <c r="Z886" s="107"/>
      <c r="AA886" s="108"/>
      <c r="AB886" s="109"/>
      <c r="AC886" s="110"/>
      <c r="AD886" s="42"/>
      <c r="AE886" s="43"/>
    </row>
    <row r="887" customFormat="false" ht="16.5" hidden="false" customHeight="true" outlineLevel="0" collapsed="false">
      <c r="A887" s="97" t="n">
        <f aca="false">ROW(A884)</f>
        <v>884</v>
      </c>
      <c r="B887" s="97" t="s">
        <v>482</v>
      </c>
      <c r="C887" s="100" t="n">
        <v>1</v>
      </c>
      <c r="D887" s="85"/>
      <c r="E887" s="98" t="s">
        <v>2431</v>
      </c>
      <c r="F887" s="99" t="s">
        <v>2417</v>
      </c>
      <c r="G887" s="100" t="s">
        <v>1883</v>
      </c>
      <c r="H887" s="100" t="s">
        <v>2406</v>
      </c>
      <c r="I887" s="100" t="s">
        <v>258</v>
      </c>
      <c r="J887" s="98" t="s">
        <v>527</v>
      </c>
      <c r="K887" s="101" t="s">
        <v>2432</v>
      </c>
      <c r="L887" s="102" t="n">
        <v>45763</v>
      </c>
      <c r="M887" s="100" t="n">
        <v>1462</v>
      </c>
      <c r="N887" s="100" t="n">
        <v>2046</v>
      </c>
      <c r="O887" s="100" t="n">
        <v>584</v>
      </c>
      <c r="P887" s="100" t="n">
        <v>566</v>
      </c>
      <c r="Q887" s="100"/>
      <c r="R887" s="103" t="n">
        <f aca="false">合約與計費!$D$4</f>
        <v>0.296</v>
      </c>
      <c r="S887" s="104" t="n">
        <f aca="false">ROUND(P887*R887,0)</f>
        <v>168</v>
      </c>
      <c r="T887" s="105"/>
      <c r="U887" s="100"/>
      <c r="V887" s="100"/>
      <c r="W887" s="106"/>
      <c r="X887" s="100"/>
      <c r="Y887" s="100"/>
      <c r="Z887" s="107"/>
      <c r="AA887" s="108"/>
      <c r="AB887" s="109"/>
      <c r="AC887" s="110"/>
      <c r="AD887" s="42"/>
      <c r="AE887" s="43"/>
    </row>
    <row r="888" customFormat="false" ht="16.5" hidden="false" customHeight="true" outlineLevel="0" collapsed="false">
      <c r="A888" s="97" t="n">
        <f aca="false">ROW(A885)</f>
        <v>885</v>
      </c>
      <c r="B888" s="97" t="s">
        <v>485</v>
      </c>
      <c r="C888" s="100" t="n">
        <v>1</v>
      </c>
      <c r="D888" s="85"/>
      <c r="E888" s="98" t="s">
        <v>2433</v>
      </c>
      <c r="F888" s="99" t="s">
        <v>2417</v>
      </c>
      <c r="G888" s="100" t="s">
        <v>1883</v>
      </c>
      <c r="H888" s="100" t="s">
        <v>2406</v>
      </c>
      <c r="I888" s="100" t="s">
        <v>258</v>
      </c>
      <c r="J888" s="98" t="s">
        <v>527</v>
      </c>
      <c r="K888" s="101" t="s">
        <v>2434</v>
      </c>
      <c r="L888" s="102" t="n">
        <v>45763</v>
      </c>
      <c r="M888" s="100" t="n">
        <v>2313</v>
      </c>
      <c r="N888" s="100" t="n">
        <v>2376</v>
      </c>
      <c r="O888" s="100" t="n">
        <v>63</v>
      </c>
      <c r="P888" s="100" t="n">
        <v>61</v>
      </c>
      <c r="Q888" s="100"/>
      <c r="R888" s="103" t="n">
        <f aca="false">合約與計費!$D$4</f>
        <v>0.296</v>
      </c>
      <c r="S888" s="104" t="n">
        <f aca="false">ROUND(P888*R888,0)</f>
        <v>18</v>
      </c>
      <c r="T888" s="105"/>
      <c r="U888" s="100"/>
      <c r="V888" s="100"/>
      <c r="W888" s="106"/>
      <c r="X888" s="100"/>
      <c r="Y888" s="100"/>
      <c r="Z888" s="107"/>
      <c r="AA888" s="108"/>
      <c r="AB888" s="109"/>
      <c r="AC888" s="110"/>
      <c r="AD888" s="42"/>
      <c r="AE888" s="43"/>
    </row>
    <row r="889" customFormat="false" ht="16.5" hidden="false" customHeight="true" outlineLevel="0" collapsed="false">
      <c r="A889" s="97" t="n">
        <f aca="false">ROW(A886)</f>
        <v>886</v>
      </c>
      <c r="B889" s="97" t="n">
        <v>10</v>
      </c>
      <c r="C889" s="100" t="n">
        <v>1</v>
      </c>
      <c r="D889" s="85"/>
      <c r="E889" s="98" t="s">
        <v>2435</v>
      </c>
      <c r="F889" s="99" t="s">
        <v>2417</v>
      </c>
      <c r="G889" s="100" t="s">
        <v>1883</v>
      </c>
      <c r="H889" s="100" t="s">
        <v>2406</v>
      </c>
      <c r="I889" s="100" t="s">
        <v>258</v>
      </c>
      <c r="J889" s="98" t="s">
        <v>527</v>
      </c>
      <c r="K889" s="101" t="s">
        <v>2436</v>
      </c>
      <c r="L889" s="102" t="n">
        <v>45763</v>
      </c>
      <c r="M889" s="100" t="n">
        <v>3115</v>
      </c>
      <c r="N889" s="100" t="n">
        <v>3702</v>
      </c>
      <c r="O889" s="100" t="n">
        <v>587</v>
      </c>
      <c r="P889" s="100" t="n">
        <v>569</v>
      </c>
      <c r="Q889" s="100"/>
      <c r="R889" s="103" t="n">
        <f aca="false">合約與計費!$D$4</f>
        <v>0.296</v>
      </c>
      <c r="S889" s="104" t="n">
        <f aca="false">ROUND(P889*R889,0)</f>
        <v>168</v>
      </c>
      <c r="T889" s="105"/>
      <c r="U889" s="100"/>
      <c r="V889" s="100"/>
      <c r="W889" s="106"/>
      <c r="X889" s="100"/>
      <c r="Y889" s="100"/>
      <c r="Z889" s="107"/>
      <c r="AA889" s="108"/>
      <c r="AB889" s="109"/>
      <c r="AC889" s="110"/>
      <c r="AD889" s="42"/>
      <c r="AE889" s="43"/>
    </row>
    <row r="890" customFormat="false" ht="16.5" hidden="false" customHeight="true" outlineLevel="0" collapsed="false">
      <c r="A890" s="97" t="n">
        <f aca="false">ROW(A887)</f>
        <v>887</v>
      </c>
      <c r="B890" s="97" t="n">
        <v>11</v>
      </c>
      <c r="C890" s="100" t="n">
        <v>1</v>
      </c>
      <c r="D890" s="85"/>
      <c r="E890" s="98" t="s">
        <v>2437</v>
      </c>
      <c r="F890" s="99" t="s">
        <v>2417</v>
      </c>
      <c r="G890" s="100" t="s">
        <v>1883</v>
      </c>
      <c r="H890" s="100" t="s">
        <v>2406</v>
      </c>
      <c r="I890" s="100" t="s">
        <v>258</v>
      </c>
      <c r="J890" s="98" t="s">
        <v>527</v>
      </c>
      <c r="K890" s="101" t="s">
        <v>2438</v>
      </c>
      <c r="L890" s="102" t="n">
        <v>45763</v>
      </c>
      <c r="M890" s="100" t="n">
        <v>2720</v>
      </c>
      <c r="N890" s="100" t="n">
        <v>3032</v>
      </c>
      <c r="O890" s="100" t="n">
        <v>312</v>
      </c>
      <c r="P890" s="100" t="n">
        <v>303</v>
      </c>
      <c r="Q890" s="100"/>
      <c r="R890" s="103" t="n">
        <f aca="false">合約與計費!$D$4</f>
        <v>0.296</v>
      </c>
      <c r="S890" s="104" t="n">
        <f aca="false">ROUND(P890*R890,0)</f>
        <v>90</v>
      </c>
      <c r="T890" s="105"/>
      <c r="U890" s="100"/>
      <c r="V890" s="100"/>
      <c r="W890" s="106"/>
      <c r="X890" s="100"/>
      <c r="Y890" s="100"/>
      <c r="Z890" s="107"/>
      <c r="AA890" s="108"/>
      <c r="AB890" s="109"/>
      <c r="AC890" s="110"/>
      <c r="AD890" s="42"/>
      <c r="AE890" s="43"/>
    </row>
    <row r="891" customFormat="false" ht="16.5" hidden="false" customHeight="true" outlineLevel="0" collapsed="false">
      <c r="A891" s="97" t="n">
        <f aca="false">ROW(A888)</f>
        <v>888</v>
      </c>
      <c r="B891" s="97" t="n">
        <v>12</v>
      </c>
      <c r="C891" s="100" t="n">
        <v>1</v>
      </c>
      <c r="D891" s="85"/>
      <c r="E891" s="98" t="s">
        <v>2439</v>
      </c>
      <c r="F891" s="99" t="s">
        <v>2417</v>
      </c>
      <c r="G891" s="100" t="s">
        <v>1883</v>
      </c>
      <c r="H891" s="100" t="s">
        <v>2406</v>
      </c>
      <c r="I891" s="100" t="s">
        <v>258</v>
      </c>
      <c r="J891" s="98" t="s">
        <v>527</v>
      </c>
      <c r="K891" s="101" t="s">
        <v>2440</v>
      </c>
      <c r="L891" s="102" t="n">
        <v>45763</v>
      </c>
      <c r="M891" s="100" t="n">
        <v>4141</v>
      </c>
      <c r="N891" s="100" t="n">
        <v>4332</v>
      </c>
      <c r="O891" s="100" t="n">
        <v>191</v>
      </c>
      <c r="P891" s="100" t="n">
        <v>185</v>
      </c>
      <c r="Q891" s="100"/>
      <c r="R891" s="103" t="n">
        <f aca="false">合約與計費!$D$4</f>
        <v>0.296</v>
      </c>
      <c r="S891" s="104" t="n">
        <f aca="false">ROUND(P891*R891,0)</f>
        <v>55</v>
      </c>
      <c r="T891" s="105"/>
      <c r="U891" s="100"/>
      <c r="V891" s="100"/>
      <c r="W891" s="106"/>
      <c r="X891" s="100"/>
      <c r="Y891" s="100"/>
      <c r="Z891" s="107"/>
      <c r="AA891" s="108"/>
      <c r="AB891" s="109"/>
      <c r="AC891" s="110"/>
      <c r="AD891" s="42"/>
      <c r="AE891" s="43"/>
    </row>
    <row r="892" customFormat="false" ht="16.5" hidden="false" customHeight="true" outlineLevel="0" collapsed="false">
      <c r="A892" s="97" t="n">
        <f aca="false">ROW(A889)</f>
        <v>889</v>
      </c>
      <c r="B892" s="97" t="n">
        <v>13</v>
      </c>
      <c r="C892" s="100" t="n">
        <v>1</v>
      </c>
      <c r="D892" s="85"/>
      <c r="E892" s="98" t="s">
        <v>2441</v>
      </c>
      <c r="F892" s="99" t="s">
        <v>2417</v>
      </c>
      <c r="G892" s="100" t="s">
        <v>1883</v>
      </c>
      <c r="H892" s="100" t="s">
        <v>2406</v>
      </c>
      <c r="I892" s="100" t="s">
        <v>258</v>
      </c>
      <c r="J892" s="98" t="s">
        <v>527</v>
      </c>
      <c r="K892" s="101" t="s">
        <v>2442</v>
      </c>
      <c r="L892" s="102" t="n">
        <v>45763</v>
      </c>
      <c r="M892" s="100" t="n">
        <v>2716</v>
      </c>
      <c r="N892" s="100" t="n">
        <v>3194</v>
      </c>
      <c r="O892" s="100" t="n">
        <v>478</v>
      </c>
      <c r="P892" s="100" t="n">
        <v>464</v>
      </c>
      <c r="Q892" s="100"/>
      <c r="R892" s="103" t="n">
        <f aca="false">合約與計費!$D$4</f>
        <v>0.296</v>
      </c>
      <c r="S892" s="104" t="n">
        <f aca="false">ROUND(P892*R892,0)</f>
        <v>137</v>
      </c>
      <c r="T892" s="105"/>
      <c r="U892" s="100"/>
      <c r="V892" s="100"/>
      <c r="W892" s="106"/>
      <c r="X892" s="100"/>
      <c r="Y892" s="100"/>
      <c r="Z892" s="107"/>
      <c r="AA892" s="108"/>
      <c r="AB892" s="109"/>
      <c r="AC892" s="110"/>
      <c r="AD892" s="42"/>
      <c r="AE892" s="43"/>
    </row>
    <row r="893" customFormat="false" ht="16.5" hidden="false" customHeight="true" outlineLevel="0" collapsed="false">
      <c r="A893" s="97" t="n">
        <f aca="false">ROW(A890)</f>
        <v>890</v>
      </c>
      <c r="B893" s="97" t="n">
        <v>14</v>
      </c>
      <c r="C893" s="100" t="n">
        <v>1</v>
      </c>
      <c r="D893" s="85"/>
      <c r="E893" s="98" t="s">
        <v>2443</v>
      </c>
      <c r="F893" s="99" t="s">
        <v>2417</v>
      </c>
      <c r="G893" s="100" t="s">
        <v>1883</v>
      </c>
      <c r="H893" s="100" t="s">
        <v>2406</v>
      </c>
      <c r="I893" s="100" t="s">
        <v>258</v>
      </c>
      <c r="J893" s="98" t="s">
        <v>527</v>
      </c>
      <c r="K893" s="101" t="s">
        <v>2444</v>
      </c>
      <c r="L893" s="102" t="n">
        <v>45763</v>
      </c>
      <c r="M893" s="100" t="n">
        <v>3761</v>
      </c>
      <c r="N893" s="100" t="n">
        <v>4435</v>
      </c>
      <c r="O893" s="100" t="n">
        <v>674</v>
      </c>
      <c r="P893" s="100" t="n">
        <v>654</v>
      </c>
      <c r="Q893" s="100"/>
      <c r="R893" s="103" t="n">
        <f aca="false">合約與計費!$D$4</f>
        <v>0.296</v>
      </c>
      <c r="S893" s="104" t="n">
        <f aca="false">ROUND(P893*R893,0)</f>
        <v>194</v>
      </c>
      <c r="T893" s="105"/>
      <c r="U893" s="100"/>
      <c r="V893" s="100"/>
      <c r="W893" s="106"/>
      <c r="X893" s="100"/>
      <c r="Y893" s="100"/>
      <c r="Z893" s="107"/>
      <c r="AA893" s="108"/>
      <c r="AB893" s="109"/>
      <c r="AC893" s="110"/>
      <c r="AD893" s="42"/>
      <c r="AE893" s="43"/>
    </row>
    <row r="894" customFormat="false" ht="16.5" hidden="false" customHeight="true" outlineLevel="0" collapsed="false">
      <c r="A894" s="97" t="n">
        <f aca="false">ROW(A891)</f>
        <v>891</v>
      </c>
      <c r="B894" s="97" t="n">
        <v>15</v>
      </c>
      <c r="C894" s="100" t="n">
        <v>1</v>
      </c>
      <c r="D894" s="85"/>
      <c r="E894" s="98" t="s">
        <v>2445</v>
      </c>
      <c r="F894" s="99" t="s">
        <v>2417</v>
      </c>
      <c r="G894" s="100" t="s">
        <v>1883</v>
      </c>
      <c r="H894" s="100" t="s">
        <v>2406</v>
      </c>
      <c r="I894" s="100" t="s">
        <v>258</v>
      </c>
      <c r="J894" s="98" t="s">
        <v>527</v>
      </c>
      <c r="K894" s="101" t="s">
        <v>2446</v>
      </c>
      <c r="L894" s="102" t="n">
        <v>45763</v>
      </c>
      <c r="M894" s="100" t="n">
        <v>5379</v>
      </c>
      <c r="N894" s="100" t="n">
        <v>6441</v>
      </c>
      <c r="O894" s="100" t="n">
        <v>1062</v>
      </c>
      <c r="P894" s="100" t="n">
        <v>1030</v>
      </c>
      <c r="Q894" s="100"/>
      <c r="R894" s="103" t="n">
        <f aca="false">合約與計費!$D$4</f>
        <v>0.296</v>
      </c>
      <c r="S894" s="104" t="n">
        <f aca="false">ROUND(P894*R894,0)</f>
        <v>305</v>
      </c>
      <c r="T894" s="105"/>
      <c r="U894" s="100"/>
      <c r="V894" s="100"/>
      <c r="W894" s="106"/>
      <c r="X894" s="100"/>
      <c r="Y894" s="100"/>
      <c r="Z894" s="107"/>
      <c r="AA894" s="108"/>
      <c r="AB894" s="109"/>
      <c r="AC894" s="110"/>
      <c r="AD894" s="42"/>
      <c r="AE894" s="43"/>
    </row>
    <row r="895" customFormat="false" ht="16.5" hidden="false" customHeight="true" outlineLevel="0" collapsed="false">
      <c r="A895" s="97" t="n">
        <f aca="false">ROW(A892)</f>
        <v>892</v>
      </c>
      <c r="B895" s="97" t="n">
        <v>16</v>
      </c>
      <c r="C895" s="100" t="n">
        <v>1</v>
      </c>
      <c r="D895" s="85"/>
      <c r="E895" s="98" t="s">
        <v>2447</v>
      </c>
      <c r="F895" s="99" t="s">
        <v>2417</v>
      </c>
      <c r="G895" s="100" t="s">
        <v>1883</v>
      </c>
      <c r="H895" s="100" t="s">
        <v>2406</v>
      </c>
      <c r="I895" s="100" t="s">
        <v>258</v>
      </c>
      <c r="J895" s="98" t="s">
        <v>527</v>
      </c>
      <c r="K895" s="101" t="s">
        <v>2448</v>
      </c>
      <c r="L895" s="102" t="n">
        <v>45763</v>
      </c>
      <c r="M895" s="100" t="n">
        <v>2661</v>
      </c>
      <c r="N895" s="100" t="n">
        <v>3108</v>
      </c>
      <c r="O895" s="100" t="n">
        <v>447</v>
      </c>
      <c r="P895" s="100" t="n">
        <v>434</v>
      </c>
      <c r="Q895" s="100"/>
      <c r="R895" s="103" t="n">
        <f aca="false">合約與計費!$D$4</f>
        <v>0.296</v>
      </c>
      <c r="S895" s="104" t="n">
        <f aca="false">ROUND(P895*R895,0)</f>
        <v>128</v>
      </c>
      <c r="T895" s="105"/>
      <c r="U895" s="100"/>
      <c r="V895" s="100"/>
      <c r="W895" s="106"/>
      <c r="X895" s="100"/>
      <c r="Y895" s="100"/>
      <c r="Z895" s="107"/>
      <c r="AA895" s="108"/>
      <c r="AB895" s="109"/>
      <c r="AC895" s="110"/>
      <c r="AD895" s="42"/>
      <c r="AE895" s="43"/>
    </row>
    <row r="896" customFormat="false" ht="16.5" hidden="false" customHeight="true" outlineLevel="0" collapsed="false">
      <c r="A896" s="97" t="n">
        <f aca="false">ROW(A893)</f>
        <v>893</v>
      </c>
      <c r="B896" s="97" t="n">
        <v>17</v>
      </c>
      <c r="C896" s="100" t="n">
        <v>1</v>
      </c>
      <c r="D896" s="85"/>
      <c r="E896" s="98" t="s">
        <v>2449</v>
      </c>
      <c r="F896" s="99" t="s">
        <v>2417</v>
      </c>
      <c r="G896" s="100" t="s">
        <v>1883</v>
      </c>
      <c r="H896" s="100" t="s">
        <v>2406</v>
      </c>
      <c r="I896" s="100" t="s">
        <v>258</v>
      </c>
      <c r="J896" s="98" t="s">
        <v>527</v>
      </c>
      <c r="K896" s="101" t="s">
        <v>2450</v>
      </c>
      <c r="L896" s="102" t="n">
        <v>45763</v>
      </c>
      <c r="M896" s="100" t="n">
        <v>3852</v>
      </c>
      <c r="N896" s="100" t="n">
        <v>4492</v>
      </c>
      <c r="O896" s="100" t="n">
        <v>640</v>
      </c>
      <c r="P896" s="100" t="n">
        <v>621</v>
      </c>
      <c r="Q896" s="100"/>
      <c r="R896" s="103" t="n">
        <f aca="false">合約與計費!$D$4</f>
        <v>0.296</v>
      </c>
      <c r="S896" s="104" t="n">
        <f aca="false">ROUND(P896*R896,0)</f>
        <v>184</v>
      </c>
      <c r="T896" s="105"/>
      <c r="U896" s="100"/>
      <c r="V896" s="100"/>
      <c r="W896" s="106"/>
      <c r="X896" s="100"/>
      <c r="Y896" s="100"/>
      <c r="Z896" s="107"/>
      <c r="AA896" s="108"/>
      <c r="AB896" s="109"/>
      <c r="AC896" s="110"/>
      <c r="AD896" s="42"/>
      <c r="AE896" s="43"/>
    </row>
    <row r="897" customFormat="false" ht="16.5" hidden="false" customHeight="true" outlineLevel="0" collapsed="false">
      <c r="A897" s="111" t="n">
        <f aca="false">ROW(A894)</f>
        <v>894</v>
      </c>
      <c r="B897" s="111" t="n">
        <v>18</v>
      </c>
      <c r="C897" s="114" t="n">
        <v>1</v>
      </c>
      <c r="D897" s="85"/>
      <c r="E897" s="112" t="s">
        <v>2451</v>
      </c>
      <c r="F897" s="113" t="s">
        <v>2417</v>
      </c>
      <c r="G897" s="114" t="s">
        <v>1883</v>
      </c>
      <c r="H897" s="114" t="s">
        <v>2406</v>
      </c>
      <c r="I897" s="114" t="s">
        <v>258</v>
      </c>
      <c r="J897" s="98" t="s">
        <v>527</v>
      </c>
      <c r="K897" s="101" t="s">
        <v>2452</v>
      </c>
      <c r="L897" s="102" t="n">
        <v>45763</v>
      </c>
      <c r="M897" s="100" t="n">
        <v>3902</v>
      </c>
      <c r="N897" s="100" t="n">
        <v>4598</v>
      </c>
      <c r="O897" s="100" t="n">
        <v>696</v>
      </c>
      <c r="P897" s="100" t="n">
        <v>675</v>
      </c>
      <c r="Q897" s="100" t="n">
        <f aca="false">ROUND(SUM(P880:P897),2)</f>
        <v>7799</v>
      </c>
      <c r="R897" s="103" t="n">
        <f aca="false">合約與計費!$D$4</f>
        <v>0.296</v>
      </c>
      <c r="S897" s="104" t="n">
        <f aca="false">ROUND(P897*R897,0)</f>
        <v>200</v>
      </c>
      <c r="T897" s="105" t="n">
        <f aca="false">ROUND(SUM(S880:S897),2)</f>
        <v>2309</v>
      </c>
      <c r="U897" s="100"/>
      <c r="V897" s="100"/>
      <c r="W897" s="106"/>
      <c r="X897" s="100"/>
      <c r="Y897" s="100" t="n">
        <f aca="false">ROUND(SUM(X880:X897),2)</f>
        <v>41</v>
      </c>
      <c r="Z897" s="107"/>
      <c r="AA897" s="108"/>
      <c r="AB897" s="109" t="n">
        <f aca="false">ROUND(SUM(AA880:AA897),2)</f>
        <v>115</v>
      </c>
      <c r="AC897" s="110"/>
      <c r="AD897" s="42"/>
      <c r="AE897" s="43"/>
    </row>
    <row r="898" customFormat="false" ht="16.5" hidden="false" customHeight="true" outlineLevel="0" collapsed="false">
      <c r="A898" s="84" t="n">
        <f aca="false">ROW(A895)</f>
        <v>895</v>
      </c>
      <c r="B898" s="84" t="s">
        <v>455</v>
      </c>
      <c r="C898" s="32" t="n">
        <v>1</v>
      </c>
      <c r="D898" s="85" t="n">
        <v>95</v>
      </c>
      <c r="E898" s="86" t="s">
        <v>2453</v>
      </c>
      <c r="F898" s="87" t="s">
        <v>2454</v>
      </c>
      <c r="G898" s="32" t="s">
        <v>1883</v>
      </c>
      <c r="H898" s="32" t="s">
        <v>2406</v>
      </c>
      <c r="I898" s="32" t="s">
        <v>400</v>
      </c>
      <c r="J898" s="86" t="s">
        <v>460</v>
      </c>
      <c r="K898" s="88" t="s">
        <v>2455</v>
      </c>
      <c r="L898" s="89" t="n">
        <v>45743</v>
      </c>
      <c r="M898" s="32" t="n">
        <v>106</v>
      </c>
      <c r="N898" s="32" t="n">
        <v>121</v>
      </c>
      <c r="O898" s="32" t="n">
        <v>15</v>
      </c>
      <c r="P898" s="32" t="n">
        <v>15</v>
      </c>
      <c r="Q898" s="32"/>
      <c r="R898" s="90" t="n">
        <f aca="false">合約與計費!$D$4</f>
        <v>0.296</v>
      </c>
      <c r="S898" s="91" t="n">
        <f aca="false">ROUND(P898*R898,0)</f>
        <v>4</v>
      </c>
      <c r="T898" s="92"/>
      <c r="U898" s="32" t="n">
        <v>163</v>
      </c>
      <c r="V898" s="32" t="n">
        <v>194</v>
      </c>
      <c r="W898" s="32" t="n">
        <v>31</v>
      </c>
      <c r="X898" s="32" t="n">
        <v>30</v>
      </c>
      <c r="Y898" s="32"/>
      <c r="Z898" s="93" t="n">
        <f aca="false">合約與計費!$E$4</f>
        <v>2.8</v>
      </c>
      <c r="AA898" s="94" t="n">
        <f aca="false">ROUND(X898*Z898,0)</f>
        <v>84</v>
      </c>
      <c r="AB898" s="95"/>
      <c r="AC898" s="96"/>
      <c r="AD898" s="42"/>
      <c r="AE898" s="43"/>
    </row>
    <row r="899" customFormat="false" ht="16.5" hidden="false" customHeight="true" outlineLevel="0" collapsed="false">
      <c r="A899" s="97" t="n">
        <f aca="false">ROW(A896)</f>
        <v>896</v>
      </c>
      <c r="B899" s="97" t="s">
        <v>462</v>
      </c>
      <c r="C899" s="100" t="n">
        <v>1</v>
      </c>
      <c r="D899" s="85"/>
      <c r="E899" s="98" t="s">
        <v>2456</v>
      </c>
      <c r="F899" s="99" t="s">
        <v>2454</v>
      </c>
      <c r="G899" s="100" t="s">
        <v>1883</v>
      </c>
      <c r="H899" s="100" t="s">
        <v>2406</v>
      </c>
      <c r="I899" s="100" t="s">
        <v>400</v>
      </c>
      <c r="J899" s="98" t="s">
        <v>464</v>
      </c>
      <c r="K899" s="101" t="s">
        <v>2457</v>
      </c>
      <c r="L899" s="102" t="n">
        <v>45743</v>
      </c>
      <c r="M899" s="100" t="n">
        <v>1578</v>
      </c>
      <c r="N899" s="100" t="n">
        <v>1798</v>
      </c>
      <c r="O899" s="100" t="n">
        <v>220</v>
      </c>
      <c r="P899" s="100" t="n">
        <v>213</v>
      </c>
      <c r="Q899" s="100"/>
      <c r="R899" s="103" t="n">
        <f aca="false">合約與計費!$D$4</f>
        <v>0.296</v>
      </c>
      <c r="S899" s="104" t="n">
        <f aca="false">ROUND(P899*R899,0)</f>
        <v>63</v>
      </c>
      <c r="T899" s="105"/>
      <c r="U899" s="100"/>
      <c r="V899" s="100"/>
      <c r="W899" s="106"/>
      <c r="X899" s="100"/>
      <c r="Y899" s="100"/>
      <c r="Z899" s="107"/>
      <c r="AA899" s="108"/>
      <c r="AB899" s="109"/>
      <c r="AC899" s="110"/>
      <c r="AD899" s="42" t="n">
        <v>0.0517</v>
      </c>
      <c r="AE899" s="43" t="n">
        <v>0.3</v>
      </c>
    </row>
    <row r="900" customFormat="false" ht="16.5" hidden="false" customHeight="true" outlineLevel="0" collapsed="false">
      <c r="A900" s="97" t="n">
        <f aca="false">ROW(A897)</f>
        <v>897</v>
      </c>
      <c r="B900" s="97" t="s">
        <v>466</v>
      </c>
      <c r="C900" s="100" t="n">
        <v>1</v>
      </c>
      <c r="D900" s="85"/>
      <c r="E900" s="98" t="s">
        <v>2458</v>
      </c>
      <c r="F900" s="99" t="s">
        <v>2454</v>
      </c>
      <c r="G900" s="100" t="s">
        <v>1883</v>
      </c>
      <c r="H900" s="100" t="s">
        <v>2406</v>
      </c>
      <c r="I900" s="100" t="s">
        <v>400</v>
      </c>
      <c r="J900" s="98" t="s">
        <v>527</v>
      </c>
      <c r="K900" s="101" t="s">
        <v>2459</v>
      </c>
      <c r="L900" s="102" t="n">
        <v>45743</v>
      </c>
      <c r="M900" s="100" t="n">
        <v>7141</v>
      </c>
      <c r="N900" s="100" t="n">
        <v>8426</v>
      </c>
      <c r="O900" s="100" t="n">
        <v>1285</v>
      </c>
      <c r="P900" s="100" t="n">
        <v>1246</v>
      </c>
      <c r="Q900" s="100"/>
      <c r="R900" s="103" t="n">
        <f aca="false">合約與計費!$D$4</f>
        <v>0.296</v>
      </c>
      <c r="S900" s="104" t="n">
        <f aca="false">ROUND(P900*R900,0)</f>
        <v>369</v>
      </c>
      <c r="T900" s="105"/>
      <c r="U900" s="100"/>
      <c r="V900" s="100"/>
      <c r="W900" s="106"/>
      <c r="X900" s="100"/>
      <c r="Y900" s="100"/>
      <c r="Z900" s="107"/>
      <c r="AA900" s="108"/>
      <c r="AB900" s="109"/>
      <c r="AC900" s="110"/>
      <c r="AD900" s="42"/>
      <c r="AE900" s="43"/>
    </row>
    <row r="901" customFormat="false" ht="16.5" hidden="false" customHeight="true" outlineLevel="0" collapsed="false">
      <c r="A901" s="97" t="n">
        <f aca="false">ROW(A898)</f>
        <v>898</v>
      </c>
      <c r="B901" s="97" t="s">
        <v>469</v>
      </c>
      <c r="C901" s="100" t="n">
        <v>1</v>
      </c>
      <c r="D901" s="85"/>
      <c r="E901" s="98" t="s">
        <v>2460</v>
      </c>
      <c r="F901" s="99" t="s">
        <v>2454</v>
      </c>
      <c r="G901" s="100" t="s">
        <v>1883</v>
      </c>
      <c r="H901" s="100" t="s">
        <v>2406</v>
      </c>
      <c r="I901" s="100" t="s">
        <v>400</v>
      </c>
      <c r="J901" s="98" t="s">
        <v>527</v>
      </c>
      <c r="K901" s="101" t="s">
        <v>2461</v>
      </c>
      <c r="L901" s="102" t="n">
        <v>45743</v>
      </c>
      <c r="M901" s="100" t="n">
        <v>8134</v>
      </c>
      <c r="N901" s="100" t="n">
        <v>9030</v>
      </c>
      <c r="O901" s="100" t="n">
        <v>896</v>
      </c>
      <c r="P901" s="100" t="n">
        <v>869</v>
      </c>
      <c r="Q901" s="100"/>
      <c r="R901" s="103" t="n">
        <f aca="false">合約與計費!$D$4</f>
        <v>0.296</v>
      </c>
      <c r="S901" s="104" t="n">
        <f aca="false">ROUND(P901*R901,0)</f>
        <v>257</v>
      </c>
      <c r="T901" s="105"/>
      <c r="U901" s="100"/>
      <c r="V901" s="100"/>
      <c r="W901" s="106"/>
      <c r="X901" s="100"/>
      <c r="Y901" s="100"/>
      <c r="Z901" s="107"/>
      <c r="AA901" s="108"/>
      <c r="AB901" s="109"/>
      <c r="AC901" s="110"/>
      <c r="AD901" s="42"/>
      <c r="AE901" s="43"/>
    </row>
    <row r="902" customFormat="false" ht="16.5" hidden="false" customHeight="true" outlineLevel="0" collapsed="false">
      <c r="A902" s="97" t="n">
        <f aca="false">ROW(A899)</f>
        <v>899</v>
      </c>
      <c r="B902" s="97" t="s">
        <v>473</v>
      </c>
      <c r="C902" s="100" t="n">
        <v>1</v>
      </c>
      <c r="D902" s="85"/>
      <c r="E902" s="98" t="s">
        <v>2462</v>
      </c>
      <c r="F902" s="99" t="s">
        <v>2454</v>
      </c>
      <c r="G902" s="100" t="s">
        <v>1883</v>
      </c>
      <c r="H902" s="100" t="s">
        <v>2406</v>
      </c>
      <c r="I902" s="100" t="s">
        <v>400</v>
      </c>
      <c r="J902" s="98" t="s">
        <v>527</v>
      </c>
      <c r="K902" s="101" t="s">
        <v>2463</v>
      </c>
      <c r="L902" s="102" t="n">
        <v>45743</v>
      </c>
      <c r="M902" s="100" t="n">
        <v>5452</v>
      </c>
      <c r="N902" s="100" t="n">
        <v>5917</v>
      </c>
      <c r="O902" s="100" t="n">
        <v>465</v>
      </c>
      <c r="P902" s="100" t="n">
        <v>451</v>
      </c>
      <c r="Q902" s="100"/>
      <c r="R902" s="103" t="n">
        <f aca="false">合約與計費!$D$4</f>
        <v>0.296</v>
      </c>
      <c r="S902" s="104" t="n">
        <f aca="false">ROUND(P902*R902,0)</f>
        <v>133</v>
      </c>
      <c r="T902" s="105"/>
      <c r="U902" s="100"/>
      <c r="V902" s="100"/>
      <c r="W902" s="106"/>
      <c r="X902" s="100"/>
      <c r="Y902" s="100"/>
      <c r="Z902" s="107"/>
      <c r="AA902" s="108"/>
      <c r="AB902" s="109"/>
      <c r="AC902" s="110"/>
      <c r="AD902" s="42"/>
      <c r="AE902" s="43"/>
    </row>
    <row r="903" customFormat="false" ht="16.5" hidden="false" customHeight="true" outlineLevel="0" collapsed="false">
      <c r="A903" s="97" t="n">
        <f aca="false">ROW(A900)</f>
        <v>900</v>
      </c>
      <c r="B903" s="97" t="s">
        <v>476</v>
      </c>
      <c r="C903" s="100" t="n">
        <v>1</v>
      </c>
      <c r="D903" s="85"/>
      <c r="E903" s="98" t="s">
        <v>2464</v>
      </c>
      <c r="F903" s="99" t="s">
        <v>2454</v>
      </c>
      <c r="G903" s="100" t="s">
        <v>1883</v>
      </c>
      <c r="H903" s="100" t="s">
        <v>2406</v>
      </c>
      <c r="I903" s="100" t="s">
        <v>400</v>
      </c>
      <c r="J903" s="98" t="s">
        <v>527</v>
      </c>
      <c r="K903" s="101" t="s">
        <v>2465</v>
      </c>
      <c r="L903" s="102" t="n">
        <v>45743</v>
      </c>
      <c r="M903" s="100" t="n">
        <v>7471</v>
      </c>
      <c r="N903" s="100" t="n">
        <v>8624</v>
      </c>
      <c r="O903" s="100" t="n">
        <v>1153</v>
      </c>
      <c r="P903" s="100" t="n">
        <v>1118</v>
      </c>
      <c r="Q903" s="100"/>
      <c r="R903" s="103" t="n">
        <f aca="false">合約與計費!$D$4</f>
        <v>0.296</v>
      </c>
      <c r="S903" s="104" t="n">
        <f aca="false">ROUND(P903*R903,0)</f>
        <v>331</v>
      </c>
      <c r="T903" s="105"/>
      <c r="U903" s="100"/>
      <c r="V903" s="100"/>
      <c r="W903" s="106"/>
      <c r="X903" s="100"/>
      <c r="Y903" s="100"/>
      <c r="Z903" s="107"/>
      <c r="AA903" s="108"/>
      <c r="AB903" s="109"/>
      <c r="AC903" s="110"/>
      <c r="AD903" s="42"/>
      <c r="AE903" s="43"/>
    </row>
    <row r="904" customFormat="false" ht="16.5" hidden="false" customHeight="true" outlineLevel="0" collapsed="false">
      <c r="A904" s="97" t="n">
        <f aca="false">ROW(A901)</f>
        <v>901</v>
      </c>
      <c r="B904" s="97" t="s">
        <v>479</v>
      </c>
      <c r="C904" s="100" t="n">
        <v>1</v>
      </c>
      <c r="D904" s="85"/>
      <c r="E904" s="98" t="s">
        <v>2466</v>
      </c>
      <c r="F904" s="99" t="s">
        <v>2454</v>
      </c>
      <c r="G904" s="100" t="s">
        <v>1883</v>
      </c>
      <c r="H904" s="100" t="s">
        <v>2406</v>
      </c>
      <c r="I904" s="100" t="s">
        <v>400</v>
      </c>
      <c r="J904" s="98" t="s">
        <v>527</v>
      </c>
      <c r="K904" s="101" t="s">
        <v>2467</v>
      </c>
      <c r="L904" s="102" t="n">
        <v>45743</v>
      </c>
      <c r="M904" s="100" t="n">
        <v>11741</v>
      </c>
      <c r="N904" s="100" t="n">
        <v>13403</v>
      </c>
      <c r="O904" s="100" t="n">
        <v>1662</v>
      </c>
      <c r="P904" s="100" t="n">
        <v>1612</v>
      </c>
      <c r="Q904" s="100"/>
      <c r="R904" s="103" t="n">
        <f aca="false">合約與計費!$D$4</f>
        <v>0.296</v>
      </c>
      <c r="S904" s="104" t="n">
        <f aca="false">ROUND(P904*R904,0)</f>
        <v>477</v>
      </c>
      <c r="T904" s="105"/>
      <c r="U904" s="100"/>
      <c r="V904" s="100"/>
      <c r="W904" s="106"/>
      <c r="X904" s="100"/>
      <c r="Y904" s="100"/>
      <c r="Z904" s="107"/>
      <c r="AA904" s="108"/>
      <c r="AB904" s="109"/>
      <c r="AC904" s="110"/>
      <c r="AD904" s="42"/>
      <c r="AE904" s="43"/>
    </row>
    <row r="905" customFormat="false" ht="16.5" hidden="false" customHeight="true" outlineLevel="0" collapsed="false">
      <c r="A905" s="97" t="n">
        <f aca="false">ROW(A902)</f>
        <v>902</v>
      </c>
      <c r="B905" s="97" t="s">
        <v>482</v>
      </c>
      <c r="C905" s="100" t="n">
        <v>1</v>
      </c>
      <c r="D905" s="85"/>
      <c r="E905" s="98" t="s">
        <v>2468</v>
      </c>
      <c r="F905" s="99" t="s">
        <v>2454</v>
      </c>
      <c r="G905" s="100" t="s">
        <v>1883</v>
      </c>
      <c r="H905" s="100" t="s">
        <v>2406</v>
      </c>
      <c r="I905" s="100" t="s">
        <v>400</v>
      </c>
      <c r="J905" s="98" t="s">
        <v>527</v>
      </c>
      <c r="K905" s="101" t="s">
        <v>2469</v>
      </c>
      <c r="L905" s="102" t="n">
        <v>45743</v>
      </c>
      <c r="M905" s="100" t="n">
        <v>5999</v>
      </c>
      <c r="N905" s="100" t="n">
        <v>7311</v>
      </c>
      <c r="O905" s="100" t="n">
        <v>1312</v>
      </c>
      <c r="P905" s="100" t="n">
        <v>1273</v>
      </c>
      <c r="Q905" s="100"/>
      <c r="R905" s="103" t="n">
        <f aca="false">合約與計費!$D$4</f>
        <v>0.296</v>
      </c>
      <c r="S905" s="104" t="n">
        <f aca="false">ROUND(P905*R905,0)</f>
        <v>377</v>
      </c>
      <c r="T905" s="105"/>
      <c r="U905" s="100"/>
      <c r="V905" s="100"/>
      <c r="W905" s="106"/>
      <c r="X905" s="100"/>
      <c r="Y905" s="100"/>
      <c r="Z905" s="107"/>
      <c r="AA905" s="108"/>
      <c r="AB905" s="109"/>
      <c r="AC905" s="110"/>
      <c r="AD905" s="42"/>
      <c r="AE905" s="43"/>
    </row>
    <row r="906" customFormat="false" ht="16.5" hidden="false" customHeight="true" outlineLevel="0" collapsed="false">
      <c r="A906" s="97" t="n">
        <f aca="false">ROW(A903)</f>
        <v>903</v>
      </c>
      <c r="B906" s="97" t="s">
        <v>485</v>
      </c>
      <c r="C906" s="100" t="n">
        <v>1</v>
      </c>
      <c r="D906" s="85"/>
      <c r="E906" s="98" t="s">
        <v>2470</v>
      </c>
      <c r="F906" s="99" t="s">
        <v>2454</v>
      </c>
      <c r="G906" s="100" t="s">
        <v>1883</v>
      </c>
      <c r="H906" s="100" t="s">
        <v>2406</v>
      </c>
      <c r="I906" s="100" t="s">
        <v>400</v>
      </c>
      <c r="J906" s="98" t="s">
        <v>527</v>
      </c>
      <c r="K906" s="101" t="s">
        <v>2471</v>
      </c>
      <c r="L906" s="102" t="n">
        <v>45743</v>
      </c>
      <c r="M906" s="100" t="n">
        <v>3035</v>
      </c>
      <c r="N906" s="100" t="n">
        <v>3464</v>
      </c>
      <c r="O906" s="100" t="n">
        <v>429</v>
      </c>
      <c r="P906" s="100" t="n">
        <v>416</v>
      </c>
      <c r="Q906" s="100"/>
      <c r="R906" s="103" t="n">
        <f aca="false">合約與計費!$D$4</f>
        <v>0.296</v>
      </c>
      <c r="S906" s="104" t="n">
        <f aca="false">ROUND(P906*R906,0)</f>
        <v>123</v>
      </c>
      <c r="T906" s="105"/>
      <c r="U906" s="100"/>
      <c r="V906" s="100"/>
      <c r="W906" s="106"/>
      <c r="X906" s="100"/>
      <c r="Y906" s="100"/>
      <c r="Z906" s="107"/>
      <c r="AA906" s="108"/>
      <c r="AB906" s="109"/>
      <c r="AC906" s="110"/>
      <c r="AD906" s="42"/>
      <c r="AE906" s="43"/>
    </row>
    <row r="907" customFormat="false" ht="16.5" hidden="false" customHeight="true" outlineLevel="0" collapsed="false">
      <c r="A907" s="111" t="n">
        <f aca="false">ROW(A904)</f>
        <v>904</v>
      </c>
      <c r="B907" s="111" t="n">
        <v>10</v>
      </c>
      <c r="C907" s="114" t="n">
        <v>1</v>
      </c>
      <c r="D907" s="85"/>
      <c r="E907" s="112" t="s">
        <v>2472</v>
      </c>
      <c r="F907" s="113" t="s">
        <v>2454</v>
      </c>
      <c r="G907" s="114" t="s">
        <v>1883</v>
      </c>
      <c r="H907" s="114" t="s">
        <v>2406</v>
      </c>
      <c r="I907" s="114" t="s">
        <v>400</v>
      </c>
      <c r="J907" s="98" t="s">
        <v>527</v>
      </c>
      <c r="K907" s="101" t="s">
        <v>2473</v>
      </c>
      <c r="L907" s="102" t="n">
        <v>45743</v>
      </c>
      <c r="M907" s="100" t="n">
        <v>4781</v>
      </c>
      <c r="N907" s="100" t="n">
        <v>5620</v>
      </c>
      <c r="O907" s="100" t="n">
        <v>839</v>
      </c>
      <c r="P907" s="100" t="n">
        <v>814</v>
      </c>
      <c r="Q907" s="100" t="n">
        <f aca="false">ROUND(SUM(P898:P907),2)</f>
        <v>8027</v>
      </c>
      <c r="R907" s="103" t="n">
        <f aca="false">合約與計費!$D$4</f>
        <v>0.296</v>
      </c>
      <c r="S907" s="104" t="n">
        <f aca="false">ROUND(P907*R907,0)</f>
        <v>241</v>
      </c>
      <c r="T907" s="105" t="n">
        <f aca="false">ROUND(SUM(S898:S907),2)</f>
        <v>2375</v>
      </c>
      <c r="U907" s="100"/>
      <c r="V907" s="100"/>
      <c r="W907" s="106"/>
      <c r="X907" s="100"/>
      <c r="Y907" s="100" t="n">
        <f aca="false">ROUND(SUM(X898:X907),2)</f>
        <v>30</v>
      </c>
      <c r="Z907" s="107"/>
      <c r="AA907" s="108"/>
      <c r="AB907" s="109" t="n">
        <f aca="false">ROUND(SUM(AA898:AA907),2)</f>
        <v>84</v>
      </c>
      <c r="AC907" s="110"/>
      <c r="AD907" s="42"/>
      <c r="AE907" s="43"/>
    </row>
    <row r="908" customFormat="false" ht="16.5" hidden="false" customHeight="true" outlineLevel="0" collapsed="false">
      <c r="A908" s="84" t="n">
        <f aca="false">ROW(A905)</f>
        <v>905</v>
      </c>
      <c r="B908" s="84" t="s">
        <v>455</v>
      </c>
      <c r="C908" s="32" t="n">
        <v>1</v>
      </c>
      <c r="D908" s="85" t="n">
        <v>229</v>
      </c>
      <c r="E908" s="86" t="s">
        <v>2474</v>
      </c>
      <c r="F908" s="87" t="s">
        <v>2475</v>
      </c>
      <c r="G908" s="32" t="s">
        <v>1883</v>
      </c>
      <c r="H908" s="32" t="s">
        <v>2406</v>
      </c>
      <c r="I908" s="172" t="s">
        <v>259</v>
      </c>
      <c r="J908" s="86" t="s">
        <v>460</v>
      </c>
      <c r="K908" s="88" t="s">
        <v>2476</v>
      </c>
      <c r="L908" s="89" t="n">
        <v>45742</v>
      </c>
      <c r="M908" s="32" t="n">
        <v>197</v>
      </c>
      <c r="N908" s="32" t="n">
        <v>229</v>
      </c>
      <c r="O908" s="32" t="n">
        <v>32</v>
      </c>
      <c r="P908" s="32" t="n">
        <v>31</v>
      </c>
      <c r="Q908" s="32"/>
      <c r="R908" s="90" t="n">
        <f aca="false">合約與計費!$D$4</f>
        <v>0.296</v>
      </c>
      <c r="S908" s="91" t="n">
        <f aca="false">ROUND(P908*R908,0)</f>
        <v>9</v>
      </c>
      <c r="T908" s="92"/>
      <c r="U908" s="32" t="n">
        <v>150</v>
      </c>
      <c r="V908" s="32" t="n">
        <v>210</v>
      </c>
      <c r="W908" s="32" t="n">
        <v>60</v>
      </c>
      <c r="X908" s="32" t="n">
        <v>58</v>
      </c>
      <c r="Y908" s="32"/>
      <c r="Z908" s="93" t="n">
        <f aca="false">合約與計費!$E$4</f>
        <v>2.8</v>
      </c>
      <c r="AA908" s="94" t="n">
        <f aca="false">ROUND(X908*Z908,0)</f>
        <v>162</v>
      </c>
      <c r="AB908" s="95"/>
      <c r="AC908" s="96"/>
      <c r="AD908" s="42"/>
      <c r="AE908" s="43"/>
    </row>
    <row r="909" customFormat="false" ht="16.5" hidden="false" customHeight="true" outlineLevel="0" collapsed="false">
      <c r="A909" s="111" t="n">
        <f aca="false">ROW(A906)</f>
        <v>906</v>
      </c>
      <c r="B909" s="111" t="s">
        <v>462</v>
      </c>
      <c r="C909" s="114" t="n">
        <v>1</v>
      </c>
      <c r="D909" s="85"/>
      <c r="E909" s="112" t="s">
        <v>2477</v>
      </c>
      <c r="F909" s="113" t="s">
        <v>2475</v>
      </c>
      <c r="G909" s="114" t="s">
        <v>1883</v>
      </c>
      <c r="H909" s="114" t="s">
        <v>2406</v>
      </c>
      <c r="I909" s="173" t="s">
        <v>259</v>
      </c>
      <c r="J909" s="112" t="s">
        <v>464</v>
      </c>
      <c r="K909" s="115" t="s">
        <v>2478</v>
      </c>
      <c r="L909" s="116" t="n">
        <v>45742</v>
      </c>
      <c r="M909" s="114" t="n">
        <v>657</v>
      </c>
      <c r="N909" s="114" t="n">
        <v>746</v>
      </c>
      <c r="O909" s="114" t="n">
        <v>89</v>
      </c>
      <c r="P909" s="114" t="n">
        <v>86</v>
      </c>
      <c r="Q909" s="114" t="n">
        <f aca="false">ROUND(SUM(P908:P909),2)</f>
        <v>117</v>
      </c>
      <c r="R909" s="117" t="n">
        <f aca="false">合約與計費!$D$4</f>
        <v>0.296</v>
      </c>
      <c r="S909" s="118" t="n">
        <f aca="false">ROUND(P909*R909,0)</f>
        <v>25</v>
      </c>
      <c r="T909" s="119" t="n">
        <f aca="false">ROUND(SUM(S908:S909),2)</f>
        <v>34</v>
      </c>
      <c r="U909" s="114"/>
      <c r="V909" s="114"/>
      <c r="W909" s="120"/>
      <c r="X909" s="114"/>
      <c r="Y909" s="114" t="n">
        <f aca="false">ROUND(SUM(X908:X909),2)</f>
        <v>58</v>
      </c>
      <c r="Z909" s="121"/>
      <c r="AA909" s="122"/>
      <c r="AB909" s="123" t="n">
        <f aca="false">ROUND(SUM(AA908:AA909),2)</f>
        <v>162</v>
      </c>
      <c r="AC909" s="124"/>
      <c r="AD909" s="42" t="n">
        <v>0.0466</v>
      </c>
      <c r="AE909" s="43" t="n">
        <v>0.8</v>
      </c>
    </row>
    <row r="910" customFormat="false" ht="16.5" hidden="false" customHeight="true" outlineLevel="0" collapsed="false">
      <c r="A910" s="84" t="n">
        <f aca="false">ROW(A907)</f>
        <v>907</v>
      </c>
      <c r="B910" s="84" t="s">
        <v>455</v>
      </c>
      <c r="C910" s="32" t="n">
        <v>1</v>
      </c>
      <c r="D910" s="85" t="n">
        <v>230</v>
      </c>
      <c r="E910" s="86" t="s">
        <v>2479</v>
      </c>
      <c r="F910" s="87" t="s">
        <v>2480</v>
      </c>
      <c r="G910" s="32" t="s">
        <v>1883</v>
      </c>
      <c r="H910" s="32" t="s">
        <v>2406</v>
      </c>
      <c r="I910" s="172" t="s">
        <v>181</v>
      </c>
      <c r="J910" s="86" t="s">
        <v>460</v>
      </c>
      <c r="K910" s="88" t="s">
        <v>2481</v>
      </c>
      <c r="L910" s="89" t="n">
        <v>45740</v>
      </c>
      <c r="M910" s="32" t="n">
        <v>32</v>
      </c>
      <c r="N910" s="32" t="n">
        <v>35</v>
      </c>
      <c r="O910" s="32" t="n">
        <v>3</v>
      </c>
      <c r="P910" s="32" t="n">
        <v>3</v>
      </c>
      <c r="Q910" s="32"/>
      <c r="R910" s="90" t="n">
        <f aca="false">合約與計費!$D$4</f>
        <v>0.296</v>
      </c>
      <c r="S910" s="91" t="n">
        <f aca="false">ROUND(P910*R910,0)</f>
        <v>1</v>
      </c>
      <c r="T910" s="92"/>
      <c r="U910" s="32" t="n">
        <v>170</v>
      </c>
      <c r="V910" s="32" t="n">
        <v>226</v>
      </c>
      <c r="W910" s="32" t="n">
        <v>56</v>
      </c>
      <c r="X910" s="32" t="n">
        <v>54</v>
      </c>
      <c r="Y910" s="32"/>
      <c r="Z910" s="93" t="n">
        <f aca="false">合約與計費!$E$4</f>
        <v>2.8</v>
      </c>
      <c r="AA910" s="94" t="n">
        <f aca="false">ROUND(X910*Z910,0)</f>
        <v>151</v>
      </c>
      <c r="AB910" s="95"/>
      <c r="AC910" s="96"/>
      <c r="AD910" s="42"/>
      <c r="AE910" s="43"/>
    </row>
    <row r="911" customFormat="false" ht="16.5" hidden="false" customHeight="true" outlineLevel="0" collapsed="false">
      <c r="A911" s="97" t="n">
        <f aca="false">ROW(A908)</f>
        <v>908</v>
      </c>
      <c r="B911" s="97" t="s">
        <v>462</v>
      </c>
      <c r="C911" s="100" t="n">
        <v>1</v>
      </c>
      <c r="D911" s="85"/>
      <c r="E911" s="98" t="s">
        <v>2482</v>
      </c>
      <c r="F911" s="99" t="s">
        <v>2480</v>
      </c>
      <c r="G911" s="100" t="s">
        <v>1883</v>
      </c>
      <c r="H911" s="100" t="s">
        <v>2406</v>
      </c>
      <c r="I911" s="175" t="s">
        <v>181</v>
      </c>
      <c r="J911" s="98" t="s">
        <v>464</v>
      </c>
      <c r="K911" s="101" t="s">
        <v>2483</v>
      </c>
      <c r="L911" s="102" t="n">
        <v>45740</v>
      </c>
      <c r="M911" s="100" t="n">
        <v>3479</v>
      </c>
      <c r="N911" s="100" t="n">
        <v>4189</v>
      </c>
      <c r="O911" s="100" t="n">
        <v>710</v>
      </c>
      <c r="P911" s="100" t="n">
        <v>689</v>
      </c>
      <c r="Q911" s="100"/>
      <c r="R911" s="103" t="n">
        <f aca="false">合約與計費!$D$4</f>
        <v>0.296</v>
      </c>
      <c r="S911" s="104" t="n">
        <f aca="false">ROUND(P911*R911,0)</f>
        <v>204</v>
      </c>
      <c r="T911" s="105"/>
      <c r="U911" s="100"/>
      <c r="V911" s="100"/>
      <c r="W911" s="106"/>
      <c r="X911" s="100"/>
      <c r="Y911" s="100"/>
      <c r="Z911" s="107"/>
      <c r="AA911" s="108"/>
      <c r="AB911" s="109"/>
      <c r="AC911" s="110"/>
      <c r="AD911" s="42" t="n">
        <v>0.0538</v>
      </c>
      <c r="AE911" s="43" t="n">
        <v>0.9</v>
      </c>
    </row>
    <row r="912" customFormat="false" ht="16.5" hidden="false" customHeight="true" outlineLevel="0" collapsed="false">
      <c r="A912" s="111" t="n">
        <f aca="false">ROW(A909)</f>
        <v>909</v>
      </c>
      <c r="B912" s="111" t="s">
        <v>466</v>
      </c>
      <c r="C912" s="114" t="n">
        <v>1</v>
      </c>
      <c r="D912" s="85"/>
      <c r="E912" s="112" t="s">
        <v>2484</v>
      </c>
      <c r="F912" s="113" t="s">
        <v>2480</v>
      </c>
      <c r="G912" s="114" t="s">
        <v>1883</v>
      </c>
      <c r="H912" s="114" t="s">
        <v>2406</v>
      </c>
      <c r="I912" s="173" t="s">
        <v>181</v>
      </c>
      <c r="J912" s="112" t="s">
        <v>527</v>
      </c>
      <c r="K912" s="115" t="s">
        <v>2485</v>
      </c>
      <c r="L912" s="116" t="n">
        <v>45740</v>
      </c>
      <c r="M912" s="114" t="n">
        <v>3331</v>
      </c>
      <c r="N912" s="114" t="n">
        <v>3791</v>
      </c>
      <c r="O912" s="114" t="n">
        <v>460</v>
      </c>
      <c r="P912" s="114" t="n">
        <v>446</v>
      </c>
      <c r="Q912" s="114" t="n">
        <f aca="false">ROUND(SUM(P910:P912),2)</f>
        <v>1138</v>
      </c>
      <c r="R912" s="117" t="n">
        <f aca="false">合約與計費!$D$4</f>
        <v>0.296</v>
      </c>
      <c r="S912" s="118" t="n">
        <f aca="false">ROUND(P912*R912,0)</f>
        <v>132</v>
      </c>
      <c r="T912" s="119" t="n">
        <f aca="false">ROUND(SUM(S910:S912),2)</f>
        <v>337</v>
      </c>
      <c r="U912" s="114"/>
      <c r="V912" s="114"/>
      <c r="W912" s="120"/>
      <c r="X912" s="114"/>
      <c r="Y912" s="114" t="n">
        <f aca="false">ROUND(SUM(X910:X912),2)</f>
        <v>54</v>
      </c>
      <c r="Z912" s="121"/>
      <c r="AA912" s="122"/>
      <c r="AB912" s="123" t="n">
        <f aca="false">ROUND(SUM(AA910:AA912),2)</f>
        <v>151</v>
      </c>
      <c r="AC912" s="124"/>
      <c r="AD912" s="42"/>
      <c r="AE912" s="43"/>
    </row>
    <row r="913" customFormat="false" ht="16.5" hidden="false" customHeight="true" outlineLevel="0" collapsed="false">
      <c r="A913" s="84" t="n">
        <f aca="false">ROW(A910)</f>
        <v>910</v>
      </c>
      <c r="B913" s="84" t="s">
        <v>455</v>
      </c>
      <c r="C913" s="32" t="n">
        <v>1</v>
      </c>
      <c r="D913" s="85" t="n">
        <v>231</v>
      </c>
      <c r="E913" s="86" t="s">
        <v>2486</v>
      </c>
      <c r="F913" s="87" t="s">
        <v>2487</v>
      </c>
      <c r="G913" s="32" t="s">
        <v>1883</v>
      </c>
      <c r="H913" s="32" t="s">
        <v>2406</v>
      </c>
      <c r="I913" s="172" t="s">
        <v>252</v>
      </c>
      <c r="J913" s="86" t="s">
        <v>460</v>
      </c>
      <c r="K913" s="88" t="s">
        <v>2488</v>
      </c>
      <c r="L913" s="89" t="n">
        <v>45771</v>
      </c>
      <c r="M913" s="32" t="n">
        <v>1204</v>
      </c>
      <c r="N913" s="32" t="n">
        <v>1475</v>
      </c>
      <c r="O913" s="32" t="n">
        <v>271</v>
      </c>
      <c r="P913" s="32" t="n">
        <v>263</v>
      </c>
      <c r="Q913" s="32"/>
      <c r="R913" s="90" t="n">
        <f aca="false">合約與計費!$D$4</f>
        <v>0.296</v>
      </c>
      <c r="S913" s="91" t="n">
        <f aca="false">ROUND(P913*R913,0)</f>
        <v>78</v>
      </c>
      <c r="T913" s="92"/>
      <c r="U913" s="32" t="n">
        <v>122</v>
      </c>
      <c r="V913" s="32" t="n">
        <v>143</v>
      </c>
      <c r="W913" s="32" t="n">
        <v>21</v>
      </c>
      <c r="X913" s="32" t="n">
        <v>20</v>
      </c>
      <c r="Y913" s="32"/>
      <c r="Z913" s="93" t="n">
        <f aca="false">合約與計費!$E$4</f>
        <v>2.8</v>
      </c>
      <c r="AA913" s="94" t="n">
        <f aca="false">ROUND(X913*Z913,0)</f>
        <v>56</v>
      </c>
      <c r="AB913" s="95"/>
      <c r="AC913" s="96"/>
      <c r="AD913" s="42"/>
      <c r="AE913" s="43"/>
    </row>
    <row r="914" customFormat="false" ht="16.5" hidden="false" customHeight="true" outlineLevel="0" collapsed="false">
      <c r="A914" s="97" t="n">
        <f aca="false">ROW(A911)</f>
        <v>911</v>
      </c>
      <c r="B914" s="97" t="s">
        <v>462</v>
      </c>
      <c r="C914" s="100" t="n">
        <v>1</v>
      </c>
      <c r="D914" s="85"/>
      <c r="E914" s="98" t="s">
        <v>2489</v>
      </c>
      <c r="F914" s="99" t="s">
        <v>2487</v>
      </c>
      <c r="G914" s="100" t="s">
        <v>1883</v>
      </c>
      <c r="H914" s="100" t="s">
        <v>2406</v>
      </c>
      <c r="I914" s="175" t="s">
        <v>252</v>
      </c>
      <c r="J914" s="98" t="s">
        <v>464</v>
      </c>
      <c r="K914" s="101" t="s">
        <v>2490</v>
      </c>
      <c r="L914" s="102" t="n">
        <v>45771</v>
      </c>
      <c r="M914" s="100" t="n">
        <v>1397</v>
      </c>
      <c r="N914" s="100" t="n">
        <v>1779</v>
      </c>
      <c r="O914" s="100" t="n">
        <v>382</v>
      </c>
      <c r="P914" s="100" t="n">
        <v>371</v>
      </c>
      <c r="Q914" s="100"/>
      <c r="R914" s="103" t="n">
        <f aca="false">合約與計費!$D$4</f>
        <v>0.296</v>
      </c>
      <c r="S914" s="104" t="n">
        <f aca="false">ROUND(P914*R914,0)</f>
        <v>110</v>
      </c>
      <c r="T914" s="105"/>
      <c r="U914" s="100"/>
      <c r="V914" s="100"/>
      <c r="W914" s="106"/>
      <c r="X914" s="100"/>
      <c r="Y914" s="100"/>
      <c r="Z914" s="107"/>
      <c r="AA914" s="108"/>
      <c r="AB914" s="109"/>
      <c r="AC914" s="110"/>
      <c r="AD914" s="42" t="n">
        <v>0.0605</v>
      </c>
      <c r="AE914" s="43" t="n">
        <v>0.2</v>
      </c>
    </row>
    <row r="915" customFormat="false" ht="16.5" hidden="false" customHeight="true" outlineLevel="0" collapsed="false">
      <c r="A915" s="111" t="n">
        <f aca="false">ROW(A912)</f>
        <v>912</v>
      </c>
      <c r="B915" s="111" t="s">
        <v>466</v>
      </c>
      <c r="C915" s="114" t="n">
        <v>1</v>
      </c>
      <c r="D915" s="85"/>
      <c r="E915" s="112" t="s">
        <v>2491</v>
      </c>
      <c r="F915" s="113" t="s">
        <v>2487</v>
      </c>
      <c r="G915" s="114" t="s">
        <v>1883</v>
      </c>
      <c r="H915" s="114" t="s">
        <v>2406</v>
      </c>
      <c r="I915" s="173" t="s">
        <v>252</v>
      </c>
      <c r="J915" s="112" t="s">
        <v>527</v>
      </c>
      <c r="K915" s="115" t="s">
        <v>2492</v>
      </c>
      <c r="L915" s="116" t="n">
        <v>45771</v>
      </c>
      <c r="M915" s="114" t="n">
        <v>4271</v>
      </c>
      <c r="N915" s="114" t="n">
        <v>5187</v>
      </c>
      <c r="O915" s="114" t="n">
        <v>916</v>
      </c>
      <c r="P915" s="114" t="n">
        <v>889</v>
      </c>
      <c r="Q915" s="114" t="n">
        <f aca="false">ROUND(SUM(P913:P915),2)</f>
        <v>1523</v>
      </c>
      <c r="R915" s="117" t="n">
        <f aca="false">合約與計費!$D$4</f>
        <v>0.296</v>
      </c>
      <c r="S915" s="118" t="n">
        <f aca="false">ROUND(P915*R915,0)</f>
        <v>263</v>
      </c>
      <c r="T915" s="119" t="n">
        <f aca="false">ROUND(SUM(S913:S915),2)</f>
        <v>451</v>
      </c>
      <c r="U915" s="114"/>
      <c r="V915" s="114"/>
      <c r="W915" s="120"/>
      <c r="X915" s="114"/>
      <c r="Y915" s="114" t="n">
        <f aca="false">ROUND(SUM(X913:X915),2)</f>
        <v>20</v>
      </c>
      <c r="Z915" s="121"/>
      <c r="AA915" s="122"/>
      <c r="AB915" s="123" t="n">
        <f aca="false">ROUND(SUM(AA913:AA915),2)</f>
        <v>56</v>
      </c>
      <c r="AC915" s="124"/>
      <c r="AD915" s="42"/>
      <c r="AE915" s="43"/>
    </row>
    <row r="916" customFormat="false" ht="16.5" hidden="false" customHeight="true" outlineLevel="0" collapsed="false">
      <c r="A916" s="84" t="n">
        <f aca="false">ROW(A913)</f>
        <v>913</v>
      </c>
      <c r="B916" s="84" t="s">
        <v>455</v>
      </c>
      <c r="C916" s="32" t="n">
        <v>1</v>
      </c>
      <c r="D916" s="85" t="n">
        <v>232</v>
      </c>
      <c r="E916" s="86" t="s">
        <v>2493</v>
      </c>
      <c r="F916" s="87" t="s">
        <v>2494</v>
      </c>
      <c r="G916" s="32" t="s">
        <v>1883</v>
      </c>
      <c r="H916" s="32" t="s">
        <v>2406</v>
      </c>
      <c r="I916" s="172" t="s">
        <v>257</v>
      </c>
      <c r="J916" s="86" t="s">
        <v>460</v>
      </c>
      <c r="K916" s="88" t="s">
        <v>2495</v>
      </c>
      <c r="L916" s="89" t="n">
        <v>45771</v>
      </c>
      <c r="M916" s="32" t="n">
        <v>38</v>
      </c>
      <c r="N916" s="32" t="n">
        <v>41</v>
      </c>
      <c r="O916" s="32" t="n">
        <v>3</v>
      </c>
      <c r="P916" s="32" t="n">
        <v>3</v>
      </c>
      <c r="Q916" s="32"/>
      <c r="R916" s="90" t="n">
        <f aca="false">合約與計費!$D$4</f>
        <v>0.296</v>
      </c>
      <c r="S916" s="91" t="n">
        <f aca="false">ROUND(P916*R916,0)</f>
        <v>1</v>
      </c>
      <c r="T916" s="92"/>
      <c r="U916" s="32" t="n">
        <v>103</v>
      </c>
      <c r="V916" s="32" t="n">
        <v>140</v>
      </c>
      <c r="W916" s="32" t="n">
        <v>37</v>
      </c>
      <c r="X916" s="32" t="n">
        <v>36</v>
      </c>
      <c r="Y916" s="32"/>
      <c r="Z916" s="93" t="n">
        <f aca="false">合約與計費!$E$4</f>
        <v>2.8</v>
      </c>
      <c r="AA916" s="94" t="n">
        <f aca="false">ROUND(X916*Z916,0)</f>
        <v>101</v>
      </c>
      <c r="AB916" s="95"/>
      <c r="AC916" s="96"/>
      <c r="AD916" s="42"/>
      <c r="AE916" s="43"/>
    </row>
    <row r="917" customFormat="false" ht="16.5" hidden="false" customHeight="true" outlineLevel="0" collapsed="false">
      <c r="A917" s="111" t="n">
        <f aca="false">ROW(A914)</f>
        <v>914</v>
      </c>
      <c r="B917" s="111" t="s">
        <v>462</v>
      </c>
      <c r="C917" s="114" t="n">
        <v>1</v>
      </c>
      <c r="D917" s="85"/>
      <c r="E917" s="112" t="s">
        <v>2496</v>
      </c>
      <c r="F917" s="113" t="s">
        <v>2494</v>
      </c>
      <c r="G917" s="114" t="s">
        <v>1883</v>
      </c>
      <c r="H917" s="114" t="s">
        <v>2406</v>
      </c>
      <c r="I917" s="173" t="s">
        <v>257</v>
      </c>
      <c r="J917" s="112" t="s">
        <v>464</v>
      </c>
      <c r="K917" s="115" t="s">
        <v>2497</v>
      </c>
      <c r="L917" s="116" t="n">
        <v>45771</v>
      </c>
      <c r="M917" s="114" t="n">
        <v>1447</v>
      </c>
      <c r="N917" s="114" t="n">
        <v>1871</v>
      </c>
      <c r="O917" s="114" t="n">
        <v>424</v>
      </c>
      <c r="P917" s="114" t="n">
        <v>411</v>
      </c>
      <c r="Q917" s="114" t="n">
        <f aca="false">ROUND(SUM(P916:P917),2)</f>
        <v>414</v>
      </c>
      <c r="R917" s="117" t="n">
        <f aca="false">合約與計費!$D$4</f>
        <v>0.296</v>
      </c>
      <c r="S917" s="118" t="n">
        <f aca="false">ROUND(P917*R917,0)</f>
        <v>122</v>
      </c>
      <c r="T917" s="119" t="n">
        <f aca="false">ROUND(SUM(S916:S917),2)</f>
        <v>123</v>
      </c>
      <c r="U917" s="114"/>
      <c r="V917" s="114"/>
      <c r="W917" s="120"/>
      <c r="X917" s="114"/>
      <c r="Y917" s="114" t="n">
        <f aca="false">ROUND(SUM(X916:X917),2)</f>
        <v>36</v>
      </c>
      <c r="Z917" s="121"/>
      <c r="AA917" s="122"/>
      <c r="AB917" s="123" t="n">
        <f aca="false">ROUND(SUM(AA916:AA917),2)</f>
        <v>101</v>
      </c>
      <c r="AC917" s="124"/>
      <c r="AD917" s="42" t="n">
        <v>0.0634</v>
      </c>
      <c r="AE917" s="43" t="n">
        <v>0.2</v>
      </c>
    </row>
    <row r="918" customFormat="false" ht="16.5" hidden="false" customHeight="true" outlineLevel="0" collapsed="false">
      <c r="A918" s="84" t="n">
        <f aca="false">ROW(A915)</f>
        <v>915</v>
      </c>
      <c r="B918" s="84" t="s">
        <v>455</v>
      </c>
      <c r="C918" s="32" t="n">
        <v>1</v>
      </c>
      <c r="D918" s="85" t="n">
        <v>233</v>
      </c>
      <c r="E918" s="86" t="s">
        <v>2498</v>
      </c>
      <c r="F918" s="87" t="s">
        <v>2499</v>
      </c>
      <c r="G918" s="32" t="s">
        <v>1883</v>
      </c>
      <c r="H918" s="32" t="s">
        <v>2406</v>
      </c>
      <c r="I918" s="172" t="s">
        <v>22</v>
      </c>
      <c r="J918" s="86" t="s">
        <v>460</v>
      </c>
      <c r="K918" s="88" t="s">
        <v>2500</v>
      </c>
      <c r="L918" s="89" t="n">
        <v>45771</v>
      </c>
      <c r="M918" s="32" t="n">
        <v>246</v>
      </c>
      <c r="N918" s="32" t="n">
        <v>270</v>
      </c>
      <c r="O918" s="32" t="n">
        <v>24</v>
      </c>
      <c r="P918" s="32" t="n">
        <v>23</v>
      </c>
      <c r="Q918" s="32"/>
      <c r="R918" s="90" t="n">
        <f aca="false">合約與計費!$D$4</f>
        <v>0.296</v>
      </c>
      <c r="S918" s="91" t="n">
        <f aca="false">ROUND(P918*R918,0)</f>
        <v>7</v>
      </c>
      <c r="T918" s="92"/>
      <c r="U918" s="32" t="n">
        <v>50</v>
      </c>
      <c r="V918" s="32" t="n">
        <v>64</v>
      </c>
      <c r="W918" s="32" t="n">
        <v>14</v>
      </c>
      <c r="X918" s="32" t="n">
        <v>14</v>
      </c>
      <c r="Y918" s="32"/>
      <c r="Z918" s="93" t="n">
        <f aca="false">合約與計費!$E$4</f>
        <v>2.8</v>
      </c>
      <c r="AA918" s="94" t="n">
        <f aca="false">ROUND(X918*Z918,0)</f>
        <v>39</v>
      </c>
      <c r="AB918" s="95"/>
      <c r="AC918" s="96"/>
      <c r="AD918" s="42"/>
      <c r="AE918" s="43"/>
    </row>
    <row r="919" customFormat="false" ht="16.5" hidden="false" customHeight="true" outlineLevel="0" collapsed="false">
      <c r="A919" s="111" t="n">
        <f aca="false">ROW(A916)</f>
        <v>916</v>
      </c>
      <c r="B919" s="111" t="s">
        <v>462</v>
      </c>
      <c r="C919" s="114" t="n">
        <v>1</v>
      </c>
      <c r="D919" s="85"/>
      <c r="E919" s="112" t="s">
        <v>2501</v>
      </c>
      <c r="F919" s="113" t="s">
        <v>2499</v>
      </c>
      <c r="G919" s="114" t="s">
        <v>1883</v>
      </c>
      <c r="H919" s="114" t="s">
        <v>2406</v>
      </c>
      <c r="I919" s="173" t="s">
        <v>22</v>
      </c>
      <c r="J919" s="112" t="s">
        <v>464</v>
      </c>
      <c r="K919" s="115" t="s">
        <v>2502</v>
      </c>
      <c r="L919" s="116" t="n">
        <v>45771</v>
      </c>
      <c r="M919" s="114" t="n">
        <v>676</v>
      </c>
      <c r="N919" s="114" t="n">
        <v>819</v>
      </c>
      <c r="O919" s="114" t="n">
        <v>143</v>
      </c>
      <c r="P919" s="114" t="n">
        <v>139</v>
      </c>
      <c r="Q919" s="114" t="n">
        <f aca="false">ROUND(SUM(P918:P919),2)</f>
        <v>162</v>
      </c>
      <c r="R919" s="117" t="n">
        <f aca="false">合約與計費!$D$4</f>
        <v>0.296</v>
      </c>
      <c r="S919" s="118" t="n">
        <f aca="false">ROUND(P919*R919,0)</f>
        <v>41</v>
      </c>
      <c r="T919" s="119" t="n">
        <f aca="false">ROUND(SUM(S918:S919),2)</f>
        <v>48</v>
      </c>
      <c r="U919" s="114"/>
      <c r="V919" s="114"/>
      <c r="W919" s="120"/>
      <c r="X919" s="114"/>
      <c r="Y919" s="114" t="n">
        <f aca="false">ROUND(SUM(X918:X919),2)</f>
        <v>14</v>
      </c>
      <c r="Z919" s="121"/>
      <c r="AA919" s="122"/>
      <c r="AB919" s="123" t="n">
        <f aca="false">ROUND(SUM(AA918:AA919),2)</f>
        <v>39</v>
      </c>
      <c r="AC919" s="124"/>
      <c r="AD919" s="42" t="n">
        <v>0.0505</v>
      </c>
      <c r="AE919" s="43" t="n">
        <v>0.7</v>
      </c>
    </row>
    <row r="920" customFormat="false" ht="16.5" hidden="false" customHeight="true" outlineLevel="0" collapsed="false">
      <c r="A920" s="84" t="n">
        <f aca="false">ROW(A917)</f>
        <v>917</v>
      </c>
      <c r="B920" s="84" t="s">
        <v>455</v>
      </c>
      <c r="C920" s="32" t="n">
        <v>1</v>
      </c>
      <c r="D920" s="85" t="n">
        <v>234</v>
      </c>
      <c r="E920" s="86" t="s">
        <v>2503</v>
      </c>
      <c r="F920" s="87" t="s">
        <v>2504</v>
      </c>
      <c r="G920" s="32" t="s">
        <v>1883</v>
      </c>
      <c r="H920" s="32" t="s">
        <v>2406</v>
      </c>
      <c r="I920" s="172" t="s">
        <v>379</v>
      </c>
      <c r="J920" s="86" t="s">
        <v>460</v>
      </c>
      <c r="K920" s="88" t="s">
        <v>2505</v>
      </c>
      <c r="L920" s="89" t="n">
        <v>45742</v>
      </c>
      <c r="M920" s="32" t="n">
        <v>11</v>
      </c>
      <c r="N920" s="32" t="n">
        <v>14</v>
      </c>
      <c r="O920" s="32" t="n">
        <v>3</v>
      </c>
      <c r="P920" s="32" t="n">
        <v>3</v>
      </c>
      <c r="Q920" s="32"/>
      <c r="R920" s="90" t="n">
        <f aca="false">合約與計費!$D$4</f>
        <v>0.296</v>
      </c>
      <c r="S920" s="91" t="n">
        <f aca="false">ROUND(P920*R920,0)</f>
        <v>1</v>
      </c>
      <c r="T920" s="92"/>
      <c r="U920" s="32" t="n">
        <v>70</v>
      </c>
      <c r="V920" s="32" t="n">
        <v>78</v>
      </c>
      <c r="W920" s="32" t="n">
        <v>8</v>
      </c>
      <c r="X920" s="32" t="n">
        <v>8</v>
      </c>
      <c r="Y920" s="32"/>
      <c r="Z920" s="93" t="n">
        <f aca="false">合約與計費!$E$4</f>
        <v>2.8</v>
      </c>
      <c r="AA920" s="94" t="n">
        <f aca="false">ROUND(X920*Z920,0)</f>
        <v>22</v>
      </c>
      <c r="AB920" s="95"/>
      <c r="AC920" s="96"/>
      <c r="AD920" s="42"/>
      <c r="AE920" s="43"/>
    </row>
    <row r="921" customFormat="false" ht="16.5" hidden="false" customHeight="true" outlineLevel="0" collapsed="false">
      <c r="A921" s="111" t="n">
        <f aca="false">ROW(A918)</f>
        <v>918</v>
      </c>
      <c r="B921" s="111" t="s">
        <v>462</v>
      </c>
      <c r="C921" s="114" t="n">
        <v>1</v>
      </c>
      <c r="D921" s="85"/>
      <c r="E921" s="112" t="s">
        <v>2506</v>
      </c>
      <c r="F921" s="113" t="s">
        <v>2504</v>
      </c>
      <c r="G921" s="114" t="s">
        <v>1883</v>
      </c>
      <c r="H921" s="114" t="s">
        <v>2406</v>
      </c>
      <c r="I921" s="173" t="s">
        <v>379</v>
      </c>
      <c r="J921" s="112" t="s">
        <v>464</v>
      </c>
      <c r="K921" s="115" t="s">
        <v>2507</v>
      </c>
      <c r="L921" s="116" t="n">
        <v>45742</v>
      </c>
      <c r="M921" s="114" t="n">
        <v>997</v>
      </c>
      <c r="N921" s="114" t="n">
        <v>1117</v>
      </c>
      <c r="O921" s="114" t="n">
        <v>120</v>
      </c>
      <c r="P921" s="114" t="n">
        <v>116</v>
      </c>
      <c r="Q921" s="114" t="n">
        <f aca="false">ROUND(SUM(P920:P921),2)</f>
        <v>119</v>
      </c>
      <c r="R921" s="117" t="n">
        <f aca="false">合約與計費!$D$4</f>
        <v>0.296</v>
      </c>
      <c r="S921" s="118" t="n">
        <f aca="false">ROUND(P921*R921,0)</f>
        <v>34</v>
      </c>
      <c r="T921" s="119" t="n">
        <f aca="false">ROUND(SUM(S920:S921),2)</f>
        <v>35</v>
      </c>
      <c r="U921" s="114"/>
      <c r="V921" s="114"/>
      <c r="W921" s="120"/>
      <c r="X921" s="114"/>
      <c r="Y921" s="114" t="n">
        <f aca="false">ROUND(SUM(X920:X921),2)</f>
        <v>8</v>
      </c>
      <c r="Z921" s="121"/>
      <c r="AA921" s="122"/>
      <c r="AB921" s="123" t="n">
        <f aca="false">ROUND(SUM(AA920:AA921),2)</f>
        <v>22</v>
      </c>
      <c r="AC921" s="124"/>
      <c r="AD921" s="42" t="n">
        <v>0.0625</v>
      </c>
      <c r="AE921" s="43" t="n">
        <v>0.5</v>
      </c>
    </row>
    <row r="922" customFormat="false" ht="16.5" hidden="false" customHeight="true" outlineLevel="0" collapsed="false">
      <c r="A922" s="84" t="n">
        <f aca="false">ROW(A919)</f>
        <v>919</v>
      </c>
      <c r="B922" s="84" t="s">
        <v>455</v>
      </c>
      <c r="C922" s="32" t="n">
        <v>1</v>
      </c>
      <c r="D922" s="85" t="n">
        <v>237</v>
      </c>
      <c r="E922" s="86" t="s">
        <v>2508</v>
      </c>
      <c r="F922" s="87" t="s">
        <v>2509</v>
      </c>
      <c r="G922" s="32" t="s">
        <v>1883</v>
      </c>
      <c r="H922" s="32" t="s">
        <v>2406</v>
      </c>
      <c r="I922" s="172" t="s">
        <v>311</v>
      </c>
      <c r="J922" s="86" t="s">
        <v>460</v>
      </c>
      <c r="K922" s="88" t="s">
        <v>2510</v>
      </c>
      <c r="L922" s="89" t="n">
        <v>45771</v>
      </c>
      <c r="M922" s="32" t="n">
        <v>16</v>
      </c>
      <c r="N922" s="32" t="n">
        <v>19</v>
      </c>
      <c r="O922" s="32" t="n">
        <v>3</v>
      </c>
      <c r="P922" s="32" t="n">
        <v>3</v>
      </c>
      <c r="Q922" s="32"/>
      <c r="R922" s="90" t="n">
        <f aca="false">合約與計費!$D$4</f>
        <v>0.296</v>
      </c>
      <c r="S922" s="91" t="n">
        <f aca="false">ROUND(P922*R922,0)</f>
        <v>1</v>
      </c>
      <c r="T922" s="92"/>
      <c r="U922" s="32" t="n">
        <v>48</v>
      </c>
      <c r="V922" s="32" t="n">
        <v>51</v>
      </c>
      <c r="W922" s="32" t="n">
        <v>3</v>
      </c>
      <c r="X922" s="32" t="n">
        <v>3</v>
      </c>
      <c r="Y922" s="32"/>
      <c r="Z922" s="93" t="n">
        <f aca="false">合約與計費!$E$4</f>
        <v>2.8</v>
      </c>
      <c r="AA922" s="94" t="n">
        <f aca="false">ROUND(X922*Z922,0)</f>
        <v>8</v>
      </c>
      <c r="AB922" s="95"/>
      <c r="AC922" s="96"/>
      <c r="AD922" s="42"/>
      <c r="AE922" s="43"/>
    </row>
    <row r="923" customFormat="false" ht="16.5" hidden="false" customHeight="true" outlineLevel="0" collapsed="false">
      <c r="A923" s="111" t="n">
        <f aca="false">ROW(A920)</f>
        <v>920</v>
      </c>
      <c r="B923" s="111" t="s">
        <v>462</v>
      </c>
      <c r="C923" s="114" t="n">
        <v>1</v>
      </c>
      <c r="D923" s="85"/>
      <c r="E923" s="112" t="s">
        <v>2511</v>
      </c>
      <c r="F923" s="113" t="s">
        <v>2509</v>
      </c>
      <c r="G923" s="114" t="s">
        <v>1883</v>
      </c>
      <c r="H923" s="114" t="s">
        <v>2406</v>
      </c>
      <c r="I923" s="173" t="s">
        <v>311</v>
      </c>
      <c r="J923" s="112" t="s">
        <v>464</v>
      </c>
      <c r="K923" s="115" t="s">
        <v>2512</v>
      </c>
      <c r="L923" s="116" t="n">
        <v>45771</v>
      </c>
      <c r="M923" s="114" t="n">
        <v>722</v>
      </c>
      <c r="N923" s="114" t="n">
        <v>885</v>
      </c>
      <c r="O923" s="114" t="n">
        <v>163</v>
      </c>
      <c r="P923" s="114" t="n">
        <v>158</v>
      </c>
      <c r="Q923" s="114" t="n">
        <f aca="false">ROUND(SUM(P922:P923),2)</f>
        <v>161</v>
      </c>
      <c r="R923" s="117" t="n">
        <f aca="false">合約與計費!$D$4</f>
        <v>0.296</v>
      </c>
      <c r="S923" s="118" t="n">
        <f aca="false">ROUND(P923*R923,0)</f>
        <v>47</v>
      </c>
      <c r="T923" s="119" t="n">
        <f aca="false">ROUND(SUM(S922:S923),2)</f>
        <v>48</v>
      </c>
      <c r="U923" s="114"/>
      <c r="V923" s="114"/>
      <c r="W923" s="120"/>
      <c r="X923" s="114"/>
      <c r="Y923" s="114" t="n">
        <f aca="false">ROUND(SUM(X922:X923),2)</f>
        <v>3</v>
      </c>
      <c r="Z923" s="121"/>
      <c r="AA923" s="122"/>
      <c r="AB923" s="123" t="n">
        <f aca="false">ROUND(SUM(AA922:AA923),2)</f>
        <v>8</v>
      </c>
      <c r="AC923" s="124"/>
      <c r="AD923" s="42" t="n">
        <v>0.0619</v>
      </c>
      <c r="AE923" s="43" t="n">
        <v>0.6</v>
      </c>
    </row>
    <row r="924" customFormat="false" ht="16.5" hidden="false" customHeight="true" outlineLevel="0" collapsed="false">
      <c r="A924" s="84" t="n">
        <f aca="false">ROW(A921)</f>
        <v>921</v>
      </c>
      <c r="B924" s="84" t="s">
        <v>455</v>
      </c>
      <c r="C924" s="32" t="n">
        <v>1</v>
      </c>
      <c r="D924" s="85" t="n">
        <v>97</v>
      </c>
      <c r="E924" s="86" t="s">
        <v>2513</v>
      </c>
      <c r="F924" s="87" t="s">
        <v>2514</v>
      </c>
      <c r="G924" s="32" t="s">
        <v>2515</v>
      </c>
      <c r="H924" s="32" t="s">
        <v>2516</v>
      </c>
      <c r="I924" s="32" t="s">
        <v>13</v>
      </c>
      <c r="J924" s="86" t="s">
        <v>460</v>
      </c>
      <c r="K924" s="88" t="s">
        <v>2517</v>
      </c>
      <c r="L924" s="89" t="n">
        <v>45743</v>
      </c>
      <c r="M924" s="32" t="n">
        <v>110</v>
      </c>
      <c r="N924" s="32" t="n">
        <v>115</v>
      </c>
      <c r="O924" s="32" t="n">
        <v>5</v>
      </c>
      <c r="P924" s="32" t="n">
        <v>5</v>
      </c>
      <c r="Q924" s="32"/>
      <c r="R924" s="90" t="n">
        <f aca="false">合約與計費!$D$4</f>
        <v>0.296</v>
      </c>
      <c r="S924" s="91" t="n">
        <f aca="false">ROUND(P924*R924,0)</f>
        <v>1</v>
      </c>
      <c r="T924" s="92"/>
      <c r="U924" s="32" t="n">
        <v>174</v>
      </c>
      <c r="V924" s="32" t="n">
        <v>185</v>
      </c>
      <c r="W924" s="32" t="n">
        <v>11</v>
      </c>
      <c r="X924" s="32" t="n">
        <v>11</v>
      </c>
      <c r="Y924" s="32"/>
      <c r="Z924" s="93" t="n">
        <f aca="false">合約與計費!$E$4</f>
        <v>2.8</v>
      </c>
      <c r="AA924" s="94" t="n">
        <f aca="false">ROUND(X924*Z924,0)</f>
        <v>31</v>
      </c>
      <c r="AB924" s="95"/>
      <c r="AC924" s="96"/>
      <c r="AD924" s="42"/>
      <c r="AE924" s="43"/>
    </row>
    <row r="925" customFormat="false" ht="16.5" hidden="false" customHeight="true" outlineLevel="0" collapsed="false">
      <c r="A925" s="97" t="n">
        <f aca="false">ROW(A922)</f>
        <v>922</v>
      </c>
      <c r="B925" s="97" t="s">
        <v>462</v>
      </c>
      <c r="C925" s="100" t="n">
        <v>1</v>
      </c>
      <c r="D925" s="85"/>
      <c r="E925" s="98" t="s">
        <v>2518</v>
      </c>
      <c r="F925" s="99" t="s">
        <v>2514</v>
      </c>
      <c r="G925" s="100" t="s">
        <v>2515</v>
      </c>
      <c r="H925" s="100" t="s">
        <v>2516</v>
      </c>
      <c r="I925" s="100" t="s">
        <v>13</v>
      </c>
      <c r="J925" s="98" t="s">
        <v>464</v>
      </c>
      <c r="K925" s="101" t="s">
        <v>2519</v>
      </c>
      <c r="L925" s="102" t="n">
        <v>45743</v>
      </c>
      <c r="M925" s="100" t="n">
        <v>3456</v>
      </c>
      <c r="N925" s="100" t="n">
        <v>3555</v>
      </c>
      <c r="O925" s="100" t="n">
        <v>99</v>
      </c>
      <c r="P925" s="100" t="n">
        <v>96</v>
      </c>
      <c r="Q925" s="100"/>
      <c r="R925" s="103" t="n">
        <f aca="false">合約與計費!$D$4</f>
        <v>0.296</v>
      </c>
      <c r="S925" s="104" t="n">
        <f aca="false">ROUND(P925*R925,0)</f>
        <v>28</v>
      </c>
      <c r="T925" s="105"/>
      <c r="U925" s="100"/>
      <c r="V925" s="100"/>
      <c r="W925" s="106"/>
      <c r="X925" s="100"/>
      <c r="Y925" s="100"/>
      <c r="Z925" s="107"/>
      <c r="AA925" s="108"/>
      <c r="AB925" s="109"/>
      <c r="AC925" s="110"/>
      <c r="AD925" s="42" t="n">
        <v>0.0935</v>
      </c>
      <c r="AE925" s="43" t="n">
        <v>1</v>
      </c>
    </row>
    <row r="926" customFormat="false" ht="16.5" hidden="false" customHeight="true" outlineLevel="0" collapsed="false">
      <c r="A926" s="97" t="n">
        <f aca="false">ROW(A923)</f>
        <v>923</v>
      </c>
      <c r="B926" s="97" t="s">
        <v>466</v>
      </c>
      <c r="C926" s="100" t="n">
        <v>1</v>
      </c>
      <c r="D926" s="85"/>
      <c r="E926" s="98" t="s">
        <v>2520</v>
      </c>
      <c r="F926" s="99" t="s">
        <v>2514</v>
      </c>
      <c r="G926" s="100" t="s">
        <v>2515</v>
      </c>
      <c r="H926" s="100" t="s">
        <v>2516</v>
      </c>
      <c r="I926" s="100" t="s">
        <v>13</v>
      </c>
      <c r="J926" s="98" t="s">
        <v>471</v>
      </c>
      <c r="K926" s="101" t="s">
        <v>2521</v>
      </c>
      <c r="L926" s="102" t="n">
        <v>45743</v>
      </c>
      <c r="M926" s="100" t="n">
        <v>9226</v>
      </c>
      <c r="N926" s="100" t="n">
        <v>10454</v>
      </c>
      <c r="O926" s="100" t="n">
        <v>1228</v>
      </c>
      <c r="P926" s="100" t="n">
        <v>1191</v>
      </c>
      <c r="Q926" s="100"/>
      <c r="R926" s="103" t="n">
        <f aca="false">合約與計費!$D$4</f>
        <v>0.296</v>
      </c>
      <c r="S926" s="104" t="n">
        <f aca="false">ROUND(P926*R926,0)</f>
        <v>353</v>
      </c>
      <c r="T926" s="105"/>
      <c r="U926" s="100"/>
      <c r="V926" s="100"/>
      <c r="W926" s="106"/>
      <c r="X926" s="100"/>
      <c r="Y926" s="100"/>
      <c r="Z926" s="107"/>
      <c r="AA926" s="108"/>
      <c r="AB926" s="109"/>
      <c r="AC926" s="110"/>
      <c r="AD926" s="42" t="n">
        <v>0.0882</v>
      </c>
      <c r="AE926" s="43" t="n">
        <v>1</v>
      </c>
    </row>
    <row r="927" customFormat="false" ht="16.5" hidden="false" customHeight="true" outlineLevel="0" collapsed="false">
      <c r="A927" s="111" t="n">
        <f aca="false">ROW(A924)</f>
        <v>924</v>
      </c>
      <c r="B927" s="111" t="s">
        <v>469</v>
      </c>
      <c r="C927" s="114" t="n">
        <v>1</v>
      </c>
      <c r="D927" s="85"/>
      <c r="E927" s="112" t="s">
        <v>2522</v>
      </c>
      <c r="F927" s="113" t="s">
        <v>2514</v>
      </c>
      <c r="G927" s="114" t="s">
        <v>2515</v>
      </c>
      <c r="H927" s="114" t="s">
        <v>2516</v>
      </c>
      <c r="I927" s="114" t="s">
        <v>13</v>
      </c>
      <c r="J927" s="112" t="s">
        <v>471</v>
      </c>
      <c r="K927" s="115" t="s">
        <v>2523</v>
      </c>
      <c r="L927" s="116" t="n">
        <v>45743</v>
      </c>
      <c r="M927" s="114" t="n">
        <v>4852</v>
      </c>
      <c r="N927" s="114" t="n">
        <v>5598</v>
      </c>
      <c r="O927" s="100" t="n">
        <v>746</v>
      </c>
      <c r="P927" s="100" t="n">
        <v>724</v>
      </c>
      <c r="Q927" s="100" t="n">
        <f aca="false">ROUND(SUM(P924:P927),2)</f>
        <v>2016</v>
      </c>
      <c r="R927" s="117" t="n">
        <f aca="false">合約與計費!$D$4</f>
        <v>0.296</v>
      </c>
      <c r="S927" s="118" t="n">
        <f aca="false">ROUND(P927*R927,0)</f>
        <v>214</v>
      </c>
      <c r="T927" s="105" t="n">
        <f aca="false">ROUND(SUM(S924:S927),2)</f>
        <v>596</v>
      </c>
      <c r="U927" s="114"/>
      <c r="V927" s="114"/>
      <c r="W927" s="120"/>
      <c r="X927" s="114"/>
      <c r="Y927" s="100" t="n">
        <f aca="false">ROUND(SUM(X924:X927),2)</f>
        <v>11</v>
      </c>
      <c r="Z927" s="121"/>
      <c r="AA927" s="108"/>
      <c r="AB927" s="109" t="n">
        <f aca="false">ROUND(SUM(AA924:AA927),2)</f>
        <v>31</v>
      </c>
      <c r="AC927" s="124"/>
      <c r="AD927" s="42" t="n">
        <v>0.074</v>
      </c>
      <c r="AE927" s="43" t="n">
        <v>0.6</v>
      </c>
    </row>
    <row r="928" customFormat="false" ht="16.5" hidden="false" customHeight="true" outlineLevel="0" collapsed="false">
      <c r="A928" s="84" t="n">
        <f aca="false">ROW(A925)</f>
        <v>925</v>
      </c>
      <c r="B928" s="84" t="s">
        <v>455</v>
      </c>
      <c r="C928" s="32" t="n">
        <v>1</v>
      </c>
      <c r="D928" s="85" t="n">
        <v>98</v>
      </c>
      <c r="E928" s="86" t="s">
        <v>2524</v>
      </c>
      <c r="F928" s="87" t="s">
        <v>2525</v>
      </c>
      <c r="G928" s="32" t="s">
        <v>2515</v>
      </c>
      <c r="H928" s="32" t="s">
        <v>2516</v>
      </c>
      <c r="I928" s="32" t="s">
        <v>82</v>
      </c>
      <c r="J928" s="86" t="s">
        <v>460</v>
      </c>
      <c r="K928" s="88" t="s">
        <v>2526</v>
      </c>
      <c r="L928" s="89" t="n">
        <v>45761</v>
      </c>
      <c r="M928" s="32" t="n">
        <v>16</v>
      </c>
      <c r="N928" s="32" t="n">
        <v>18</v>
      </c>
      <c r="O928" s="32" t="n">
        <v>2</v>
      </c>
      <c r="P928" s="32" t="n">
        <v>2</v>
      </c>
      <c r="Q928" s="32"/>
      <c r="R928" s="90" t="n">
        <f aca="false">合約與計費!$D$4</f>
        <v>0.296</v>
      </c>
      <c r="S928" s="91" t="n">
        <f aca="false">ROUND(P928*R928,0)</f>
        <v>1</v>
      </c>
      <c r="T928" s="92"/>
      <c r="U928" s="32" t="n">
        <v>215</v>
      </c>
      <c r="V928" s="32" t="n">
        <v>244</v>
      </c>
      <c r="W928" s="32" t="n">
        <v>29</v>
      </c>
      <c r="X928" s="32" t="n">
        <v>28</v>
      </c>
      <c r="Y928" s="32"/>
      <c r="Z928" s="93" t="n">
        <f aca="false">合約與計費!$E$4</f>
        <v>2.8</v>
      </c>
      <c r="AA928" s="94" t="n">
        <f aca="false">ROUND(X928*Z928,0)</f>
        <v>78</v>
      </c>
      <c r="AB928" s="95"/>
      <c r="AC928" s="96"/>
      <c r="AD928" s="42"/>
      <c r="AE928" s="43"/>
    </row>
    <row r="929" customFormat="false" ht="16.5" hidden="false" customHeight="true" outlineLevel="0" collapsed="false">
      <c r="A929" s="97" t="n">
        <f aca="false">ROW(A926)</f>
        <v>926</v>
      </c>
      <c r="B929" s="97" t="s">
        <v>462</v>
      </c>
      <c r="C929" s="100" t="n">
        <v>1</v>
      </c>
      <c r="D929" s="85"/>
      <c r="E929" s="98" t="s">
        <v>2527</v>
      </c>
      <c r="F929" s="99" t="s">
        <v>2525</v>
      </c>
      <c r="G929" s="100" t="s">
        <v>2515</v>
      </c>
      <c r="H929" s="100" t="s">
        <v>2516</v>
      </c>
      <c r="I929" s="100" t="s">
        <v>82</v>
      </c>
      <c r="J929" s="98" t="s">
        <v>464</v>
      </c>
      <c r="K929" s="101" t="s">
        <v>2528</v>
      </c>
      <c r="L929" s="102" t="n">
        <v>45761</v>
      </c>
      <c r="M929" s="100" t="n">
        <v>2338</v>
      </c>
      <c r="N929" s="100" t="n">
        <v>2611</v>
      </c>
      <c r="O929" s="100" t="n">
        <v>273</v>
      </c>
      <c r="P929" s="100" t="n">
        <v>265</v>
      </c>
      <c r="Q929" s="100"/>
      <c r="R929" s="103" t="n">
        <f aca="false">合約與計費!$D$4</f>
        <v>0.296</v>
      </c>
      <c r="S929" s="104" t="n">
        <f aca="false">ROUND(P929*R929,0)</f>
        <v>78</v>
      </c>
      <c r="T929" s="105"/>
      <c r="U929" s="100"/>
      <c r="V929" s="100"/>
      <c r="W929" s="106"/>
      <c r="X929" s="100"/>
      <c r="Y929" s="100"/>
      <c r="Z929" s="107"/>
      <c r="AA929" s="108"/>
      <c r="AB929" s="109"/>
      <c r="AC929" s="110"/>
      <c r="AD929" s="42" t="n">
        <v>0.0698</v>
      </c>
      <c r="AE929" s="43" t="n">
        <v>1</v>
      </c>
    </row>
    <row r="930" customFormat="false" ht="16.5" hidden="false" customHeight="true" outlineLevel="0" collapsed="false">
      <c r="A930" s="97" t="n">
        <f aca="false">ROW(A927)</f>
        <v>927</v>
      </c>
      <c r="B930" s="97" t="s">
        <v>466</v>
      </c>
      <c r="C930" s="100" t="n">
        <v>1</v>
      </c>
      <c r="D930" s="85"/>
      <c r="E930" s="98" t="s">
        <v>2529</v>
      </c>
      <c r="F930" s="99" t="s">
        <v>2525</v>
      </c>
      <c r="G930" s="100" t="s">
        <v>2515</v>
      </c>
      <c r="H930" s="100" t="s">
        <v>2516</v>
      </c>
      <c r="I930" s="100" t="s">
        <v>82</v>
      </c>
      <c r="J930" s="98" t="s">
        <v>527</v>
      </c>
      <c r="K930" s="101" t="s">
        <v>2530</v>
      </c>
      <c r="L930" s="102" t="n">
        <v>45761</v>
      </c>
      <c r="M930" s="100" t="n">
        <v>12779</v>
      </c>
      <c r="N930" s="100" t="n">
        <v>16107</v>
      </c>
      <c r="O930" s="100" t="n">
        <v>3328</v>
      </c>
      <c r="P930" s="100" t="n">
        <v>3228</v>
      </c>
      <c r="Q930" s="100"/>
      <c r="R930" s="103" t="n">
        <f aca="false">合約與計費!$D$4</f>
        <v>0.296</v>
      </c>
      <c r="S930" s="104" t="n">
        <f aca="false">ROUND(P930*R930,0)</f>
        <v>955</v>
      </c>
      <c r="T930" s="105"/>
      <c r="U930" s="100"/>
      <c r="V930" s="100"/>
      <c r="W930" s="106"/>
      <c r="X930" s="100"/>
      <c r="Y930" s="100"/>
      <c r="Z930" s="107"/>
      <c r="AA930" s="108"/>
      <c r="AB930" s="109"/>
      <c r="AC930" s="110"/>
      <c r="AD930" s="42"/>
      <c r="AE930" s="43" t="n">
        <v>1</v>
      </c>
    </row>
    <row r="931" customFormat="false" ht="16.5" hidden="false" customHeight="true" outlineLevel="0" collapsed="false">
      <c r="A931" s="97" t="n">
        <f aca="false">ROW(A928)</f>
        <v>928</v>
      </c>
      <c r="B931" s="97" t="s">
        <v>469</v>
      </c>
      <c r="C931" s="100" t="n">
        <v>1</v>
      </c>
      <c r="D931" s="85"/>
      <c r="E931" s="98" t="s">
        <v>2531</v>
      </c>
      <c r="F931" s="99" t="s">
        <v>2525</v>
      </c>
      <c r="G931" s="100" t="s">
        <v>2515</v>
      </c>
      <c r="H931" s="100" t="s">
        <v>2516</v>
      </c>
      <c r="I931" s="100" t="s">
        <v>82</v>
      </c>
      <c r="J931" s="98" t="s">
        <v>527</v>
      </c>
      <c r="K931" s="101" t="s">
        <v>2532</v>
      </c>
      <c r="L931" s="102" t="n">
        <v>45761</v>
      </c>
      <c r="M931" s="100" t="n">
        <v>14484</v>
      </c>
      <c r="N931" s="100" t="n">
        <v>16673</v>
      </c>
      <c r="O931" s="100" t="n">
        <v>2189</v>
      </c>
      <c r="P931" s="100" t="n">
        <v>2123</v>
      </c>
      <c r="Q931" s="100"/>
      <c r="R931" s="103" t="n">
        <f aca="false">合約與計費!$D$4</f>
        <v>0.296</v>
      </c>
      <c r="S931" s="104" t="n">
        <f aca="false">ROUND(P931*R931,0)</f>
        <v>628</v>
      </c>
      <c r="T931" s="105"/>
      <c r="U931" s="100"/>
      <c r="V931" s="100"/>
      <c r="W931" s="106"/>
      <c r="X931" s="100"/>
      <c r="Y931" s="100"/>
      <c r="Z931" s="107"/>
      <c r="AA931" s="108"/>
      <c r="AB931" s="109"/>
      <c r="AC931" s="110"/>
      <c r="AD931" s="42"/>
      <c r="AE931" s="43" t="n">
        <v>0.2</v>
      </c>
    </row>
    <row r="932" customFormat="false" ht="16.5" hidden="false" customHeight="true" outlineLevel="0" collapsed="false">
      <c r="A932" s="97" t="n">
        <f aca="false">ROW(A929)</f>
        <v>929</v>
      </c>
      <c r="B932" s="97" t="s">
        <v>473</v>
      </c>
      <c r="C932" s="100" t="n">
        <v>1</v>
      </c>
      <c r="D932" s="85"/>
      <c r="E932" s="98" t="s">
        <v>2533</v>
      </c>
      <c r="F932" s="99" t="s">
        <v>2525</v>
      </c>
      <c r="G932" s="100" t="s">
        <v>2515</v>
      </c>
      <c r="H932" s="100" t="s">
        <v>2516</v>
      </c>
      <c r="I932" s="100" t="s">
        <v>82</v>
      </c>
      <c r="J932" s="98" t="s">
        <v>527</v>
      </c>
      <c r="K932" s="101" t="s">
        <v>2534</v>
      </c>
      <c r="L932" s="102" t="n">
        <v>45761</v>
      </c>
      <c r="M932" s="100" t="n">
        <v>5731</v>
      </c>
      <c r="N932" s="100" t="n">
        <v>6665</v>
      </c>
      <c r="O932" s="100" t="n">
        <v>934</v>
      </c>
      <c r="P932" s="100" t="n">
        <v>906</v>
      </c>
      <c r="Q932" s="100"/>
      <c r="R932" s="103" t="n">
        <f aca="false">合約與計費!$D$4</f>
        <v>0.296</v>
      </c>
      <c r="S932" s="104" t="n">
        <f aca="false">ROUND(P932*R932,0)</f>
        <v>268</v>
      </c>
      <c r="T932" s="105"/>
      <c r="U932" s="100"/>
      <c r="V932" s="100"/>
      <c r="W932" s="106"/>
      <c r="X932" s="100"/>
      <c r="Y932" s="100"/>
      <c r="Z932" s="107"/>
      <c r="AA932" s="108"/>
      <c r="AB932" s="109"/>
      <c r="AC932" s="110"/>
      <c r="AD932" s="42"/>
      <c r="AE932" s="43" t="n">
        <v>1</v>
      </c>
    </row>
    <row r="933" customFormat="false" ht="16.5" hidden="false" customHeight="true" outlineLevel="0" collapsed="false">
      <c r="A933" s="97" t="n">
        <f aca="false">ROW(A930)</f>
        <v>930</v>
      </c>
      <c r="B933" s="97" t="s">
        <v>476</v>
      </c>
      <c r="C933" s="100" t="n">
        <v>1</v>
      </c>
      <c r="D933" s="85"/>
      <c r="E933" s="98" t="s">
        <v>2535</v>
      </c>
      <c r="F933" s="99" t="s">
        <v>2525</v>
      </c>
      <c r="G933" s="100" t="s">
        <v>2515</v>
      </c>
      <c r="H933" s="100" t="s">
        <v>2516</v>
      </c>
      <c r="I933" s="100" t="s">
        <v>82</v>
      </c>
      <c r="J933" s="98" t="s">
        <v>527</v>
      </c>
      <c r="K933" s="101" t="s">
        <v>2536</v>
      </c>
      <c r="L933" s="102" t="n">
        <v>45761</v>
      </c>
      <c r="M933" s="100" t="n">
        <v>2991</v>
      </c>
      <c r="N933" s="100" t="n">
        <v>3507</v>
      </c>
      <c r="O933" s="100" t="n">
        <v>516</v>
      </c>
      <c r="P933" s="100" t="n">
        <v>501</v>
      </c>
      <c r="Q933" s="100"/>
      <c r="R933" s="103" t="n">
        <f aca="false">合約與計費!$D$4</f>
        <v>0.296</v>
      </c>
      <c r="S933" s="104" t="n">
        <f aca="false">ROUND(P933*R933,0)</f>
        <v>148</v>
      </c>
      <c r="T933" s="105"/>
      <c r="U933" s="100"/>
      <c r="V933" s="100"/>
      <c r="W933" s="106"/>
      <c r="X933" s="100"/>
      <c r="Y933" s="100"/>
      <c r="Z933" s="107"/>
      <c r="AA933" s="108"/>
      <c r="AB933" s="109"/>
      <c r="AC933" s="110"/>
      <c r="AD933" s="42"/>
      <c r="AE933" s="43" t="n">
        <v>0.6</v>
      </c>
    </row>
    <row r="934" customFormat="false" ht="16.5" hidden="false" customHeight="true" outlineLevel="0" collapsed="false">
      <c r="A934" s="97" t="n">
        <f aca="false">ROW(A931)</f>
        <v>931</v>
      </c>
      <c r="B934" s="97" t="s">
        <v>479</v>
      </c>
      <c r="C934" s="100" t="n">
        <v>1</v>
      </c>
      <c r="D934" s="85"/>
      <c r="E934" s="98" t="s">
        <v>2537</v>
      </c>
      <c r="F934" s="99" t="s">
        <v>2525</v>
      </c>
      <c r="G934" s="100" t="s">
        <v>2515</v>
      </c>
      <c r="H934" s="100" t="s">
        <v>2516</v>
      </c>
      <c r="I934" s="100" t="s">
        <v>82</v>
      </c>
      <c r="J934" s="98" t="s">
        <v>527</v>
      </c>
      <c r="K934" s="101" t="s">
        <v>2538</v>
      </c>
      <c r="L934" s="102" t="n">
        <v>45761</v>
      </c>
      <c r="M934" s="100" t="n">
        <v>10605</v>
      </c>
      <c r="N934" s="100" t="n">
        <v>12071</v>
      </c>
      <c r="O934" s="100" t="n">
        <v>1466</v>
      </c>
      <c r="P934" s="100" t="n">
        <v>1422</v>
      </c>
      <c r="Q934" s="100"/>
      <c r="R934" s="103" t="n">
        <f aca="false">合約與計費!$D$4</f>
        <v>0.296</v>
      </c>
      <c r="S934" s="104" t="n">
        <f aca="false">ROUND(P934*R934,0)</f>
        <v>421</v>
      </c>
      <c r="T934" s="105"/>
      <c r="U934" s="100"/>
      <c r="V934" s="100"/>
      <c r="W934" s="106"/>
      <c r="X934" s="100"/>
      <c r="Y934" s="100"/>
      <c r="Z934" s="107"/>
      <c r="AA934" s="108"/>
      <c r="AB934" s="109"/>
      <c r="AC934" s="110"/>
      <c r="AD934" s="42"/>
      <c r="AE934" s="43" t="n">
        <v>0.9</v>
      </c>
    </row>
    <row r="935" customFormat="false" ht="16.5" hidden="false" customHeight="true" outlineLevel="0" collapsed="false">
      <c r="A935" s="111" t="n">
        <f aca="false">ROW(A932)</f>
        <v>932</v>
      </c>
      <c r="B935" s="111" t="s">
        <v>482</v>
      </c>
      <c r="C935" s="114" t="n">
        <v>1</v>
      </c>
      <c r="D935" s="85"/>
      <c r="E935" s="112" t="s">
        <v>2539</v>
      </c>
      <c r="F935" s="113" t="s">
        <v>2525</v>
      </c>
      <c r="G935" s="114" t="s">
        <v>2515</v>
      </c>
      <c r="H935" s="114" t="s">
        <v>2516</v>
      </c>
      <c r="I935" s="114" t="s">
        <v>82</v>
      </c>
      <c r="J935" s="98" t="s">
        <v>527</v>
      </c>
      <c r="K935" s="101" t="s">
        <v>2540</v>
      </c>
      <c r="L935" s="102" t="n">
        <v>45761</v>
      </c>
      <c r="M935" s="100" t="n">
        <v>3210</v>
      </c>
      <c r="N935" s="100" t="n">
        <v>3620</v>
      </c>
      <c r="O935" s="100" t="n">
        <v>410</v>
      </c>
      <c r="P935" s="100" t="n">
        <v>398</v>
      </c>
      <c r="Q935" s="100" t="n">
        <f aca="false">ROUND(SUM(P928:P935),2)</f>
        <v>8845</v>
      </c>
      <c r="R935" s="103" t="n">
        <f aca="false">合約與計費!$D$4</f>
        <v>0.296</v>
      </c>
      <c r="S935" s="104" t="n">
        <f aca="false">ROUND(P935*R935,0)</f>
        <v>118</v>
      </c>
      <c r="T935" s="105" t="n">
        <f aca="false">ROUND(SUM(S928:S935),2)</f>
        <v>2617</v>
      </c>
      <c r="U935" s="100"/>
      <c r="V935" s="100"/>
      <c r="W935" s="106"/>
      <c r="X935" s="100"/>
      <c r="Y935" s="100" t="n">
        <f aca="false">ROUND(SUM(X928:X935),2)</f>
        <v>28</v>
      </c>
      <c r="Z935" s="107"/>
      <c r="AA935" s="108"/>
      <c r="AB935" s="109" t="n">
        <f aca="false">ROUND(SUM(AA928:AA935),2)</f>
        <v>78</v>
      </c>
      <c r="AC935" s="110"/>
      <c r="AD935" s="42"/>
      <c r="AE935" s="43" t="n">
        <v>0.9</v>
      </c>
    </row>
    <row r="936" customFormat="false" ht="16.5" hidden="false" customHeight="true" outlineLevel="0" collapsed="false">
      <c r="A936" s="84" t="n">
        <f aca="false">ROW(A933)</f>
        <v>933</v>
      </c>
      <c r="B936" s="84" t="s">
        <v>455</v>
      </c>
      <c r="C936" s="32" t="n">
        <v>1</v>
      </c>
      <c r="D936" s="85" t="n">
        <v>108</v>
      </c>
      <c r="E936" s="86" t="s">
        <v>2541</v>
      </c>
      <c r="F936" s="87" t="s">
        <v>2542</v>
      </c>
      <c r="G936" s="32" t="s">
        <v>2515</v>
      </c>
      <c r="H936" s="32" t="s">
        <v>2516</v>
      </c>
      <c r="I936" s="32" t="s">
        <v>101</v>
      </c>
      <c r="J936" s="86" t="s">
        <v>460</v>
      </c>
      <c r="K936" s="225" t="s">
        <v>2543</v>
      </c>
      <c r="L936" s="89" t="n">
        <v>45771</v>
      </c>
      <c r="M936" s="32" t="n">
        <v>69</v>
      </c>
      <c r="N936" s="32" t="n">
        <v>71</v>
      </c>
      <c r="O936" s="32" t="n">
        <v>2</v>
      </c>
      <c r="P936" s="32" t="n">
        <v>2</v>
      </c>
      <c r="Q936" s="32"/>
      <c r="R936" s="90" t="n">
        <f aca="false">合約與計費!$D$4</f>
        <v>0.296</v>
      </c>
      <c r="S936" s="91" t="n">
        <f aca="false">ROUND(P936*R936,0)</f>
        <v>1</v>
      </c>
      <c r="T936" s="92"/>
      <c r="U936" s="32" t="n">
        <v>127</v>
      </c>
      <c r="V936" s="32" t="n">
        <v>167</v>
      </c>
      <c r="W936" s="32" t="n">
        <v>40</v>
      </c>
      <c r="X936" s="32" t="n">
        <v>39</v>
      </c>
      <c r="Y936" s="32"/>
      <c r="Z936" s="93" t="n">
        <f aca="false">合約與計費!$E$4</f>
        <v>2.8</v>
      </c>
      <c r="AA936" s="94" t="n">
        <f aca="false">ROUND(X936*Z936,0)</f>
        <v>109</v>
      </c>
      <c r="AB936" s="95"/>
      <c r="AC936" s="96"/>
      <c r="AD936" s="42"/>
      <c r="AE936" s="43"/>
    </row>
    <row r="937" customFormat="false" ht="16.5" hidden="false" customHeight="true" outlineLevel="0" collapsed="false">
      <c r="A937" s="97" t="n">
        <f aca="false">ROW(A934)</f>
        <v>934</v>
      </c>
      <c r="B937" s="97" t="s">
        <v>462</v>
      </c>
      <c r="C937" s="100" t="n">
        <v>1</v>
      </c>
      <c r="D937" s="85"/>
      <c r="E937" s="98" t="s">
        <v>2544</v>
      </c>
      <c r="F937" s="99" t="s">
        <v>2542</v>
      </c>
      <c r="G937" s="100" t="s">
        <v>2515</v>
      </c>
      <c r="H937" s="100" t="s">
        <v>2516</v>
      </c>
      <c r="I937" s="100" t="s">
        <v>101</v>
      </c>
      <c r="J937" s="98" t="s">
        <v>464</v>
      </c>
      <c r="K937" s="101" t="s">
        <v>2545</v>
      </c>
      <c r="L937" s="102" t="n">
        <v>45771</v>
      </c>
      <c r="M937" s="100" t="n">
        <v>1090</v>
      </c>
      <c r="N937" s="100" t="n">
        <v>1202</v>
      </c>
      <c r="O937" s="100" t="n">
        <v>112</v>
      </c>
      <c r="P937" s="100" t="n">
        <v>109</v>
      </c>
      <c r="Q937" s="100"/>
      <c r="R937" s="103" t="n">
        <f aca="false">合約與計費!$D$4</f>
        <v>0.296</v>
      </c>
      <c r="S937" s="104" t="n">
        <f aca="false">ROUND(P937*R937,0)</f>
        <v>32</v>
      </c>
      <c r="T937" s="105"/>
      <c r="U937" s="100"/>
      <c r="V937" s="100"/>
      <c r="W937" s="106"/>
      <c r="X937" s="100"/>
      <c r="Y937" s="100"/>
      <c r="Z937" s="107"/>
      <c r="AA937" s="108"/>
      <c r="AB937" s="109"/>
      <c r="AC937" s="110"/>
      <c r="AD937" s="42" t="n">
        <v>0.051</v>
      </c>
      <c r="AE937" s="43" t="n">
        <v>1</v>
      </c>
    </row>
    <row r="938" customFormat="false" ht="16.5" hidden="false" customHeight="true" outlineLevel="0" collapsed="false">
      <c r="A938" s="97" t="n">
        <f aca="false">ROW(A935)</f>
        <v>935</v>
      </c>
      <c r="B938" s="97" t="s">
        <v>466</v>
      </c>
      <c r="C938" s="100" t="n">
        <v>1</v>
      </c>
      <c r="D938" s="85"/>
      <c r="E938" s="98" t="s">
        <v>2546</v>
      </c>
      <c r="F938" s="99" t="s">
        <v>2542</v>
      </c>
      <c r="G938" s="100" t="s">
        <v>2515</v>
      </c>
      <c r="H938" s="100" t="s">
        <v>2516</v>
      </c>
      <c r="I938" s="100" t="s">
        <v>101</v>
      </c>
      <c r="J938" s="98" t="s">
        <v>464</v>
      </c>
      <c r="K938" s="171" t="s">
        <v>2547</v>
      </c>
      <c r="L938" s="102" t="n">
        <v>45771</v>
      </c>
      <c r="M938" s="100" t="n">
        <v>2248</v>
      </c>
      <c r="N938" s="100" t="n">
        <v>3478</v>
      </c>
      <c r="O938" s="100" t="n">
        <v>1230</v>
      </c>
      <c r="P938" s="100" t="n">
        <v>1193</v>
      </c>
      <c r="Q938" s="100"/>
      <c r="R938" s="103" t="n">
        <f aca="false">合約與計費!$D$4</f>
        <v>0.296</v>
      </c>
      <c r="S938" s="104" t="n">
        <f aca="false">ROUND(P938*R938,0)</f>
        <v>353</v>
      </c>
      <c r="T938" s="105"/>
      <c r="U938" s="100"/>
      <c r="V938" s="100"/>
      <c r="W938" s="106"/>
      <c r="X938" s="100"/>
      <c r="Y938" s="100"/>
      <c r="Z938" s="107"/>
      <c r="AA938" s="108"/>
      <c r="AB938" s="109"/>
      <c r="AC938" s="110"/>
      <c r="AD938" s="42" t="n">
        <v>0.0818</v>
      </c>
      <c r="AE938" s="43" t="n">
        <v>0.9</v>
      </c>
    </row>
    <row r="939" customFormat="false" ht="16.5" hidden="false" customHeight="true" outlineLevel="0" collapsed="false">
      <c r="A939" s="97" t="n">
        <f aca="false">ROW(A936)</f>
        <v>936</v>
      </c>
      <c r="B939" s="97" t="s">
        <v>469</v>
      </c>
      <c r="C939" s="100" t="n">
        <v>1</v>
      </c>
      <c r="D939" s="85"/>
      <c r="E939" s="98" t="s">
        <v>2548</v>
      </c>
      <c r="F939" s="99" t="s">
        <v>2542</v>
      </c>
      <c r="G939" s="100" t="s">
        <v>2515</v>
      </c>
      <c r="H939" s="100" t="s">
        <v>2516</v>
      </c>
      <c r="I939" s="100" t="s">
        <v>101</v>
      </c>
      <c r="J939" s="98" t="s">
        <v>471</v>
      </c>
      <c r="K939" s="101" t="s">
        <v>2549</v>
      </c>
      <c r="L939" s="102" t="n">
        <v>45771</v>
      </c>
      <c r="M939" s="100" t="n">
        <v>10231</v>
      </c>
      <c r="N939" s="100" t="n">
        <v>14696</v>
      </c>
      <c r="O939" s="100" t="n">
        <v>4465</v>
      </c>
      <c r="P939" s="100" t="n">
        <v>4331</v>
      </c>
      <c r="Q939" s="100"/>
      <c r="R939" s="103" t="n">
        <f aca="false">合約與計費!$D$4</f>
        <v>0.296</v>
      </c>
      <c r="S939" s="104" t="n">
        <f aca="false">ROUND(P939*R939,0)</f>
        <v>1282</v>
      </c>
      <c r="T939" s="105"/>
      <c r="U939" s="100"/>
      <c r="V939" s="100"/>
      <c r="W939" s="106"/>
      <c r="X939" s="100"/>
      <c r="Y939" s="100"/>
      <c r="Z939" s="107"/>
      <c r="AA939" s="108"/>
      <c r="AB939" s="109"/>
      <c r="AC939" s="110" t="s">
        <v>2550</v>
      </c>
      <c r="AD939" s="42" t="n">
        <v>0.0895</v>
      </c>
      <c r="AE939" s="43" t="n">
        <v>0.3</v>
      </c>
    </row>
    <row r="940" customFormat="false" ht="16.5" hidden="false" customHeight="true" outlineLevel="0" collapsed="false">
      <c r="A940" s="97" t="n">
        <f aca="false">ROW(A937)</f>
        <v>937</v>
      </c>
      <c r="B940" s="97" t="s">
        <v>473</v>
      </c>
      <c r="C940" s="100" t="n">
        <v>1</v>
      </c>
      <c r="D940" s="85"/>
      <c r="E940" s="98" t="s">
        <v>2551</v>
      </c>
      <c r="F940" s="99" t="s">
        <v>2542</v>
      </c>
      <c r="G940" s="100" t="s">
        <v>2515</v>
      </c>
      <c r="H940" s="100" t="s">
        <v>2516</v>
      </c>
      <c r="I940" s="100" t="s">
        <v>101</v>
      </c>
      <c r="J940" s="98" t="s">
        <v>471</v>
      </c>
      <c r="K940" s="171" t="s">
        <v>2552</v>
      </c>
      <c r="L940" s="102" t="n">
        <v>45771</v>
      </c>
      <c r="M940" s="100" t="n">
        <v>8193</v>
      </c>
      <c r="N940" s="100" t="n">
        <v>10950</v>
      </c>
      <c r="O940" s="100" t="n">
        <v>2757</v>
      </c>
      <c r="P940" s="100" t="n">
        <v>2674</v>
      </c>
      <c r="Q940" s="100"/>
      <c r="R940" s="103" t="n">
        <f aca="false">合約與計費!$D$4</f>
        <v>0.296</v>
      </c>
      <c r="S940" s="104" t="n">
        <f aca="false">ROUND(P940*R940,0)</f>
        <v>792</v>
      </c>
      <c r="T940" s="105"/>
      <c r="U940" s="100"/>
      <c r="V940" s="100"/>
      <c r="W940" s="106"/>
      <c r="X940" s="100"/>
      <c r="Y940" s="100"/>
      <c r="Z940" s="107"/>
      <c r="AA940" s="108"/>
      <c r="AB940" s="109"/>
      <c r="AC940" s="110"/>
      <c r="AD940" s="42" t="n">
        <v>0.2954</v>
      </c>
      <c r="AE940" s="43" t="n">
        <v>0.7</v>
      </c>
    </row>
    <row r="941" customFormat="false" ht="16.5" hidden="false" customHeight="true" outlineLevel="0" collapsed="false">
      <c r="A941" s="97" t="n">
        <f aca="false">ROW(A938)</f>
        <v>938</v>
      </c>
      <c r="B941" s="97" t="s">
        <v>476</v>
      </c>
      <c r="C941" s="100" t="n">
        <v>1</v>
      </c>
      <c r="D941" s="85"/>
      <c r="E941" s="98" t="s">
        <v>2553</v>
      </c>
      <c r="F941" s="99" t="s">
        <v>2542</v>
      </c>
      <c r="G941" s="100" t="s">
        <v>2515</v>
      </c>
      <c r="H941" s="100" t="s">
        <v>2516</v>
      </c>
      <c r="I941" s="100" t="s">
        <v>101</v>
      </c>
      <c r="J941" s="98" t="s">
        <v>471</v>
      </c>
      <c r="K941" s="101" t="s">
        <v>2554</v>
      </c>
      <c r="L941" s="102" t="n">
        <v>45771</v>
      </c>
      <c r="M941" s="100" t="n">
        <v>6394</v>
      </c>
      <c r="N941" s="100" t="n">
        <v>7816</v>
      </c>
      <c r="O941" s="100" t="n">
        <v>1422</v>
      </c>
      <c r="P941" s="100" t="n">
        <v>1379</v>
      </c>
      <c r="Q941" s="100"/>
      <c r="R941" s="103" t="n">
        <f aca="false">合約與計費!$D$4</f>
        <v>0.296</v>
      </c>
      <c r="S941" s="104" t="n">
        <f aca="false">ROUND(P941*R941,0)</f>
        <v>408</v>
      </c>
      <c r="T941" s="105"/>
      <c r="U941" s="100"/>
      <c r="V941" s="100"/>
      <c r="W941" s="106"/>
      <c r="X941" s="100"/>
      <c r="Y941" s="100"/>
      <c r="Z941" s="107"/>
      <c r="AA941" s="108"/>
      <c r="AB941" s="109"/>
      <c r="AC941" s="110"/>
      <c r="AD941" s="42" t="n">
        <v>0.0671</v>
      </c>
      <c r="AE941" s="43" t="n">
        <v>0.5</v>
      </c>
    </row>
    <row r="942" customFormat="false" ht="16.5" hidden="false" customHeight="true" outlineLevel="0" collapsed="false">
      <c r="A942" s="97" t="n">
        <f aca="false">ROW(A939)</f>
        <v>939</v>
      </c>
      <c r="B942" s="97" t="s">
        <v>479</v>
      </c>
      <c r="C942" s="100" t="n">
        <v>1</v>
      </c>
      <c r="D942" s="85"/>
      <c r="E942" s="98" t="s">
        <v>2555</v>
      </c>
      <c r="F942" s="99" t="s">
        <v>2542</v>
      </c>
      <c r="G942" s="100" t="s">
        <v>2515</v>
      </c>
      <c r="H942" s="100" t="s">
        <v>2516</v>
      </c>
      <c r="I942" s="100" t="s">
        <v>101</v>
      </c>
      <c r="J942" s="98" t="s">
        <v>471</v>
      </c>
      <c r="K942" s="101" t="s">
        <v>2556</v>
      </c>
      <c r="L942" s="102" t="n">
        <v>45771</v>
      </c>
      <c r="M942" s="100" t="n">
        <v>480</v>
      </c>
      <c r="N942" s="100" t="n">
        <v>669</v>
      </c>
      <c r="O942" s="100" t="n">
        <v>189</v>
      </c>
      <c r="P942" s="100" t="n">
        <v>183</v>
      </c>
      <c r="Q942" s="100"/>
      <c r="R942" s="103" t="n">
        <f aca="false">合約與計費!$D$4</f>
        <v>0.296</v>
      </c>
      <c r="S942" s="104" t="n">
        <f aca="false">ROUND(P942*R942,0)</f>
        <v>54</v>
      </c>
      <c r="T942" s="105"/>
      <c r="U942" s="100"/>
      <c r="V942" s="100"/>
      <c r="W942" s="106"/>
      <c r="X942" s="100"/>
      <c r="Y942" s="100"/>
      <c r="Z942" s="107"/>
      <c r="AA942" s="108"/>
      <c r="AB942" s="109"/>
      <c r="AC942" s="110"/>
      <c r="AD942" s="42" t="n">
        <v>0.2801</v>
      </c>
      <c r="AE942" s="43" t="n">
        <v>0</v>
      </c>
    </row>
    <row r="943" customFormat="false" ht="16.5" hidden="false" customHeight="true" outlineLevel="0" collapsed="false">
      <c r="A943" s="97" t="n">
        <f aca="false">ROW(A940)</f>
        <v>940</v>
      </c>
      <c r="B943" s="97" t="s">
        <v>482</v>
      </c>
      <c r="C943" s="100" t="n">
        <v>1</v>
      </c>
      <c r="D943" s="85"/>
      <c r="E943" s="98" t="s">
        <v>2557</v>
      </c>
      <c r="F943" s="99" t="s">
        <v>2542</v>
      </c>
      <c r="G943" s="100" t="s">
        <v>2515</v>
      </c>
      <c r="H943" s="100" t="s">
        <v>2516</v>
      </c>
      <c r="I943" s="100" t="s">
        <v>101</v>
      </c>
      <c r="J943" s="98" t="s">
        <v>471</v>
      </c>
      <c r="K943" s="101" t="s">
        <v>2558</v>
      </c>
      <c r="L943" s="102" t="n">
        <v>45771</v>
      </c>
      <c r="M943" s="100" t="n">
        <v>14495</v>
      </c>
      <c r="N943" s="100" t="n">
        <v>17447</v>
      </c>
      <c r="O943" s="100" t="n">
        <v>2952</v>
      </c>
      <c r="P943" s="100" t="n">
        <v>2863</v>
      </c>
      <c r="Q943" s="100"/>
      <c r="R943" s="103" t="n">
        <f aca="false">合約與計費!$D$4</f>
        <v>0.296</v>
      </c>
      <c r="S943" s="104" t="n">
        <f aca="false">ROUND(P943*R943,0)</f>
        <v>847</v>
      </c>
      <c r="T943" s="105"/>
      <c r="U943" s="100"/>
      <c r="V943" s="100"/>
      <c r="W943" s="106"/>
      <c r="X943" s="100"/>
      <c r="Y943" s="100"/>
      <c r="Z943" s="107"/>
      <c r="AA943" s="108"/>
      <c r="AB943" s="109"/>
      <c r="AC943" s="110"/>
      <c r="AD943" s="42" t="n">
        <v>0.0905</v>
      </c>
      <c r="AE943" s="43" t="n">
        <v>0.6</v>
      </c>
    </row>
    <row r="944" customFormat="false" ht="16.5" hidden="false" customHeight="true" outlineLevel="0" collapsed="false">
      <c r="A944" s="111" t="n">
        <f aca="false">ROW(A941)</f>
        <v>941</v>
      </c>
      <c r="B944" s="111" t="s">
        <v>485</v>
      </c>
      <c r="C944" s="114" t="n">
        <v>1</v>
      </c>
      <c r="D944" s="85"/>
      <c r="E944" s="98" t="s">
        <v>2559</v>
      </c>
      <c r="F944" s="99" t="s">
        <v>2542</v>
      </c>
      <c r="G944" s="100" t="s">
        <v>2515</v>
      </c>
      <c r="H944" s="100" t="s">
        <v>2516</v>
      </c>
      <c r="I944" s="100" t="s">
        <v>101</v>
      </c>
      <c r="J944" s="98" t="s">
        <v>471</v>
      </c>
      <c r="K944" s="101" t="s">
        <v>2560</v>
      </c>
      <c r="L944" s="102" t="n">
        <v>45771</v>
      </c>
      <c r="M944" s="100" t="n">
        <v>3616</v>
      </c>
      <c r="N944" s="100" t="n">
        <v>4879</v>
      </c>
      <c r="O944" s="100" t="n">
        <v>1263</v>
      </c>
      <c r="P944" s="100" t="n">
        <v>1225</v>
      </c>
      <c r="Q944" s="100" t="n">
        <f aca="false">ROUND(SUM(P936:P944),2)</f>
        <v>13959</v>
      </c>
      <c r="R944" s="103" t="n">
        <f aca="false">合約與計費!$D$4</f>
        <v>0.296</v>
      </c>
      <c r="S944" s="104" t="n">
        <f aca="false">ROUND(P944*R944,0)</f>
        <v>363</v>
      </c>
      <c r="T944" s="105" t="n">
        <f aca="false">ROUND(SUM(S936:S944),2)</f>
        <v>4132</v>
      </c>
      <c r="U944" s="100"/>
      <c r="V944" s="100"/>
      <c r="W944" s="106"/>
      <c r="X944" s="100"/>
      <c r="Y944" s="100" t="n">
        <f aca="false">ROUND(SUM(X936:X944),2)</f>
        <v>39</v>
      </c>
      <c r="Z944" s="107"/>
      <c r="AA944" s="108"/>
      <c r="AB944" s="109" t="n">
        <f aca="false">ROUND(SUM(AA936:AA944),2)</f>
        <v>109</v>
      </c>
      <c r="AC944" s="110"/>
      <c r="AD944" s="42" t="n">
        <v>0.0906</v>
      </c>
      <c r="AE944" s="43" t="n">
        <v>0.7</v>
      </c>
    </row>
    <row r="945" customFormat="false" ht="16.5" hidden="false" customHeight="true" outlineLevel="0" collapsed="false">
      <c r="A945" s="84" t="n">
        <f aca="false">ROW(A942)</f>
        <v>942</v>
      </c>
      <c r="B945" s="84" t="s">
        <v>455</v>
      </c>
      <c r="C945" s="32" t="n">
        <v>1</v>
      </c>
      <c r="D945" s="85" t="n">
        <v>110</v>
      </c>
      <c r="E945" s="86" t="s">
        <v>2561</v>
      </c>
      <c r="F945" s="87" t="s">
        <v>2562</v>
      </c>
      <c r="G945" s="32" t="s">
        <v>2515</v>
      </c>
      <c r="H945" s="32" t="s">
        <v>2516</v>
      </c>
      <c r="I945" s="32" t="s">
        <v>110</v>
      </c>
      <c r="J945" s="86" t="s">
        <v>460</v>
      </c>
      <c r="K945" s="88" t="s">
        <v>2563</v>
      </c>
      <c r="L945" s="89" t="n">
        <v>45755</v>
      </c>
      <c r="M945" s="32" t="n">
        <v>893</v>
      </c>
      <c r="N945" s="32" t="n">
        <v>1181</v>
      </c>
      <c r="O945" s="32" t="n">
        <v>288</v>
      </c>
      <c r="P945" s="32" t="n">
        <v>279</v>
      </c>
      <c r="Q945" s="32"/>
      <c r="R945" s="90" t="n">
        <f aca="false">合約與計費!$D$4</f>
        <v>0.296</v>
      </c>
      <c r="S945" s="91" t="n">
        <f aca="false">ROUND(P945*R945,0)</f>
        <v>83</v>
      </c>
      <c r="T945" s="92"/>
      <c r="U945" s="32" t="n">
        <v>176</v>
      </c>
      <c r="V945" s="32" t="n">
        <v>240</v>
      </c>
      <c r="W945" s="32" t="n">
        <v>64</v>
      </c>
      <c r="X945" s="32" t="n">
        <v>62</v>
      </c>
      <c r="Y945" s="32"/>
      <c r="Z945" s="93" t="n">
        <f aca="false">合約與計費!$E$4</f>
        <v>2.8</v>
      </c>
      <c r="AA945" s="94" t="n">
        <f aca="false">ROUND(X945*Z945,0)</f>
        <v>174</v>
      </c>
      <c r="AB945" s="95"/>
      <c r="AC945" s="96"/>
      <c r="AD945" s="42"/>
      <c r="AE945" s="43"/>
    </row>
    <row r="946" customFormat="false" ht="16.5" hidden="false" customHeight="true" outlineLevel="0" collapsed="false">
      <c r="A946" s="97" t="n">
        <f aca="false">ROW(A943)</f>
        <v>943</v>
      </c>
      <c r="B946" s="97" t="s">
        <v>462</v>
      </c>
      <c r="C946" s="100" t="n">
        <v>1</v>
      </c>
      <c r="D946" s="85"/>
      <c r="E946" s="98" t="s">
        <v>2564</v>
      </c>
      <c r="F946" s="99" t="s">
        <v>2562</v>
      </c>
      <c r="G946" s="100" t="s">
        <v>2515</v>
      </c>
      <c r="H946" s="100" t="s">
        <v>2516</v>
      </c>
      <c r="I946" s="100" t="s">
        <v>110</v>
      </c>
      <c r="J946" s="98" t="s">
        <v>464</v>
      </c>
      <c r="K946" s="101" t="s">
        <v>2565</v>
      </c>
      <c r="L946" s="102" t="n">
        <v>45755</v>
      </c>
      <c r="M946" s="100" t="n">
        <v>1005</v>
      </c>
      <c r="N946" s="100" t="n">
        <v>1295</v>
      </c>
      <c r="O946" s="100" t="n">
        <v>290</v>
      </c>
      <c r="P946" s="100" t="n">
        <v>281</v>
      </c>
      <c r="Q946" s="100"/>
      <c r="R946" s="103" t="n">
        <f aca="false">合約與計費!$D$4</f>
        <v>0.296</v>
      </c>
      <c r="S946" s="104" t="n">
        <f aca="false">ROUND(P946*R946,0)</f>
        <v>83</v>
      </c>
      <c r="T946" s="105"/>
      <c r="U946" s="100"/>
      <c r="V946" s="100"/>
      <c r="W946" s="106"/>
      <c r="X946" s="100"/>
      <c r="Y946" s="100"/>
      <c r="Z946" s="107"/>
      <c r="AA946" s="108"/>
      <c r="AB946" s="109"/>
      <c r="AC946" s="110"/>
      <c r="AD946" s="42" t="n">
        <v>0.059</v>
      </c>
      <c r="AE946" s="43" t="n">
        <v>1</v>
      </c>
    </row>
    <row r="947" customFormat="false" ht="16.5" hidden="false" customHeight="true" outlineLevel="0" collapsed="false">
      <c r="A947" s="97" t="n">
        <f aca="false">ROW(A944)</f>
        <v>944</v>
      </c>
      <c r="B947" s="97" t="s">
        <v>466</v>
      </c>
      <c r="C947" s="100" t="n">
        <v>1</v>
      </c>
      <c r="D947" s="85"/>
      <c r="E947" s="98" t="s">
        <v>2566</v>
      </c>
      <c r="F947" s="99" t="s">
        <v>2562</v>
      </c>
      <c r="G947" s="100" t="s">
        <v>2515</v>
      </c>
      <c r="H947" s="100" t="s">
        <v>2516</v>
      </c>
      <c r="I947" s="100" t="s">
        <v>110</v>
      </c>
      <c r="J947" s="98" t="s">
        <v>471</v>
      </c>
      <c r="K947" s="101" t="s">
        <v>2567</v>
      </c>
      <c r="L947" s="102" t="n">
        <v>45755</v>
      </c>
      <c r="M947" s="100" t="n">
        <v>7134</v>
      </c>
      <c r="N947" s="100" t="n">
        <v>9085</v>
      </c>
      <c r="O947" s="100" t="n">
        <v>1951</v>
      </c>
      <c r="P947" s="100" t="n">
        <v>1892</v>
      </c>
      <c r="Q947" s="100"/>
      <c r="R947" s="103" t="n">
        <f aca="false">合約與計費!$D$4</f>
        <v>0.296</v>
      </c>
      <c r="S947" s="104" t="n">
        <f aca="false">ROUND(P947*R947,0)</f>
        <v>560</v>
      </c>
      <c r="T947" s="105"/>
      <c r="U947" s="100"/>
      <c r="V947" s="100"/>
      <c r="W947" s="106"/>
      <c r="X947" s="100"/>
      <c r="Y947" s="100"/>
      <c r="Z947" s="107"/>
      <c r="AA947" s="108"/>
      <c r="AB947" s="109"/>
      <c r="AC947" s="110"/>
      <c r="AD947" s="42" t="n">
        <v>0.0899</v>
      </c>
      <c r="AE947" s="43" t="n">
        <v>0.5</v>
      </c>
    </row>
    <row r="948" customFormat="false" ht="16.5" hidden="false" customHeight="true" outlineLevel="0" collapsed="false">
      <c r="A948" s="97" t="n">
        <f aca="false">ROW(A945)</f>
        <v>945</v>
      </c>
      <c r="B948" s="97" t="s">
        <v>469</v>
      </c>
      <c r="C948" s="100" t="n">
        <v>1</v>
      </c>
      <c r="D948" s="85"/>
      <c r="E948" s="98" t="s">
        <v>2568</v>
      </c>
      <c r="F948" s="99" t="s">
        <v>2562</v>
      </c>
      <c r="G948" s="100" t="s">
        <v>2515</v>
      </c>
      <c r="H948" s="100" t="s">
        <v>2516</v>
      </c>
      <c r="I948" s="100" t="s">
        <v>110</v>
      </c>
      <c r="J948" s="98" t="s">
        <v>471</v>
      </c>
      <c r="K948" s="101" t="s">
        <v>2569</v>
      </c>
      <c r="L948" s="102" t="n">
        <v>45755</v>
      </c>
      <c r="M948" s="100" t="n">
        <v>1497</v>
      </c>
      <c r="N948" s="100" t="n">
        <v>1839</v>
      </c>
      <c r="O948" s="100" t="n">
        <v>342</v>
      </c>
      <c r="P948" s="100" t="n">
        <v>332</v>
      </c>
      <c r="Q948" s="100"/>
      <c r="R948" s="103" t="n">
        <f aca="false">合約與計費!$D$4</f>
        <v>0.296</v>
      </c>
      <c r="S948" s="104" t="n">
        <f aca="false">ROUND(P948*R948,0)</f>
        <v>98</v>
      </c>
      <c r="T948" s="105"/>
      <c r="U948" s="100"/>
      <c r="V948" s="100"/>
      <c r="W948" s="106"/>
      <c r="X948" s="100"/>
      <c r="Y948" s="100"/>
      <c r="Z948" s="107"/>
      <c r="AA948" s="108"/>
      <c r="AB948" s="109"/>
      <c r="AC948" s="110"/>
      <c r="AD948" s="42" t="n">
        <v>0.0403</v>
      </c>
      <c r="AE948" s="43" t="n">
        <v>0.3</v>
      </c>
    </row>
    <row r="949" customFormat="false" ht="16.5" hidden="false" customHeight="true" outlineLevel="0" collapsed="false">
      <c r="A949" s="111" t="n">
        <f aca="false">ROW(A946)</f>
        <v>946</v>
      </c>
      <c r="B949" s="111" t="s">
        <v>473</v>
      </c>
      <c r="C949" s="114" t="n">
        <v>1</v>
      </c>
      <c r="D949" s="85"/>
      <c r="E949" s="112" t="s">
        <v>2570</v>
      </c>
      <c r="F949" s="113" t="s">
        <v>2562</v>
      </c>
      <c r="G949" s="114" t="s">
        <v>2515</v>
      </c>
      <c r="H949" s="114" t="s">
        <v>2516</v>
      </c>
      <c r="I949" s="114" t="s">
        <v>110</v>
      </c>
      <c r="J949" s="112" t="s">
        <v>471</v>
      </c>
      <c r="K949" s="115" t="s">
        <v>2571</v>
      </c>
      <c r="L949" s="116" t="n">
        <v>45755</v>
      </c>
      <c r="M949" s="114" t="n">
        <v>11401</v>
      </c>
      <c r="N949" s="114" t="n">
        <v>14505</v>
      </c>
      <c r="O949" s="100" t="n">
        <v>3104</v>
      </c>
      <c r="P949" s="100" t="n">
        <v>3011</v>
      </c>
      <c r="Q949" s="100" t="n">
        <f aca="false">ROUND(SUM(P945:P949),2)</f>
        <v>5795</v>
      </c>
      <c r="R949" s="117" t="n">
        <f aca="false">合約與計費!$D$4</f>
        <v>0.296</v>
      </c>
      <c r="S949" s="118" t="n">
        <f aca="false">ROUND(P949*R949,0)</f>
        <v>891</v>
      </c>
      <c r="T949" s="105" t="n">
        <f aca="false">ROUND(SUM(S945:S949),2)</f>
        <v>1715</v>
      </c>
      <c r="U949" s="114"/>
      <c r="V949" s="114"/>
      <c r="W949" s="120"/>
      <c r="X949" s="114"/>
      <c r="Y949" s="100" t="n">
        <f aca="false">ROUND(SUM(X945:X949),2)</f>
        <v>62</v>
      </c>
      <c r="Z949" s="121"/>
      <c r="AA949" s="108"/>
      <c r="AB949" s="109" t="n">
        <f aca="false">ROUND(SUM(AA945:AA949),2)</f>
        <v>174</v>
      </c>
      <c r="AC949" s="124"/>
      <c r="AD949" s="42" t="n">
        <v>0.1079</v>
      </c>
      <c r="AE949" s="43" t="n">
        <v>0.7</v>
      </c>
    </row>
    <row r="950" customFormat="false" ht="16.5" hidden="false" customHeight="true" outlineLevel="0" collapsed="false">
      <c r="A950" s="84" t="n">
        <f aca="false">ROW(A947)</f>
        <v>947</v>
      </c>
      <c r="B950" s="84" t="s">
        <v>455</v>
      </c>
      <c r="C950" s="32" t="n">
        <v>1</v>
      </c>
      <c r="D950" s="85" t="n">
        <v>111</v>
      </c>
      <c r="E950" s="86" t="s">
        <v>2572</v>
      </c>
      <c r="F950" s="87" t="s">
        <v>2573</v>
      </c>
      <c r="G950" s="32" t="s">
        <v>2515</v>
      </c>
      <c r="H950" s="32" t="s">
        <v>2516</v>
      </c>
      <c r="I950" s="32" t="s">
        <v>153</v>
      </c>
      <c r="J950" s="86" t="s">
        <v>460</v>
      </c>
      <c r="K950" s="88" t="s">
        <v>2574</v>
      </c>
      <c r="L950" s="89" t="n">
        <v>45761</v>
      </c>
      <c r="M950" s="32" t="n">
        <v>464</v>
      </c>
      <c r="N950" s="32" t="n">
        <v>632</v>
      </c>
      <c r="O950" s="32" t="n">
        <v>168</v>
      </c>
      <c r="P950" s="32" t="n">
        <v>163</v>
      </c>
      <c r="Q950" s="32"/>
      <c r="R950" s="90" t="n">
        <f aca="false">合約與計費!$D$4</f>
        <v>0.296</v>
      </c>
      <c r="S950" s="91" t="n">
        <f aca="false">ROUND(P950*R950,0)</f>
        <v>48</v>
      </c>
      <c r="T950" s="92"/>
      <c r="U950" s="32" t="n">
        <v>110</v>
      </c>
      <c r="V950" s="32" t="n">
        <v>144</v>
      </c>
      <c r="W950" s="32" t="n">
        <v>34</v>
      </c>
      <c r="X950" s="32" t="n">
        <v>33</v>
      </c>
      <c r="Y950" s="32"/>
      <c r="Z950" s="93" t="n">
        <f aca="false">合約與計費!$E$4</f>
        <v>2.8</v>
      </c>
      <c r="AA950" s="94" t="n">
        <f aca="false">ROUND(X950*Z950,0)</f>
        <v>92</v>
      </c>
      <c r="AB950" s="95"/>
      <c r="AC950" s="96"/>
      <c r="AD950" s="42"/>
      <c r="AE950" s="43"/>
    </row>
    <row r="951" customFormat="false" ht="16.5" hidden="false" customHeight="true" outlineLevel="0" collapsed="false">
      <c r="A951" s="97" t="n">
        <f aca="false">ROW(A948)</f>
        <v>948</v>
      </c>
      <c r="B951" s="97" t="s">
        <v>462</v>
      </c>
      <c r="C951" s="100" t="n">
        <v>1</v>
      </c>
      <c r="D951" s="85"/>
      <c r="E951" s="98" t="s">
        <v>2575</v>
      </c>
      <c r="F951" s="99" t="s">
        <v>2573</v>
      </c>
      <c r="G951" s="100" t="s">
        <v>2515</v>
      </c>
      <c r="H951" s="100" t="s">
        <v>2516</v>
      </c>
      <c r="I951" s="100" t="s">
        <v>153</v>
      </c>
      <c r="J951" s="98" t="s">
        <v>464</v>
      </c>
      <c r="K951" s="101" t="s">
        <v>2576</v>
      </c>
      <c r="L951" s="102" t="n">
        <v>45761</v>
      </c>
      <c r="M951" s="100" t="n">
        <v>1130</v>
      </c>
      <c r="N951" s="100" t="n">
        <v>1618</v>
      </c>
      <c r="O951" s="100" t="n">
        <v>488</v>
      </c>
      <c r="P951" s="100" t="n">
        <v>473</v>
      </c>
      <c r="Q951" s="100"/>
      <c r="R951" s="103" t="n">
        <f aca="false">合約與計費!$D$4</f>
        <v>0.296</v>
      </c>
      <c r="S951" s="104" t="n">
        <f aca="false">ROUND(P951*R951,0)</f>
        <v>140</v>
      </c>
      <c r="T951" s="105"/>
      <c r="U951" s="100"/>
      <c r="V951" s="100"/>
      <c r="W951" s="106"/>
      <c r="X951" s="100"/>
      <c r="Y951" s="100"/>
      <c r="Z951" s="107"/>
      <c r="AA951" s="108"/>
      <c r="AB951" s="109"/>
      <c r="AC951" s="110"/>
      <c r="AD951" s="42" t="n">
        <v>0.0647</v>
      </c>
      <c r="AE951" s="43" t="n">
        <v>0.2</v>
      </c>
    </row>
    <row r="952" customFormat="false" ht="16.5" hidden="false" customHeight="true" outlineLevel="0" collapsed="false">
      <c r="A952" s="97" t="n">
        <f aca="false">ROW(A949)</f>
        <v>949</v>
      </c>
      <c r="B952" s="97" t="s">
        <v>466</v>
      </c>
      <c r="C952" s="100" t="n">
        <v>1</v>
      </c>
      <c r="D952" s="85"/>
      <c r="E952" s="98" t="s">
        <v>2577</v>
      </c>
      <c r="F952" s="99" t="s">
        <v>2573</v>
      </c>
      <c r="G952" s="100" t="s">
        <v>2515</v>
      </c>
      <c r="H952" s="100" t="s">
        <v>2516</v>
      </c>
      <c r="I952" s="100" t="s">
        <v>153</v>
      </c>
      <c r="J952" s="98" t="s">
        <v>527</v>
      </c>
      <c r="K952" s="171" t="s">
        <v>2578</v>
      </c>
      <c r="L952" s="102" t="n">
        <v>45761</v>
      </c>
      <c r="M952" s="100" t="n">
        <v>11645</v>
      </c>
      <c r="N952" s="100" t="n">
        <v>14989</v>
      </c>
      <c r="O952" s="100" t="n">
        <v>3344</v>
      </c>
      <c r="P952" s="100" t="n">
        <v>3244</v>
      </c>
      <c r="Q952" s="100"/>
      <c r="R952" s="103" t="n">
        <f aca="false">合約與計費!$D$4</f>
        <v>0.296</v>
      </c>
      <c r="S952" s="104" t="n">
        <f aca="false">ROUND(P952*R952,0)</f>
        <v>960</v>
      </c>
      <c r="T952" s="105"/>
      <c r="U952" s="100"/>
      <c r="V952" s="100"/>
      <c r="W952" s="106"/>
      <c r="X952" s="100"/>
      <c r="Y952" s="100"/>
      <c r="Z952" s="107"/>
      <c r="AA952" s="108"/>
      <c r="AB952" s="109"/>
      <c r="AC952" s="110"/>
      <c r="AD952" s="42"/>
      <c r="AE952" s="43" t="n">
        <v>0.1</v>
      </c>
    </row>
    <row r="953" customFormat="false" ht="16.5" hidden="false" customHeight="true" outlineLevel="0" collapsed="false">
      <c r="A953" s="97" t="n">
        <f aca="false">ROW(A950)</f>
        <v>950</v>
      </c>
      <c r="B953" s="97" t="s">
        <v>469</v>
      </c>
      <c r="C953" s="100" t="n">
        <v>1</v>
      </c>
      <c r="D953" s="85"/>
      <c r="E953" s="98" t="s">
        <v>2579</v>
      </c>
      <c r="F953" s="99" t="s">
        <v>2573</v>
      </c>
      <c r="G953" s="100" t="s">
        <v>2515</v>
      </c>
      <c r="H953" s="100" t="s">
        <v>2516</v>
      </c>
      <c r="I953" s="100" t="s">
        <v>153</v>
      </c>
      <c r="J953" s="98" t="s">
        <v>527</v>
      </c>
      <c r="K953" s="101" t="s">
        <v>2580</v>
      </c>
      <c r="L953" s="102" t="n">
        <v>45761</v>
      </c>
      <c r="M953" s="100" t="n">
        <v>2419</v>
      </c>
      <c r="N953" s="100" t="n">
        <v>3153</v>
      </c>
      <c r="O953" s="100" t="n">
        <v>734</v>
      </c>
      <c r="P953" s="100" t="n">
        <v>712</v>
      </c>
      <c r="Q953" s="100"/>
      <c r="R953" s="103" t="n">
        <f aca="false">合約與計費!$D$4</f>
        <v>0.296</v>
      </c>
      <c r="S953" s="104" t="n">
        <f aca="false">ROUND(P953*R953,0)</f>
        <v>211</v>
      </c>
      <c r="T953" s="105"/>
      <c r="U953" s="100"/>
      <c r="V953" s="100"/>
      <c r="W953" s="106"/>
      <c r="X953" s="100"/>
      <c r="Y953" s="100"/>
      <c r="Z953" s="107"/>
      <c r="AA953" s="108"/>
      <c r="AB953" s="109"/>
      <c r="AC953" s="110"/>
      <c r="AD953" s="42"/>
      <c r="AE953" s="43" t="n">
        <v>1</v>
      </c>
    </row>
    <row r="954" customFormat="false" ht="16.5" hidden="false" customHeight="true" outlineLevel="0" collapsed="false">
      <c r="A954" s="111" t="n">
        <f aca="false">ROW(A951)</f>
        <v>951</v>
      </c>
      <c r="B954" s="111" t="s">
        <v>473</v>
      </c>
      <c r="C954" s="114" t="n">
        <v>1</v>
      </c>
      <c r="D954" s="85"/>
      <c r="E954" s="112" t="s">
        <v>2581</v>
      </c>
      <c r="F954" s="113" t="s">
        <v>2573</v>
      </c>
      <c r="G954" s="114" t="s">
        <v>2515</v>
      </c>
      <c r="H954" s="114" t="s">
        <v>2516</v>
      </c>
      <c r="I954" s="114" t="s">
        <v>153</v>
      </c>
      <c r="J954" s="98" t="s">
        <v>527</v>
      </c>
      <c r="K954" s="101" t="s">
        <v>2582</v>
      </c>
      <c r="L954" s="102" t="n">
        <v>45761</v>
      </c>
      <c r="M954" s="100" t="n">
        <v>11957</v>
      </c>
      <c r="N954" s="100" t="n">
        <v>16026</v>
      </c>
      <c r="O954" s="100" t="n">
        <v>4069</v>
      </c>
      <c r="P954" s="100" t="n">
        <v>3947</v>
      </c>
      <c r="Q954" s="100" t="n">
        <f aca="false">ROUND(SUM(P950:P954),2)</f>
        <v>8539</v>
      </c>
      <c r="R954" s="117" t="n">
        <f aca="false">合約與計費!$D$4</f>
        <v>0.296</v>
      </c>
      <c r="S954" s="118" t="n">
        <f aca="false">ROUND(P954*R954,0)</f>
        <v>1168</v>
      </c>
      <c r="T954" s="105" t="n">
        <f aca="false">ROUND(SUM(S950:S954),2)</f>
        <v>2527</v>
      </c>
      <c r="U954" s="100"/>
      <c r="V954" s="100"/>
      <c r="W954" s="106"/>
      <c r="X954" s="100"/>
      <c r="Y954" s="100" t="n">
        <f aca="false">ROUND(SUM(X950:X954),2)</f>
        <v>33</v>
      </c>
      <c r="Z954" s="121"/>
      <c r="AA954" s="108"/>
      <c r="AB954" s="109" t="n">
        <f aca="false">ROUND(SUM(AA950:AA954),2)</f>
        <v>92</v>
      </c>
      <c r="AC954" s="110"/>
      <c r="AD954" s="42"/>
      <c r="AE954" s="43" t="n">
        <v>0.1</v>
      </c>
    </row>
    <row r="955" customFormat="false" ht="16.5" hidden="false" customHeight="true" outlineLevel="0" collapsed="false">
      <c r="A955" s="84" t="n">
        <f aca="false">ROW(A952)</f>
        <v>952</v>
      </c>
      <c r="B955" s="84" t="s">
        <v>455</v>
      </c>
      <c r="C955" s="32" t="n">
        <v>1</v>
      </c>
      <c r="D955" s="85" t="n">
        <v>114</v>
      </c>
      <c r="E955" s="86" t="s">
        <v>2583</v>
      </c>
      <c r="F955" s="87" t="s">
        <v>2584</v>
      </c>
      <c r="G955" s="32" t="s">
        <v>2515</v>
      </c>
      <c r="H955" s="32" t="s">
        <v>2516</v>
      </c>
      <c r="I955" s="32" t="s">
        <v>332</v>
      </c>
      <c r="J955" s="86" t="s">
        <v>460</v>
      </c>
      <c r="K955" s="88" t="s">
        <v>2585</v>
      </c>
      <c r="L955" s="89" t="n">
        <v>45749</v>
      </c>
      <c r="M955" s="32" t="n">
        <v>125</v>
      </c>
      <c r="N955" s="32" t="n">
        <v>151</v>
      </c>
      <c r="O955" s="32" t="n">
        <v>26</v>
      </c>
      <c r="P955" s="32" t="n">
        <v>25</v>
      </c>
      <c r="Q955" s="32"/>
      <c r="R955" s="90" t="n">
        <f aca="false">合約與計費!$D$4</f>
        <v>0.296</v>
      </c>
      <c r="S955" s="91" t="n">
        <f aca="false">ROUND(P955*R955,0)</f>
        <v>7</v>
      </c>
      <c r="T955" s="92"/>
      <c r="U955" s="32" t="n">
        <v>264</v>
      </c>
      <c r="V955" s="32" t="n">
        <v>331</v>
      </c>
      <c r="W955" s="32" t="n">
        <v>67</v>
      </c>
      <c r="X955" s="32" t="n">
        <v>65</v>
      </c>
      <c r="Y955" s="32"/>
      <c r="Z955" s="107" t="n">
        <f aca="false">合約與計費!$E$4</f>
        <v>2.8</v>
      </c>
      <c r="AA955" s="94" t="n">
        <f aca="false">ROUND(X955*Z955,0)</f>
        <v>182</v>
      </c>
      <c r="AB955" s="95"/>
      <c r="AC955" s="96"/>
      <c r="AD955" s="42"/>
      <c r="AE955" s="43"/>
    </row>
    <row r="956" customFormat="false" ht="16.5" hidden="false" customHeight="true" outlineLevel="0" collapsed="false">
      <c r="A956" s="97" t="n">
        <f aca="false">ROW(A953)</f>
        <v>953</v>
      </c>
      <c r="B956" s="97" t="s">
        <v>462</v>
      </c>
      <c r="C956" s="100" t="n">
        <v>1</v>
      </c>
      <c r="D956" s="85"/>
      <c r="E956" s="98" t="s">
        <v>2586</v>
      </c>
      <c r="F956" s="99" t="s">
        <v>2584</v>
      </c>
      <c r="G956" s="100" t="s">
        <v>2515</v>
      </c>
      <c r="H956" s="100" t="s">
        <v>2516</v>
      </c>
      <c r="I956" s="100" t="s">
        <v>332</v>
      </c>
      <c r="J956" s="98" t="s">
        <v>464</v>
      </c>
      <c r="K956" s="101" t="s">
        <v>2587</v>
      </c>
      <c r="L956" s="102" t="n">
        <v>45749</v>
      </c>
      <c r="M956" s="100" t="n">
        <v>824</v>
      </c>
      <c r="N956" s="100" t="n">
        <v>942</v>
      </c>
      <c r="O956" s="100" t="n">
        <v>118</v>
      </c>
      <c r="P956" s="100" t="n">
        <v>114</v>
      </c>
      <c r="Q956" s="100"/>
      <c r="R956" s="103" t="n">
        <f aca="false">合約與計費!$D$4</f>
        <v>0.296</v>
      </c>
      <c r="S956" s="104" t="n">
        <f aca="false">ROUND(P956*R956,0)</f>
        <v>34</v>
      </c>
      <c r="T956" s="105"/>
      <c r="U956" s="100"/>
      <c r="V956" s="100"/>
      <c r="W956" s="106"/>
      <c r="X956" s="100"/>
      <c r="Y956" s="100"/>
      <c r="Z956" s="107"/>
      <c r="AA956" s="108"/>
      <c r="AB956" s="109"/>
      <c r="AC956" s="110"/>
      <c r="AD956" s="42" t="n">
        <v>0.0576</v>
      </c>
      <c r="AE956" s="43" t="n">
        <v>1</v>
      </c>
    </row>
    <row r="957" customFormat="false" ht="16.5" hidden="false" customHeight="true" outlineLevel="0" collapsed="false">
      <c r="A957" s="97" t="n">
        <f aca="false">ROW(A954)</f>
        <v>954</v>
      </c>
      <c r="B957" s="97" t="s">
        <v>466</v>
      </c>
      <c r="C957" s="100" t="n">
        <v>1</v>
      </c>
      <c r="D957" s="85"/>
      <c r="E957" s="98" t="s">
        <v>2588</v>
      </c>
      <c r="F957" s="99" t="s">
        <v>2584</v>
      </c>
      <c r="G957" s="100" t="s">
        <v>2515</v>
      </c>
      <c r="H957" s="100" t="s">
        <v>2516</v>
      </c>
      <c r="I957" s="100" t="s">
        <v>332</v>
      </c>
      <c r="J957" s="98" t="s">
        <v>471</v>
      </c>
      <c r="K957" s="101" t="s">
        <v>2589</v>
      </c>
      <c r="L957" s="102" t="n">
        <v>45749</v>
      </c>
      <c r="M957" s="100" t="n">
        <v>2064</v>
      </c>
      <c r="N957" s="100" t="n">
        <v>2722</v>
      </c>
      <c r="O957" s="100" t="n">
        <v>658</v>
      </c>
      <c r="P957" s="100" t="n">
        <v>638</v>
      </c>
      <c r="Q957" s="100"/>
      <c r="R957" s="103" t="n">
        <f aca="false">合約與計費!$D$4</f>
        <v>0.296</v>
      </c>
      <c r="S957" s="104" t="n">
        <f aca="false">ROUND(P957*R957,0)</f>
        <v>189</v>
      </c>
      <c r="T957" s="105"/>
      <c r="U957" s="100"/>
      <c r="V957" s="100"/>
      <c r="W957" s="106"/>
      <c r="X957" s="100"/>
      <c r="Y957" s="100"/>
      <c r="Z957" s="107"/>
      <c r="AA957" s="108"/>
      <c r="AB957" s="109"/>
      <c r="AC957" s="110"/>
      <c r="AD957" s="42" t="n">
        <v>0.0433</v>
      </c>
      <c r="AE957" s="43" t="n">
        <v>0.1</v>
      </c>
    </row>
    <row r="958" customFormat="false" ht="16.5" hidden="false" customHeight="true" outlineLevel="0" collapsed="false">
      <c r="A958" s="97" t="n">
        <f aca="false">ROW(A955)</f>
        <v>955</v>
      </c>
      <c r="B958" s="97" t="s">
        <v>469</v>
      </c>
      <c r="C958" s="100" t="n">
        <v>1</v>
      </c>
      <c r="D958" s="85"/>
      <c r="E958" s="98" t="s">
        <v>2590</v>
      </c>
      <c r="F958" s="99" t="s">
        <v>2584</v>
      </c>
      <c r="G958" s="100" t="s">
        <v>2515</v>
      </c>
      <c r="H958" s="100" t="s">
        <v>2516</v>
      </c>
      <c r="I958" s="100" t="s">
        <v>332</v>
      </c>
      <c r="J958" s="98" t="s">
        <v>471</v>
      </c>
      <c r="K958" s="101" t="s">
        <v>2591</v>
      </c>
      <c r="L958" s="102" t="n">
        <v>45749</v>
      </c>
      <c r="M958" s="100" t="n">
        <v>4317</v>
      </c>
      <c r="N958" s="100" t="n">
        <v>4953</v>
      </c>
      <c r="O958" s="100" t="n">
        <v>636</v>
      </c>
      <c r="P958" s="100" t="n">
        <v>617</v>
      </c>
      <c r="Q958" s="100"/>
      <c r="R958" s="103" t="n">
        <f aca="false">合約與計費!$D$4</f>
        <v>0.296</v>
      </c>
      <c r="S958" s="104" t="n">
        <f aca="false">ROUND(P958*R958,0)</f>
        <v>183</v>
      </c>
      <c r="T958" s="105"/>
      <c r="U958" s="100"/>
      <c r="V958" s="100"/>
      <c r="W958" s="106"/>
      <c r="X958" s="100"/>
      <c r="Y958" s="100"/>
      <c r="Z958" s="107"/>
      <c r="AA958" s="108"/>
      <c r="AB958" s="109"/>
      <c r="AC958" s="110"/>
      <c r="AD958" s="42" t="n">
        <v>0.0862</v>
      </c>
      <c r="AE958" s="43" t="n">
        <v>1</v>
      </c>
    </row>
    <row r="959" customFormat="false" ht="16.5" hidden="false" customHeight="true" outlineLevel="0" collapsed="false">
      <c r="A959" s="111" t="n">
        <f aca="false">ROW(A956)</f>
        <v>956</v>
      </c>
      <c r="B959" s="111" t="s">
        <v>473</v>
      </c>
      <c r="C959" s="114" t="n">
        <v>1</v>
      </c>
      <c r="D959" s="85"/>
      <c r="E959" s="112" t="s">
        <v>2592</v>
      </c>
      <c r="F959" s="113" t="s">
        <v>2584</v>
      </c>
      <c r="G959" s="114" t="s">
        <v>2515</v>
      </c>
      <c r="H959" s="114" t="s">
        <v>2516</v>
      </c>
      <c r="I959" s="114" t="s">
        <v>332</v>
      </c>
      <c r="J959" s="112" t="s">
        <v>471</v>
      </c>
      <c r="K959" s="115" t="s">
        <v>2593</v>
      </c>
      <c r="L959" s="116" t="n">
        <v>45749</v>
      </c>
      <c r="M959" s="114" t="n">
        <v>10795</v>
      </c>
      <c r="N959" s="114" t="n">
        <v>13285</v>
      </c>
      <c r="O959" s="114" t="n">
        <v>2490</v>
      </c>
      <c r="P959" s="114" t="n">
        <v>2415</v>
      </c>
      <c r="Q959" s="114" t="n">
        <f aca="false">ROUND(SUM(P955:P959),2)</f>
        <v>3809</v>
      </c>
      <c r="R959" s="117" t="n">
        <f aca="false">合約與計費!$D$4</f>
        <v>0.296</v>
      </c>
      <c r="S959" s="118" t="n">
        <f aca="false">ROUND(P959*R959,0)</f>
        <v>715</v>
      </c>
      <c r="T959" s="119" t="n">
        <f aca="false">ROUND(SUM(S955:S959),2)</f>
        <v>1128</v>
      </c>
      <c r="U959" s="114"/>
      <c r="V959" s="114"/>
      <c r="W959" s="120"/>
      <c r="X959" s="114"/>
      <c r="Y959" s="114" t="n">
        <f aca="false">ROUND(SUM(X955:X959),2)</f>
        <v>65</v>
      </c>
      <c r="Z959" s="121"/>
      <c r="AA959" s="122"/>
      <c r="AB959" s="123" t="n">
        <f aca="false">ROUND(SUM(AA955:AA959),2)</f>
        <v>182</v>
      </c>
      <c r="AC959" s="124"/>
      <c r="AD959" s="42" t="n">
        <v>0.1041</v>
      </c>
      <c r="AE959" s="43" t="n">
        <v>0.1</v>
      </c>
    </row>
    <row r="960" customFormat="false" ht="16.5" hidden="false" customHeight="true" outlineLevel="0" collapsed="false">
      <c r="A960" s="84" t="n">
        <f aca="false">ROW(A957)</f>
        <v>957</v>
      </c>
      <c r="B960" s="84" t="s">
        <v>455</v>
      </c>
      <c r="C960" s="32" t="n">
        <v>1</v>
      </c>
      <c r="D960" s="85" t="n">
        <v>116</v>
      </c>
      <c r="E960" s="86" t="s">
        <v>2594</v>
      </c>
      <c r="F960" s="87" t="s">
        <v>2595</v>
      </c>
      <c r="G960" s="32" t="s">
        <v>2515</v>
      </c>
      <c r="H960" s="32" t="s">
        <v>2516</v>
      </c>
      <c r="I960" s="32" t="s">
        <v>393</v>
      </c>
      <c r="J960" s="86" t="s">
        <v>460</v>
      </c>
      <c r="K960" s="88" t="s">
        <v>2596</v>
      </c>
      <c r="L960" s="89" t="n">
        <v>45772</v>
      </c>
      <c r="M960" s="32" t="n">
        <v>337</v>
      </c>
      <c r="N960" s="32" t="n">
        <v>383</v>
      </c>
      <c r="O960" s="32" t="n">
        <v>46</v>
      </c>
      <c r="P960" s="32" t="n">
        <v>45</v>
      </c>
      <c r="Q960" s="32"/>
      <c r="R960" s="90" t="n">
        <f aca="false">合約與計費!$D$4</f>
        <v>0.296</v>
      </c>
      <c r="S960" s="91" t="n">
        <f aca="false">ROUND(P960*R960,0)</f>
        <v>13</v>
      </c>
      <c r="T960" s="92"/>
      <c r="U960" s="32" t="n">
        <v>65</v>
      </c>
      <c r="V960" s="32" t="n">
        <v>94</v>
      </c>
      <c r="W960" s="32" t="n">
        <v>29</v>
      </c>
      <c r="X960" s="32" t="n">
        <v>28</v>
      </c>
      <c r="Y960" s="32"/>
      <c r="Z960" s="93" t="n">
        <f aca="false">合約與計費!$E$4</f>
        <v>2.8</v>
      </c>
      <c r="AA960" s="94" t="n">
        <f aca="false">ROUND(X960*Z960,0)</f>
        <v>78</v>
      </c>
      <c r="AB960" s="95"/>
      <c r="AC960" s="96"/>
      <c r="AD960" s="42"/>
      <c r="AE960" s="43"/>
    </row>
    <row r="961" customFormat="false" ht="16.5" hidden="false" customHeight="true" outlineLevel="0" collapsed="false">
      <c r="A961" s="97" t="n">
        <f aca="false">ROW(A958)</f>
        <v>958</v>
      </c>
      <c r="B961" s="97" t="s">
        <v>462</v>
      </c>
      <c r="C961" s="100" t="n">
        <v>1</v>
      </c>
      <c r="D961" s="85"/>
      <c r="E961" s="98" t="s">
        <v>2597</v>
      </c>
      <c r="F961" s="99" t="s">
        <v>2595</v>
      </c>
      <c r="G961" s="100" t="s">
        <v>2515</v>
      </c>
      <c r="H961" s="100" t="s">
        <v>2516</v>
      </c>
      <c r="I961" s="100" t="s">
        <v>393</v>
      </c>
      <c r="J961" s="98" t="s">
        <v>464</v>
      </c>
      <c r="K961" s="101" t="s">
        <v>2598</v>
      </c>
      <c r="L961" s="102" t="n">
        <v>45772</v>
      </c>
      <c r="M961" s="100" t="n">
        <v>1552</v>
      </c>
      <c r="N961" s="100" t="n">
        <v>1967</v>
      </c>
      <c r="O961" s="100" t="n">
        <v>415</v>
      </c>
      <c r="P961" s="100" t="n">
        <v>403</v>
      </c>
      <c r="Q961" s="100"/>
      <c r="R961" s="103" t="n">
        <f aca="false">合約與計費!$D$4</f>
        <v>0.296</v>
      </c>
      <c r="S961" s="104" t="n">
        <f aca="false">ROUND(P961*R961,0)</f>
        <v>119</v>
      </c>
      <c r="T961" s="105"/>
      <c r="U961" s="100"/>
      <c r="V961" s="100"/>
      <c r="W961" s="106"/>
      <c r="X961" s="100"/>
      <c r="Y961" s="100"/>
      <c r="Z961" s="107"/>
      <c r="AA961" s="108"/>
      <c r="AB961" s="109"/>
      <c r="AC961" s="110"/>
      <c r="AD961" s="42" t="n">
        <v>0.0605</v>
      </c>
      <c r="AE961" s="43" t="n">
        <v>0.1</v>
      </c>
    </row>
    <row r="962" customFormat="false" ht="16.5" hidden="false" customHeight="true" outlineLevel="0" collapsed="false">
      <c r="A962" s="97" t="n">
        <f aca="false">ROW(A959)</f>
        <v>959</v>
      </c>
      <c r="B962" s="97" t="s">
        <v>466</v>
      </c>
      <c r="C962" s="100" t="n">
        <v>1</v>
      </c>
      <c r="D962" s="85"/>
      <c r="E962" s="98" t="s">
        <v>2599</v>
      </c>
      <c r="F962" s="99" t="s">
        <v>2595</v>
      </c>
      <c r="G962" s="100" t="s">
        <v>2515</v>
      </c>
      <c r="H962" s="100" t="s">
        <v>2516</v>
      </c>
      <c r="I962" s="100" t="s">
        <v>393</v>
      </c>
      <c r="J962" s="98" t="s">
        <v>471</v>
      </c>
      <c r="K962" s="101" t="s">
        <v>2600</v>
      </c>
      <c r="L962" s="102" t="n">
        <v>45772</v>
      </c>
      <c r="M962" s="100" t="n">
        <v>2035</v>
      </c>
      <c r="N962" s="100" t="n">
        <v>2564</v>
      </c>
      <c r="O962" s="100" t="n">
        <v>529</v>
      </c>
      <c r="P962" s="100" t="n">
        <v>513</v>
      </c>
      <c r="Q962" s="100"/>
      <c r="R962" s="103" t="n">
        <f aca="false">合約與計費!$D$4</f>
        <v>0.296</v>
      </c>
      <c r="S962" s="104" t="n">
        <f aca="false">ROUND(P962*R962,0)</f>
        <v>152</v>
      </c>
      <c r="T962" s="105"/>
      <c r="U962" s="100"/>
      <c r="V962" s="100"/>
      <c r="W962" s="106"/>
      <c r="X962" s="100"/>
      <c r="Y962" s="100"/>
      <c r="Z962" s="107"/>
      <c r="AA962" s="108"/>
      <c r="AB962" s="109"/>
      <c r="AC962" s="110"/>
      <c r="AD962" s="42" t="n">
        <v>0.2377</v>
      </c>
      <c r="AE962" s="43" t="n">
        <v>0.3</v>
      </c>
    </row>
    <row r="963" customFormat="false" ht="16.5" hidden="false" customHeight="true" outlineLevel="0" collapsed="false">
      <c r="A963" s="97" t="n">
        <f aca="false">ROW(A960)</f>
        <v>960</v>
      </c>
      <c r="B963" s="97" t="s">
        <v>469</v>
      </c>
      <c r="C963" s="100" t="n">
        <v>1</v>
      </c>
      <c r="D963" s="85"/>
      <c r="E963" s="98" t="s">
        <v>2601</v>
      </c>
      <c r="F963" s="99" t="s">
        <v>2595</v>
      </c>
      <c r="G963" s="100" t="s">
        <v>2515</v>
      </c>
      <c r="H963" s="100" t="s">
        <v>2516</v>
      </c>
      <c r="I963" s="100" t="s">
        <v>393</v>
      </c>
      <c r="J963" s="98" t="s">
        <v>471</v>
      </c>
      <c r="K963" s="101" t="s">
        <v>2602</v>
      </c>
      <c r="L963" s="102" t="n">
        <v>45772</v>
      </c>
      <c r="M963" s="100" t="n">
        <v>7353</v>
      </c>
      <c r="N963" s="100" t="n">
        <v>8979</v>
      </c>
      <c r="O963" s="100" t="n">
        <v>1626</v>
      </c>
      <c r="P963" s="100" t="n">
        <v>1577</v>
      </c>
      <c r="Q963" s="100"/>
      <c r="R963" s="103" t="n">
        <f aca="false">合約與計費!$D$4</f>
        <v>0.296</v>
      </c>
      <c r="S963" s="104" t="n">
        <f aca="false">ROUND(P963*R963,0)</f>
        <v>467</v>
      </c>
      <c r="T963" s="105"/>
      <c r="U963" s="100"/>
      <c r="V963" s="100"/>
      <c r="W963" s="106"/>
      <c r="X963" s="100"/>
      <c r="Y963" s="100"/>
      <c r="Z963" s="107"/>
      <c r="AA963" s="108"/>
      <c r="AB963" s="109"/>
      <c r="AC963" s="110"/>
      <c r="AD963" s="42" t="n">
        <v>0.0966</v>
      </c>
      <c r="AE963" s="43" t="n">
        <v>0.8</v>
      </c>
    </row>
    <row r="964" customFormat="false" ht="16.5" hidden="false" customHeight="true" outlineLevel="0" collapsed="false">
      <c r="A964" s="111" t="n">
        <f aca="false">ROW(A961)</f>
        <v>961</v>
      </c>
      <c r="B964" s="111" t="s">
        <v>473</v>
      </c>
      <c r="C964" s="114" t="n">
        <v>1</v>
      </c>
      <c r="D964" s="85"/>
      <c r="E964" s="112" t="s">
        <v>2603</v>
      </c>
      <c r="F964" s="113" t="s">
        <v>2595</v>
      </c>
      <c r="G964" s="114" t="s">
        <v>2515</v>
      </c>
      <c r="H964" s="114" t="s">
        <v>2516</v>
      </c>
      <c r="I964" s="114" t="s">
        <v>393</v>
      </c>
      <c r="J964" s="112" t="s">
        <v>471</v>
      </c>
      <c r="K964" s="115" t="s">
        <v>2604</v>
      </c>
      <c r="L964" s="116" t="n">
        <v>45772</v>
      </c>
      <c r="M964" s="114" t="n">
        <v>14369</v>
      </c>
      <c r="N964" s="114" t="n">
        <v>18826</v>
      </c>
      <c r="O964" s="114" t="n">
        <v>4457</v>
      </c>
      <c r="P964" s="114" t="n">
        <v>4323</v>
      </c>
      <c r="Q964" s="114" t="n">
        <f aca="false">ROUND(SUM(P960:P964),2)</f>
        <v>6861</v>
      </c>
      <c r="R964" s="117" t="n">
        <f aca="false">合約與計費!$D$4</f>
        <v>0.296</v>
      </c>
      <c r="S964" s="118" t="n">
        <f aca="false">ROUND(P964*R964,0)</f>
        <v>1280</v>
      </c>
      <c r="T964" s="119" t="n">
        <f aca="false">ROUND(SUM(S960:S964),2)</f>
        <v>2031</v>
      </c>
      <c r="U964" s="114"/>
      <c r="V964" s="114"/>
      <c r="W964" s="120"/>
      <c r="X964" s="114"/>
      <c r="Y964" s="114" t="n">
        <f aca="false">ROUND(SUM(X960:X964),2)</f>
        <v>28</v>
      </c>
      <c r="Z964" s="121"/>
      <c r="AA964" s="122"/>
      <c r="AB964" s="123" t="n">
        <f aca="false">ROUND(SUM(AA960:AA964),2)</f>
        <v>78</v>
      </c>
      <c r="AC964" s="124"/>
      <c r="AD964" s="42" t="n">
        <v>0.1062</v>
      </c>
      <c r="AE964" s="43" t="n">
        <v>0.5</v>
      </c>
    </row>
    <row r="965" customFormat="false" ht="16.5" hidden="false" customHeight="true" outlineLevel="0" collapsed="false">
      <c r="A965" s="84" t="n">
        <f aca="false">ROW(A962)</f>
        <v>962</v>
      </c>
      <c r="B965" s="84" t="s">
        <v>455</v>
      </c>
      <c r="C965" s="32" t="n">
        <v>1</v>
      </c>
      <c r="D965" s="85" t="n">
        <v>123</v>
      </c>
      <c r="E965" s="86" t="s">
        <v>2605</v>
      </c>
      <c r="F965" s="87" t="s">
        <v>2606</v>
      </c>
      <c r="G965" s="32" t="s">
        <v>2515</v>
      </c>
      <c r="H965" s="32" t="s">
        <v>2516</v>
      </c>
      <c r="I965" s="32" t="s">
        <v>154</v>
      </c>
      <c r="J965" s="86" t="s">
        <v>460</v>
      </c>
      <c r="K965" s="88" t="s">
        <v>2607</v>
      </c>
      <c r="L965" s="89" t="n">
        <v>45762</v>
      </c>
      <c r="M965" s="32" t="n">
        <v>473</v>
      </c>
      <c r="N965" s="32" t="n">
        <v>530</v>
      </c>
      <c r="O965" s="32" t="n">
        <v>57</v>
      </c>
      <c r="P965" s="32" t="n">
        <v>55</v>
      </c>
      <c r="Q965" s="32"/>
      <c r="R965" s="90" t="n">
        <f aca="false">合約與計費!$D$4</f>
        <v>0.296</v>
      </c>
      <c r="S965" s="91" t="n">
        <f aca="false">ROUND(P965*R965,0)</f>
        <v>16</v>
      </c>
      <c r="T965" s="92"/>
      <c r="U965" s="32" t="n">
        <v>431</v>
      </c>
      <c r="V965" s="32" t="n">
        <v>461</v>
      </c>
      <c r="W965" s="32" t="n">
        <v>30</v>
      </c>
      <c r="X965" s="32" t="n">
        <v>29</v>
      </c>
      <c r="Y965" s="32"/>
      <c r="Z965" s="93" t="n">
        <f aca="false">合約與計費!$E$4</f>
        <v>2.8</v>
      </c>
      <c r="AA965" s="94" t="n">
        <f aca="false">ROUND(X965*Z965,0)</f>
        <v>81</v>
      </c>
      <c r="AB965" s="95"/>
      <c r="AC965" s="96"/>
      <c r="AD965" s="42"/>
      <c r="AE965" s="43"/>
    </row>
    <row r="966" customFormat="false" ht="16.5" hidden="false" customHeight="true" outlineLevel="0" collapsed="false">
      <c r="A966" s="97" t="n">
        <f aca="false">ROW(A963)</f>
        <v>963</v>
      </c>
      <c r="B966" s="97" t="s">
        <v>462</v>
      </c>
      <c r="C966" s="100" t="n">
        <v>1</v>
      </c>
      <c r="D966" s="85"/>
      <c r="E966" s="98" t="s">
        <v>2608</v>
      </c>
      <c r="F966" s="99" t="s">
        <v>2606</v>
      </c>
      <c r="G966" s="100" t="s">
        <v>2515</v>
      </c>
      <c r="H966" s="100" t="s">
        <v>2516</v>
      </c>
      <c r="I966" s="100" t="s">
        <v>154</v>
      </c>
      <c r="J966" s="98" t="s">
        <v>464</v>
      </c>
      <c r="K966" s="101" t="s">
        <v>2609</v>
      </c>
      <c r="L966" s="102" t="n">
        <v>45790</v>
      </c>
      <c r="M966" s="100" t="n">
        <v>532</v>
      </c>
      <c r="N966" s="100" t="n">
        <v>627</v>
      </c>
      <c r="O966" s="100" t="n">
        <v>95</v>
      </c>
      <c r="P966" s="100" t="n">
        <v>92</v>
      </c>
      <c r="Q966" s="100"/>
      <c r="R966" s="103" t="n">
        <f aca="false">合約與計費!$D$4</f>
        <v>0.296</v>
      </c>
      <c r="S966" s="104" t="n">
        <f aca="false">ROUND(P966*R966,0)</f>
        <v>27</v>
      </c>
      <c r="T966" s="105"/>
      <c r="U966" s="100"/>
      <c r="V966" s="100"/>
      <c r="W966" s="106"/>
      <c r="X966" s="100"/>
      <c r="Y966" s="100"/>
      <c r="Z966" s="107"/>
      <c r="AA966" s="108"/>
      <c r="AB966" s="109"/>
      <c r="AC966" s="110"/>
      <c r="AD966" s="42"/>
      <c r="AE966" s="43" t="n">
        <v>0.8</v>
      </c>
    </row>
    <row r="967" customFormat="false" ht="16.5" hidden="false" customHeight="true" outlineLevel="0" collapsed="false">
      <c r="A967" s="97" t="n">
        <f aca="false">ROW(A964)</f>
        <v>964</v>
      </c>
      <c r="B967" s="97" t="s">
        <v>466</v>
      </c>
      <c r="C967" s="100" t="n">
        <v>1</v>
      </c>
      <c r="D967" s="85"/>
      <c r="E967" s="98" t="s">
        <v>2610</v>
      </c>
      <c r="F967" s="99" t="s">
        <v>2606</v>
      </c>
      <c r="G967" s="100" t="s">
        <v>2515</v>
      </c>
      <c r="H967" s="100" t="s">
        <v>2516</v>
      </c>
      <c r="I967" s="100" t="s">
        <v>154</v>
      </c>
      <c r="J967" s="98" t="s">
        <v>527</v>
      </c>
      <c r="K967" s="101" t="s">
        <v>2611</v>
      </c>
      <c r="L967" s="102" t="n">
        <v>45761</v>
      </c>
      <c r="M967" s="100" t="n">
        <v>1758</v>
      </c>
      <c r="N967" s="100" t="n">
        <v>1958</v>
      </c>
      <c r="O967" s="100" t="n">
        <v>200</v>
      </c>
      <c r="P967" s="100" t="n">
        <v>194</v>
      </c>
      <c r="Q967" s="100"/>
      <c r="R967" s="103" t="n">
        <f aca="false">合約與計費!$D$4</f>
        <v>0.296</v>
      </c>
      <c r="S967" s="104" t="n">
        <f aca="false">ROUND(P967*R967,0)</f>
        <v>57</v>
      </c>
      <c r="T967" s="105"/>
      <c r="U967" s="100"/>
      <c r="V967" s="100"/>
      <c r="W967" s="106"/>
      <c r="X967" s="100"/>
      <c r="Y967" s="100"/>
      <c r="Z967" s="107"/>
      <c r="AA967" s="108"/>
      <c r="AB967" s="109"/>
      <c r="AC967" s="110"/>
      <c r="AD967" s="42"/>
      <c r="AE967" s="43" t="n">
        <v>0.8</v>
      </c>
    </row>
    <row r="968" customFormat="false" ht="16.5" hidden="false" customHeight="true" outlineLevel="0" collapsed="false">
      <c r="A968" s="97" t="n">
        <f aca="false">ROW(A965)</f>
        <v>965</v>
      </c>
      <c r="B968" s="97" t="s">
        <v>469</v>
      </c>
      <c r="C968" s="100" t="n">
        <v>1</v>
      </c>
      <c r="D968" s="85"/>
      <c r="E968" s="98" t="s">
        <v>2612</v>
      </c>
      <c r="F968" s="99" t="s">
        <v>2606</v>
      </c>
      <c r="G968" s="100" t="s">
        <v>2515</v>
      </c>
      <c r="H968" s="100" t="s">
        <v>2516</v>
      </c>
      <c r="I968" s="100" t="s">
        <v>154</v>
      </c>
      <c r="J968" s="98" t="s">
        <v>527</v>
      </c>
      <c r="K968" s="101" t="s">
        <v>2613</v>
      </c>
      <c r="L968" s="102" t="n">
        <v>45761</v>
      </c>
      <c r="M968" s="100" t="n">
        <v>12040</v>
      </c>
      <c r="N968" s="100" t="n">
        <v>13927</v>
      </c>
      <c r="O968" s="100" t="n">
        <v>1887</v>
      </c>
      <c r="P968" s="100" t="n">
        <v>1830</v>
      </c>
      <c r="Q968" s="100"/>
      <c r="R968" s="103" t="n">
        <f aca="false">合約與計費!$D$4</f>
        <v>0.296</v>
      </c>
      <c r="S968" s="104" t="n">
        <f aca="false">ROUND(P968*R968,0)</f>
        <v>542</v>
      </c>
      <c r="T968" s="105"/>
      <c r="U968" s="100"/>
      <c r="V968" s="100"/>
      <c r="W968" s="106"/>
      <c r="X968" s="100"/>
      <c r="Y968" s="100"/>
      <c r="Z968" s="107"/>
      <c r="AA968" s="108"/>
      <c r="AB968" s="109"/>
      <c r="AC968" s="110"/>
      <c r="AD968" s="42"/>
      <c r="AE968" s="43" t="n">
        <v>0.6</v>
      </c>
    </row>
    <row r="969" customFormat="false" ht="16.5" hidden="false" customHeight="true" outlineLevel="0" collapsed="false">
      <c r="A969" s="111" t="n">
        <f aca="false">ROW(A966)</f>
        <v>966</v>
      </c>
      <c r="B969" s="111" t="s">
        <v>473</v>
      </c>
      <c r="C969" s="114" t="n">
        <v>1</v>
      </c>
      <c r="D969" s="85"/>
      <c r="E969" s="112" t="s">
        <v>2614</v>
      </c>
      <c r="F969" s="113" t="s">
        <v>2606</v>
      </c>
      <c r="G969" s="114" t="s">
        <v>2515</v>
      </c>
      <c r="H969" s="114" t="s">
        <v>2516</v>
      </c>
      <c r="I969" s="114" t="s">
        <v>154</v>
      </c>
      <c r="J969" s="98" t="s">
        <v>527</v>
      </c>
      <c r="K969" s="101" t="s">
        <v>2615</v>
      </c>
      <c r="L969" s="102" t="n">
        <v>45790</v>
      </c>
      <c r="M969" s="100" t="n">
        <v>9167</v>
      </c>
      <c r="N969" s="100" t="n">
        <v>10322</v>
      </c>
      <c r="O969" s="100" t="n">
        <v>1155</v>
      </c>
      <c r="P969" s="100" t="n">
        <v>1120</v>
      </c>
      <c r="Q969" s="100" t="n">
        <f aca="false">ROUND(SUM(P965:P969),2)</f>
        <v>3291</v>
      </c>
      <c r="R969" s="103" t="n">
        <f aca="false">合約與計費!$D$4</f>
        <v>0.296</v>
      </c>
      <c r="S969" s="104" t="n">
        <f aca="false">ROUND(P969*R969,0)</f>
        <v>332</v>
      </c>
      <c r="T969" s="105" t="n">
        <f aca="false">ROUND(SUM(S965:S969),2)</f>
        <v>974</v>
      </c>
      <c r="U969" s="100"/>
      <c r="V969" s="100"/>
      <c r="W969" s="106"/>
      <c r="X969" s="100"/>
      <c r="Y969" s="100" t="n">
        <f aca="false">ROUND(SUM(X965:X969),2)</f>
        <v>29</v>
      </c>
      <c r="Z969" s="107"/>
      <c r="AA969" s="108"/>
      <c r="AB969" s="109" t="n">
        <f aca="false">ROUND(SUM(AA965:AA969),2)</f>
        <v>81</v>
      </c>
      <c r="AC969" s="110"/>
      <c r="AD969" s="42"/>
      <c r="AE969" s="43" t="n">
        <v>0.8</v>
      </c>
    </row>
    <row r="970" customFormat="false" ht="16.5" hidden="false" customHeight="true" outlineLevel="0" collapsed="false">
      <c r="A970" s="84" t="n">
        <f aca="false">ROW(A967)</f>
        <v>967</v>
      </c>
      <c r="B970" s="84" t="s">
        <v>455</v>
      </c>
      <c r="C970" s="32" t="n">
        <v>1</v>
      </c>
      <c r="D970" s="85" t="n">
        <v>209</v>
      </c>
      <c r="E970" s="86" t="s">
        <v>2616</v>
      </c>
      <c r="F970" s="87" t="s">
        <v>2617</v>
      </c>
      <c r="G970" s="32" t="s">
        <v>2515</v>
      </c>
      <c r="H970" s="32" t="s">
        <v>2516</v>
      </c>
      <c r="I970" s="32" t="s">
        <v>312</v>
      </c>
      <c r="J970" s="86" t="s">
        <v>460</v>
      </c>
      <c r="K970" s="88" t="s">
        <v>2618</v>
      </c>
      <c r="L970" s="89" t="n">
        <v>45749</v>
      </c>
      <c r="M970" s="32" t="n">
        <v>1375</v>
      </c>
      <c r="N970" s="32" t="n">
        <v>1634</v>
      </c>
      <c r="O970" s="32" t="n">
        <v>259</v>
      </c>
      <c r="P970" s="32" t="n">
        <v>251</v>
      </c>
      <c r="Q970" s="32"/>
      <c r="R970" s="90" t="n">
        <f aca="false">合約與計費!$D$4</f>
        <v>0.296</v>
      </c>
      <c r="S970" s="91" t="n">
        <f aca="false">ROUND(P970*R970,0)</f>
        <v>74</v>
      </c>
      <c r="T970" s="92"/>
      <c r="U970" s="32" t="n">
        <v>412</v>
      </c>
      <c r="V970" s="32" t="n">
        <v>707</v>
      </c>
      <c r="W970" s="32" t="n">
        <v>295</v>
      </c>
      <c r="X970" s="32" t="n">
        <v>286</v>
      </c>
      <c r="Y970" s="32"/>
      <c r="Z970" s="93" t="n">
        <f aca="false">合約與計費!$E$4</f>
        <v>2.8</v>
      </c>
      <c r="AA970" s="94" t="n">
        <f aca="false">ROUND(X970*Z970,0)</f>
        <v>801</v>
      </c>
      <c r="AB970" s="95"/>
      <c r="AC970" s="96"/>
      <c r="AD970" s="42"/>
      <c r="AE970" s="43"/>
    </row>
    <row r="971" customFormat="false" ht="16.5" hidden="false" customHeight="true" outlineLevel="0" collapsed="false">
      <c r="A971" s="97" t="n">
        <f aca="false">ROW(A968)</f>
        <v>968</v>
      </c>
      <c r="B971" s="97" t="s">
        <v>462</v>
      </c>
      <c r="C971" s="100" t="n">
        <v>1</v>
      </c>
      <c r="D971" s="85"/>
      <c r="E971" s="98" t="s">
        <v>2619</v>
      </c>
      <c r="F971" s="99" t="s">
        <v>2617</v>
      </c>
      <c r="G971" s="100" t="s">
        <v>2515</v>
      </c>
      <c r="H971" s="100" t="s">
        <v>2516</v>
      </c>
      <c r="I971" s="100" t="s">
        <v>312</v>
      </c>
      <c r="J971" s="98" t="s">
        <v>464</v>
      </c>
      <c r="K971" s="101" t="s">
        <v>2620</v>
      </c>
      <c r="L971" s="102" t="n">
        <v>45749</v>
      </c>
      <c r="M971" s="100" t="n">
        <v>3699</v>
      </c>
      <c r="N971" s="100" t="n">
        <v>4749</v>
      </c>
      <c r="O971" s="100" t="n">
        <v>1050</v>
      </c>
      <c r="P971" s="100" t="n">
        <v>1019</v>
      </c>
      <c r="Q971" s="100"/>
      <c r="R971" s="103" t="n">
        <f aca="false">合約與計費!$D$4</f>
        <v>0.296</v>
      </c>
      <c r="S971" s="104" t="n">
        <f aca="false">ROUND(P971*R971,0)</f>
        <v>302</v>
      </c>
      <c r="T971" s="105"/>
      <c r="U971" s="100"/>
      <c r="V971" s="100"/>
      <c r="W971" s="106"/>
      <c r="X971" s="100"/>
      <c r="Y971" s="100"/>
      <c r="Z971" s="107"/>
      <c r="AA971" s="108"/>
      <c r="AB971" s="109"/>
      <c r="AC971" s="110"/>
      <c r="AD971" s="42" t="n">
        <v>0.0686</v>
      </c>
      <c r="AE971" s="43" t="n">
        <v>0.8</v>
      </c>
    </row>
    <row r="972" customFormat="false" ht="16.5" hidden="false" customHeight="true" outlineLevel="0" collapsed="false">
      <c r="A972" s="97" t="n">
        <f aca="false">ROW(A969)</f>
        <v>969</v>
      </c>
      <c r="B972" s="97" t="s">
        <v>466</v>
      </c>
      <c r="C972" s="100" t="n">
        <v>1</v>
      </c>
      <c r="D972" s="85"/>
      <c r="E972" s="98" t="s">
        <v>2621</v>
      </c>
      <c r="F972" s="99" t="s">
        <v>2617</v>
      </c>
      <c r="G972" s="100" t="s">
        <v>2515</v>
      </c>
      <c r="H972" s="100" t="s">
        <v>2516</v>
      </c>
      <c r="I972" s="100" t="s">
        <v>312</v>
      </c>
      <c r="J972" s="98" t="s">
        <v>471</v>
      </c>
      <c r="K972" s="101" t="s">
        <v>2622</v>
      </c>
      <c r="L972" s="102" t="n">
        <v>45749</v>
      </c>
      <c r="M972" s="100" t="n">
        <v>12248</v>
      </c>
      <c r="N972" s="100" t="n">
        <v>17450</v>
      </c>
      <c r="O972" s="100" t="n">
        <v>5202</v>
      </c>
      <c r="P972" s="100" t="n">
        <v>5046</v>
      </c>
      <c r="Q972" s="100"/>
      <c r="R972" s="103" t="n">
        <f aca="false">合約與計費!$D$4</f>
        <v>0.296</v>
      </c>
      <c r="S972" s="104" t="n">
        <f aca="false">ROUND(P972*R972,0)</f>
        <v>1494</v>
      </c>
      <c r="T972" s="105"/>
      <c r="U972" s="100"/>
      <c r="V972" s="100"/>
      <c r="W972" s="106"/>
      <c r="X972" s="100"/>
      <c r="Y972" s="100"/>
      <c r="Z972" s="107"/>
      <c r="AA972" s="108"/>
      <c r="AB972" s="109"/>
      <c r="AC972" s="110"/>
      <c r="AD972" s="42" t="n">
        <v>0.0977</v>
      </c>
      <c r="AE972" s="43" t="n">
        <v>0</v>
      </c>
    </row>
    <row r="973" customFormat="false" ht="16.5" hidden="false" customHeight="true" outlineLevel="0" collapsed="false">
      <c r="A973" s="97" t="n">
        <f aca="false">ROW(A970)</f>
        <v>970</v>
      </c>
      <c r="B973" s="97" t="s">
        <v>469</v>
      </c>
      <c r="C973" s="100" t="n">
        <v>1</v>
      </c>
      <c r="D973" s="85"/>
      <c r="E973" s="98" t="s">
        <v>2623</v>
      </c>
      <c r="F973" s="99" t="s">
        <v>2617</v>
      </c>
      <c r="G973" s="100" t="s">
        <v>2515</v>
      </c>
      <c r="H973" s="100" t="s">
        <v>2516</v>
      </c>
      <c r="I973" s="100" t="s">
        <v>312</v>
      </c>
      <c r="J973" s="98" t="s">
        <v>471</v>
      </c>
      <c r="K973" s="101" t="s">
        <v>2624</v>
      </c>
      <c r="L973" s="102" t="n">
        <v>45749</v>
      </c>
      <c r="M973" s="100" t="n">
        <v>4119</v>
      </c>
      <c r="N973" s="100" t="n">
        <v>5263</v>
      </c>
      <c r="O973" s="100" t="n">
        <v>1144</v>
      </c>
      <c r="P973" s="100" t="n">
        <v>1110</v>
      </c>
      <c r="Q973" s="100"/>
      <c r="R973" s="103" t="n">
        <f aca="false">合約與計費!$D$4</f>
        <v>0.296</v>
      </c>
      <c r="S973" s="104" t="n">
        <f aca="false">ROUND(P973*R973,0)</f>
        <v>329</v>
      </c>
      <c r="T973" s="105"/>
      <c r="U973" s="100"/>
      <c r="V973" s="100"/>
      <c r="W973" s="106"/>
      <c r="X973" s="100"/>
      <c r="Y973" s="100"/>
      <c r="Z973" s="107"/>
      <c r="AA973" s="108"/>
      <c r="AB973" s="109"/>
      <c r="AC973" s="110"/>
      <c r="AD973" s="42" t="n">
        <v>0.0891</v>
      </c>
      <c r="AE973" s="43" t="n">
        <v>0.6</v>
      </c>
    </row>
    <row r="974" customFormat="false" ht="16.5" hidden="false" customHeight="true" outlineLevel="0" collapsed="false">
      <c r="A974" s="97" t="n">
        <f aca="false">ROW(A971)</f>
        <v>971</v>
      </c>
      <c r="B974" s="97" t="s">
        <v>473</v>
      </c>
      <c r="C974" s="100" t="n">
        <v>1</v>
      </c>
      <c r="D974" s="85"/>
      <c r="E974" s="98" t="s">
        <v>2625</v>
      </c>
      <c r="F974" s="99" t="s">
        <v>2617</v>
      </c>
      <c r="G974" s="100" t="s">
        <v>2515</v>
      </c>
      <c r="H974" s="100" t="s">
        <v>2516</v>
      </c>
      <c r="I974" s="100" t="s">
        <v>312</v>
      </c>
      <c r="J974" s="98" t="s">
        <v>471</v>
      </c>
      <c r="K974" s="101" t="s">
        <v>2626</v>
      </c>
      <c r="L974" s="102" t="n">
        <v>45749</v>
      </c>
      <c r="M974" s="100" t="n">
        <v>12811</v>
      </c>
      <c r="N974" s="100" t="n">
        <v>15891</v>
      </c>
      <c r="O974" s="100" t="n">
        <v>3080</v>
      </c>
      <c r="P974" s="100" t="n">
        <v>2988</v>
      </c>
      <c r="Q974" s="100"/>
      <c r="R974" s="103" t="n">
        <f aca="false">合約與計費!$D$4</f>
        <v>0.296</v>
      </c>
      <c r="S974" s="104" t="n">
        <f aca="false">ROUND(P974*R974,0)</f>
        <v>884</v>
      </c>
      <c r="T974" s="105"/>
      <c r="U974" s="100"/>
      <c r="V974" s="100"/>
      <c r="W974" s="106"/>
      <c r="X974" s="100"/>
      <c r="Y974" s="100"/>
      <c r="Z974" s="107"/>
      <c r="AA974" s="108"/>
      <c r="AB974" s="109"/>
      <c r="AC974" s="110"/>
      <c r="AD974" s="42" t="n">
        <v>0.0879</v>
      </c>
      <c r="AE974" s="43" t="n">
        <v>0.5</v>
      </c>
    </row>
    <row r="975" customFormat="false" ht="16.5" hidden="false" customHeight="true" outlineLevel="0" collapsed="false">
      <c r="A975" s="111" t="n">
        <f aca="false">ROW(A972)</f>
        <v>972</v>
      </c>
      <c r="B975" s="111" t="s">
        <v>476</v>
      </c>
      <c r="C975" s="114" t="n">
        <v>1</v>
      </c>
      <c r="D975" s="85"/>
      <c r="E975" s="112" t="s">
        <v>2627</v>
      </c>
      <c r="F975" s="113" t="s">
        <v>2617</v>
      </c>
      <c r="G975" s="114" t="s">
        <v>2515</v>
      </c>
      <c r="H975" s="114" t="s">
        <v>2516</v>
      </c>
      <c r="I975" s="114" t="s">
        <v>312</v>
      </c>
      <c r="J975" s="112" t="s">
        <v>471</v>
      </c>
      <c r="K975" s="115" t="s">
        <v>2628</v>
      </c>
      <c r="L975" s="116" t="n">
        <v>45749</v>
      </c>
      <c r="M975" s="114" t="n">
        <v>9863</v>
      </c>
      <c r="N975" s="114" t="n">
        <v>10804</v>
      </c>
      <c r="O975" s="114" t="n">
        <v>941</v>
      </c>
      <c r="P975" s="114" t="n">
        <v>913</v>
      </c>
      <c r="Q975" s="114" t="n">
        <f aca="false">ROUND(SUM(P970:P975),2)</f>
        <v>11327</v>
      </c>
      <c r="R975" s="117" t="n">
        <f aca="false">合約與計費!$D$4</f>
        <v>0.296</v>
      </c>
      <c r="S975" s="118" t="n">
        <f aca="false">ROUND(P975*R975,0)</f>
        <v>270</v>
      </c>
      <c r="T975" s="119" t="n">
        <f aca="false">ROUND(SUM(S970:S975),2)</f>
        <v>3353</v>
      </c>
      <c r="U975" s="114"/>
      <c r="V975" s="114"/>
      <c r="W975" s="120"/>
      <c r="X975" s="114"/>
      <c r="Y975" s="114" t="n">
        <f aca="false">ROUND(SUM(X970:X975),2)</f>
        <v>286</v>
      </c>
      <c r="Z975" s="121"/>
      <c r="AA975" s="122"/>
      <c r="AB975" s="123" t="n">
        <f aca="false">ROUND(SUM(AA970:AA975),2)</f>
        <v>801</v>
      </c>
      <c r="AC975" s="124"/>
      <c r="AD975" s="42" t="n">
        <v>0.2501</v>
      </c>
      <c r="AE975" s="43" t="n">
        <v>0.1</v>
      </c>
    </row>
    <row r="976" customFormat="false" ht="16.5" hidden="false" customHeight="true" outlineLevel="0" collapsed="false">
      <c r="A976" s="84" t="n">
        <f aca="false">ROW(A973)</f>
        <v>973</v>
      </c>
      <c r="B976" s="84" t="s">
        <v>455</v>
      </c>
      <c r="C976" s="32" t="n">
        <v>1</v>
      </c>
      <c r="D976" s="85" t="n">
        <v>211</v>
      </c>
      <c r="E976" s="86" t="s">
        <v>2629</v>
      </c>
      <c r="F976" s="87" t="s">
        <v>2630</v>
      </c>
      <c r="G976" s="32" t="s">
        <v>2515</v>
      </c>
      <c r="H976" s="32" t="s">
        <v>2516</v>
      </c>
      <c r="I976" s="32" t="s">
        <v>11</v>
      </c>
      <c r="J976" s="86" t="s">
        <v>460</v>
      </c>
      <c r="K976" s="88" t="s">
        <v>2631</v>
      </c>
      <c r="L976" s="89" t="n">
        <v>45769</v>
      </c>
      <c r="M976" s="32" t="n">
        <v>495</v>
      </c>
      <c r="N976" s="32" t="n">
        <v>609</v>
      </c>
      <c r="O976" s="32" t="n">
        <v>114</v>
      </c>
      <c r="P976" s="32" t="n">
        <v>111</v>
      </c>
      <c r="Q976" s="32"/>
      <c r="R976" s="90" t="n">
        <f aca="false">合約與計費!$D$4</f>
        <v>0.296</v>
      </c>
      <c r="S976" s="91" t="n">
        <f aca="false">ROUND(P976*R976,0)</f>
        <v>33</v>
      </c>
      <c r="T976" s="92"/>
      <c r="U976" s="32" t="n">
        <v>123</v>
      </c>
      <c r="V976" s="32" t="n">
        <v>155</v>
      </c>
      <c r="W976" s="32" t="n">
        <v>32</v>
      </c>
      <c r="X976" s="32" t="n">
        <v>31</v>
      </c>
      <c r="Y976" s="32"/>
      <c r="Z976" s="93" t="n">
        <f aca="false">合約與計費!$E$4</f>
        <v>2.8</v>
      </c>
      <c r="AA976" s="94" t="n">
        <f aca="false">ROUND(X976*Z976,0)</f>
        <v>87</v>
      </c>
      <c r="AB976" s="95"/>
      <c r="AC976" s="96"/>
      <c r="AD976" s="42"/>
      <c r="AE976" s="43"/>
    </row>
    <row r="977" customFormat="false" ht="16.5" hidden="false" customHeight="true" outlineLevel="0" collapsed="false">
      <c r="A977" s="111" t="n">
        <f aca="false">ROW(A974)</f>
        <v>974</v>
      </c>
      <c r="B977" s="111" t="s">
        <v>462</v>
      </c>
      <c r="C977" s="114" t="n">
        <v>1</v>
      </c>
      <c r="D977" s="85"/>
      <c r="E977" s="112" t="s">
        <v>2632</v>
      </c>
      <c r="F977" s="113" t="s">
        <v>2630</v>
      </c>
      <c r="G977" s="114" t="s">
        <v>2515</v>
      </c>
      <c r="H977" s="114" t="s">
        <v>2516</v>
      </c>
      <c r="I977" s="114" t="s">
        <v>11</v>
      </c>
      <c r="J977" s="112" t="s">
        <v>464</v>
      </c>
      <c r="K977" s="115" t="s">
        <v>2633</v>
      </c>
      <c r="L977" s="116" t="n">
        <v>45769</v>
      </c>
      <c r="M977" s="114" t="n">
        <v>1253</v>
      </c>
      <c r="N977" s="114" t="n">
        <v>1543</v>
      </c>
      <c r="O977" s="114" t="n">
        <v>290</v>
      </c>
      <c r="P977" s="114" t="n">
        <v>281</v>
      </c>
      <c r="Q977" s="114" t="n">
        <f aca="false">ROUND(SUM(P976:P977),2)</f>
        <v>392</v>
      </c>
      <c r="R977" s="117" t="n">
        <f aca="false">合約與計費!$D$4</f>
        <v>0.296</v>
      </c>
      <c r="S977" s="118" t="n">
        <f aca="false">ROUND(P977*R977,0)</f>
        <v>83</v>
      </c>
      <c r="T977" s="119" t="n">
        <f aca="false">ROUND(SUM(S976:S977),2)</f>
        <v>116</v>
      </c>
      <c r="U977" s="114"/>
      <c r="V977" s="114"/>
      <c r="W977" s="120"/>
      <c r="X977" s="114"/>
      <c r="Y977" s="114" t="n">
        <f aca="false">ROUND(SUM(X976:X977),2)</f>
        <v>31</v>
      </c>
      <c r="Z977" s="121"/>
      <c r="AA977" s="122"/>
      <c r="AB977" s="123" t="n">
        <f aca="false">ROUND(SUM(AA976:AA977),2)</f>
        <v>87</v>
      </c>
      <c r="AC977" s="124"/>
      <c r="AD977" s="42" t="n">
        <v>0.0534</v>
      </c>
      <c r="AE977" s="43" t="n">
        <v>0.3</v>
      </c>
    </row>
    <row r="978" customFormat="false" ht="16.5" hidden="false" customHeight="true" outlineLevel="0" collapsed="false">
      <c r="A978" s="84" t="n">
        <f aca="false">ROW(A975)</f>
        <v>975</v>
      </c>
      <c r="B978" s="84" t="s">
        <v>455</v>
      </c>
      <c r="C978" s="32" t="n">
        <v>1</v>
      </c>
      <c r="D978" s="85" t="n">
        <v>255</v>
      </c>
      <c r="E978" s="86" t="s">
        <v>2634</v>
      </c>
      <c r="F978" s="87" t="s">
        <v>2635</v>
      </c>
      <c r="G978" s="32" t="s">
        <v>2515</v>
      </c>
      <c r="H978" s="32" t="s">
        <v>2516</v>
      </c>
      <c r="I978" s="172" t="s">
        <v>323</v>
      </c>
      <c r="J978" s="86" t="s">
        <v>460</v>
      </c>
      <c r="K978" s="88" t="s">
        <v>2636</v>
      </c>
      <c r="L978" s="89" t="n">
        <v>45777</v>
      </c>
      <c r="M978" s="32" t="n">
        <v>2001</v>
      </c>
      <c r="N978" s="32" t="n">
        <v>2832</v>
      </c>
      <c r="O978" s="32" t="n">
        <v>831</v>
      </c>
      <c r="P978" s="32" t="n">
        <v>806</v>
      </c>
      <c r="Q978" s="32"/>
      <c r="R978" s="90" t="n">
        <f aca="false">合約與計費!$D$4</f>
        <v>0.296</v>
      </c>
      <c r="S978" s="91" t="n">
        <f aca="false">ROUND(P978*R978,0)</f>
        <v>239</v>
      </c>
      <c r="T978" s="92"/>
      <c r="U978" s="32" t="n">
        <v>49</v>
      </c>
      <c r="V978" s="32" t="n">
        <v>101</v>
      </c>
      <c r="W978" s="32" t="n">
        <v>52</v>
      </c>
      <c r="X978" s="32" t="n">
        <v>50</v>
      </c>
      <c r="Y978" s="32"/>
      <c r="Z978" s="107" t="n">
        <f aca="false">合約與計費!$E$4</f>
        <v>2.8</v>
      </c>
      <c r="AA978" s="94" t="n">
        <f aca="false">ROUND(X978*Z978,0)</f>
        <v>140</v>
      </c>
      <c r="AB978" s="95"/>
      <c r="AC978" s="96"/>
      <c r="AD978" s="42"/>
      <c r="AE978" s="43"/>
    </row>
    <row r="979" customFormat="false" ht="16.5" hidden="false" customHeight="true" outlineLevel="0" collapsed="false">
      <c r="A979" s="97" t="n">
        <f aca="false">ROW(A976)</f>
        <v>976</v>
      </c>
      <c r="B979" s="97" t="s">
        <v>462</v>
      </c>
      <c r="C979" s="100" t="n">
        <v>1</v>
      </c>
      <c r="D979" s="85"/>
      <c r="E979" s="98" t="s">
        <v>2637</v>
      </c>
      <c r="F979" s="99" t="s">
        <v>2635</v>
      </c>
      <c r="G979" s="100" t="s">
        <v>2515</v>
      </c>
      <c r="H979" s="100" t="s">
        <v>2516</v>
      </c>
      <c r="I979" s="175" t="s">
        <v>323</v>
      </c>
      <c r="J979" s="98" t="s">
        <v>464</v>
      </c>
      <c r="K979" s="101" t="s">
        <v>2638</v>
      </c>
      <c r="L979" s="102" t="n">
        <v>45777</v>
      </c>
      <c r="M979" s="100" t="n">
        <v>1715</v>
      </c>
      <c r="N979" s="100" t="n">
        <v>2267</v>
      </c>
      <c r="O979" s="100" t="n">
        <v>552</v>
      </c>
      <c r="P979" s="100" t="n">
        <v>535</v>
      </c>
      <c r="Q979" s="100"/>
      <c r="R979" s="103" t="n">
        <f aca="false">合約與計費!$D$4</f>
        <v>0.296</v>
      </c>
      <c r="S979" s="104" t="n">
        <f aca="false">ROUND(P979*R979,0)</f>
        <v>158</v>
      </c>
      <c r="T979" s="105"/>
      <c r="U979" s="100"/>
      <c r="V979" s="100"/>
      <c r="W979" s="106"/>
      <c r="X979" s="100"/>
      <c r="Y979" s="100"/>
      <c r="Z979" s="107"/>
      <c r="AA979" s="108"/>
      <c r="AB979" s="109"/>
      <c r="AC979" s="110"/>
      <c r="AD979" s="42" t="n">
        <v>0.0529</v>
      </c>
      <c r="AE979" s="43" t="n">
        <v>0.1</v>
      </c>
    </row>
    <row r="980" customFormat="false" ht="16.5" hidden="false" customHeight="true" outlineLevel="0" collapsed="false">
      <c r="A980" s="97" t="n">
        <f aca="false">ROW(A977)</f>
        <v>977</v>
      </c>
      <c r="B980" s="97" t="s">
        <v>466</v>
      </c>
      <c r="C980" s="100" t="n">
        <v>1</v>
      </c>
      <c r="D980" s="85"/>
      <c r="E980" s="98" t="s">
        <v>2639</v>
      </c>
      <c r="F980" s="99" t="s">
        <v>2635</v>
      </c>
      <c r="G980" s="100" t="s">
        <v>2515</v>
      </c>
      <c r="H980" s="100" t="s">
        <v>2516</v>
      </c>
      <c r="I980" s="175" t="s">
        <v>323</v>
      </c>
      <c r="J980" s="98" t="s">
        <v>471</v>
      </c>
      <c r="K980" s="101" t="s">
        <v>2640</v>
      </c>
      <c r="L980" s="102" t="n">
        <v>45777</v>
      </c>
      <c r="M980" s="100" t="n">
        <v>6032</v>
      </c>
      <c r="N980" s="100" t="n">
        <v>8850</v>
      </c>
      <c r="O980" s="100" t="n">
        <v>2818</v>
      </c>
      <c r="P980" s="100" t="n">
        <v>2733</v>
      </c>
      <c r="Q980" s="100"/>
      <c r="R980" s="103" t="n">
        <f aca="false">合約與計費!$D$4</f>
        <v>0.296</v>
      </c>
      <c r="S980" s="104" t="n">
        <f aca="false">ROUND(P980*R980,0)</f>
        <v>809</v>
      </c>
      <c r="T980" s="105"/>
      <c r="U980" s="100"/>
      <c r="V980" s="100"/>
      <c r="W980" s="106"/>
      <c r="X980" s="100"/>
      <c r="Y980" s="100"/>
      <c r="Z980" s="107"/>
      <c r="AA980" s="108"/>
      <c r="AB980" s="109"/>
      <c r="AC980" s="110"/>
      <c r="AD980" s="42" t="n">
        <v>0.0996</v>
      </c>
      <c r="AE980" s="43" t="n">
        <v>0.1</v>
      </c>
    </row>
    <row r="981" customFormat="false" ht="16.5" hidden="false" customHeight="true" outlineLevel="0" collapsed="false">
      <c r="A981" s="111" t="n">
        <f aca="false">ROW(A978)</f>
        <v>978</v>
      </c>
      <c r="B981" s="111" t="s">
        <v>469</v>
      </c>
      <c r="C981" s="114" t="n">
        <v>1</v>
      </c>
      <c r="D981" s="85"/>
      <c r="E981" s="112" t="s">
        <v>2641</v>
      </c>
      <c r="F981" s="113" t="s">
        <v>2635</v>
      </c>
      <c r="G981" s="114" t="s">
        <v>2515</v>
      </c>
      <c r="H981" s="114" t="s">
        <v>2516</v>
      </c>
      <c r="I981" s="173" t="s">
        <v>323</v>
      </c>
      <c r="J981" s="112" t="s">
        <v>471</v>
      </c>
      <c r="K981" s="115" t="s">
        <v>2642</v>
      </c>
      <c r="L981" s="116" t="n">
        <v>45777</v>
      </c>
      <c r="M981" s="114" t="n">
        <v>5988</v>
      </c>
      <c r="N981" s="114" t="n">
        <v>7938</v>
      </c>
      <c r="O981" s="114" t="n">
        <v>1950</v>
      </c>
      <c r="P981" s="114" t="n">
        <v>1892</v>
      </c>
      <c r="Q981" s="114" t="n">
        <f aca="false">ROUND(SUM(P978:P981),2)</f>
        <v>5966</v>
      </c>
      <c r="R981" s="117" t="n">
        <f aca="false">合約與計費!$D$4</f>
        <v>0.296</v>
      </c>
      <c r="S981" s="118" t="n">
        <f aca="false">ROUND(P981*R981,0)</f>
        <v>560</v>
      </c>
      <c r="T981" s="119" t="n">
        <f aca="false">ROUND(SUM(S978:S981),2)</f>
        <v>1766</v>
      </c>
      <c r="U981" s="114"/>
      <c r="V981" s="114"/>
      <c r="W981" s="120"/>
      <c r="X981" s="114"/>
      <c r="Y981" s="114" t="n">
        <f aca="false">ROUND(SUM(X978:X981),2)</f>
        <v>50</v>
      </c>
      <c r="Z981" s="121"/>
      <c r="AA981" s="122"/>
      <c r="AB981" s="123" t="n">
        <f aca="false">ROUND(SUM(AA978:AA981),2)</f>
        <v>140</v>
      </c>
      <c r="AC981" s="124"/>
      <c r="AD981" s="42" t="n">
        <v>0.0945</v>
      </c>
      <c r="AE981" s="43" t="n">
        <v>0.2</v>
      </c>
    </row>
    <row r="982" customFormat="false" ht="16.5" hidden="false" customHeight="true" outlineLevel="0" collapsed="false">
      <c r="A982" s="84" t="n">
        <f aca="false">ROW(A979)</f>
        <v>979</v>
      </c>
      <c r="B982" s="84" t="s">
        <v>455</v>
      </c>
      <c r="C982" s="32" t="n">
        <v>1</v>
      </c>
      <c r="D982" s="85" t="n">
        <v>102</v>
      </c>
      <c r="E982" s="86" t="s">
        <v>2643</v>
      </c>
      <c r="F982" s="87" t="s">
        <v>2644</v>
      </c>
      <c r="G982" s="32" t="s">
        <v>2515</v>
      </c>
      <c r="H982" s="32" t="s">
        <v>2645</v>
      </c>
      <c r="I982" s="32" t="s">
        <v>193</v>
      </c>
      <c r="J982" s="86" t="s">
        <v>460</v>
      </c>
      <c r="K982" s="88" t="s">
        <v>2646</v>
      </c>
      <c r="L982" s="89" t="n">
        <v>45782</v>
      </c>
      <c r="M982" s="32" t="n">
        <v>1312</v>
      </c>
      <c r="N982" s="32" t="n">
        <v>1686</v>
      </c>
      <c r="O982" s="32" t="n">
        <v>374</v>
      </c>
      <c r="P982" s="32" t="n">
        <v>363</v>
      </c>
      <c r="Q982" s="32"/>
      <c r="R982" s="90" t="n">
        <f aca="false">合約與計費!$D$4</f>
        <v>0.296</v>
      </c>
      <c r="S982" s="91" t="n">
        <f aca="false">ROUND(P982*R982,0)</f>
        <v>107</v>
      </c>
      <c r="T982" s="92"/>
      <c r="U982" s="32" t="n">
        <v>277</v>
      </c>
      <c r="V982" s="32" t="n">
        <v>346</v>
      </c>
      <c r="W982" s="32" t="n">
        <v>69</v>
      </c>
      <c r="X982" s="32" t="n">
        <v>67</v>
      </c>
      <c r="Y982" s="32"/>
      <c r="Z982" s="93" t="n">
        <f aca="false">合約與計費!$E$4</f>
        <v>2.8</v>
      </c>
      <c r="AA982" s="94" t="n">
        <f aca="false">ROUND(X982*Z982,0)</f>
        <v>188</v>
      </c>
      <c r="AB982" s="95"/>
      <c r="AC982" s="96"/>
      <c r="AD982" s="42"/>
      <c r="AE982" s="43"/>
    </row>
    <row r="983" customFormat="false" ht="16.5" hidden="false" customHeight="true" outlineLevel="0" collapsed="false">
      <c r="A983" s="97" t="n">
        <f aca="false">ROW(A980)</f>
        <v>980</v>
      </c>
      <c r="B983" s="97" t="s">
        <v>462</v>
      </c>
      <c r="C983" s="100" t="n">
        <v>1</v>
      </c>
      <c r="D983" s="85"/>
      <c r="E983" s="98" t="s">
        <v>2647</v>
      </c>
      <c r="F983" s="99" t="s">
        <v>2644</v>
      </c>
      <c r="G983" s="100" t="s">
        <v>2515</v>
      </c>
      <c r="H983" s="100" t="s">
        <v>2645</v>
      </c>
      <c r="I983" s="100" t="s">
        <v>193</v>
      </c>
      <c r="J983" s="98" t="s">
        <v>464</v>
      </c>
      <c r="K983" s="101" t="s">
        <v>2648</v>
      </c>
      <c r="L983" s="102" t="n">
        <v>45782</v>
      </c>
      <c r="M983" s="100" t="n">
        <v>883</v>
      </c>
      <c r="N983" s="100" t="n">
        <v>1313</v>
      </c>
      <c r="O983" s="100" t="n">
        <v>430</v>
      </c>
      <c r="P983" s="100" t="n">
        <v>417</v>
      </c>
      <c r="Q983" s="100"/>
      <c r="R983" s="103" t="n">
        <f aca="false">合約與計費!$D$4</f>
        <v>0.296</v>
      </c>
      <c r="S983" s="104" t="n">
        <f aca="false">ROUND(P983*R983,0)</f>
        <v>123</v>
      </c>
      <c r="T983" s="105"/>
      <c r="U983" s="100"/>
      <c r="V983" s="100"/>
      <c r="W983" s="106"/>
      <c r="X983" s="100"/>
      <c r="Y983" s="100"/>
      <c r="Z983" s="107"/>
      <c r="AA983" s="108"/>
      <c r="AB983" s="109"/>
      <c r="AC983" s="110"/>
      <c r="AD983" s="42" t="n">
        <v>0.0803</v>
      </c>
      <c r="AE983" s="43" t="n">
        <v>0.2</v>
      </c>
    </row>
    <row r="984" customFormat="false" ht="16.5" hidden="false" customHeight="true" outlineLevel="0" collapsed="false">
      <c r="A984" s="97" t="n">
        <f aca="false">ROW(A981)</f>
        <v>981</v>
      </c>
      <c r="B984" s="97" t="s">
        <v>466</v>
      </c>
      <c r="C984" s="100" t="n">
        <v>1</v>
      </c>
      <c r="D984" s="85"/>
      <c r="E984" s="98" t="s">
        <v>2649</v>
      </c>
      <c r="F984" s="99" t="s">
        <v>2644</v>
      </c>
      <c r="G984" s="100" t="s">
        <v>2515</v>
      </c>
      <c r="H984" s="100" t="s">
        <v>2645</v>
      </c>
      <c r="I984" s="100" t="s">
        <v>193</v>
      </c>
      <c r="J984" s="98" t="s">
        <v>471</v>
      </c>
      <c r="K984" s="101" t="s">
        <v>2650</v>
      </c>
      <c r="L984" s="102" t="n">
        <v>45782</v>
      </c>
      <c r="M984" s="100" t="n">
        <v>4754</v>
      </c>
      <c r="N984" s="100" t="n">
        <v>5751</v>
      </c>
      <c r="O984" s="100" t="n">
        <v>997</v>
      </c>
      <c r="P984" s="100" t="n">
        <v>967</v>
      </c>
      <c r="Q984" s="100"/>
      <c r="R984" s="103" t="n">
        <f aca="false">合約與計費!$D$4</f>
        <v>0.296</v>
      </c>
      <c r="S984" s="104" t="n">
        <f aca="false">ROUND(P984*R984,0)</f>
        <v>286</v>
      </c>
      <c r="T984" s="105"/>
      <c r="U984" s="100"/>
      <c r="V984" s="100"/>
      <c r="W984" s="106"/>
      <c r="X984" s="100"/>
      <c r="Y984" s="100"/>
      <c r="Z984" s="107"/>
      <c r="AA984" s="108"/>
      <c r="AB984" s="109"/>
      <c r="AC984" s="110"/>
      <c r="AD984" s="42" t="n">
        <v>0.0688</v>
      </c>
      <c r="AE984" s="43" t="n">
        <v>0.8</v>
      </c>
    </row>
    <row r="985" customFormat="false" ht="16.5" hidden="false" customHeight="true" outlineLevel="0" collapsed="false">
      <c r="A985" s="111" t="n">
        <f aca="false">ROW(A982)</f>
        <v>982</v>
      </c>
      <c r="B985" s="111" t="s">
        <v>469</v>
      </c>
      <c r="C985" s="114" t="n">
        <v>1</v>
      </c>
      <c r="D985" s="85"/>
      <c r="E985" s="112" t="s">
        <v>2651</v>
      </c>
      <c r="F985" s="113" t="s">
        <v>2644</v>
      </c>
      <c r="G985" s="114" t="s">
        <v>2515</v>
      </c>
      <c r="H985" s="114" t="s">
        <v>2645</v>
      </c>
      <c r="I985" s="114" t="s">
        <v>193</v>
      </c>
      <c r="J985" s="112" t="s">
        <v>471</v>
      </c>
      <c r="K985" s="115" t="s">
        <v>2652</v>
      </c>
      <c r="L985" s="116" t="n">
        <v>45782</v>
      </c>
      <c r="M985" s="114" t="n">
        <v>7709</v>
      </c>
      <c r="N985" s="114" t="n">
        <v>9215</v>
      </c>
      <c r="O985" s="114" t="n">
        <v>1506</v>
      </c>
      <c r="P985" s="114" t="n">
        <v>1461</v>
      </c>
      <c r="Q985" s="114" t="n">
        <f aca="false">ROUND(SUM(P982:P985),2)</f>
        <v>3208</v>
      </c>
      <c r="R985" s="117" t="n">
        <f aca="false">合約與計費!$D$4</f>
        <v>0.296</v>
      </c>
      <c r="S985" s="118" t="n">
        <f aca="false">ROUND(P985*R985,0)</f>
        <v>432</v>
      </c>
      <c r="T985" s="119" t="n">
        <f aca="false">ROUND(SUM(S982:S985),2)</f>
        <v>948</v>
      </c>
      <c r="U985" s="114"/>
      <c r="V985" s="114"/>
      <c r="W985" s="120"/>
      <c r="X985" s="114"/>
      <c r="Y985" s="114" t="n">
        <f aca="false">ROUND(SUM(X982:X985),2)</f>
        <v>67</v>
      </c>
      <c r="Z985" s="121"/>
      <c r="AA985" s="122"/>
      <c r="AB985" s="123" t="n">
        <f aca="false">ROUND(SUM(AA982:AA985),2)</f>
        <v>188</v>
      </c>
      <c r="AC985" s="124"/>
      <c r="AD985" s="42" t="n">
        <v>0.078</v>
      </c>
      <c r="AE985" s="43" t="n">
        <v>0.3</v>
      </c>
    </row>
    <row r="986" customFormat="false" ht="16.5" hidden="false" customHeight="true" outlineLevel="0" collapsed="false">
      <c r="A986" s="84" t="n">
        <f aca="false">ROW(A983)</f>
        <v>983</v>
      </c>
      <c r="B986" s="84" t="s">
        <v>455</v>
      </c>
      <c r="C986" s="32" t="n">
        <v>1</v>
      </c>
      <c r="D986" s="85" t="n">
        <v>105</v>
      </c>
      <c r="E986" s="86" t="s">
        <v>2653</v>
      </c>
      <c r="F986" s="87" t="s">
        <v>2654</v>
      </c>
      <c r="G986" s="32" t="s">
        <v>2515</v>
      </c>
      <c r="H986" s="32" t="s">
        <v>2645</v>
      </c>
      <c r="I986" s="32" t="s">
        <v>294</v>
      </c>
      <c r="J986" s="86" t="s">
        <v>460</v>
      </c>
      <c r="K986" s="88" t="s">
        <v>2655</v>
      </c>
      <c r="L986" s="89" t="n">
        <v>45762</v>
      </c>
      <c r="M986" s="32" t="n">
        <v>467</v>
      </c>
      <c r="N986" s="32" t="n">
        <v>756</v>
      </c>
      <c r="O986" s="32" t="n">
        <v>289</v>
      </c>
      <c r="P986" s="32" t="n">
        <v>280</v>
      </c>
      <c r="Q986" s="32"/>
      <c r="R986" s="90" t="n">
        <f aca="false">合約與計費!$D$4</f>
        <v>0.296</v>
      </c>
      <c r="S986" s="91" t="n">
        <f aca="false">ROUND(P986*R986,0)</f>
        <v>83</v>
      </c>
      <c r="T986" s="92"/>
      <c r="U986" s="32" t="n">
        <v>357</v>
      </c>
      <c r="V986" s="32" t="n">
        <v>446</v>
      </c>
      <c r="W986" s="32" t="n">
        <v>89</v>
      </c>
      <c r="X986" s="32" t="n">
        <v>86</v>
      </c>
      <c r="Y986" s="32"/>
      <c r="Z986" s="93" t="n">
        <f aca="false">合約與計費!$E$4</f>
        <v>2.8</v>
      </c>
      <c r="AA986" s="94" t="n">
        <f aca="false">ROUND(X986*Z986,0)</f>
        <v>241</v>
      </c>
      <c r="AB986" s="95"/>
      <c r="AC986" s="96"/>
      <c r="AD986" s="42"/>
      <c r="AE986" s="43"/>
    </row>
    <row r="987" customFormat="false" ht="16.5" hidden="false" customHeight="true" outlineLevel="0" collapsed="false">
      <c r="A987" s="97" t="n">
        <f aca="false">ROW(A984)</f>
        <v>984</v>
      </c>
      <c r="B987" s="97" t="s">
        <v>462</v>
      </c>
      <c r="C987" s="100" t="n">
        <v>1</v>
      </c>
      <c r="D987" s="85"/>
      <c r="E987" s="98" t="s">
        <v>2656</v>
      </c>
      <c r="F987" s="99" t="s">
        <v>2654</v>
      </c>
      <c r="G987" s="100" t="s">
        <v>2515</v>
      </c>
      <c r="H987" s="100" t="s">
        <v>2645</v>
      </c>
      <c r="I987" s="100" t="s">
        <v>294</v>
      </c>
      <c r="J987" s="98" t="s">
        <v>464</v>
      </c>
      <c r="K987" s="101" t="s">
        <v>2657</v>
      </c>
      <c r="L987" s="102" t="n">
        <v>45762</v>
      </c>
      <c r="M987" s="100" t="n">
        <v>764</v>
      </c>
      <c r="N987" s="100" t="n">
        <v>1002</v>
      </c>
      <c r="O987" s="100" t="n">
        <v>238</v>
      </c>
      <c r="P987" s="100" t="n">
        <v>231</v>
      </c>
      <c r="Q987" s="100"/>
      <c r="R987" s="103" t="n">
        <f aca="false">合約與計費!$D$4</f>
        <v>0.296</v>
      </c>
      <c r="S987" s="104" t="n">
        <f aca="false">ROUND(P987*R987,0)</f>
        <v>68</v>
      </c>
      <c r="T987" s="105"/>
      <c r="U987" s="100"/>
      <c r="V987" s="100"/>
      <c r="W987" s="106"/>
      <c r="X987" s="100"/>
      <c r="Y987" s="100"/>
      <c r="Z987" s="107"/>
      <c r="AA987" s="108"/>
      <c r="AB987" s="109"/>
      <c r="AC987" s="110"/>
      <c r="AD987" s="42" t="n">
        <v>0.0569</v>
      </c>
      <c r="AE987" s="43" t="n">
        <v>1</v>
      </c>
    </row>
    <row r="988" customFormat="false" ht="16.5" hidden="false" customHeight="true" outlineLevel="0" collapsed="false">
      <c r="A988" s="97" t="n">
        <f aca="false">ROW(A985)</f>
        <v>985</v>
      </c>
      <c r="B988" s="97" t="s">
        <v>466</v>
      </c>
      <c r="C988" s="100" t="n">
        <v>1</v>
      </c>
      <c r="D988" s="85"/>
      <c r="E988" s="98" t="s">
        <v>2658</v>
      </c>
      <c r="F988" s="99" t="s">
        <v>2654</v>
      </c>
      <c r="G988" s="100" t="s">
        <v>2515</v>
      </c>
      <c r="H988" s="100" t="s">
        <v>2645</v>
      </c>
      <c r="I988" s="100" t="s">
        <v>294</v>
      </c>
      <c r="J988" s="98" t="s">
        <v>471</v>
      </c>
      <c r="K988" s="101" t="s">
        <v>2659</v>
      </c>
      <c r="L988" s="102" t="n">
        <v>45762</v>
      </c>
      <c r="M988" s="100" t="n">
        <v>6825</v>
      </c>
      <c r="N988" s="100" t="n">
        <v>8579</v>
      </c>
      <c r="O988" s="100" t="n">
        <v>1754</v>
      </c>
      <c r="P988" s="100" t="n">
        <v>1701</v>
      </c>
      <c r="Q988" s="100"/>
      <c r="R988" s="103" t="n">
        <f aca="false">合約與計費!$D$4</f>
        <v>0.296</v>
      </c>
      <c r="S988" s="104" t="n">
        <f aca="false">ROUND(P988*R988,0)</f>
        <v>503</v>
      </c>
      <c r="T988" s="105"/>
      <c r="U988" s="100"/>
      <c r="V988" s="100"/>
      <c r="W988" s="106"/>
      <c r="X988" s="100"/>
      <c r="Y988" s="100"/>
      <c r="Z988" s="107"/>
      <c r="AA988" s="108"/>
      <c r="AB988" s="109"/>
      <c r="AC988" s="110"/>
      <c r="AD988" s="42" t="n">
        <v>0.0879</v>
      </c>
      <c r="AE988" s="43" t="n">
        <v>0.3</v>
      </c>
    </row>
    <row r="989" customFormat="false" ht="16.5" hidden="false" customHeight="true" outlineLevel="0" collapsed="false">
      <c r="A989" s="111" t="n">
        <f aca="false">ROW(A986)</f>
        <v>986</v>
      </c>
      <c r="B989" s="111" t="s">
        <v>469</v>
      </c>
      <c r="C989" s="114" t="n">
        <v>1</v>
      </c>
      <c r="D989" s="85"/>
      <c r="E989" s="112" t="s">
        <v>2660</v>
      </c>
      <c r="F989" s="113" t="s">
        <v>2654</v>
      </c>
      <c r="G989" s="114" t="s">
        <v>2515</v>
      </c>
      <c r="H989" s="114" t="s">
        <v>2645</v>
      </c>
      <c r="I989" s="114" t="s">
        <v>294</v>
      </c>
      <c r="J989" s="112" t="s">
        <v>471</v>
      </c>
      <c r="K989" s="115" t="s">
        <v>2661</v>
      </c>
      <c r="L989" s="116" t="n">
        <v>45762</v>
      </c>
      <c r="M989" s="114" t="n">
        <v>9105</v>
      </c>
      <c r="N989" s="114" t="n">
        <v>11672</v>
      </c>
      <c r="O989" s="114" t="n">
        <v>2567</v>
      </c>
      <c r="P989" s="114" t="n">
        <v>2490</v>
      </c>
      <c r="Q989" s="114" t="n">
        <f aca="false">ROUND(SUM(P986:P989),2)</f>
        <v>4702</v>
      </c>
      <c r="R989" s="117" t="n">
        <f aca="false">合約與計費!$D$4</f>
        <v>0.296</v>
      </c>
      <c r="S989" s="118" t="n">
        <f aca="false">ROUND(P989*R989,0)</f>
        <v>737</v>
      </c>
      <c r="T989" s="119" t="n">
        <f aca="false">ROUND(SUM(S986:S989),2)</f>
        <v>1391</v>
      </c>
      <c r="U989" s="114"/>
      <c r="V989" s="114"/>
      <c r="W989" s="120"/>
      <c r="X989" s="114"/>
      <c r="Y989" s="114" t="n">
        <f aca="false">ROUND(SUM(X986:X989),2)</f>
        <v>86</v>
      </c>
      <c r="Z989" s="121"/>
      <c r="AA989" s="122"/>
      <c r="AB989" s="123" t="n">
        <f aca="false">ROUND(SUM(AA986:AA989),2)</f>
        <v>241</v>
      </c>
      <c r="AC989" s="124"/>
      <c r="AD989" s="42" t="n">
        <v>0.1017</v>
      </c>
      <c r="AE989" s="43" t="n">
        <v>0</v>
      </c>
    </row>
    <row r="990" customFormat="false" ht="16.5" hidden="false" customHeight="true" outlineLevel="0" collapsed="false">
      <c r="A990" s="84" t="n">
        <f aca="false">ROW(A987)</f>
        <v>987</v>
      </c>
      <c r="B990" s="84" t="s">
        <v>455</v>
      </c>
      <c r="C990" s="32" t="n">
        <v>1</v>
      </c>
      <c r="D990" s="85" t="n">
        <v>119</v>
      </c>
      <c r="E990" s="86" t="s">
        <v>2662</v>
      </c>
      <c r="F990" s="87" t="s">
        <v>2663</v>
      </c>
      <c r="G990" s="32" t="s">
        <v>2515</v>
      </c>
      <c r="H990" s="32" t="s">
        <v>2645</v>
      </c>
      <c r="I990" s="32" t="s">
        <v>57</v>
      </c>
      <c r="J990" s="86" t="s">
        <v>460</v>
      </c>
      <c r="K990" s="88" t="s">
        <v>2664</v>
      </c>
      <c r="L990" s="89" t="n">
        <v>45779</v>
      </c>
      <c r="M990" s="32" t="n">
        <v>18</v>
      </c>
      <c r="N990" s="32" t="n">
        <v>22</v>
      </c>
      <c r="O990" s="32" t="n">
        <v>4</v>
      </c>
      <c r="P990" s="32" t="n">
        <v>4</v>
      </c>
      <c r="Q990" s="32"/>
      <c r="R990" s="90" t="n">
        <f aca="false">合約與計費!$D$4</f>
        <v>0.296</v>
      </c>
      <c r="S990" s="91" t="n">
        <f aca="false">ROUND(P990*R990,0)</f>
        <v>1</v>
      </c>
      <c r="T990" s="92"/>
      <c r="U990" s="32" t="n">
        <v>172</v>
      </c>
      <c r="V990" s="32" t="n">
        <v>207</v>
      </c>
      <c r="W990" s="32" t="n">
        <v>35</v>
      </c>
      <c r="X990" s="32" t="n">
        <v>34</v>
      </c>
      <c r="Y990" s="32"/>
      <c r="Z990" s="93" t="n">
        <f aca="false">合約與計費!$E$4</f>
        <v>2.8</v>
      </c>
      <c r="AA990" s="94" t="n">
        <f aca="false">ROUND(X990*Z990,0)</f>
        <v>95</v>
      </c>
      <c r="AB990" s="95"/>
      <c r="AC990" s="96"/>
      <c r="AD990" s="42"/>
      <c r="AE990" s="43"/>
    </row>
    <row r="991" customFormat="false" ht="16.5" hidden="false" customHeight="true" outlineLevel="0" collapsed="false">
      <c r="A991" s="97" t="n">
        <f aca="false">ROW(A988)</f>
        <v>988</v>
      </c>
      <c r="B991" s="97" t="s">
        <v>462</v>
      </c>
      <c r="C991" s="100" t="n">
        <v>1</v>
      </c>
      <c r="D991" s="85"/>
      <c r="E991" s="98" t="s">
        <v>2665</v>
      </c>
      <c r="F991" s="99" t="s">
        <v>2663</v>
      </c>
      <c r="G991" s="100" t="s">
        <v>2515</v>
      </c>
      <c r="H991" s="100" t="s">
        <v>2645</v>
      </c>
      <c r="I991" s="100" t="s">
        <v>57</v>
      </c>
      <c r="J991" s="98" t="s">
        <v>464</v>
      </c>
      <c r="K991" s="101" t="s">
        <v>2666</v>
      </c>
      <c r="L991" s="102" t="n">
        <v>45779</v>
      </c>
      <c r="M991" s="100" t="n">
        <v>2334</v>
      </c>
      <c r="N991" s="100" t="n">
        <v>2928</v>
      </c>
      <c r="O991" s="100" t="n">
        <v>594</v>
      </c>
      <c r="P991" s="100" t="n">
        <v>576</v>
      </c>
      <c r="Q991" s="100"/>
      <c r="R991" s="103" t="n">
        <f aca="false">合約與計費!$D$4</f>
        <v>0.296</v>
      </c>
      <c r="S991" s="104" t="n">
        <f aca="false">ROUND(P991*R991,0)</f>
        <v>170</v>
      </c>
      <c r="T991" s="105"/>
      <c r="U991" s="100"/>
      <c r="V991" s="100"/>
      <c r="W991" s="106"/>
      <c r="X991" s="100"/>
      <c r="Y991" s="100"/>
      <c r="Z991" s="107"/>
      <c r="AA991" s="108"/>
      <c r="AB991" s="109"/>
      <c r="AC991" s="110"/>
      <c r="AD991" s="42" t="n">
        <v>0.2285</v>
      </c>
      <c r="AE991" s="43" t="n">
        <v>0.2</v>
      </c>
    </row>
    <row r="992" customFormat="false" ht="16.5" hidden="false" customHeight="true" outlineLevel="0" collapsed="false">
      <c r="A992" s="97" t="n">
        <f aca="false">ROW(A989)</f>
        <v>989</v>
      </c>
      <c r="B992" s="97" t="s">
        <v>466</v>
      </c>
      <c r="C992" s="100" t="n">
        <v>1</v>
      </c>
      <c r="D992" s="85"/>
      <c r="E992" s="98" t="s">
        <v>2667</v>
      </c>
      <c r="F992" s="99" t="s">
        <v>2663</v>
      </c>
      <c r="G992" s="100" t="s">
        <v>2515</v>
      </c>
      <c r="H992" s="100" t="s">
        <v>2645</v>
      </c>
      <c r="I992" s="100" t="s">
        <v>57</v>
      </c>
      <c r="J992" s="98" t="s">
        <v>471</v>
      </c>
      <c r="K992" s="101" t="s">
        <v>2668</v>
      </c>
      <c r="L992" s="102" t="n">
        <v>45779</v>
      </c>
      <c r="M992" s="100" t="n">
        <v>5856</v>
      </c>
      <c r="N992" s="100" t="n">
        <v>7120</v>
      </c>
      <c r="O992" s="100" t="n">
        <v>1264</v>
      </c>
      <c r="P992" s="100" t="n">
        <v>1226</v>
      </c>
      <c r="Q992" s="100"/>
      <c r="R992" s="103" t="n">
        <f aca="false">合約與計費!$D$4</f>
        <v>0.296</v>
      </c>
      <c r="S992" s="104" t="n">
        <f aca="false">ROUND(P992*R992,0)</f>
        <v>363</v>
      </c>
      <c r="T992" s="105"/>
      <c r="U992" s="100"/>
      <c r="V992" s="100"/>
      <c r="W992" s="106"/>
      <c r="X992" s="100"/>
      <c r="Y992" s="100"/>
      <c r="Z992" s="107"/>
      <c r="AA992" s="108"/>
      <c r="AB992" s="109"/>
      <c r="AC992" s="110"/>
      <c r="AD992" s="42" t="n">
        <v>0.0895</v>
      </c>
      <c r="AE992" s="43" t="n">
        <v>0.3</v>
      </c>
    </row>
    <row r="993" customFormat="false" ht="16.5" hidden="false" customHeight="true" outlineLevel="0" collapsed="false">
      <c r="A993" s="97" t="n">
        <f aca="false">ROW(A990)</f>
        <v>990</v>
      </c>
      <c r="B993" s="97" t="s">
        <v>469</v>
      </c>
      <c r="C993" s="100" t="n">
        <v>1</v>
      </c>
      <c r="D993" s="85"/>
      <c r="E993" s="98" t="s">
        <v>2669</v>
      </c>
      <c r="F993" s="99" t="s">
        <v>2663</v>
      </c>
      <c r="G993" s="100" t="s">
        <v>2515</v>
      </c>
      <c r="H993" s="100" t="s">
        <v>2645</v>
      </c>
      <c r="I993" s="100" t="s">
        <v>57</v>
      </c>
      <c r="J993" s="98" t="s">
        <v>471</v>
      </c>
      <c r="K993" s="101" t="s">
        <v>2670</v>
      </c>
      <c r="L993" s="102" t="n">
        <v>45779</v>
      </c>
      <c r="M993" s="100" t="n">
        <v>8249</v>
      </c>
      <c r="N993" s="100" t="n">
        <v>9863</v>
      </c>
      <c r="O993" s="100" t="n">
        <v>1614</v>
      </c>
      <c r="P993" s="100" t="n">
        <v>1566</v>
      </c>
      <c r="Q993" s="100"/>
      <c r="R993" s="103" t="n">
        <f aca="false">合約與計費!$D$4</f>
        <v>0.296</v>
      </c>
      <c r="S993" s="104" t="n">
        <f aca="false">ROUND(P993*R993,0)</f>
        <v>464</v>
      </c>
      <c r="T993" s="105"/>
      <c r="U993" s="100"/>
      <c r="V993" s="100"/>
      <c r="W993" s="106"/>
      <c r="X993" s="100"/>
      <c r="Y993" s="100"/>
      <c r="Z993" s="107"/>
      <c r="AA993" s="108"/>
      <c r="AB993" s="109"/>
      <c r="AC993" s="110"/>
      <c r="AD993" s="42" t="n">
        <v>0.0872</v>
      </c>
      <c r="AE993" s="43" t="n">
        <v>0.1</v>
      </c>
    </row>
    <row r="994" customFormat="false" ht="16.5" hidden="false" customHeight="true" outlineLevel="0" collapsed="false">
      <c r="A994" s="97" t="n">
        <f aca="false">ROW(A991)</f>
        <v>991</v>
      </c>
      <c r="B994" s="97" t="s">
        <v>473</v>
      </c>
      <c r="C994" s="100" t="n">
        <v>1</v>
      </c>
      <c r="D994" s="85"/>
      <c r="E994" s="98" t="s">
        <v>2671</v>
      </c>
      <c r="F994" s="99" t="s">
        <v>2663</v>
      </c>
      <c r="G994" s="100" t="s">
        <v>2515</v>
      </c>
      <c r="H994" s="100" t="s">
        <v>2645</v>
      </c>
      <c r="I994" s="100" t="s">
        <v>57</v>
      </c>
      <c r="J994" s="98" t="s">
        <v>471</v>
      </c>
      <c r="K994" s="101" t="s">
        <v>2672</v>
      </c>
      <c r="L994" s="102" t="n">
        <v>45779</v>
      </c>
      <c r="M994" s="100" t="n">
        <v>3826</v>
      </c>
      <c r="N994" s="100" t="n">
        <v>4803</v>
      </c>
      <c r="O994" s="100" t="n">
        <v>977</v>
      </c>
      <c r="P994" s="100" t="n">
        <v>948</v>
      </c>
      <c r="Q994" s="100"/>
      <c r="R994" s="103" t="n">
        <f aca="false">合約與計費!$D$4</f>
        <v>0.296</v>
      </c>
      <c r="S994" s="104" t="n">
        <f aca="false">ROUND(P994*R994,0)</f>
        <v>281</v>
      </c>
      <c r="T994" s="105"/>
      <c r="U994" s="100"/>
      <c r="V994" s="100"/>
      <c r="W994" s="106"/>
      <c r="X994" s="100"/>
      <c r="Y994" s="100"/>
      <c r="Z994" s="107"/>
      <c r="AA994" s="108"/>
      <c r="AB994" s="109"/>
      <c r="AC994" s="110"/>
      <c r="AD994" s="42" t="n">
        <v>0.0701</v>
      </c>
      <c r="AE994" s="43" t="n">
        <v>0.8</v>
      </c>
    </row>
    <row r="995" customFormat="false" ht="16.5" hidden="false" customHeight="true" outlineLevel="0" collapsed="false">
      <c r="A995" s="111" t="n">
        <f aca="false">ROW(A992)</f>
        <v>992</v>
      </c>
      <c r="B995" s="111" t="s">
        <v>476</v>
      </c>
      <c r="C995" s="114" t="n">
        <v>1</v>
      </c>
      <c r="D995" s="85"/>
      <c r="E995" s="112" t="s">
        <v>2673</v>
      </c>
      <c r="F995" s="113" t="s">
        <v>2663</v>
      </c>
      <c r="G995" s="114" t="s">
        <v>2515</v>
      </c>
      <c r="H995" s="114" t="s">
        <v>2645</v>
      </c>
      <c r="I995" s="114" t="s">
        <v>57</v>
      </c>
      <c r="J995" s="112" t="s">
        <v>471</v>
      </c>
      <c r="K995" s="115" t="s">
        <v>2674</v>
      </c>
      <c r="L995" s="116" t="n">
        <v>45779</v>
      </c>
      <c r="M995" s="114" t="n">
        <v>11093</v>
      </c>
      <c r="N995" s="114" t="n">
        <v>13149</v>
      </c>
      <c r="O995" s="100" t="n">
        <v>2056</v>
      </c>
      <c r="P995" s="100" t="n">
        <v>1994</v>
      </c>
      <c r="Q995" s="100" t="n">
        <f aca="false">ROUND(SUM(P990:P995),2)</f>
        <v>6314</v>
      </c>
      <c r="R995" s="117" t="n">
        <f aca="false">合約與計費!$D$4</f>
        <v>0.296</v>
      </c>
      <c r="S995" s="118" t="n">
        <f aca="false">ROUND(P995*R995,0)</f>
        <v>590</v>
      </c>
      <c r="T995" s="105" t="n">
        <f aca="false">ROUND(SUM(S990:S995),2)</f>
        <v>1869</v>
      </c>
      <c r="U995" s="114"/>
      <c r="V995" s="114"/>
      <c r="W995" s="120"/>
      <c r="X995" s="114"/>
      <c r="Y995" s="100" t="n">
        <f aca="false">ROUND(SUM(X990:X995),2)</f>
        <v>34</v>
      </c>
      <c r="Z995" s="121"/>
      <c r="AA995" s="108"/>
      <c r="AB995" s="109" t="n">
        <f aca="false">ROUND(SUM(AA990:AA995),2)</f>
        <v>95</v>
      </c>
      <c r="AC995" s="124"/>
      <c r="AD995" s="42" t="n">
        <v>0.0844</v>
      </c>
      <c r="AE995" s="43" t="n">
        <v>0.7</v>
      </c>
    </row>
    <row r="996" customFormat="false" ht="16.5" hidden="false" customHeight="true" outlineLevel="0" collapsed="false">
      <c r="A996" s="84" t="n">
        <f aca="false">ROW(A993)</f>
        <v>993</v>
      </c>
      <c r="B996" s="84" t="s">
        <v>455</v>
      </c>
      <c r="C996" s="32" t="n">
        <v>1</v>
      </c>
      <c r="D996" s="85" t="n">
        <v>124</v>
      </c>
      <c r="E996" s="86" t="s">
        <v>2675</v>
      </c>
      <c r="F996" s="87" t="s">
        <v>2676</v>
      </c>
      <c r="G996" s="32" t="s">
        <v>2515</v>
      </c>
      <c r="H996" s="32" t="s">
        <v>2645</v>
      </c>
      <c r="I996" s="32" t="s">
        <v>206</v>
      </c>
      <c r="J996" s="86" t="s">
        <v>460</v>
      </c>
      <c r="K996" s="88" t="s">
        <v>2677</v>
      </c>
      <c r="L996" s="89" t="n">
        <v>45777</v>
      </c>
      <c r="M996" s="32" t="n">
        <v>154</v>
      </c>
      <c r="N996" s="32" t="n">
        <v>187</v>
      </c>
      <c r="O996" s="32" t="n">
        <v>33</v>
      </c>
      <c r="P996" s="32" t="n">
        <v>32</v>
      </c>
      <c r="Q996" s="32"/>
      <c r="R996" s="90" t="n">
        <f aca="false">合約與計費!$D$4</f>
        <v>0.296</v>
      </c>
      <c r="S996" s="91" t="n">
        <f aca="false">ROUND(P996*R996,0)</f>
        <v>9</v>
      </c>
      <c r="T996" s="92"/>
      <c r="U996" s="32" t="n">
        <v>83</v>
      </c>
      <c r="V996" s="32" t="n">
        <v>88</v>
      </c>
      <c r="W996" s="32" t="n">
        <v>5</v>
      </c>
      <c r="X996" s="32" t="n">
        <v>5</v>
      </c>
      <c r="Y996" s="32"/>
      <c r="Z996" s="93" t="n">
        <f aca="false">合約與計費!$E$4</f>
        <v>2.8</v>
      </c>
      <c r="AA996" s="94" t="n">
        <f aca="false">ROUND(X996*Z996,0)</f>
        <v>14</v>
      </c>
      <c r="AB996" s="95"/>
      <c r="AC996" s="96"/>
      <c r="AD996" s="42"/>
      <c r="AE996" s="43"/>
    </row>
    <row r="997" customFormat="false" ht="16.5" hidden="false" customHeight="true" outlineLevel="0" collapsed="false">
      <c r="A997" s="97" t="n">
        <f aca="false">ROW(A994)</f>
        <v>994</v>
      </c>
      <c r="B997" s="97" t="s">
        <v>462</v>
      </c>
      <c r="C997" s="100" t="n">
        <v>1</v>
      </c>
      <c r="D997" s="85"/>
      <c r="E997" s="98" t="s">
        <v>2678</v>
      </c>
      <c r="F997" s="99" t="s">
        <v>2676</v>
      </c>
      <c r="G997" s="100" t="s">
        <v>2515</v>
      </c>
      <c r="H997" s="100" t="s">
        <v>2645</v>
      </c>
      <c r="I997" s="100" t="s">
        <v>206</v>
      </c>
      <c r="J997" s="98" t="s">
        <v>464</v>
      </c>
      <c r="K997" s="101" t="s">
        <v>2679</v>
      </c>
      <c r="L997" s="102" t="n">
        <v>45777</v>
      </c>
      <c r="M997" s="100" t="n">
        <v>574</v>
      </c>
      <c r="N997" s="100" t="n">
        <v>666</v>
      </c>
      <c r="O997" s="100" t="n">
        <v>92</v>
      </c>
      <c r="P997" s="100" t="n">
        <v>89</v>
      </c>
      <c r="Q997" s="100"/>
      <c r="R997" s="103" t="n">
        <f aca="false">合約與計費!$D$4</f>
        <v>0.296</v>
      </c>
      <c r="S997" s="104" t="n">
        <f aca="false">ROUND(P997*R997,0)</f>
        <v>26</v>
      </c>
      <c r="T997" s="105"/>
      <c r="U997" s="100"/>
      <c r="V997" s="100"/>
      <c r="W997" s="106"/>
      <c r="X997" s="100"/>
      <c r="Y997" s="100"/>
      <c r="Z997" s="107"/>
      <c r="AA997" s="108"/>
      <c r="AB997" s="109"/>
      <c r="AC997" s="110"/>
      <c r="AD997" s="42" t="n">
        <v>0.0611</v>
      </c>
      <c r="AE997" s="43" t="n">
        <v>0.7</v>
      </c>
    </row>
    <row r="998" customFormat="false" ht="16.5" hidden="false" customHeight="true" outlineLevel="0" collapsed="false">
      <c r="A998" s="97" t="n">
        <f aca="false">ROW(A995)</f>
        <v>995</v>
      </c>
      <c r="B998" s="97" t="s">
        <v>466</v>
      </c>
      <c r="C998" s="100" t="n">
        <v>1</v>
      </c>
      <c r="D998" s="85"/>
      <c r="E998" s="98" t="s">
        <v>2680</v>
      </c>
      <c r="F998" s="99" t="s">
        <v>2676</v>
      </c>
      <c r="G998" s="100" t="s">
        <v>2515</v>
      </c>
      <c r="H998" s="100" t="s">
        <v>2645</v>
      </c>
      <c r="I998" s="100" t="s">
        <v>206</v>
      </c>
      <c r="J998" s="98" t="s">
        <v>471</v>
      </c>
      <c r="K998" s="101" t="s">
        <v>2681</v>
      </c>
      <c r="L998" s="102" t="n">
        <v>45777</v>
      </c>
      <c r="M998" s="100" t="n">
        <v>9197</v>
      </c>
      <c r="N998" s="100" t="n">
        <v>10458</v>
      </c>
      <c r="O998" s="100" t="n">
        <v>1261</v>
      </c>
      <c r="P998" s="100" t="n">
        <v>1223</v>
      </c>
      <c r="Q998" s="100"/>
      <c r="R998" s="103" t="n">
        <f aca="false">合約與計費!$D$4</f>
        <v>0.296</v>
      </c>
      <c r="S998" s="104" t="n">
        <f aca="false">ROUND(P998*R998,0)</f>
        <v>362</v>
      </c>
      <c r="T998" s="105"/>
      <c r="U998" s="100"/>
      <c r="V998" s="100"/>
      <c r="W998" s="106"/>
      <c r="X998" s="100"/>
      <c r="Y998" s="100"/>
      <c r="Z998" s="107"/>
      <c r="AA998" s="108"/>
      <c r="AB998" s="109"/>
      <c r="AC998" s="110"/>
      <c r="AD998" s="42" t="n">
        <v>0.0941</v>
      </c>
      <c r="AE998" s="43" t="n">
        <v>0.9</v>
      </c>
    </row>
    <row r="999" customFormat="false" ht="16.5" hidden="false" customHeight="true" outlineLevel="0" collapsed="false">
      <c r="A999" s="111" t="n">
        <f aca="false">ROW(A996)</f>
        <v>996</v>
      </c>
      <c r="B999" s="111" t="s">
        <v>469</v>
      </c>
      <c r="C999" s="114" t="n">
        <v>1</v>
      </c>
      <c r="D999" s="85"/>
      <c r="E999" s="112" t="s">
        <v>2682</v>
      </c>
      <c r="F999" s="113" t="s">
        <v>2676</v>
      </c>
      <c r="G999" s="114" t="s">
        <v>2515</v>
      </c>
      <c r="H999" s="114" t="s">
        <v>2645</v>
      </c>
      <c r="I999" s="114" t="s">
        <v>206</v>
      </c>
      <c r="J999" s="112" t="s">
        <v>471</v>
      </c>
      <c r="K999" s="115" t="s">
        <v>2683</v>
      </c>
      <c r="L999" s="116" t="n">
        <v>45777</v>
      </c>
      <c r="M999" s="114" t="n">
        <v>7186</v>
      </c>
      <c r="N999" s="114" t="n">
        <v>8410</v>
      </c>
      <c r="O999" s="114" t="n">
        <v>1224</v>
      </c>
      <c r="P999" s="114" t="n">
        <v>1187</v>
      </c>
      <c r="Q999" s="114" t="n">
        <f aca="false">ROUND(SUM(P996:P999),2)</f>
        <v>2531</v>
      </c>
      <c r="R999" s="117" t="n">
        <f aca="false">合約與計費!$D$4</f>
        <v>0.296</v>
      </c>
      <c r="S999" s="118" t="n">
        <f aca="false">ROUND(P999*R999,0)</f>
        <v>351</v>
      </c>
      <c r="T999" s="119" t="n">
        <f aca="false">ROUND(SUM(S996:S999),2)</f>
        <v>748</v>
      </c>
      <c r="U999" s="114"/>
      <c r="V999" s="114"/>
      <c r="W999" s="120"/>
      <c r="X999" s="114"/>
      <c r="Y999" s="114" t="n">
        <f aca="false">ROUND(SUM(X996:X999),2)</f>
        <v>5</v>
      </c>
      <c r="Z999" s="121"/>
      <c r="AA999" s="122"/>
      <c r="AB999" s="123" t="n">
        <f aca="false">ROUND(SUM(AA996:AA999),2)</f>
        <v>14</v>
      </c>
      <c r="AC999" s="124"/>
      <c r="AD999" s="42" t="n">
        <v>0.0925</v>
      </c>
      <c r="AE999" s="43" t="n">
        <v>0.1</v>
      </c>
    </row>
    <row r="1000" customFormat="false" ht="16.5" hidden="false" customHeight="true" outlineLevel="0" collapsed="false">
      <c r="A1000" s="84" t="n">
        <f aca="false">ROW(A997)</f>
        <v>997</v>
      </c>
      <c r="B1000" s="84" t="s">
        <v>455</v>
      </c>
      <c r="C1000" s="32" t="n">
        <v>1</v>
      </c>
      <c r="D1000" s="85" t="n">
        <v>278</v>
      </c>
      <c r="E1000" s="86" t="s">
        <v>2684</v>
      </c>
      <c r="F1000" s="87" t="s">
        <v>2685</v>
      </c>
      <c r="G1000" s="32" t="s">
        <v>2515</v>
      </c>
      <c r="H1000" s="32" t="s">
        <v>2645</v>
      </c>
      <c r="I1000" s="172" t="s">
        <v>279</v>
      </c>
      <c r="J1000" s="86" t="s">
        <v>460</v>
      </c>
      <c r="K1000" s="88" t="s">
        <v>2686</v>
      </c>
      <c r="L1000" s="89" t="n">
        <v>45777</v>
      </c>
      <c r="M1000" s="32" t="n">
        <v>248</v>
      </c>
      <c r="N1000" s="32" t="n">
        <v>315</v>
      </c>
      <c r="O1000" s="32" t="n">
        <v>67</v>
      </c>
      <c r="P1000" s="32" t="n">
        <v>65</v>
      </c>
      <c r="Q1000" s="32"/>
      <c r="R1000" s="90" t="n">
        <f aca="false">合約與計費!$D$4</f>
        <v>0.296</v>
      </c>
      <c r="S1000" s="91" t="n">
        <f aca="false">ROUND(P1000*R1000,0)</f>
        <v>19</v>
      </c>
      <c r="T1000" s="92"/>
      <c r="U1000" s="32" t="n">
        <v>94</v>
      </c>
      <c r="V1000" s="32" t="n">
        <v>100</v>
      </c>
      <c r="W1000" s="32" t="n">
        <v>6</v>
      </c>
      <c r="X1000" s="32" t="n">
        <v>6</v>
      </c>
      <c r="Y1000" s="32"/>
      <c r="Z1000" s="93" t="n">
        <f aca="false">合約與計費!$E$4</f>
        <v>2.8</v>
      </c>
      <c r="AA1000" s="94" t="n">
        <f aca="false">ROUND(X1000*Z1000,0)</f>
        <v>17</v>
      </c>
      <c r="AB1000" s="95"/>
      <c r="AC1000" s="96"/>
      <c r="AD1000" s="42"/>
      <c r="AE1000" s="43"/>
    </row>
    <row r="1001" customFormat="false" ht="16.5" hidden="false" customHeight="true" outlineLevel="0" collapsed="false">
      <c r="A1001" s="97" t="n">
        <f aca="false">ROW(A998)</f>
        <v>998</v>
      </c>
      <c r="B1001" s="97" t="s">
        <v>462</v>
      </c>
      <c r="C1001" s="100" t="n">
        <v>1</v>
      </c>
      <c r="D1001" s="85"/>
      <c r="E1001" s="98" t="s">
        <v>2687</v>
      </c>
      <c r="F1001" s="99" t="s">
        <v>2685</v>
      </c>
      <c r="G1001" s="100" t="s">
        <v>2515</v>
      </c>
      <c r="H1001" s="100" t="s">
        <v>2645</v>
      </c>
      <c r="I1001" s="175" t="s">
        <v>279</v>
      </c>
      <c r="J1001" s="98" t="s">
        <v>464</v>
      </c>
      <c r="K1001" s="101" t="s">
        <v>2688</v>
      </c>
      <c r="L1001" s="102" t="n">
        <v>45777</v>
      </c>
      <c r="M1001" s="100" t="n">
        <v>5962</v>
      </c>
      <c r="N1001" s="100" t="n">
        <v>6604</v>
      </c>
      <c r="O1001" s="100" t="n">
        <v>642</v>
      </c>
      <c r="P1001" s="100" t="n">
        <v>623</v>
      </c>
      <c r="Q1001" s="100"/>
      <c r="R1001" s="103" t="n">
        <f aca="false">合約與計費!$D$4</f>
        <v>0.296</v>
      </c>
      <c r="S1001" s="104" t="n">
        <f aca="false">ROUND(P1001*R1001,0)</f>
        <v>184</v>
      </c>
      <c r="T1001" s="105"/>
      <c r="U1001" s="100"/>
      <c r="V1001" s="100"/>
      <c r="W1001" s="106"/>
      <c r="X1001" s="100"/>
      <c r="Y1001" s="100"/>
      <c r="Z1001" s="107"/>
      <c r="AA1001" s="108"/>
      <c r="AB1001" s="109"/>
      <c r="AC1001" s="110"/>
      <c r="AD1001" s="42" t="n">
        <v>0.0761</v>
      </c>
      <c r="AE1001" s="43" t="n">
        <v>0.7</v>
      </c>
    </row>
    <row r="1002" customFormat="false" ht="16.5" hidden="false" customHeight="true" outlineLevel="0" collapsed="false">
      <c r="A1002" s="97" t="n">
        <f aca="false">ROW(A999)</f>
        <v>999</v>
      </c>
      <c r="B1002" s="97" t="s">
        <v>466</v>
      </c>
      <c r="C1002" s="100" t="n">
        <v>1</v>
      </c>
      <c r="D1002" s="85"/>
      <c r="E1002" s="98" t="s">
        <v>2689</v>
      </c>
      <c r="F1002" s="99" t="s">
        <v>2685</v>
      </c>
      <c r="G1002" s="100" t="s">
        <v>2515</v>
      </c>
      <c r="H1002" s="100" t="s">
        <v>2645</v>
      </c>
      <c r="I1002" s="175" t="s">
        <v>279</v>
      </c>
      <c r="J1002" s="98" t="s">
        <v>471</v>
      </c>
      <c r="K1002" s="101" t="s">
        <v>2690</v>
      </c>
      <c r="L1002" s="102" t="n">
        <v>45814</v>
      </c>
      <c r="M1002" s="100" t="n">
        <v>6588</v>
      </c>
      <c r="N1002" s="100" t="n">
        <v>7854</v>
      </c>
      <c r="O1002" s="100" t="n">
        <v>1266</v>
      </c>
      <c r="P1002" s="100" t="n">
        <v>1228</v>
      </c>
      <c r="Q1002" s="100"/>
      <c r="R1002" s="103" t="n">
        <f aca="false">合約與計費!$D$4</f>
        <v>0.296</v>
      </c>
      <c r="S1002" s="104" t="n">
        <f aca="false">ROUND(P1002*R1002,0)</f>
        <v>363</v>
      </c>
      <c r="T1002" s="105"/>
      <c r="U1002" s="100"/>
      <c r="V1002" s="100"/>
      <c r="W1002" s="106"/>
      <c r="X1002" s="100"/>
      <c r="Y1002" s="100"/>
      <c r="Z1002" s="107"/>
      <c r="AA1002" s="108"/>
      <c r="AB1002" s="109"/>
      <c r="AC1002" s="110"/>
      <c r="AD1002" s="42" t="n">
        <v>0.1068</v>
      </c>
      <c r="AE1002" s="43" t="n">
        <v>0.1</v>
      </c>
    </row>
    <row r="1003" customFormat="false" ht="16.5" hidden="false" customHeight="true" outlineLevel="0" collapsed="false">
      <c r="A1003" s="97" t="n">
        <f aca="false">ROW(A1000)</f>
        <v>1000</v>
      </c>
      <c r="B1003" s="97" t="s">
        <v>469</v>
      </c>
      <c r="C1003" s="100" t="n">
        <v>1</v>
      </c>
      <c r="D1003" s="85"/>
      <c r="E1003" s="98" t="s">
        <v>2691</v>
      </c>
      <c r="F1003" s="99" t="s">
        <v>2685</v>
      </c>
      <c r="G1003" s="100" t="s">
        <v>2515</v>
      </c>
      <c r="H1003" s="100" t="s">
        <v>2645</v>
      </c>
      <c r="I1003" s="175" t="s">
        <v>279</v>
      </c>
      <c r="J1003" s="98" t="s">
        <v>471</v>
      </c>
      <c r="K1003" s="101" t="s">
        <v>2692</v>
      </c>
      <c r="L1003" s="102" t="n">
        <v>45777</v>
      </c>
      <c r="M1003" s="100" t="n">
        <v>1637</v>
      </c>
      <c r="N1003" s="100" t="n">
        <v>1881</v>
      </c>
      <c r="O1003" s="100" t="n">
        <v>244</v>
      </c>
      <c r="P1003" s="100" t="n">
        <v>237</v>
      </c>
      <c r="Q1003" s="100"/>
      <c r="R1003" s="103" t="n">
        <f aca="false">合約與計費!$D$4</f>
        <v>0.296</v>
      </c>
      <c r="S1003" s="104" t="n">
        <f aca="false">ROUND(P1003*R1003,0)</f>
        <v>70</v>
      </c>
      <c r="T1003" s="105"/>
      <c r="U1003" s="100"/>
      <c r="V1003" s="100"/>
      <c r="W1003" s="106"/>
      <c r="X1003" s="100"/>
      <c r="Y1003" s="100"/>
      <c r="Z1003" s="107"/>
      <c r="AA1003" s="108"/>
      <c r="AB1003" s="109"/>
      <c r="AC1003" s="110"/>
      <c r="AD1003" s="42" t="n">
        <v>0.0415</v>
      </c>
      <c r="AE1003" s="43" t="n">
        <v>0.5</v>
      </c>
    </row>
    <row r="1004" customFormat="false" ht="16.5" hidden="false" customHeight="true" outlineLevel="0" collapsed="false">
      <c r="A1004" s="111" t="n">
        <f aca="false">ROW(A1001)</f>
        <v>1001</v>
      </c>
      <c r="B1004" s="111" t="s">
        <v>473</v>
      </c>
      <c r="C1004" s="114" t="n">
        <v>1</v>
      </c>
      <c r="D1004" s="85"/>
      <c r="E1004" s="112" t="s">
        <v>2693</v>
      </c>
      <c r="F1004" s="113" t="s">
        <v>2685</v>
      </c>
      <c r="G1004" s="114" t="s">
        <v>2515</v>
      </c>
      <c r="H1004" s="114" t="s">
        <v>2645</v>
      </c>
      <c r="I1004" s="173" t="s">
        <v>279</v>
      </c>
      <c r="J1004" s="112" t="s">
        <v>471</v>
      </c>
      <c r="K1004" s="115" t="s">
        <v>2694</v>
      </c>
      <c r="L1004" s="116" t="n">
        <v>45777</v>
      </c>
      <c r="M1004" s="114" t="n">
        <v>12554</v>
      </c>
      <c r="N1004" s="114" t="n">
        <v>14498</v>
      </c>
      <c r="O1004" s="100" t="n">
        <v>1944</v>
      </c>
      <c r="P1004" s="100" t="n">
        <v>1886</v>
      </c>
      <c r="Q1004" s="100" t="n">
        <f aca="false">ROUND(SUM(P1000:P1004),2)</f>
        <v>4039</v>
      </c>
      <c r="R1004" s="117" t="n">
        <f aca="false">合約與計費!$D$4</f>
        <v>0.296</v>
      </c>
      <c r="S1004" s="118" t="n">
        <f aca="false">ROUND(P1004*R1004,0)</f>
        <v>558</v>
      </c>
      <c r="T1004" s="105" t="n">
        <f aca="false">ROUND(SUM(S1000:S1004),2)</f>
        <v>1194</v>
      </c>
      <c r="U1004" s="114"/>
      <c r="V1004" s="114"/>
      <c r="W1004" s="120"/>
      <c r="X1004" s="114"/>
      <c r="Y1004" s="100" t="n">
        <f aca="false">ROUND(SUM(X1000:X1004),2)</f>
        <v>6</v>
      </c>
      <c r="Z1004" s="121"/>
      <c r="AA1004" s="108"/>
      <c r="AB1004" s="109" t="n">
        <f aca="false">ROUND(SUM(AA1000:AA1004),2)</f>
        <v>17</v>
      </c>
      <c r="AC1004" s="124"/>
      <c r="AD1004" s="42" t="n">
        <v>0.1086</v>
      </c>
      <c r="AE1004" s="43" t="n">
        <v>0.3</v>
      </c>
    </row>
    <row r="1005" customFormat="false" ht="16.5" hidden="false" customHeight="true" outlineLevel="0" collapsed="false">
      <c r="A1005" s="84" t="n">
        <f aca="false">ROW(A1002)</f>
        <v>1002</v>
      </c>
      <c r="B1005" s="84" t="s">
        <v>455</v>
      </c>
      <c r="C1005" s="32" t="n">
        <v>1</v>
      </c>
      <c r="D1005" s="85" t="n">
        <v>333</v>
      </c>
      <c r="E1005" s="233" t="s">
        <v>2695</v>
      </c>
      <c r="F1005" s="87" t="s">
        <v>2696</v>
      </c>
      <c r="G1005" s="32" t="s">
        <v>2515</v>
      </c>
      <c r="H1005" s="32" t="s">
        <v>2645</v>
      </c>
      <c r="I1005" s="172" t="s">
        <v>34</v>
      </c>
      <c r="J1005" s="86" t="s">
        <v>460</v>
      </c>
      <c r="K1005" s="88" t="s">
        <v>2697</v>
      </c>
      <c r="L1005" s="89" t="n">
        <v>45742</v>
      </c>
      <c r="M1005" s="32" t="n">
        <v>1501</v>
      </c>
      <c r="N1005" s="32" t="n">
        <v>1590</v>
      </c>
      <c r="O1005" s="32" t="n">
        <v>89</v>
      </c>
      <c r="P1005" s="32" t="n">
        <v>86</v>
      </c>
      <c r="Q1005" s="32"/>
      <c r="R1005" s="90" t="n">
        <f aca="false">合約與計費!$D$4</f>
        <v>0.296</v>
      </c>
      <c r="S1005" s="91" t="n">
        <f aca="false">ROUND(P1005*R1005,0)</f>
        <v>25</v>
      </c>
      <c r="T1005" s="92"/>
      <c r="U1005" s="32" t="n">
        <v>358</v>
      </c>
      <c r="V1005" s="32" t="n">
        <v>400</v>
      </c>
      <c r="W1005" s="32" t="n">
        <v>42</v>
      </c>
      <c r="X1005" s="32" t="n">
        <v>41</v>
      </c>
      <c r="Y1005" s="32"/>
      <c r="Z1005" s="93" t="n">
        <f aca="false">合約與計費!$E$4</f>
        <v>2.8</v>
      </c>
      <c r="AA1005" s="94" t="n">
        <f aca="false">ROUND(X1005*Z1005,0)</f>
        <v>115</v>
      </c>
      <c r="AB1005" s="95"/>
      <c r="AC1005" s="96"/>
      <c r="AD1005" s="42"/>
      <c r="AE1005" s="43"/>
    </row>
    <row r="1006" customFormat="false" ht="16.5" hidden="false" customHeight="true" outlineLevel="0" collapsed="false">
      <c r="A1006" s="97" t="n">
        <f aca="false">ROW(A1003)</f>
        <v>1003</v>
      </c>
      <c r="B1006" s="97" t="s">
        <v>462</v>
      </c>
      <c r="C1006" s="100" t="n">
        <v>1</v>
      </c>
      <c r="D1006" s="85"/>
      <c r="E1006" s="234" t="s">
        <v>2698</v>
      </c>
      <c r="F1006" s="99" t="s">
        <v>2696</v>
      </c>
      <c r="G1006" s="100" t="s">
        <v>2515</v>
      </c>
      <c r="H1006" s="100" t="s">
        <v>2645</v>
      </c>
      <c r="I1006" s="175" t="s">
        <v>34</v>
      </c>
      <c r="J1006" s="98" t="s">
        <v>464</v>
      </c>
      <c r="K1006" s="101" t="s">
        <v>2699</v>
      </c>
      <c r="L1006" s="102" t="n">
        <v>45742</v>
      </c>
      <c r="M1006" s="100" t="n">
        <v>1359</v>
      </c>
      <c r="N1006" s="100" t="n">
        <v>1545</v>
      </c>
      <c r="O1006" s="100" t="n">
        <v>186</v>
      </c>
      <c r="P1006" s="100" t="n">
        <v>180</v>
      </c>
      <c r="Q1006" s="100"/>
      <c r="R1006" s="103" t="n">
        <f aca="false">合約與計費!$D$4</f>
        <v>0.296</v>
      </c>
      <c r="S1006" s="104" t="n">
        <f aca="false">ROUND(P1006*R1006,0)</f>
        <v>53</v>
      </c>
      <c r="T1006" s="105"/>
      <c r="U1006" s="100"/>
      <c r="V1006" s="100"/>
      <c r="W1006" s="106"/>
      <c r="X1006" s="100"/>
      <c r="Y1006" s="100"/>
      <c r="Z1006" s="107"/>
      <c r="AA1006" s="108"/>
      <c r="AB1006" s="109"/>
      <c r="AC1006" s="110"/>
      <c r="AD1006" s="42" t="n">
        <v>0.0651</v>
      </c>
      <c r="AE1006" s="43" t="n">
        <v>0.2</v>
      </c>
    </row>
    <row r="1007" customFormat="false" ht="16.5" hidden="false" customHeight="true" outlineLevel="0" collapsed="false">
      <c r="A1007" s="97" t="n">
        <f aca="false">ROW(A1004)</f>
        <v>1004</v>
      </c>
      <c r="B1007" s="97" t="s">
        <v>466</v>
      </c>
      <c r="C1007" s="100" t="n">
        <v>1</v>
      </c>
      <c r="D1007" s="85"/>
      <c r="E1007" s="234" t="s">
        <v>2700</v>
      </c>
      <c r="F1007" s="99" t="s">
        <v>2696</v>
      </c>
      <c r="G1007" s="100" t="s">
        <v>2515</v>
      </c>
      <c r="H1007" s="100" t="s">
        <v>2645</v>
      </c>
      <c r="I1007" s="175" t="s">
        <v>34</v>
      </c>
      <c r="J1007" s="98" t="s">
        <v>471</v>
      </c>
      <c r="K1007" s="101" t="s">
        <v>2701</v>
      </c>
      <c r="L1007" s="102" t="n">
        <v>45742</v>
      </c>
      <c r="M1007" s="100" t="n">
        <v>4745</v>
      </c>
      <c r="N1007" s="100" t="n">
        <v>5418</v>
      </c>
      <c r="O1007" s="100" t="n">
        <v>673</v>
      </c>
      <c r="P1007" s="100" t="n">
        <v>653</v>
      </c>
      <c r="Q1007" s="100"/>
      <c r="R1007" s="103" t="n">
        <f aca="false">合約與計費!$D$4</f>
        <v>0.296</v>
      </c>
      <c r="S1007" s="104" t="n">
        <f aca="false">ROUND(P1007*R1007,0)</f>
        <v>193</v>
      </c>
      <c r="T1007" s="105"/>
      <c r="U1007" s="100"/>
      <c r="V1007" s="100"/>
      <c r="W1007" s="106"/>
      <c r="X1007" s="100"/>
      <c r="Y1007" s="100"/>
      <c r="Z1007" s="107"/>
      <c r="AA1007" s="108"/>
      <c r="AB1007" s="109"/>
      <c r="AC1007" s="110"/>
      <c r="AD1007" s="42" t="n">
        <v>0.0819</v>
      </c>
      <c r="AE1007" s="43" t="n">
        <v>0.9</v>
      </c>
    </row>
    <row r="1008" customFormat="false" ht="16.5" hidden="false" customHeight="true" outlineLevel="0" collapsed="false">
      <c r="A1008" s="97" t="n">
        <f aca="false">ROW(A1005)</f>
        <v>1005</v>
      </c>
      <c r="B1008" s="97" t="s">
        <v>469</v>
      </c>
      <c r="C1008" s="100" t="n">
        <v>1</v>
      </c>
      <c r="D1008" s="85"/>
      <c r="E1008" s="234" t="s">
        <v>2702</v>
      </c>
      <c r="F1008" s="99" t="s">
        <v>2696</v>
      </c>
      <c r="G1008" s="100" t="s">
        <v>2515</v>
      </c>
      <c r="H1008" s="100" t="s">
        <v>2645</v>
      </c>
      <c r="I1008" s="175" t="s">
        <v>34</v>
      </c>
      <c r="J1008" s="98" t="s">
        <v>471</v>
      </c>
      <c r="K1008" s="101" t="s">
        <v>2703</v>
      </c>
      <c r="L1008" s="102" t="n">
        <v>45797</v>
      </c>
      <c r="M1008" s="100" t="n">
        <v>905</v>
      </c>
      <c r="N1008" s="100" t="n">
        <v>1162</v>
      </c>
      <c r="O1008" s="100" t="n">
        <v>257</v>
      </c>
      <c r="P1008" s="100" t="n">
        <v>249</v>
      </c>
      <c r="Q1008" s="100"/>
      <c r="R1008" s="103" t="n">
        <f aca="false">合約與計費!$D$4</f>
        <v>0.296</v>
      </c>
      <c r="S1008" s="104" t="n">
        <f aca="false">ROUND(P1008*R1008,0)</f>
        <v>74</v>
      </c>
      <c r="T1008" s="105"/>
      <c r="U1008" s="100"/>
      <c r="V1008" s="100"/>
      <c r="W1008" s="106"/>
      <c r="X1008" s="100"/>
      <c r="Y1008" s="100"/>
      <c r="Z1008" s="107"/>
      <c r="AA1008" s="108"/>
      <c r="AB1008" s="109"/>
      <c r="AC1008" s="110"/>
      <c r="AD1008" s="42" t="n">
        <v>0.0467</v>
      </c>
      <c r="AE1008" s="43" t="n">
        <v>0.6</v>
      </c>
    </row>
    <row r="1009" customFormat="false" ht="16.5" hidden="false" customHeight="true" outlineLevel="0" collapsed="false">
      <c r="A1009" s="111" t="n">
        <f aca="false">ROW(A1006)</f>
        <v>1006</v>
      </c>
      <c r="B1009" s="111" t="s">
        <v>473</v>
      </c>
      <c r="C1009" s="114" t="n">
        <v>1</v>
      </c>
      <c r="D1009" s="85"/>
      <c r="E1009" s="235" t="s">
        <v>2704</v>
      </c>
      <c r="F1009" s="113" t="s">
        <v>2696</v>
      </c>
      <c r="G1009" s="114" t="s">
        <v>2515</v>
      </c>
      <c r="H1009" s="114" t="s">
        <v>2645</v>
      </c>
      <c r="I1009" s="173" t="s">
        <v>34</v>
      </c>
      <c r="J1009" s="112" t="s">
        <v>471</v>
      </c>
      <c r="K1009" s="115" t="s">
        <v>2705</v>
      </c>
      <c r="L1009" s="116" t="n">
        <v>45797</v>
      </c>
      <c r="M1009" s="114" t="n">
        <v>3071</v>
      </c>
      <c r="N1009" s="114" t="n">
        <v>3974</v>
      </c>
      <c r="O1009" s="100" t="n">
        <v>903</v>
      </c>
      <c r="P1009" s="100" t="n">
        <v>876</v>
      </c>
      <c r="Q1009" s="100" t="n">
        <f aca="false">ROUND(SUM(P1005:P1009),2)</f>
        <v>2044</v>
      </c>
      <c r="R1009" s="117" t="n">
        <f aca="false">合約與計費!$D$4</f>
        <v>0.296</v>
      </c>
      <c r="S1009" s="118" t="n">
        <f aca="false">ROUND(P1009*R1009,0)</f>
        <v>259</v>
      </c>
      <c r="T1009" s="105" t="n">
        <f aca="false">ROUND(SUM(S1005:S1009),2)</f>
        <v>604</v>
      </c>
      <c r="U1009" s="114"/>
      <c r="V1009" s="114"/>
      <c r="W1009" s="120"/>
      <c r="X1009" s="114"/>
      <c r="Y1009" s="100" t="n">
        <f aca="false">ROUND(SUM(X1005:X1009),2)</f>
        <v>41</v>
      </c>
      <c r="Z1009" s="121"/>
      <c r="AA1009" s="108"/>
      <c r="AB1009" s="109" t="n">
        <f aca="false">ROUND(SUM(AA1005:AA1009),2)</f>
        <v>115</v>
      </c>
      <c r="AC1009" s="124"/>
      <c r="AD1009" s="42" t="n">
        <v>0.0884</v>
      </c>
      <c r="AE1009" s="43" t="n">
        <v>0.6</v>
      </c>
    </row>
    <row r="1010" customFormat="false" ht="16.5" hidden="false" customHeight="true" outlineLevel="0" collapsed="false">
      <c r="A1010" s="84" t="n">
        <f aca="false">ROW(A1007)</f>
        <v>1007</v>
      </c>
      <c r="B1010" s="84" t="s">
        <v>455</v>
      </c>
      <c r="C1010" s="32" t="n">
        <v>1</v>
      </c>
      <c r="D1010" s="85" t="n">
        <v>334</v>
      </c>
      <c r="E1010" s="233" t="s">
        <v>2706</v>
      </c>
      <c r="F1010" s="87" t="s">
        <v>2707</v>
      </c>
      <c r="G1010" s="32" t="s">
        <v>2515</v>
      </c>
      <c r="H1010" s="32" t="s">
        <v>2645</v>
      </c>
      <c r="I1010" s="172" t="s">
        <v>304</v>
      </c>
      <c r="J1010" s="86" t="s">
        <v>460</v>
      </c>
      <c r="K1010" s="88" t="s">
        <v>2708</v>
      </c>
      <c r="L1010" s="89" t="n">
        <v>45748</v>
      </c>
      <c r="M1010" s="32" t="n">
        <v>30</v>
      </c>
      <c r="N1010" s="32" t="n">
        <v>32</v>
      </c>
      <c r="O1010" s="32" t="n">
        <v>2</v>
      </c>
      <c r="P1010" s="32" t="n">
        <v>2</v>
      </c>
      <c r="Q1010" s="32"/>
      <c r="R1010" s="90" t="n">
        <f aca="false">合約與計費!$D$4</f>
        <v>0.296</v>
      </c>
      <c r="S1010" s="91" t="n">
        <f aca="false">ROUND(P1010*R1010,0)</f>
        <v>1</v>
      </c>
      <c r="T1010" s="92"/>
      <c r="U1010" s="32" t="n">
        <v>241</v>
      </c>
      <c r="V1010" s="32" t="n">
        <v>285</v>
      </c>
      <c r="W1010" s="32" t="n">
        <v>44</v>
      </c>
      <c r="X1010" s="32" t="n">
        <v>43</v>
      </c>
      <c r="Y1010" s="32"/>
      <c r="Z1010" s="93" t="n">
        <f aca="false">合約與計費!$E$4</f>
        <v>2.8</v>
      </c>
      <c r="AA1010" s="94" t="n">
        <f aca="false">ROUND(X1010*Z1010,0)</f>
        <v>120</v>
      </c>
      <c r="AB1010" s="95"/>
      <c r="AC1010" s="96"/>
      <c r="AD1010" s="42"/>
      <c r="AE1010" s="43"/>
    </row>
    <row r="1011" customFormat="false" ht="16.5" hidden="false" customHeight="true" outlineLevel="0" collapsed="false">
      <c r="A1011" s="97" t="n">
        <f aca="false">ROW(A1008)</f>
        <v>1008</v>
      </c>
      <c r="B1011" s="97" t="s">
        <v>462</v>
      </c>
      <c r="C1011" s="100" t="n">
        <v>1</v>
      </c>
      <c r="D1011" s="85"/>
      <c r="E1011" s="234" t="s">
        <v>2709</v>
      </c>
      <c r="F1011" s="99" t="s">
        <v>2707</v>
      </c>
      <c r="G1011" s="100" t="s">
        <v>2515</v>
      </c>
      <c r="H1011" s="100" t="s">
        <v>2645</v>
      </c>
      <c r="I1011" s="175" t="s">
        <v>304</v>
      </c>
      <c r="J1011" s="98" t="s">
        <v>464</v>
      </c>
      <c r="K1011" s="101" t="s">
        <v>2710</v>
      </c>
      <c r="L1011" s="102" t="n">
        <v>45748</v>
      </c>
      <c r="M1011" s="100" t="n">
        <v>1107</v>
      </c>
      <c r="N1011" s="100" t="n">
        <v>1263</v>
      </c>
      <c r="O1011" s="100" t="n">
        <v>156</v>
      </c>
      <c r="P1011" s="100" t="n">
        <v>151</v>
      </c>
      <c r="Q1011" s="100"/>
      <c r="R1011" s="103" t="n">
        <f aca="false">合約與計費!$D$4</f>
        <v>0.296</v>
      </c>
      <c r="S1011" s="104" t="n">
        <f aca="false">ROUND(P1011*R1011,0)</f>
        <v>45</v>
      </c>
      <c r="T1011" s="105"/>
      <c r="U1011" s="100"/>
      <c r="V1011" s="100"/>
      <c r="W1011" s="106"/>
      <c r="X1011" s="100"/>
      <c r="Y1011" s="100"/>
      <c r="Z1011" s="107"/>
      <c r="AA1011" s="108"/>
      <c r="AB1011" s="109"/>
      <c r="AC1011" s="110"/>
      <c r="AD1011" s="42" t="n">
        <v>0.0611</v>
      </c>
      <c r="AE1011" s="43" t="n">
        <v>0.5</v>
      </c>
    </row>
    <row r="1012" customFormat="false" ht="16.5" hidden="false" customHeight="true" outlineLevel="0" collapsed="false">
      <c r="A1012" s="97" t="n">
        <f aca="false">ROW(A1009)</f>
        <v>1009</v>
      </c>
      <c r="B1012" s="97" t="s">
        <v>466</v>
      </c>
      <c r="C1012" s="100" t="n">
        <v>1</v>
      </c>
      <c r="D1012" s="85"/>
      <c r="E1012" s="234" t="s">
        <v>2711</v>
      </c>
      <c r="F1012" s="99" t="s">
        <v>2707</v>
      </c>
      <c r="G1012" s="100" t="s">
        <v>2515</v>
      </c>
      <c r="H1012" s="100" t="s">
        <v>2645</v>
      </c>
      <c r="I1012" s="175" t="s">
        <v>304</v>
      </c>
      <c r="J1012" s="98" t="s">
        <v>471</v>
      </c>
      <c r="K1012" s="101" t="s">
        <v>2712</v>
      </c>
      <c r="L1012" s="102" t="n">
        <v>45748</v>
      </c>
      <c r="M1012" s="100" t="n">
        <v>4283</v>
      </c>
      <c r="N1012" s="100" t="n">
        <v>4960</v>
      </c>
      <c r="O1012" s="100" t="n">
        <v>677</v>
      </c>
      <c r="P1012" s="100" t="n">
        <v>657</v>
      </c>
      <c r="Q1012" s="100"/>
      <c r="R1012" s="103" t="n">
        <f aca="false">合約與計費!$D$4</f>
        <v>0.296</v>
      </c>
      <c r="S1012" s="104" t="n">
        <f aca="false">ROUND(P1012*R1012,0)</f>
        <v>194</v>
      </c>
      <c r="T1012" s="105"/>
      <c r="U1012" s="100"/>
      <c r="V1012" s="100"/>
      <c r="W1012" s="106"/>
      <c r="X1012" s="100"/>
      <c r="Y1012" s="100"/>
      <c r="Z1012" s="107"/>
      <c r="AA1012" s="108"/>
      <c r="AB1012" s="109"/>
      <c r="AC1012" s="110"/>
      <c r="AD1012" s="42" t="n">
        <v>0.1785</v>
      </c>
      <c r="AE1012" s="43" t="n">
        <v>0.3</v>
      </c>
    </row>
    <row r="1013" customFormat="false" ht="16.5" hidden="false" customHeight="true" outlineLevel="0" collapsed="false">
      <c r="A1013" s="97" t="n">
        <f aca="false">ROW(A1010)</f>
        <v>1010</v>
      </c>
      <c r="B1013" s="97" t="s">
        <v>469</v>
      </c>
      <c r="C1013" s="100" t="n">
        <v>1</v>
      </c>
      <c r="D1013" s="85"/>
      <c r="E1013" s="234" t="s">
        <v>2713</v>
      </c>
      <c r="F1013" s="99" t="s">
        <v>2707</v>
      </c>
      <c r="G1013" s="100" t="s">
        <v>2515</v>
      </c>
      <c r="H1013" s="100" t="s">
        <v>2645</v>
      </c>
      <c r="I1013" s="175" t="s">
        <v>304</v>
      </c>
      <c r="J1013" s="98" t="s">
        <v>471</v>
      </c>
      <c r="K1013" s="101" t="s">
        <v>2714</v>
      </c>
      <c r="L1013" s="102" t="n">
        <v>45748</v>
      </c>
      <c r="M1013" s="100" t="n">
        <v>8018</v>
      </c>
      <c r="N1013" s="100" t="n">
        <v>9091</v>
      </c>
      <c r="O1013" s="100" t="n">
        <v>1073</v>
      </c>
      <c r="P1013" s="100" t="n">
        <v>1041</v>
      </c>
      <c r="Q1013" s="100"/>
      <c r="R1013" s="103" t="n">
        <f aca="false">合約與計費!$D$4</f>
        <v>0.296</v>
      </c>
      <c r="S1013" s="104" t="n">
        <f aca="false">ROUND(P1013*R1013,0)</f>
        <v>308</v>
      </c>
      <c r="T1013" s="105"/>
      <c r="U1013" s="100"/>
      <c r="V1013" s="100"/>
      <c r="W1013" s="106"/>
      <c r="X1013" s="100"/>
      <c r="Y1013" s="100"/>
      <c r="Z1013" s="107"/>
      <c r="AA1013" s="108"/>
      <c r="AB1013" s="109"/>
      <c r="AC1013" s="110"/>
      <c r="AD1013" s="42" t="n">
        <v>0.237</v>
      </c>
      <c r="AE1013" s="43" t="n">
        <v>0.5</v>
      </c>
    </row>
    <row r="1014" customFormat="false" ht="16.5" hidden="false" customHeight="true" outlineLevel="0" collapsed="false">
      <c r="A1014" s="111" t="n">
        <f aca="false">ROW(A1011)</f>
        <v>1011</v>
      </c>
      <c r="B1014" s="111" t="s">
        <v>473</v>
      </c>
      <c r="C1014" s="114" t="n">
        <v>1</v>
      </c>
      <c r="D1014" s="85"/>
      <c r="E1014" s="235" t="s">
        <v>2715</v>
      </c>
      <c r="F1014" s="113" t="s">
        <v>2707</v>
      </c>
      <c r="G1014" s="114" t="s">
        <v>2515</v>
      </c>
      <c r="H1014" s="114" t="s">
        <v>2645</v>
      </c>
      <c r="I1014" s="173" t="s">
        <v>304</v>
      </c>
      <c r="J1014" s="112" t="s">
        <v>471</v>
      </c>
      <c r="K1014" s="115" t="s">
        <v>2716</v>
      </c>
      <c r="L1014" s="116" t="n">
        <v>45748</v>
      </c>
      <c r="M1014" s="114" t="n">
        <v>4602</v>
      </c>
      <c r="N1014" s="114" t="n">
        <v>5380</v>
      </c>
      <c r="O1014" s="114" t="n">
        <v>778</v>
      </c>
      <c r="P1014" s="114" t="n">
        <v>755</v>
      </c>
      <c r="Q1014" s="114" t="n">
        <f aca="false">ROUND(SUM(P1010:P1014),2)</f>
        <v>2606</v>
      </c>
      <c r="R1014" s="117" t="n">
        <f aca="false">合約與計費!$D$4</f>
        <v>0.296</v>
      </c>
      <c r="S1014" s="118" t="n">
        <f aca="false">ROUND(P1014*R1014,0)</f>
        <v>223</v>
      </c>
      <c r="T1014" s="119" t="n">
        <f aca="false">ROUND(SUM(S1010:S1014),2)</f>
        <v>771</v>
      </c>
      <c r="U1014" s="114"/>
      <c r="V1014" s="114"/>
      <c r="W1014" s="120"/>
      <c r="X1014" s="114"/>
      <c r="Y1014" s="114" t="n">
        <f aca="false">ROUND(SUM(X1010:X1014),2)</f>
        <v>43</v>
      </c>
      <c r="Z1014" s="121"/>
      <c r="AA1014" s="122"/>
      <c r="AB1014" s="123" t="n">
        <f aca="false">ROUND(SUM(AA1010:AA1014),2)</f>
        <v>120</v>
      </c>
      <c r="AC1014" s="124"/>
      <c r="AD1014" s="42" t="n">
        <v>0.2836</v>
      </c>
      <c r="AE1014" s="43" t="n">
        <v>0.3</v>
      </c>
    </row>
    <row r="1015" customFormat="false" ht="16.5" hidden="false" customHeight="true" outlineLevel="0" collapsed="false">
      <c r="A1015" s="84" t="n">
        <f aca="false">ROW(A1012)</f>
        <v>1012</v>
      </c>
      <c r="B1015" s="84" t="s">
        <v>455</v>
      </c>
      <c r="C1015" s="32" t="n">
        <v>1</v>
      </c>
      <c r="D1015" s="85" t="n">
        <v>370</v>
      </c>
      <c r="E1015" s="233" t="s">
        <v>2717</v>
      </c>
      <c r="F1015" s="87" t="s">
        <v>2718</v>
      </c>
      <c r="G1015" s="32" t="s">
        <v>2515</v>
      </c>
      <c r="H1015" s="32" t="s">
        <v>2645</v>
      </c>
      <c r="I1015" s="172" t="s">
        <v>92</v>
      </c>
      <c r="J1015" s="86" t="s">
        <v>460</v>
      </c>
      <c r="K1015" s="225" t="s">
        <v>2719</v>
      </c>
      <c r="L1015" s="89" t="n">
        <v>45805</v>
      </c>
      <c r="M1015" s="32" t="n">
        <v>9</v>
      </c>
      <c r="N1015" s="32" t="n">
        <v>11</v>
      </c>
      <c r="O1015" s="32" t="n">
        <v>2</v>
      </c>
      <c r="P1015" s="32" t="n">
        <v>2</v>
      </c>
      <c r="Q1015" s="32"/>
      <c r="R1015" s="90" t="n">
        <f aca="false">合約與計費!$D$4</f>
        <v>0.296</v>
      </c>
      <c r="S1015" s="91" t="n">
        <f aca="false">ROUND(P1015*R1015,0)</f>
        <v>1</v>
      </c>
      <c r="T1015" s="92"/>
      <c r="U1015" s="32" t="n">
        <v>40</v>
      </c>
      <c r="V1015" s="32" t="n">
        <v>41</v>
      </c>
      <c r="W1015" s="32" t="n">
        <v>1</v>
      </c>
      <c r="X1015" s="32" t="n">
        <v>1</v>
      </c>
      <c r="Y1015" s="32"/>
      <c r="Z1015" s="93" t="n">
        <f aca="false">合約與計費!$E$4</f>
        <v>2.8</v>
      </c>
      <c r="AA1015" s="94" t="n">
        <f aca="false">ROUND(X1015*Z1015,0)</f>
        <v>3</v>
      </c>
      <c r="AB1015" s="95"/>
      <c r="AC1015" s="96"/>
      <c r="AD1015" s="42"/>
      <c r="AE1015" s="43"/>
    </row>
    <row r="1016" customFormat="false" ht="16.5" hidden="false" customHeight="true" outlineLevel="0" collapsed="false">
      <c r="A1016" s="97" t="n">
        <f aca="false">ROW(A1013)</f>
        <v>1013</v>
      </c>
      <c r="B1016" s="97" t="s">
        <v>462</v>
      </c>
      <c r="C1016" s="100" t="n">
        <v>1</v>
      </c>
      <c r="D1016" s="85"/>
      <c r="E1016" s="234" t="s">
        <v>2720</v>
      </c>
      <c r="F1016" s="99" t="s">
        <v>2718</v>
      </c>
      <c r="G1016" s="100" t="s">
        <v>2515</v>
      </c>
      <c r="H1016" s="100" t="s">
        <v>2645</v>
      </c>
      <c r="I1016" s="175" t="s">
        <v>92</v>
      </c>
      <c r="J1016" s="98" t="s">
        <v>464</v>
      </c>
      <c r="K1016" s="101" t="s">
        <v>2721</v>
      </c>
      <c r="L1016" s="102" t="n">
        <v>45783</v>
      </c>
      <c r="M1016" s="100" t="n">
        <v>525</v>
      </c>
      <c r="N1016" s="100" t="n">
        <v>616</v>
      </c>
      <c r="O1016" s="100" t="n">
        <v>91</v>
      </c>
      <c r="P1016" s="100" t="n">
        <v>88</v>
      </c>
      <c r="Q1016" s="100"/>
      <c r="R1016" s="103" t="n">
        <f aca="false">合約與計費!$D$4</f>
        <v>0.296</v>
      </c>
      <c r="S1016" s="104" t="n">
        <f aca="false">ROUND(P1016*R1016,0)</f>
        <v>26</v>
      </c>
      <c r="T1016" s="105"/>
      <c r="U1016" s="100"/>
      <c r="V1016" s="100"/>
      <c r="W1016" s="106"/>
      <c r="X1016" s="100"/>
      <c r="Y1016" s="100"/>
      <c r="Z1016" s="107"/>
      <c r="AA1016" s="108"/>
      <c r="AB1016" s="109"/>
      <c r="AC1016" s="110"/>
      <c r="AD1016" s="42" t="n">
        <v>0.063</v>
      </c>
      <c r="AE1016" s="43" t="n">
        <v>0.9</v>
      </c>
    </row>
    <row r="1017" customFormat="false" ht="16.5" hidden="false" customHeight="true" outlineLevel="0" collapsed="false">
      <c r="A1017" s="97" t="n">
        <f aca="false">ROW(A1014)</f>
        <v>1014</v>
      </c>
      <c r="B1017" s="97" t="s">
        <v>466</v>
      </c>
      <c r="C1017" s="100" t="n">
        <v>1</v>
      </c>
      <c r="D1017" s="85"/>
      <c r="E1017" s="234" t="s">
        <v>2722</v>
      </c>
      <c r="F1017" s="99" t="s">
        <v>2718</v>
      </c>
      <c r="G1017" s="100" t="s">
        <v>2515</v>
      </c>
      <c r="H1017" s="100" t="s">
        <v>2645</v>
      </c>
      <c r="I1017" s="175" t="s">
        <v>92</v>
      </c>
      <c r="J1017" s="98" t="s">
        <v>471</v>
      </c>
      <c r="K1017" s="171" t="s">
        <v>2723</v>
      </c>
      <c r="L1017" s="102" t="n">
        <v>45783</v>
      </c>
      <c r="M1017" s="100" t="n">
        <v>1977</v>
      </c>
      <c r="N1017" s="100" t="n">
        <v>2257</v>
      </c>
      <c r="O1017" s="100" t="n">
        <v>280</v>
      </c>
      <c r="P1017" s="100" t="n">
        <v>272</v>
      </c>
      <c r="Q1017" s="100"/>
      <c r="R1017" s="103" t="n">
        <f aca="false">合約與計費!$D$4</f>
        <v>0.296</v>
      </c>
      <c r="S1017" s="104" t="n">
        <f aca="false">ROUND(P1017*R1017,0)</f>
        <v>81</v>
      </c>
      <c r="T1017" s="105"/>
      <c r="U1017" s="100"/>
      <c r="V1017" s="100"/>
      <c r="W1017" s="106"/>
      <c r="X1017" s="100"/>
      <c r="Y1017" s="100"/>
      <c r="Z1017" s="107"/>
      <c r="AA1017" s="108"/>
      <c r="AB1017" s="109"/>
      <c r="AC1017" s="110"/>
      <c r="AD1017" s="42" t="n">
        <v>0.0521</v>
      </c>
      <c r="AE1017" s="43" t="n">
        <v>0.1</v>
      </c>
    </row>
    <row r="1018" customFormat="false" ht="16.5" hidden="false" customHeight="true" outlineLevel="0" collapsed="false">
      <c r="A1018" s="97" t="n">
        <f aca="false">ROW(A1015)</f>
        <v>1015</v>
      </c>
      <c r="B1018" s="97" t="s">
        <v>469</v>
      </c>
      <c r="C1018" s="100" t="n">
        <v>1</v>
      </c>
      <c r="D1018" s="85"/>
      <c r="E1018" s="234" t="s">
        <v>2724</v>
      </c>
      <c r="F1018" s="99" t="s">
        <v>2718</v>
      </c>
      <c r="G1018" s="100" t="s">
        <v>2515</v>
      </c>
      <c r="H1018" s="100" t="s">
        <v>2645</v>
      </c>
      <c r="I1018" s="175" t="s">
        <v>92</v>
      </c>
      <c r="J1018" s="98" t="s">
        <v>471</v>
      </c>
      <c r="K1018" s="101" t="s">
        <v>2725</v>
      </c>
      <c r="L1018" s="102" t="n">
        <v>45783</v>
      </c>
      <c r="M1018" s="100" t="n">
        <v>2096</v>
      </c>
      <c r="N1018" s="100" t="n">
        <v>2437</v>
      </c>
      <c r="O1018" s="100" t="n">
        <v>341</v>
      </c>
      <c r="P1018" s="100" t="n">
        <v>331</v>
      </c>
      <c r="Q1018" s="100"/>
      <c r="R1018" s="103" t="n">
        <f aca="false">合約與計費!$D$4</f>
        <v>0.296</v>
      </c>
      <c r="S1018" s="104" t="n">
        <f aca="false">ROUND(P1018*R1018,0)</f>
        <v>98</v>
      </c>
      <c r="T1018" s="105"/>
      <c r="U1018" s="100"/>
      <c r="V1018" s="100"/>
      <c r="W1018" s="106"/>
      <c r="X1018" s="100"/>
      <c r="Y1018" s="100"/>
      <c r="Z1018" s="107"/>
      <c r="AA1018" s="108"/>
      <c r="AB1018" s="109"/>
      <c r="AC1018" s="110"/>
      <c r="AD1018" s="42" t="n">
        <v>0.0867</v>
      </c>
      <c r="AE1018" s="43" t="n">
        <v>1</v>
      </c>
    </row>
    <row r="1019" customFormat="false" ht="16.5" hidden="false" customHeight="true" outlineLevel="0" collapsed="false">
      <c r="A1019" s="111" t="n">
        <f aca="false">ROW(A1016)</f>
        <v>1016</v>
      </c>
      <c r="B1019" s="111" t="s">
        <v>473</v>
      </c>
      <c r="C1019" s="114" t="n">
        <v>1</v>
      </c>
      <c r="D1019" s="85"/>
      <c r="E1019" s="235" t="s">
        <v>2726</v>
      </c>
      <c r="F1019" s="113" t="s">
        <v>2718</v>
      </c>
      <c r="G1019" s="114" t="s">
        <v>2515</v>
      </c>
      <c r="H1019" s="114" t="s">
        <v>2645</v>
      </c>
      <c r="I1019" s="173" t="s">
        <v>92</v>
      </c>
      <c r="J1019" s="112" t="s">
        <v>471</v>
      </c>
      <c r="K1019" s="115" t="s">
        <v>2727</v>
      </c>
      <c r="L1019" s="116" t="n">
        <v>45783</v>
      </c>
      <c r="M1019" s="114" t="n">
        <v>2656</v>
      </c>
      <c r="N1019" s="114" t="n">
        <v>3112</v>
      </c>
      <c r="O1019" s="114" t="n">
        <v>456</v>
      </c>
      <c r="P1019" s="114" t="n">
        <v>442</v>
      </c>
      <c r="Q1019" s="114" t="n">
        <f aca="false">ROUND(SUM(P1015:P1019),2)</f>
        <v>1135</v>
      </c>
      <c r="R1019" s="117" t="n">
        <f aca="false">合約與計費!$D$4</f>
        <v>0.296</v>
      </c>
      <c r="S1019" s="118" t="n">
        <f aca="false">ROUND(P1019*R1019,0)</f>
        <v>131</v>
      </c>
      <c r="T1019" s="119" t="n">
        <f aca="false">ROUND(SUM(S1015:S1019),2)</f>
        <v>337</v>
      </c>
      <c r="U1019" s="114"/>
      <c r="V1019" s="114"/>
      <c r="W1019" s="120"/>
      <c r="X1019" s="114"/>
      <c r="Y1019" s="114" t="n">
        <f aca="false">ROUND(SUM(X1015:X1019),2)</f>
        <v>1</v>
      </c>
      <c r="Z1019" s="121"/>
      <c r="AA1019" s="122"/>
      <c r="AB1019" s="123" t="n">
        <f aca="false">ROUND(SUM(AA1015:AA1019),2)</f>
        <v>3</v>
      </c>
      <c r="AC1019" s="124"/>
      <c r="AD1019" s="42" t="n">
        <v>0.0725</v>
      </c>
      <c r="AE1019" s="43" t="n">
        <v>0.9</v>
      </c>
    </row>
    <row r="1020" customFormat="false" ht="16.5" hidden="false" customHeight="true" outlineLevel="0" collapsed="false">
      <c r="A1020" s="84" t="n">
        <f aca="false">ROW(A1017)</f>
        <v>1017</v>
      </c>
      <c r="B1020" s="84" t="s">
        <v>455</v>
      </c>
      <c r="C1020" s="32" t="n">
        <v>1</v>
      </c>
      <c r="D1020" s="85" t="n">
        <v>394</v>
      </c>
      <c r="E1020" s="86" t="s">
        <v>2728</v>
      </c>
      <c r="F1020" s="87" t="s">
        <v>2729</v>
      </c>
      <c r="G1020" s="32" t="s">
        <v>2515</v>
      </c>
      <c r="H1020" s="32" t="s">
        <v>2645</v>
      </c>
      <c r="I1020" s="172" t="s">
        <v>29</v>
      </c>
      <c r="J1020" s="86" t="s">
        <v>460</v>
      </c>
      <c r="K1020" s="88" t="s">
        <v>2730</v>
      </c>
      <c r="L1020" s="89" t="n">
        <v>45783</v>
      </c>
      <c r="M1020" s="32" t="n">
        <v>113</v>
      </c>
      <c r="N1020" s="32" t="n">
        <v>147</v>
      </c>
      <c r="O1020" s="32" t="n">
        <v>34</v>
      </c>
      <c r="P1020" s="32" t="n">
        <v>33</v>
      </c>
      <c r="Q1020" s="32"/>
      <c r="R1020" s="90" t="n">
        <f aca="false">合約與計費!$D$4</f>
        <v>0.296</v>
      </c>
      <c r="S1020" s="91" t="n">
        <f aca="false">ROUND(P1020*R1020,0)</f>
        <v>10</v>
      </c>
      <c r="T1020" s="92"/>
      <c r="U1020" s="32" t="n">
        <v>74</v>
      </c>
      <c r="V1020" s="32" t="n">
        <v>93</v>
      </c>
      <c r="W1020" s="32" t="n">
        <v>19</v>
      </c>
      <c r="X1020" s="32" t="n">
        <v>18</v>
      </c>
      <c r="Y1020" s="32"/>
      <c r="Z1020" s="93" t="n">
        <f aca="false">合約與計費!$E$4</f>
        <v>2.8</v>
      </c>
      <c r="AA1020" s="94" t="n">
        <f aca="false">ROUND(X1020*Z1020,0)</f>
        <v>50</v>
      </c>
      <c r="AB1020" s="95"/>
      <c r="AC1020" s="96"/>
      <c r="AD1020" s="42"/>
      <c r="AE1020" s="43"/>
    </row>
    <row r="1021" customFormat="false" ht="16.5" hidden="false" customHeight="true" outlineLevel="0" collapsed="false">
      <c r="A1021" s="97" t="n">
        <f aca="false">ROW(A1018)</f>
        <v>1018</v>
      </c>
      <c r="B1021" s="97" t="s">
        <v>462</v>
      </c>
      <c r="C1021" s="100" t="n">
        <v>1</v>
      </c>
      <c r="D1021" s="85"/>
      <c r="E1021" s="98" t="s">
        <v>2731</v>
      </c>
      <c r="F1021" s="99" t="s">
        <v>2729</v>
      </c>
      <c r="G1021" s="100" t="s">
        <v>2515</v>
      </c>
      <c r="H1021" s="100" t="s">
        <v>2645</v>
      </c>
      <c r="I1021" s="175" t="s">
        <v>29</v>
      </c>
      <c r="J1021" s="98" t="s">
        <v>464</v>
      </c>
      <c r="K1021" s="101" t="s">
        <v>2732</v>
      </c>
      <c r="L1021" s="102" t="n">
        <v>45783</v>
      </c>
      <c r="M1021" s="100" t="n">
        <v>3170</v>
      </c>
      <c r="N1021" s="100" t="n">
        <v>3877</v>
      </c>
      <c r="O1021" s="100" t="n">
        <v>707</v>
      </c>
      <c r="P1021" s="100" t="n">
        <v>686</v>
      </c>
      <c r="Q1021" s="100"/>
      <c r="R1021" s="103" t="n">
        <f aca="false">合約與計費!$D$4</f>
        <v>0.296</v>
      </c>
      <c r="S1021" s="104" t="n">
        <f aca="false">ROUND(P1021*R1021,0)</f>
        <v>203</v>
      </c>
      <c r="T1021" s="105"/>
      <c r="U1021" s="100"/>
      <c r="V1021" s="100"/>
      <c r="W1021" s="106"/>
      <c r="X1021" s="100"/>
      <c r="Y1021" s="100"/>
      <c r="Z1021" s="107"/>
      <c r="AA1021" s="108"/>
      <c r="AB1021" s="109"/>
      <c r="AC1021" s="110"/>
      <c r="AD1021" s="42" t="n">
        <v>0.0732</v>
      </c>
      <c r="AE1021" s="43" t="n">
        <v>0.9</v>
      </c>
    </row>
    <row r="1022" customFormat="false" ht="16.5" hidden="false" customHeight="true" outlineLevel="0" collapsed="false">
      <c r="A1022" s="97" t="n">
        <f aca="false">ROW(A1019)</f>
        <v>1019</v>
      </c>
      <c r="B1022" s="97" t="s">
        <v>466</v>
      </c>
      <c r="C1022" s="100" t="n">
        <v>1</v>
      </c>
      <c r="D1022" s="85"/>
      <c r="E1022" s="98" t="s">
        <v>2733</v>
      </c>
      <c r="F1022" s="99" t="s">
        <v>2729</v>
      </c>
      <c r="G1022" s="100" t="s">
        <v>2515</v>
      </c>
      <c r="H1022" s="100" t="s">
        <v>2645</v>
      </c>
      <c r="I1022" s="175" t="s">
        <v>29</v>
      </c>
      <c r="J1022" s="98" t="s">
        <v>471</v>
      </c>
      <c r="K1022" s="101" t="s">
        <v>2734</v>
      </c>
      <c r="L1022" s="102" t="n">
        <v>45783</v>
      </c>
      <c r="M1022" s="100" t="n">
        <v>7039</v>
      </c>
      <c r="N1022" s="100" t="n">
        <v>8476</v>
      </c>
      <c r="O1022" s="100" t="n">
        <v>1437</v>
      </c>
      <c r="P1022" s="100" t="n">
        <v>1394</v>
      </c>
      <c r="Q1022" s="100"/>
      <c r="R1022" s="103" t="n">
        <f aca="false">合約與計費!$D$4</f>
        <v>0.296</v>
      </c>
      <c r="S1022" s="104" t="n">
        <f aca="false">ROUND(P1022*R1022,0)</f>
        <v>413</v>
      </c>
      <c r="T1022" s="105"/>
      <c r="U1022" s="100"/>
      <c r="V1022" s="100"/>
      <c r="W1022" s="106"/>
      <c r="X1022" s="100"/>
      <c r="Y1022" s="100"/>
      <c r="Z1022" s="107"/>
      <c r="AA1022" s="108"/>
      <c r="AB1022" s="109"/>
      <c r="AC1022" s="110"/>
      <c r="AD1022" s="42" t="n">
        <v>0.086</v>
      </c>
      <c r="AE1022" s="43" t="n">
        <v>0.2</v>
      </c>
    </row>
    <row r="1023" customFormat="false" ht="16.5" hidden="false" customHeight="true" outlineLevel="0" collapsed="false">
      <c r="A1023" s="97" t="n">
        <f aca="false">ROW(A1020)</f>
        <v>1020</v>
      </c>
      <c r="B1023" s="97" t="s">
        <v>469</v>
      </c>
      <c r="C1023" s="100" t="n">
        <v>1</v>
      </c>
      <c r="D1023" s="85"/>
      <c r="E1023" s="98" t="s">
        <v>2735</v>
      </c>
      <c r="F1023" s="99" t="s">
        <v>2729</v>
      </c>
      <c r="G1023" s="100" t="s">
        <v>2515</v>
      </c>
      <c r="H1023" s="100" t="s">
        <v>2645</v>
      </c>
      <c r="I1023" s="175" t="s">
        <v>29</v>
      </c>
      <c r="J1023" s="98" t="s">
        <v>471</v>
      </c>
      <c r="K1023" s="101" t="s">
        <v>2736</v>
      </c>
      <c r="L1023" s="102" t="n">
        <v>45783</v>
      </c>
      <c r="M1023" s="100" t="n">
        <v>2300</v>
      </c>
      <c r="N1023" s="100" t="n">
        <v>2798</v>
      </c>
      <c r="O1023" s="100" t="n">
        <v>498</v>
      </c>
      <c r="P1023" s="100" t="n">
        <v>483</v>
      </c>
      <c r="Q1023" s="100"/>
      <c r="R1023" s="103" t="n">
        <f aca="false">合約與計費!$D$4</f>
        <v>0.296</v>
      </c>
      <c r="S1023" s="104" t="n">
        <f aca="false">ROUND(P1023*R1023,0)</f>
        <v>143</v>
      </c>
      <c r="T1023" s="105"/>
      <c r="U1023" s="100"/>
      <c r="V1023" s="100"/>
      <c r="W1023" s="106"/>
      <c r="X1023" s="100"/>
      <c r="Y1023" s="100"/>
      <c r="Z1023" s="107"/>
      <c r="AA1023" s="108"/>
      <c r="AB1023" s="109"/>
      <c r="AC1023" s="110"/>
      <c r="AD1023" s="42" t="n">
        <v>0.0463</v>
      </c>
      <c r="AE1023" s="43" t="n">
        <v>0.1</v>
      </c>
    </row>
    <row r="1024" customFormat="false" ht="16.5" hidden="false" customHeight="true" outlineLevel="0" collapsed="false">
      <c r="A1024" s="97" t="n">
        <f aca="false">ROW(A1021)</f>
        <v>1021</v>
      </c>
      <c r="B1024" s="97" t="s">
        <v>473</v>
      </c>
      <c r="C1024" s="100" t="n">
        <v>1</v>
      </c>
      <c r="D1024" s="85"/>
      <c r="E1024" s="98" t="s">
        <v>2737</v>
      </c>
      <c r="F1024" s="99" t="s">
        <v>2729</v>
      </c>
      <c r="G1024" s="100" t="s">
        <v>2515</v>
      </c>
      <c r="H1024" s="100" t="s">
        <v>2645</v>
      </c>
      <c r="I1024" s="175" t="s">
        <v>29</v>
      </c>
      <c r="J1024" s="98" t="s">
        <v>471</v>
      </c>
      <c r="K1024" s="101" t="s">
        <v>2738</v>
      </c>
      <c r="L1024" s="102" t="n">
        <v>45783</v>
      </c>
      <c r="M1024" s="100" t="n">
        <v>8421</v>
      </c>
      <c r="N1024" s="100" t="n">
        <v>9775</v>
      </c>
      <c r="O1024" s="100" t="n">
        <v>1354</v>
      </c>
      <c r="P1024" s="100" t="n">
        <v>1313</v>
      </c>
      <c r="Q1024" s="100"/>
      <c r="R1024" s="103" t="n">
        <f aca="false">合約與計費!$D$4</f>
        <v>0.296</v>
      </c>
      <c r="S1024" s="104" t="n">
        <f aca="false">ROUND(P1024*R1024,0)</f>
        <v>389</v>
      </c>
      <c r="T1024" s="105"/>
      <c r="U1024" s="100"/>
      <c r="V1024" s="100"/>
      <c r="W1024" s="106"/>
      <c r="X1024" s="100"/>
      <c r="Y1024" s="100"/>
      <c r="Z1024" s="107"/>
      <c r="AA1024" s="108"/>
      <c r="AB1024" s="109"/>
      <c r="AC1024" s="110"/>
      <c r="AD1024" s="42" t="n">
        <v>0.0842</v>
      </c>
      <c r="AE1024" s="43" t="n">
        <v>0.1</v>
      </c>
    </row>
    <row r="1025" customFormat="false" ht="16.5" hidden="false" customHeight="true" outlineLevel="0" collapsed="false">
      <c r="A1025" s="111" t="n">
        <f aca="false">ROW(A1022)</f>
        <v>1022</v>
      </c>
      <c r="B1025" s="111" t="s">
        <v>476</v>
      </c>
      <c r="C1025" s="114" t="n">
        <v>1</v>
      </c>
      <c r="D1025" s="85"/>
      <c r="E1025" s="112" t="s">
        <v>2739</v>
      </c>
      <c r="F1025" s="113" t="s">
        <v>2729</v>
      </c>
      <c r="G1025" s="114" t="s">
        <v>2515</v>
      </c>
      <c r="H1025" s="114" t="s">
        <v>2645</v>
      </c>
      <c r="I1025" s="173" t="s">
        <v>29</v>
      </c>
      <c r="J1025" s="112" t="s">
        <v>471</v>
      </c>
      <c r="K1025" s="115" t="s">
        <v>2740</v>
      </c>
      <c r="L1025" s="116" t="n">
        <v>45783</v>
      </c>
      <c r="M1025" s="114" t="n">
        <v>9266</v>
      </c>
      <c r="N1025" s="114" t="n">
        <v>11570</v>
      </c>
      <c r="O1025" s="114" t="n">
        <v>2304</v>
      </c>
      <c r="P1025" s="114" t="n">
        <v>2235</v>
      </c>
      <c r="Q1025" s="114" t="n">
        <f aca="false">ROUND(SUM(P1020:P1025),2)</f>
        <v>6144</v>
      </c>
      <c r="R1025" s="117" t="n">
        <f aca="false">合約與計費!$D$4</f>
        <v>0.296</v>
      </c>
      <c r="S1025" s="118" t="n">
        <f aca="false">ROUND(P1025*R1025,0)</f>
        <v>662</v>
      </c>
      <c r="T1025" s="119" t="n">
        <f aca="false">ROUND(SUM(S1020:S1025),2)</f>
        <v>1820</v>
      </c>
      <c r="U1025" s="114"/>
      <c r="V1025" s="114"/>
      <c r="W1025" s="120"/>
      <c r="X1025" s="114"/>
      <c r="Y1025" s="100" t="n">
        <f aca="false">ROUND(SUM(X1020:X1025),2)</f>
        <v>18</v>
      </c>
      <c r="Z1025" s="121"/>
      <c r="AA1025" s="108"/>
      <c r="AB1025" s="109" t="n">
        <f aca="false">ROUND(SUM(AA1020:AA1025),2)</f>
        <v>50</v>
      </c>
      <c r="AC1025" s="124"/>
      <c r="AD1025" s="42" t="n">
        <v>0.0974</v>
      </c>
      <c r="AE1025" s="43" t="n">
        <v>0.9</v>
      </c>
    </row>
    <row r="1026" customFormat="false" ht="16.5" hidden="false" customHeight="true" outlineLevel="0" collapsed="false">
      <c r="A1026" s="84" t="n">
        <f aca="false">ROW(A1023)</f>
        <v>1023</v>
      </c>
      <c r="B1026" s="84" t="s">
        <v>455</v>
      </c>
      <c r="C1026" s="32" t="n">
        <v>1</v>
      </c>
      <c r="D1026" s="85" t="n">
        <v>404</v>
      </c>
      <c r="E1026" s="233" t="s">
        <v>2741</v>
      </c>
      <c r="F1026" s="87" t="s">
        <v>2742</v>
      </c>
      <c r="G1026" s="32" t="s">
        <v>2515</v>
      </c>
      <c r="H1026" s="32" t="s">
        <v>2645</v>
      </c>
      <c r="I1026" s="172" t="s">
        <v>310</v>
      </c>
      <c r="J1026" s="86" t="s">
        <v>460</v>
      </c>
      <c r="K1026" s="225" t="s">
        <v>2743</v>
      </c>
      <c r="L1026" s="89" t="n">
        <v>45749</v>
      </c>
      <c r="M1026" s="32" t="n">
        <v>1324</v>
      </c>
      <c r="N1026" s="32" t="n">
        <v>1446</v>
      </c>
      <c r="O1026" s="32" t="n">
        <v>122</v>
      </c>
      <c r="P1026" s="32" t="n">
        <v>118</v>
      </c>
      <c r="Q1026" s="32"/>
      <c r="R1026" s="90" t="n">
        <f aca="false">合約與計費!$D$4</f>
        <v>0.296</v>
      </c>
      <c r="S1026" s="91" t="n">
        <f aca="false">ROUND(P1026*R1026,0)</f>
        <v>35</v>
      </c>
      <c r="T1026" s="92"/>
      <c r="U1026" s="32" t="n">
        <v>238</v>
      </c>
      <c r="V1026" s="32" t="n">
        <v>260</v>
      </c>
      <c r="W1026" s="32" t="n">
        <v>22</v>
      </c>
      <c r="X1026" s="32" t="n">
        <v>21</v>
      </c>
      <c r="Y1026" s="32"/>
      <c r="Z1026" s="93" t="n">
        <f aca="false">合約與計費!$E$4</f>
        <v>2.8</v>
      </c>
      <c r="AA1026" s="94" t="n">
        <f aca="false">ROUND(X1026*Z1026,0)</f>
        <v>59</v>
      </c>
      <c r="AB1026" s="95"/>
      <c r="AC1026" s="96"/>
      <c r="AD1026" s="42"/>
      <c r="AE1026" s="43"/>
    </row>
    <row r="1027" customFormat="false" ht="16.5" hidden="false" customHeight="true" outlineLevel="0" collapsed="false">
      <c r="A1027" s="111" t="n">
        <f aca="false">ROW(A1024)</f>
        <v>1024</v>
      </c>
      <c r="B1027" s="111" t="s">
        <v>462</v>
      </c>
      <c r="C1027" s="114" t="n">
        <v>1</v>
      </c>
      <c r="D1027" s="85"/>
      <c r="E1027" s="235" t="s">
        <v>2744</v>
      </c>
      <c r="F1027" s="113" t="s">
        <v>2742</v>
      </c>
      <c r="G1027" s="114" t="s">
        <v>2515</v>
      </c>
      <c r="H1027" s="114" t="s">
        <v>2645</v>
      </c>
      <c r="I1027" s="173" t="s">
        <v>310</v>
      </c>
      <c r="J1027" s="112" t="s">
        <v>464</v>
      </c>
      <c r="K1027" s="236" t="s">
        <v>2745</v>
      </c>
      <c r="L1027" s="116" t="n">
        <v>45749</v>
      </c>
      <c r="M1027" s="114" t="n">
        <v>3366</v>
      </c>
      <c r="N1027" s="114" t="n">
        <v>3753</v>
      </c>
      <c r="O1027" s="114" t="n">
        <v>387</v>
      </c>
      <c r="P1027" s="114" t="n">
        <v>375</v>
      </c>
      <c r="Q1027" s="114" t="n">
        <f aca="false">ROUND(SUM(P1026:P1027),2)</f>
        <v>493</v>
      </c>
      <c r="R1027" s="117" t="n">
        <f aca="false">合約與計費!$D$4</f>
        <v>0.296</v>
      </c>
      <c r="S1027" s="118" t="n">
        <f aca="false">ROUND(P1027*R1027,0)</f>
        <v>111</v>
      </c>
      <c r="T1027" s="119" t="n">
        <f aca="false">ROUND(SUM(S1026:S1027),2)</f>
        <v>146</v>
      </c>
      <c r="U1027" s="114"/>
      <c r="V1027" s="114"/>
      <c r="W1027" s="120"/>
      <c r="X1027" s="114"/>
      <c r="Y1027" s="114" t="n">
        <f aca="false">ROUND(SUM(X1026:X1027),2)</f>
        <v>21</v>
      </c>
      <c r="Z1027" s="121"/>
      <c r="AA1027" s="122"/>
      <c r="AB1027" s="123" t="n">
        <f aca="false">ROUND(SUM(AA1026:AA1027),2)</f>
        <v>59</v>
      </c>
      <c r="AC1027" s="124"/>
      <c r="AD1027" s="42" t="n">
        <v>0.0678</v>
      </c>
      <c r="AE1027" s="43" t="n">
        <v>0.9</v>
      </c>
    </row>
    <row r="1028" customFormat="false" ht="16.5" hidden="false" customHeight="true" outlineLevel="0" collapsed="false">
      <c r="A1028" s="84" t="n">
        <f aca="false">ROW(A1025)</f>
        <v>1025</v>
      </c>
      <c r="B1028" s="84" t="s">
        <v>455</v>
      </c>
      <c r="C1028" s="32" t="n">
        <v>1</v>
      </c>
      <c r="D1028" s="85" t="n">
        <v>411</v>
      </c>
      <c r="E1028" s="86" t="s">
        <v>2746</v>
      </c>
      <c r="F1028" s="87" t="s">
        <v>2747</v>
      </c>
      <c r="G1028" s="32" t="s">
        <v>2515</v>
      </c>
      <c r="H1028" s="32" t="s">
        <v>2645</v>
      </c>
      <c r="I1028" s="172" t="s">
        <v>192</v>
      </c>
      <c r="J1028" s="86" t="s">
        <v>460</v>
      </c>
      <c r="K1028" s="88" t="s">
        <v>2748</v>
      </c>
      <c r="L1028" s="89" t="n">
        <v>45749</v>
      </c>
      <c r="M1028" s="32" t="n">
        <v>74</v>
      </c>
      <c r="N1028" s="32" t="n">
        <v>85</v>
      </c>
      <c r="O1028" s="32" t="n">
        <v>11</v>
      </c>
      <c r="P1028" s="32" t="n">
        <v>11</v>
      </c>
      <c r="Q1028" s="32"/>
      <c r="R1028" s="90" t="n">
        <f aca="false">合約與計費!$D$4</f>
        <v>0.296</v>
      </c>
      <c r="S1028" s="91" t="n">
        <f aca="false">ROUND(P1028*R1028,0)</f>
        <v>3</v>
      </c>
      <c r="T1028" s="92"/>
      <c r="U1028" s="32" t="n">
        <v>128</v>
      </c>
      <c r="V1028" s="32" t="n">
        <v>137</v>
      </c>
      <c r="W1028" s="32" t="n">
        <v>9</v>
      </c>
      <c r="X1028" s="32" t="n">
        <v>9</v>
      </c>
      <c r="Y1028" s="32"/>
      <c r="Z1028" s="93" t="n">
        <f aca="false">合約與計費!$E$4</f>
        <v>2.8</v>
      </c>
      <c r="AA1028" s="94" t="n">
        <f aca="false">ROUND(X1028*Z1028,0)</f>
        <v>25</v>
      </c>
      <c r="AB1028" s="95"/>
      <c r="AC1028" s="96"/>
      <c r="AD1028" s="42"/>
      <c r="AE1028" s="43"/>
    </row>
    <row r="1029" customFormat="false" ht="16.5" hidden="false" customHeight="true" outlineLevel="0" collapsed="false">
      <c r="A1029" s="97" t="n">
        <f aca="false">ROW(A1026)</f>
        <v>1026</v>
      </c>
      <c r="B1029" s="97" t="s">
        <v>462</v>
      </c>
      <c r="C1029" s="100" t="n">
        <v>1</v>
      </c>
      <c r="D1029" s="85"/>
      <c r="E1029" s="98" t="s">
        <v>2749</v>
      </c>
      <c r="F1029" s="99" t="s">
        <v>2747</v>
      </c>
      <c r="G1029" s="100" t="s">
        <v>2515</v>
      </c>
      <c r="H1029" s="100" t="s">
        <v>2645</v>
      </c>
      <c r="I1029" s="175" t="s">
        <v>192</v>
      </c>
      <c r="J1029" s="98" t="s">
        <v>464</v>
      </c>
      <c r="K1029" s="101" t="s">
        <v>2750</v>
      </c>
      <c r="L1029" s="102" t="n">
        <v>45749</v>
      </c>
      <c r="M1029" s="100" t="n">
        <v>2356</v>
      </c>
      <c r="N1029" s="100" t="n">
        <v>2996</v>
      </c>
      <c r="O1029" s="100" t="n">
        <v>640</v>
      </c>
      <c r="P1029" s="100" t="n">
        <v>621</v>
      </c>
      <c r="Q1029" s="100"/>
      <c r="R1029" s="103" t="n">
        <f aca="false">合約與計費!$D$4</f>
        <v>0.296</v>
      </c>
      <c r="S1029" s="104" t="n">
        <f aca="false">ROUND(P1029*R1029,0)</f>
        <v>184</v>
      </c>
      <c r="T1029" s="105"/>
      <c r="U1029" s="100"/>
      <c r="V1029" s="100"/>
      <c r="W1029" s="106"/>
      <c r="X1029" s="100"/>
      <c r="Y1029" s="100"/>
      <c r="Z1029" s="107"/>
      <c r="AA1029" s="108"/>
      <c r="AB1029" s="109"/>
      <c r="AC1029" s="110"/>
      <c r="AD1029" s="42" t="n">
        <v>0.058</v>
      </c>
      <c r="AE1029" s="43" t="n">
        <v>1</v>
      </c>
    </row>
    <row r="1030" customFormat="false" ht="16.5" hidden="false" customHeight="true" outlineLevel="0" collapsed="false">
      <c r="A1030" s="111" t="n">
        <f aca="false">ROW(A1027)</f>
        <v>1027</v>
      </c>
      <c r="B1030" s="111" t="s">
        <v>466</v>
      </c>
      <c r="C1030" s="114" t="n">
        <v>1</v>
      </c>
      <c r="D1030" s="85"/>
      <c r="E1030" s="112" t="s">
        <v>2751</v>
      </c>
      <c r="F1030" s="113" t="s">
        <v>2747</v>
      </c>
      <c r="G1030" s="114" t="s">
        <v>2515</v>
      </c>
      <c r="H1030" s="114" t="s">
        <v>2645</v>
      </c>
      <c r="I1030" s="173" t="s">
        <v>192</v>
      </c>
      <c r="J1030" s="112" t="s">
        <v>471</v>
      </c>
      <c r="K1030" s="236" t="s">
        <v>2752</v>
      </c>
      <c r="L1030" s="116" t="n">
        <v>45813</v>
      </c>
      <c r="M1030" s="114" t="n">
        <v>4818</v>
      </c>
      <c r="N1030" s="114" t="n">
        <v>6011</v>
      </c>
      <c r="O1030" s="114" t="n">
        <v>1193</v>
      </c>
      <c r="P1030" s="114" t="n">
        <v>1157</v>
      </c>
      <c r="Q1030" s="114" t="n">
        <f aca="false">ROUND(SUM(P1028:P1030),2)</f>
        <v>1789</v>
      </c>
      <c r="R1030" s="117" t="n">
        <f aca="false">合約與計費!$D$4</f>
        <v>0.296</v>
      </c>
      <c r="S1030" s="118" t="n">
        <f aca="false">ROUND(P1030*R1030,0)</f>
        <v>342</v>
      </c>
      <c r="T1030" s="119" t="n">
        <f aca="false">ROUND(SUM(S1028:S1030),2)</f>
        <v>529</v>
      </c>
      <c r="U1030" s="114"/>
      <c r="V1030" s="114"/>
      <c r="W1030" s="120"/>
      <c r="X1030" s="114"/>
      <c r="Y1030" s="114" t="n">
        <f aca="false">ROUND(SUM(X1028:X1030),2)</f>
        <v>9</v>
      </c>
      <c r="Z1030" s="121"/>
      <c r="AA1030" s="122"/>
      <c r="AB1030" s="123" t="n">
        <f aca="false">ROUND(SUM(AA1028:AA1030),2)</f>
        <v>25</v>
      </c>
      <c r="AC1030" s="124"/>
      <c r="AD1030" s="42" t="n">
        <v>0.1086</v>
      </c>
      <c r="AE1030" s="43" t="n">
        <v>0.3</v>
      </c>
    </row>
    <row r="1031" customFormat="false" ht="16.5" hidden="false" customHeight="true" outlineLevel="0" collapsed="false">
      <c r="A1031" s="84" t="n">
        <f aca="false">ROW(A1028)</f>
        <v>1028</v>
      </c>
      <c r="B1031" s="84" t="s">
        <v>455</v>
      </c>
      <c r="C1031" s="32" t="n">
        <v>1</v>
      </c>
      <c r="D1031" s="85" t="n">
        <v>99</v>
      </c>
      <c r="E1031" s="86" t="s">
        <v>2753</v>
      </c>
      <c r="F1031" s="87" t="s">
        <v>2754</v>
      </c>
      <c r="G1031" s="32" t="s">
        <v>2515</v>
      </c>
      <c r="H1031" s="32" t="s">
        <v>2755</v>
      </c>
      <c r="I1031" s="32" t="s">
        <v>109</v>
      </c>
      <c r="J1031" s="86" t="s">
        <v>460</v>
      </c>
      <c r="K1031" s="88" t="s">
        <v>2756</v>
      </c>
      <c r="L1031" s="89" t="n">
        <v>45771</v>
      </c>
      <c r="M1031" s="32" t="n">
        <v>249</v>
      </c>
      <c r="N1031" s="32" t="n">
        <v>288</v>
      </c>
      <c r="O1031" s="32" t="n">
        <v>39</v>
      </c>
      <c r="P1031" s="32" t="n">
        <v>38</v>
      </c>
      <c r="Q1031" s="32"/>
      <c r="R1031" s="90" t="n">
        <f aca="false">合約與計費!$D$4</f>
        <v>0.296</v>
      </c>
      <c r="S1031" s="91" t="n">
        <f aca="false">ROUND(P1031*R1031,0)</f>
        <v>11</v>
      </c>
      <c r="T1031" s="92"/>
      <c r="U1031" s="32" t="n">
        <v>322</v>
      </c>
      <c r="V1031" s="32" t="n">
        <v>382</v>
      </c>
      <c r="W1031" s="32" t="n">
        <v>60</v>
      </c>
      <c r="X1031" s="32" t="n">
        <v>58</v>
      </c>
      <c r="Y1031" s="32"/>
      <c r="Z1031" s="93" t="n">
        <f aca="false">合約與計費!$E$4</f>
        <v>2.8</v>
      </c>
      <c r="AA1031" s="94" t="n">
        <f aca="false">ROUND(X1031*Z1031,0)</f>
        <v>162</v>
      </c>
      <c r="AB1031" s="95"/>
      <c r="AC1031" s="96"/>
      <c r="AD1031" s="42"/>
      <c r="AE1031" s="43"/>
    </row>
    <row r="1032" customFormat="false" ht="16.5" hidden="false" customHeight="true" outlineLevel="0" collapsed="false">
      <c r="A1032" s="97" t="n">
        <f aca="false">ROW(A1029)</f>
        <v>1029</v>
      </c>
      <c r="B1032" s="97" t="s">
        <v>462</v>
      </c>
      <c r="C1032" s="100" t="n">
        <v>1</v>
      </c>
      <c r="D1032" s="85"/>
      <c r="E1032" s="98" t="s">
        <v>2757</v>
      </c>
      <c r="F1032" s="99" t="s">
        <v>2754</v>
      </c>
      <c r="G1032" s="100" t="s">
        <v>2515</v>
      </c>
      <c r="H1032" s="100" t="s">
        <v>2755</v>
      </c>
      <c r="I1032" s="100" t="s">
        <v>109</v>
      </c>
      <c r="J1032" s="98" t="s">
        <v>464</v>
      </c>
      <c r="K1032" s="101" t="s">
        <v>2758</v>
      </c>
      <c r="L1032" s="102" t="n">
        <v>45771</v>
      </c>
      <c r="M1032" s="100" t="n">
        <v>531</v>
      </c>
      <c r="N1032" s="100" t="n">
        <v>693</v>
      </c>
      <c r="O1032" s="100" t="n">
        <v>162</v>
      </c>
      <c r="P1032" s="100" t="n">
        <v>157</v>
      </c>
      <c r="Q1032" s="100"/>
      <c r="R1032" s="103" t="n">
        <f aca="false">合約與計費!$D$4</f>
        <v>0.296</v>
      </c>
      <c r="S1032" s="104" t="n">
        <f aca="false">ROUND(P1032*R1032,0)</f>
        <v>46</v>
      </c>
      <c r="T1032" s="105"/>
      <c r="U1032" s="100"/>
      <c r="V1032" s="100"/>
      <c r="W1032" s="106"/>
      <c r="X1032" s="100"/>
      <c r="Y1032" s="100"/>
      <c r="Z1032" s="107"/>
      <c r="AA1032" s="108"/>
      <c r="AB1032" s="109"/>
      <c r="AC1032" s="110"/>
      <c r="AD1032" s="42" t="n">
        <v>0.089</v>
      </c>
      <c r="AE1032" s="43" t="n">
        <v>0.8</v>
      </c>
    </row>
    <row r="1033" customFormat="false" ht="16.5" hidden="false" customHeight="true" outlineLevel="0" collapsed="false">
      <c r="A1033" s="97" t="n">
        <f aca="false">ROW(A1030)</f>
        <v>1030</v>
      </c>
      <c r="B1033" s="97" t="s">
        <v>466</v>
      </c>
      <c r="C1033" s="100" t="n">
        <v>1</v>
      </c>
      <c r="D1033" s="85"/>
      <c r="E1033" s="98" t="s">
        <v>2759</v>
      </c>
      <c r="F1033" s="99" t="s">
        <v>2754</v>
      </c>
      <c r="G1033" s="100" t="s">
        <v>2515</v>
      </c>
      <c r="H1033" s="100" t="s">
        <v>2755</v>
      </c>
      <c r="I1033" s="100" t="s">
        <v>109</v>
      </c>
      <c r="J1033" s="98" t="s">
        <v>471</v>
      </c>
      <c r="K1033" s="101" t="s">
        <v>2760</v>
      </c>
      <c r="L1033" s="102" t="n">
        <v>45771</v>
      </c>
      <c r="M1033" s="100" t="n">
        <v>7572</v>
      </c>
      <c r="N1033" s="100" t="n">
        <v>9079</v>
      </c>
      <c r="O1033" s="100" t="n">
        <v>1507</v>
      </c>
      <c r="P1033" s="100" t="n">
        <v>1462</v>
      </c>
      <c r="Q1033" s="100"/>
      <c r="R1033" s="103" t="n">
        <f aca="false">合約與計費!$D$4</f>
        <v>0.296</v>
      </c>
      <c r="S1033" s="104" t="n">
        <f aca="false">ROUND(P1033*R1033,0)</f>
        <v>433</v>
      </c>
      <c r="T1033" s="105"/>
      <c r="U1033" s="100"/>
      <c r="V1033" s="100"/>
      <c r="W1033" s="106"/>
      <c r="X1033" s="100"/>
      <c r="Y1033" s="100"/>
      <c r="Z1033" s="107"/>
      <c r="AA1033" s="108"/>
      <c r="AB1033" s="109"/>
      <c r="AC1033" s="110"/>
      <c r="AD1033" s="42" t="n">
        <v>0.0909</v>
      </c>
      <c r="AE1033" s="43" t="n">
        <v>0.2</v>
      </c>
    </row>
    <row r="1034" customFormat="false" ht="16.5" hidden="false" customHeight="true" outlineLevel="0" collapsed="false">
      <c r="A1034" s="111" t="n">
        <f aca="false">ROW(A1031)</f>
        <v>1031</v>
      </c>
      <c r="B1034" s="111" t="s">
        <v>469</v>
      </c>
      <c r="C1034" s="114" t="n">
        <v>1</v>
      </c>
      <c r="D1034" s="85"/>
      <c r="E1034" s="112" t="s">
        <v>2761</v>
      </c>
      <c r="F1034" s="113" t="s">
        <v>2754</v>
      </c>
      <c r="G1034" s="114" t="s">
        <v>2515</v>
      </c>
      <c r="H1034" s="114" t="s">
        <v>2755</v>
      </c>
      <c r="I1034" s="114" t="s">
        <v>109</v>
      </c>
      <c r="J1034" s="112" t="s">
        <v>471</v>
      </c>
      <c r="K1034" s="115" t="s">
        <v>2762</v>
      </c>
      <c r="L1034" s="116" t="n">
        <v>45771</v>
      </c>
      <c r="M1034" s="114" t="n">
        <v>4418</v>
      </c>
      <c r="N1034" s="114" t="n">
        <v>5599</v>
      </c>
      <c r="O1034" s="100" t="n">
        <v>1181</v>
      </c>
      <c r="P1034" s="100" t="n">
        <v>1146</v>
      </c>
      <c r="Q1034" s="100" t="n">
        <f aca="false">ROUND(SUM(P1031:P1034),2)</f>
        <v>2803</v>
      </c>
      <c r="R1034" s="117" t="n">
        <f aca="false">合約與計費!$D$4</f>
        <v>0.296</v>
      </c>
      <c r="S1034" s="118" t="n">
        <f aca="false">ROUND(P1034*R1034,0)</f>
        <v>339</v>
      </c>
      <c r="T1034" s="105" t="n">
        <f aca="false">ROUND(SUM(S1031:S1034),2)</f>
        <v>829</v>
      </c>
      <c r="U1034" s="114"/>
      <c r="V1034" s="114"/>
      <c r="W1034" s="120"/>
      <c r="X1034" s="114"/>
      <c r="Y1034" s="114" t="n">
        <f aca="false">ROUND(SUM(X1031:X1034),2)</f>
        <v>58</v>
      </c>
      <c r="Z1034" s="121"/>
      <c r="AA1034" s="122"/>
      <c r="AB1034" s="123" t="n">
        <f aca="false">ROUND(SUM(AA1031:AA1034),2)</f>
        <v>162</v>
      </c>
      <c r="AC1034" s="124"/>
      <c r="AD1034" s="42" t="n">
        <v>0.0836</v>
      </c>
      <c r="AE1034" s="43" t="n">
        <v>0.6</v>
      </c>
    </row>
    <row r="1035" customFormat="false" ht="16.5" hidden="false" customHeight="true" outlineLevel="0" collapsed="false">
      <c r="A1035" s="84" t="n">
        <f aca="false">ROW(A1032)</f>
        <v>1032</v>
      </c>
      <c r="B1035" s="84" t="s">
        <v>455</v>
      </c>
      <c r="C1035" s="32" t="n">
        <v>1</v>
      </c>
      <c r="D1035" s="85" t="n">
        <v>100</v>
      </c>
      <c r="E1035" s="233" t="s">
        <v>2763</v>
      </c>
      <c r="F1035" s="87" t="s">
        <v>2764</v>
      </c>
      <c r="G1035" s="32" t="s">
        <v>2515</v>
      </c>
      <c r="H1035" s="32" t="s">
        <v>2755</v>
      </c>
      <c r="I1035" s="172" t="s">
        <v>111</v>
      </c>
      <c r="J1035" s="86" t="s">
        <v>460</v>
      </c>
      <c r="K1035" s="225" t="s">
        <v>2765</v>
      </c>
      <c r="L1035" s="89" t="n">
        <v>45765</v>
      </c>
      <c r="M1035" s="32" t="n">
        <v>365</v>
      </c>
      <c r="N1035" s="32" t="n">
        <v>759</v>
      </c>
      <c r="O1035" s="32" t="n">
        <v>394</v>
      </c>
      <c r="P1035" s="32" t="n">
        <v>382</v>
      </c>
      <c r="Q1035" s="32"/>
      <c r="R1035" s="90" t="n">
        <f aca="false">合約與計費!$D$4</f>
        <v>0.296</v>
      </c>
      <c r="S1035" s="91" t="n">
        <f aca="false">ROUND(P1035*R1035,0)</f>
        <v>113</v>
      </c>
      <c r="T1035" s="92"/>
      <c r="U1035" s="32" t="n">
        <v>355</v>
      </c>
      <c r="V1035" s="32" t="n">
        <v>495</v>
      </c>
      <c r="W1035" s="32" t="n">
        <v>140</v>
      </c>
      <c r="X1035" s="32" t="n">
        <v>136</v>
      </c>
      <c r="Y1035" s="32"/>
      <c r="Z1035" s="93" t="n">
        <f aca="false">合約與計費!$E$4</f>
        <v>2.8</v>
      </c>
      <c r="AA1035" s="94" t="n">
        <f aca="false">ROUND(X1035*Z1035,0)</f>
        <v>381</v>
      </c>
      <c r="AB1035" s="95"/>
      <c r="AC1035" s="96"/>
      <c r="AD1035" s="42"/>
      <c r="AE1035" s="43"/>
    </row>
    <row r="1036" customFormat="false" ht="16.5" hidden="false" customHeight="true" outlineLevel="0" collapsed="false">
      <c r="A1036" s="97" t="n">
        <f aca="false">ROW(A1033)</f>
        <v>1033</v>
      </c>
      <c r="B1036" s="97" t="s">
        <v>462</v>
      </c>
      <c r="C1036" s="100" t="n">
        <v>1</v>
      </c>
      <c r="D1036" s="85"/>
      <c r="E1036" s="234" t="s">
        <v>2766</v>
      </c>
      <c r="F1036" s="99" t="s">
        <v>2764</v>
      </c>
      <c r="G1036" s="100" t="s">
        <v>2515</v>
      </c>
      <c r="H1036" s="100" t="s">
        <v>2755</v>
      </c>
      <c r="I1036" s="175" t="s">
        <v>111</v>
      </c>
      <c r="J1036" s="98" t="s">
        <v>464</v>
      </c>
      <c r="K1036" s="101" t="s">
        <v>2767</v>
      </c>
      <c r="L1036" s="102" t="n">
        <v>45765</v>
      </c>
      <c r="M1036" s="100" t="n">
        <v>1111</v>
      </c>
      <c r="N1036" s="100" t="n">
        <v>1223</v>
      </c>
      <c r="O1036" s="100" t="n">
        <v>112</v>
      </c>
      <c r="P1036" s="100" t="n">
        <v>109</v>
      </c>
      <c r="Q1036" s="100"/>
      <c r="R1036" s="103" t="n">
        <f aca="false">合約與計費!$D$4</f>
        <v>0.296</v>
      </c>
      <c r="S1036" s="104" t="n">
        <f aca="false">ROUND(P1036*R1036,0)</f>
        <v>32</v>
      </c>
      <c r="T1036" s="105"/>
      <c r="U1036" s="100"/>
      <c r="V1036" s="100"/>
      <c r="W1036" s="106"/>
      <c r="X1036" s="100"/>
      <c r="Y1036" s="100"/>
      <c r="Z1036" s="107"/>
      <c r="AA1036" s="108"/>
      <c r="AB1036" s="109"/>
      <c r="AC1036" s="110"/>
      <c r="AD1036" s="42" t="n">
        <v>0.069</v>
      </c>
      <c r="AE1036" s="43" t="n">
        <v>0.3</v>
      </c>
    </row>
    <row r="1037" customFormat="false" ht="16.5" hidden="false" customHeight="true" outlineLevel="0" collapsed="false">
      <c r="A1037" s="97" t="n">
        <f aca="false">ROW(A1034)</f>
        <v>1034</v>
      </c>
      <c r="B1037" s="97" t="s">
        <v>466</v>
      </c>
      <c r="C1037" s="100" t="n">
        <v>1</v>
      </c>
      <c r="D1037" s="85"/>
      <c r="E1037" s="234" t="s">
        <v>2768</v>
      </c>
      <c r="F1037" s="99" t="s">
        <v>2764</v>
      </c>
      <c r="G1037" s="100" t="s">
        <v>2515</v>
      </c>
      <c r="H1037" s="100" t="s">
        <v>2755</v>
      </c>
      <c r="I1037" s="175" t="s">
        <v>111</v>
      </c>
      <c r="J1037" s="98" t="s">
        <v>471</v>
      </c>
      <c r="K1037" s="171" t="s">
        <v>2769</v>
      </c>
      <c r="L1037" s="102" t="n">
        <v>45765</v>
      </c>
      <c r="M1037" s="100" t="n">
        <v>2094</v>
      </c>
      <c r="N1037" s="100" t="n">
        <v>2431</v>
      </c>
      <c r="O1037" s="100" t="n">
        <v>337</v>
      </c>
      <c r="P1037" s="100" t="n">
        <v>327</v>
      </c>
      <c r="Q1037" s="100"/>
      <c r="R1037" s="103" t="n">
        <f aca="false">合約與計費!$D$4</f>
        <v>0.296</v>
      </c>
      <c r="S1037" s="104" t="n">
        <f aca="false">ROUND(P1037*R1037,0)</f>
        <v>97</v>
      </c>
      <c r="T1037" s="105"/>
      <c r="U1037" s="100"/>
      <c r="V1037" s="100"/>
      <c r="W1037" s="106"/>
      <c r="X1037" s="100"/>
      <c r="Y1037" s="100"/>
      <c r="Z1037" s="107"/>
      <c r="AA1037" s="108"/>
      <c r="AB1037" s="109"/>
      <c r="AC1037" s="110"/>
      <c r="AD1037" s="42" t="n">
        <v>0.0442</v>
      </c>
      <c r="AE1037" s="43" t="n">
        <v>0.9</v>
      </c>
    </row>
    <row r="1038" customFormat="false" ht="16.5" hidden="false" customHeight="true" outlineLevel="0" collapsed="false">
      <c r="A1038" s="97" t="n">
        <f aca="false">ROW(A1035)</f>
        <v>1035</v>
      </c>
      <c r="B1038" s="97" t="s">
        <v>469</v>
      </c>
      <c r="C1038" s="100" t="n">
        <v>1</v>
      </c>
      <c r="D1038" s="85"/>
      <c r="E1038" s="234" t="s">
        <v>2770</v>
      </c>
      <c r="F1038" s="99" t="s">
        <v>2764</v>
      </c>
      <c r="G1038" s="100" t="s">
        <v>2515</v>
      </c>
      <c r="H1038" s="100" t="s">
        <v>2755</v>
      </c>
      <c r="I1038" s="175" t="s">
        <v>111</v>
      </c>
      <c r="J1038" s="98" t="s">
        <v>471</v>
      </c>
      <c r="K1038" s="101" t="s">
        <v>2771</v>
      </c>
      <c r="L1038" s="102" t="n">
        <v>45765</v>
      </c>
      <c r="M1038" s="100" t="n">
        <v>13427</v>
      </c>
      <c r="N1038" s="100" t="n">
        <v>15420</v>
      </c>
      <c r="O1038" s="100" t="n">
        <v>1993</v>
      </c>
      <c r="P1038" s="100" t="n">
        <v>1933</v>
      </c>
      <c r="Q1038" s="100"/>
      <c r="R1038" s="103" t="n">
        <f aca="false">合約與計費!$D$4</f>
        <v>0.296</v>
      </c>
      <c r="S1038" s="104" t="n">
        <f aca="false">ROUND(P1038*R1038,0)</f>
        <v>572</v>
      </c>
      <c r="T1038" s="105"/>
      <c r="U1038" s="100"/>
      <c r="V1038" s="100"/>
      <c r="W1038" s="106"/>
      <c r="X1038" s="100"/>
      <c r="Y1038" s="100"/>
      <c r="Z1038" s="107"/>
      <c r="AA1038" s="108"/>
      <c r="AB1038" s="109"/>
      <c r="AC1038" s="110"/>
      <c r="AD1038" s="42" t="n">
        <v>0.1095</v>
      </c>
      <c r="AE1038" s="43" t="n">
        <v>0.2</v>
      </c>
    </row>
    <row r="1039" customFormat="false" ht="16.5" hidden="false" customHeight="true" outlineLevel="0" collapsed="false">
      <c r="A1039" s="111" t="n">
        <f aca="false">ROW(A1036)</f>
        <v>1036</v>
      </c>
      <c r="B1039" s="111" t="s">
        <v>473</v>
      </c>
      <c r="C1039" s="114" t="n">
        <v>1</v>
      </c>
      <c r="D1039" s="85"/>
      <c r="E1039" s="235" t="s">
        <v>2772</v>
      </c>
      <c r="F1039" s="113" t="s">
        <v>2764</v>
      </c>
      <c r="G1039" s="114" t="s">
        <v>2515</v>
      </c>
      <c r="H1039" s="114" t="s">
        <v>2755</v>
      </c>
      <c r="I1039" s="173" t="s">
        <v>111</v>
      </c>
      <c r="J1039" s="112" t="s">
        <v>471</v>
      </c>
      <c r="K1039" s="115" t="s">
        <v>2773</v>
      </c>
      <c r="L1039" s="116" t="n">
        <v>45765</v>
      </c>
      <c r="M1039" s="114" t="n">
        <v>4850</v>
      </c>
      <c r="N1039" s="114" t="n">
        <v>6000</v>
      </c>
      <c r="O1039" s="100" t="n">
        <v>1150</v>
      </c>
      <c r="P1039" s="100" t="n">
        <v>1116</v>
      </c>
      <c r="Q1039" s="100" t="n">
        <f aca="false">ROUND(SUM(P1035:P1039),2)</f>
        <v>3867</v>
      </c>
      <c r="R1039" s="117" t="n">
        <f aca="false">合約與計費!$D$4</f>
        <v>0.296</v>
      </c>
      <c r="S1039" s="118" t="n">
        <f aca="false">ROUND(P1039*R1039,0)</f>
        <v>330</v>
      </c>
      <c r="T1039" s="105" t="n">
        <f aca="false">ROUND(SUM(S1035:S1039),2)</f>
        <v>1144</v>
      </c>
      <c r="U1039" s="114"/>
      <c r="V1039" s="114"/>
      <c r="W1039" s="120"/>
      <c r="X1039" s="114"/>
      <c r="Y1039" s="114" t="n">
        <f aca="false">ROUND(SUM(X1035:X1039),2)</f>
        <v>136</v>
      </c>
      <c r="Z1039" s="121"/>
      <c r="AA1039" s="122"/>
      <c r="AB1039" s="123" t="n">
        <f aca="false">ROUND(SUM(AA1035:AA1039),2)</f>
        <v>381</v>
      </c>
      <c r="AC1039" s="124"/>
      <c r="AD1039" s="42" t="n">
        <v>0.1017</v>
      </c>
      <c r="AE1039" s="43" t="n">
        <v>0.3</v>
      </c>
    </row>
    <row r="1040" customFormat="false" ht="16.5" hidden="false" customHeight="true" outlineLevel="0" collapsed="false">
      <c r="A1040" s="84" t="n">
        <f aca="false">ROW(A1037)</f>
        <v>1037</v>
      </c>
      <c r="B1040" s="84" t="s">
        <v>455</v>
      </c>
      <c r="C1040" s="32" t="n">
        <v>1</v>
      </c>
      <c r="D1040" s="85" t="n">
        <v>101</v>
      </c>
      <c r="E1040" s="86" t="s">
        <v>2774</v>
      </c>
      <c r="F1040" s="87" t="s">
        <v>2775</v>
      </c>
      <c r="G1040" s="32" t="s">
        <v>2515</v>
      </c>
      <c r="H1040" s="32" t="s">
        <v>2755</v>
      </c>
      <c r="I1040" s="32" t="s">
        <v>146</v>
      </c>
      <c r="J1040" s="86" t="s">
        <v>460</v>
      </c>
      <c r="K1040" s="88" t="s">
        <v>2776</v>
      </c>
      <c r="L1040" s="89" t="n">
        <v>45783</v>
      </c>
      <c r="M1040" s="32" t="n">
        <v>512</v>
      </c>
      <c r="N1040" s="32" t="n">
        <v>643</v>
      </c>
      <c r="O1040" s="32" t="n">
        <v>131</v>
      </c>
      <c r="P1040" s="32" t="n">
        <v>127</v>
      </c>
      <c r="Q1040" s="32"/>
      <c r="R1040" s="90" t="n">
        <f aca="false">合約與計費!$D$4</f>
        <v>0.296</v>
      </c>
      <c r="S1040" s="91" t="n">
        <f aca="false">ROUND(P1040*R1040,0)</f>
        <v>38</v>
      </c>
      <c r="T1040" s="92"/>
      <c r="U1040" s="32" t="n">
        <v>169</v>
      </c>
      <c r="V1040" s="32" t="n">
        <v>212</v>
      </c>
      <c r="W1040" s="32" t="n">
        <v>43</v>
      </c>
      <c r="X1040" s="32" t="n">
        <v>42</v>
      </c>
      <c r="Y1040" s="32"/>
      <c r="Z1040" s="93" t="n">
        <f aca="false">合約與計費!$E$4</f>
        <v>2.8</v>
      </c>
      <c r="AA1040" s="94" t="n">
        <f aca="false">ROUND(X1040*Z1040,0)</f>
        <v>118</v>
      </c>
      <c r="AB1040" s="95"/>
      <c r="AC1040" s="96"/>
      <c r="AD1040" s="42"/>
      <c r="AE1040" s="43"/>
    </row>
    <row r="1041" customFormat="false" ht="16.5" hidden="false" customHeight="true" outlineLevel="0" collapsed="false">
      <c r="A1041" s="97" t="n">
        <f aca="false">ROW(A1038)</f>
        <v>1038</v>
      </c>
      <c r="B1041" s="97" t="s">
        <v>462</v>
      </c>
      <c r="C1041" s="100" t="n">
        <v>1</v>
      </c>
      <c r="D1041" s="85"/>
      <c r="E1041" s="98" t="s">
        <v>2777</v>
      </c>
      <c r="F1041" s="99" t="s">
        <v>2775</v>
      </c>
      <c r="G1041" s="100" t="s">
        <v>2515</v>
      </c>
      <c r="H1041" s="100" t="s">
        <v>2755</v>
      </c>
      <c r="I1041" s="100" t="s">
        <v>146</v>
      </c>
      <c r="J1041" s="98" t="s">
        <v>464</v>
      </c>
      <c r="K1041" s="101" t="s">
        <v>2778</v>
      </c>
      <c r="L1041" s="102" t="n">
        <v>45783</v>
      </c>
      <c r="M1041" s="100" t="n">
        <v>384</v>
      </c>
      <c r="N1041" s="100" t="n">
        <v>517</v>
      </c>
      <c r="O1041" s="100" t="n">
        <v>133</v>
      </c>
      <c r="P1041" s="100" t="n">
        <v>129</v>
      </c>
      <c r="Q1041" s="100"/>
      <c r="R1041" s="103" t="n">
        <f aca="false">合約與計費!$D$4</f>
        <v>0.296</v>
      </c>
      <c r="S1041" s="104" t="n">
        <f aca="false">ROUND(P1041*R1041,0)</f>
        <v>38</v>
      </c>
      <c r="T1041" s="105"/>
      <c r="U1041" s="100"/>
      <c r="V1041" s="100"/>
      <c r="W1041" s="106"/>
      <c r="X1041" s="100"/>
      <c r="Y1041" s="100"/>
      <c r="Z1041" s="107"/>
      <c r="AA1041" s="108"/>
      <c r="AB1041" s="109"/>
      <c r="AC1041" s="110"/>
      <c r="AD1041" s="42" t="n">
        <v>0.0541</v>
      </c>
      <c r="AE1041" s="43" t="n">
        <v>0.8</v>
      </c>
    </row>
    <row r="1042" customFormat="false" ht="16.5" hidden="false" customHeight="true" outlineLevel="0" collapsed="false">
      <c r="A1042" s="97" t="n">
        <f aca="false">ROW(A1039)</f>
        <v>1039</v>
      </c>
      <c r="B1042" s="97" t="s">
        <v>466</v>
      </c>
      <c r="C1042" s="100" t="n">
        <v>1</v>
      </c>
      <c r="D1042" s="85"/>
      <c r="E1042" s="98" t="s">
        <v>2779</v>
      </c>
      <c r="F1042" s="99" t="s">
        <v>2775</v>
      </c>
      <c r="G1042" s="100" t="s">
        <v>2515</v>
      </c>
      <c r="H1042" s="100" t="s">
        <v>2755</v>
      </c>
      <c r="I1042" s="100" t="s">
        <v>146</v>
      </c>
      <c r="J1042" s="98" t="s">
        <v>471</v>
      </c>
      <c r="K1042" s="101" t="s">
        <v>2780</v>
      </c>
      <c r="L1042" s="102" t="n">
        <v>45783</v>
      </c>
      <c r="M1042" s="100" t="n">
        <v>11877</v>
      </c>
      <c r="N1042" s="100" t="n">
        <v>14848</v>
      </c>
      <c r="O1042" s="100" t="n">
        <v>2971</v>
      </c>
      <c r="P1042" s="100" t="n">
        <v>2882</v>
      </c>
      <c r="Q1042" s="100"/>
      <c r="R1042" s="103" t="n">
        <f aca="false">合約與計費!$D$4</f>
        <v>0.296</v>
      </c>
      <c r="S1042" s="104" t="n">
        <f aca="false">ROUND(P1042*R1042,0)</f>
        <v>853</v>
      </c>
      <c r="T1042" s="105"/>
      <c r="U1042" s="100"/>
      <c r="V1042" s="100"/>
      <c r="W1042" s="106"/>
      <c r="X1042" s="100"/>
      <c r="Y1042" s="100"/>
      <c r="Z1042" s="107"/>
      <c r="AA1042" s="108"/>
      <c r="AB1042" s="109"/>
      <c r="AC1042" s="110"/>
      <c r="AD1042" s="42" t="n">
        <v>0.0728</v>
      </c>
      <c r="AE1042" s="43" t="n">
        <v>0.8</v>
      </c>
    </row>
    <row r="1043" customFormat="false" ht="16.5" hidden="false" customHeight="true" outlineLevel="0" collapsed="false">
      <c r="A1043" s="111" t="n">
        <f aca="false">ROW(A1040)</f>
        <v>1040</v>
      </c>
      <c r="B1043" s="111" t="s">
        <v>469</v>
      </c>
      <c r="C1043" s="114" t="n">
        <v>1</v>
      </c>
      <c r="D1043" s="85"/>
      <c r="E1043" s="112" t="s">
        <v>2781</v>
      </c>
      <c r="F1043" s="113" t="s">
        <v>2775</v>
      </c>
      <c r="G1043" s="114" t="s">
        <v>2515</v>
      </c>
      <c r="H1043" s="114" t="s">
        <v>2755</v>
      </c>
      <c r="I1043" s="114" t="s">
        <v>146</v>
      </c>
      <c r="J1043" s="112" t="s">
        <v>471</v>
      </c>
      <c r="K1043" s="115" t="s">
        <v>2782</v>
      </c>
      <c r="L1043" s="116" t="n">
        <v>45783</v>
      </c>
      <c r="M1043" s="114" t="n">
        <v>7199</v>
      </c>
      <c r="N1043" s="114" t="n">
        <v>9123</v>
      </c>
      <c r="O1043" s="100" t="n">
        <v>1924</v>
      </c>
      <c r="P1043" s="100" t="n">
        <v>1866</v>
      </c>
      <c r="Q1043" s="100" t="n">
        <f aca="false">ROUND(SUM(P1040:P1043),2)</f>
        <v>5004</v>
      </c>
      <c r="R1043" s="117" t="n">
        <f aca="false">合約與計費!$D$4</f>
        <v>0.296</v>
      </c>
      <c r="S1043" s="118" t="n">
        <f aca="false">ROUND(P1043*R1043,0)</f>
        <v>552</v>
      </c>
      <c r="T1043" s="105" t="n">
        <f aca="false">ROUND(SUM(S1040:S1043),2)</f>
        <v>1481</v>
      </c>
      <c r="U1043" s="114"/>
      <c r="V1043" s="114"/>
      <c r="W1043" s="120"/>
      <c r="X1043" s="114"/>
      <c r="Y1043" s="114" t="n">
        <f aca="false">ROUND(SUM(X1040:X1043),2)</f>
        <v>42</v>
      </c>
      <c r="Z1043" s="121"/>
      <c r="AA1043" s="122"/>
      <c r="AB1043" s="123" t="n">
        <f aca="false">ROUND(SUM(AA1040:AA1043),2)</f>
        <v>118</v>
      </c>
      <c r="AC1043" s="124"/>
      <c r="AD1043" s="42" t="n">
        <v>0.0631</v>
      </c>
      <c r="AE1043" s="43" t="n">
        <v>0.5</v>
      </c>
    </row>
    <row r="1044" customFormat="false" ht="16.5" hidden="false" customHeight="true" outlineLevel="0" collapsed="false">
      <c r="A1044" s="84" t="n">
        <f aca="false">ROW(A1041)</f>
        <v>1041</v>
      </c>
      <c r="B1044" s="84" t="s">
        <v>455</v>
      </c>
      <c r="C1044" s="32" t="n">
        <v>1</v>
      </c>
      <c r="D1044" s="85" t="n">
        <v>103</v>
      </c>
      <c r="E1044" s="86" t="s">
        <v>2783</v>
      </c>
      <c r="F1044" s="87" t="s">
        <v>2784</v>
      </c>
      <c r="G1044" s="32" t="s">
        <v>2515</v>
      </c>
      <c r="H1044" s="32" t="s">
        <v>2755</v>
      </c>
      <c r="I1044" s="32" t="s">
        <v>299</v>
      </c>
      <c r="J1044" s="86" t="s">
        <v>460</v>
      </c>
      <c r="K1044" s="225" t="s">
        <v>2785</v>
      </c>
      <c r="L1044" s="89" t="n">
        <v>45771</v>
      </c>
      <c r="M1044" s="32" t="n">
        <v>568</v>
      </c>
      <c r="N1044" s="32" t="n">
        <v>699</v>
      </c>
      <c r="O1044" s="32" t="n">
        <v>131</v>
      </c>
      <c r="P1044" s="32" t="n">
        <v>127</v>
      </c>
      <c r="Q1044" s="32"/>
      <c r="R1044" s="90" t="n">
        <f aca="false">合約與計費!$D$4</f>
        <v>0.296</v>
      </c>
      <c r="S1044" s="91" t="n">
        <f aca="false">ROUND(P1044*R1044,0)</f>
        <v>38</v>
      </c>
      <c r="T1044" s="92"/>
      <c r="U1044" s="32" t="n">
        <v>166</v>
      </c>
      <c r="V1044" s="32" t="n">
        <v>291</v>
      </c>
      <c r="W1044" s="32" t="n">
        <v>125</v>
      </c>
      <c r="X1044" s="32" t="n">
        <v>121</v>
      </c>
      <c r="Y1044" s="32"/>
      <c r="Z1044" s="93" t="n">
        <f aca="false">合約與計費!$E$4</f>
        <v>2.8</v>
      </c>
      <c r="AA1044" s="94" t="n">
        <f aca="false">ROUND(X1044*Z1044,0)</f>
        <v>339</v>
      </c>
      <c r="AB1044" s="95"/>
      <c r="AC1044" s="96"/>
      <c r="AD1044" s="42"/>
      <c r="AE1044" s="43"/>
    </row>
    <row r="1045" customFormat="false" ht="16.5" hidden="false" customHeight="true" outlineLevel="0" collapsed="false">
      <c r="A1045" s="97" t="n">
        <f aca="false">ROW(A1042)</f>
        <v>1042</v>
      </c>
      <c r="B1045" s="97" t="s">
        <v>462</v>
      </c>
      <c r="C1045" s="100" t="n">
        <v>1</v>
      </c>
      <c r="D1045" s="85"/>
      <c r="E1045" s="98" t="s">
        <v>2786</v>
      </c>
      <c r="F1045" s="99" t="s">
        <v>2784</v>
      </c>
      <c r="G1045" s="100" t="s">
        <v>2515</v>
      </c>
      <c r="H1045" s="100" t="s">
        <v>2755</v>
      </c>
      <c r="I1045" s="100" t="s">
        <v>299</v>
      </c>
      <c r="J1045" s="98" t="s">
        <v>464</v>
      </c>
      <c r="K1045" s="171" t="s">
        <v>2787</v>
      </c>
      <c r="L1045" s="102" t="n">
        <v>45771</v>
      </c>
      <c r="M1045" s="100" t="n">
        <v>951</v>
      </c>
      <c r="N1045" s="100" t="n">
        <v>1175</v>
      </c>
      <c r="O1045" s="100" t="n">
        <v>224</v>
      </c>
      <c r="P1045" s="100" t="n">
        <v>217</v>
      </c>
      <c r="Q1045" s="100"/>
      <c r="R1045" s="103" t="n">
        <f aca="false">合約與計費!$D$4</f>
        <v>0.296</v>
      </c>
      <c r="S1045" s="104" t="n">
        <f aca="false">ROUND(P1045*R1045,0)</f>
        <v>64</v>
      </c>
      <c r="T1045" s="105"/>
      <c r="U1045" s="100"/>
      <c r="V1045" s="100"/>
      <c r="W1045" s="106"/>
      <c r="X1045" s="100"/>
      <c r="Y1045" s="100"/>
      <c r="Z1045" s="107"/>
      <c r="AA1045" s="108"/>
      <c r="AB1045" s="109"/>
      <c r="AC1045" s="110"/>
      <c r="AD1045" s="42" t="n">
        <v>0.0729</v>
      </c>
      <c r="AE1045" s="43" t="n">
        <v>1</v>
      </c>
    </row>
    <row r="1046" customFormat="false" ht="16.5" hidden="false" customHeight="true" outlineLevel="0" collapsed="false">
      <c r="A1046" s="97" t="n">
        <f aca="false">ROW(A1043)</f>
        <v>1043</v>
      </c>
      <c r="B1046" s="97" t="s">
        <v>466</v>
      </c>
      <c r="C1046" s="100" t="n">
        <v>1</v>
      </c>
      <c r="D1046" s="85"/>
      <c r="E1046" s="98" t="s">
        <v>2788</v>
      </c>
      <c r="F1046" s="99" t="s">
        <v>2784</v>
      </c>
      <c r="G1046" s="100" t="s">
        <v>2515</v>
      </c>
      <c r="H1046" s="100" t="s">
        <v>2755</v>
      </c>
      <c r="I1046" s="100" t="s">
        <v>299</v>
      </c>
      <c r="J1046" s="98" t="s">
        <v>471</v>
      </c>
      <c r="K1046" s="101" t="s">
        <v>2789</v>
      </c>
      <c r="L1046" s="102" t="n">
        <v>45771</v>
      </c>
      <c r="M1046" s="100" t="n">
        <v>11260</v>
      </c>
      <c r="N1046" s="100" t="n">
        <v>14014</v>
      </c>
      <c r="O1046" s="100" t="n">
        <v>2754</v>
      </c>
      <c r="P1046" s="100" t="n">
        <v>2671</v>
      </c>
      <c r="Q1046" s="100"/>
      <c r="R1046" s="103" t="n">
        <f aca="false">合約與計費!$D$4</f>
        <v>0.296</v>
      </c>
      <c r="S1046" s="104" t="n">
        <f aca="false">ROUND(P1046*R1046,0)</f>
        <v>791</v>
      </c>
      <c r="T1046" s="105"/>
      <c r="U1046" s="100"/>
      <c r="V1046" s="100"/>
      <c r="W1046" s="106"/>
      <c r="X1046" s="100"/>
      <c r="Y1046" s="100"/>
      <c r="Z1046" s="107"/>
      <c r="AA1046" s="108"/>
      <c r="AB1046" s="109"/>
      <c r="AC1046" s="110"/>
      <c r="AD1046" s="42" t="n">
        <v>0.1018</v>
      </c>
      <c r="AE1046" s="43" t="n">
        <v>0.6</v>
      </c>
    </row>
    <row r="1047" customFormat="false" ht="16.5" hidden="false" customHeight="true" outlineLevel="0" collapsed="false">
      <c r="A1047" s="111" t="n">
        <f aca="false">ROW(A1044)</f>
        <v>1044</v>
      </c>
      <c r="B1047" s="111" t="s">
        <v>469</v>
      </c>
      <c r="C1047" s="114" t="n">
        <v>1</v>
      </c>
      <c r="D1047" s="85"/>
      <c r="E1047" s="112" t="s">
        <v>2790</v>
      </c>
      <c r="F1047" s="113" t="s">
        <v>2784</v>
      </c>
      <c r="G1047" s="114" t="s">
        <v>2515</v>
      </c>
      <c r="H1047" s="114" t="s">
        <v>2755</v>
      </c>
      <c r="I1047" s="114" t="s">
        <v>299</v>
      </c>
      <c r="J1047" s="112" t="s">
        <v>471</v>
      </c>
      <c r="K1047" s="115" t="s">
        <v>2791</v>
      </c>
      <c r="L1047" s="116" t="n">
        <v>45771</v>
      </c>
      <c r="M1047" s="114" t="n">
        <v>4400</v>
      </c>
      <c r="N1047" s="114" t="n">
        <v>5637</v>
      </c>
      <c r="O1047" s="114" t="n">
        <v>1237</v>
      </c>
      <c r="P1047" s="114" t="n">
        <v>1200</v>
      </c>
      <c r="Q1047" s="114" t="n">
        <f aca="false">ROUND(SUM(P1044:P1047),2)</f>
        <v>4215</v>
      </c>
      <c r="R1047" s="117" t="n">
        <f aca="false">合約與計費!$D$4</f>
        <v>0.296</v>
      </c>
      <c r="S1047" s="118" t="n">
        <f aca="false">ROUND(P1047*R1047,0)</f>
        <v>355</v>
      </c>
      <c r="T1047" s="119" t="n">
        <f aca="false">ROUND(SUM(S1044:S1047),2)</f>
        <v>1248</v>
      </c>
      <c r="U1047" s="114"/>
      <c r="V1047" s="114"/>
      <c r="W1047" s="120"/>
      <c r="X1047" s="114"/>
      <c r="Y1047" s="114" t="n">
        <f aca="false">ROUND(SUM(X1044:X1047),2)</f>
        <v>121</v>
      </c>
      <c r="Z1047" s="121"/>
      <c r="AA1047" s="122"/>
      <c r="AB1047" s="123" t="n">
        <f aca="false">ROUND(SUM(AA1044:AA1047),2)</f>
        <v>339</v>
      </c>
      <c r="AC1047" s="124"/>
      <c r="AD1047" s="42" t="n">
        <v>0.0723</v>
      </c>
      <c r="AE1047" s="43" t="n">
        <v>0.7</v>
      </c>
    </row>
    <row r="1048" customFormat="false" ht="16.5" hidden="false" customHeight="true" outlineLevel="0" collapsed="false">
      <c r="A1048" s="84" t="n">
        <f aca="false">ROW(A1045)</f>
        <v>1045</v>
      </c>
      <c r="B1048" s="84" t="s">
        <v>455</v>
      </c>
      <c r="C1048" s="32" t="n">
        <v>1</v>
      </c>
      <c r="D1048" s="85" t="n">
        <v>104</v>
      </c>
      <c r="E1048" s="86" t="s">
        <v>2792</v>
      </c>
      <c r="F1048" s="87" t="s">
        <v>2793</v>
      </c>
      <c r="G1048" s="32" t="s">
        <v>2515</v>
      </c>
      <c r="H1048" s="32" t="s">
        <v>2755</v>
      </c>
      <c r="I1048" s="172" t="s">
        <v>387</v>
      </c>
      <c r="J1048" s="86" t="s">
        <v>460</v>
      </c>
      <c r="K1048" s="88" t="s">
        <v>2794</v>
      </c>
      <c r="L1048" s="89" t="n">
        <v>45784</v>
      </c>
      <c r="M1048" s="32" t="n">
        <v>27</v>
      </c>
      <c r="N1048" s="32" t="n">
        <v>29</v>
      </c>
      <c r="O1048" s="32" t="n">
        <v>2</v>
      </c>
      <c r="P1048" s="32" t="n">
        <v>2</v>
      </c>
      <c r="Q1048" s="32"/>
      <c r="R1048" s="90" t="n">
        <f aca="false">合約與計費!$D$4</f>
        <v>0.296</v>
      </c>
      <c r="S1048" s="91" t="n">
        <f aca="false">ROUND(P1048*R1048,0)</f>
        <v>1</v>
      </c>
      <c r="T1048" s="92"/>
      <c r="U1048" s="32" t="n">
        <v>133</v>
      </c>
      <c r="V1048" s="32" t="n">
        <v>172</v>
      </c>
      <c r="W1048" s="32" t="n">
        <v>39</v>
      </c>
      <c r="X1048" s="32" t="n">
        <v>38</v>
      </c>
      <c r="Y1048" s="32"/>
      <c r="Z1048" s="93" t="n">
        <f aca="false">合約與計費!$E$4</f>
        <v>2.8</v>
      </c>
      <c r="AA1048" s="94" t="n">
        <f aca="false">ROUND(X1048*Z1048,0)</f>
        <v>106</v>
      </c>
      <c r="AB1048" s="95"/>
      <c r="AC1048" s="96"/>
      <c r="AD1048" s="42"/>
      <c r="AE1048" s="43"/>
    </row>
    <row r="1049" customFormat="false" ht="16.5" hidden="false" customHeight="true" outlineLevel="0" collapsed="false">
      <c r="A1049" s="97" t="n">
        <f aca="false">ROW(A1046)</f>
        <v>1046</v>
      </c>
      <c r="B1049" s="97" t="s">
        <v>462</v>
      </c>
      <c r="C1049" s="100" t="n">
        <v>1</v>
      </c>
      <c r="D1049" s="85"/>
      <c r="E1049" s="98" t="s">
        <v>2795</v>
      </c>
      <c r="F1049" s="99" t="s">
        <v>2793</v>
      </c>
      <c r="G1049" s="100" t="s">
        <v>2515</v>
      </c>
      <c r="H1049" s="100" t="s">
        <v>2755</v>
      </c>
      <c r="I1049" s="175" t="s">
        <v>387</v>
      </c>
      <c r="J1049" s="98" t="s">
        <v>464</v>
      </c>
      <c r="K1049" s="101" t="s">
        <v>2796</v>
      </c>
      <c r="L1049" s="102" t="n">
        <v>45784</v>
      </c>
      <c r="M1049" s="100" t="n">
        <v>1461</v>
      </c>
      <c r="N1049" s="100" t="n">
        <v>1912</v>
      </c>
      <c r="O1049" s="100" t="n">
        <v>451</v>
      </c>
      <c r="P1049" s="100" t="n">
        <v>437</v>
      </c>
      <c r="Q1049" s="100"/>
      <c r="R1049" s="103" t="n">
        <f aca="false">合約與計費!$D$4</f>
        <v>0.296</v>
      </c>
      <c r="S1049" s="104" t="n">
        <f aca="false">ROUND(P1049*R1049,0)</f>
        <v>129</v>
      </c>
      <c r="T1049" s="105"/>
      <c r="U1049" s="100"/>
      <c r="V1049" s="100"/>
      <c r="W1049" s="106"/>
      <c r="X1049" s="100"/>
      <c r="Y1049" s="100"/>
      <c r="Z1049" s="107"/>
      <c r="AA1049" s="108"/>
      <c r="AB1049" s="109"/>
      <c r="AC1049" s="110"/>
      <c r="AD1049" s="42" t="n">
        <v>0.0611</v>
      </c>
      <c r="AE1049" s="43" t="n">
        <v>0.2</v>
      </c>
    </row>
    <row r="1050" customFormat="false" ht="16.5" hidden="false" customHeight="true" outlineLevel="0" collapsed="false">
      <c r="A1050" s="97" t="n">
        <f aca="false">ROW(A1047)</f>
        <v>1047</v>
      </c>
      <c r="B1050" s="97" t="s">
        <v>466</v>
      </c>
      <c r="C1050" s="100" t="n">
        <v>1</v>
      </c>
      <c r="D1050" s="85"/>
      <c r="E1050" s="98" t="s">
        <v>2797</v>
      </c>
      <c r="F1050" s="99" t="s">
        <v>2793</v>
      </c>
      <c r="G1050" s="100" t="s">
        <v>2515</v>
      </c>
      <c r="H1050" s="100" t="s">
        <v>2755</v>
      </c>
      <c r="I1050" s="175" t="s">
        <v>387</v>
      </c>
      <c r="J1050" s="98" t="s">
        <v>471</v>
      </c>
      <c r="K1050" s="101" t="s">
        <v>2798</v>
      </c>
      <c r="L1050" s="102" t="n">
        <v>45784</v>
      </c>
      <c r="M1050" s="100" t="n">
        <v>5414</v>
      </c>
      <c r="N1050" s="100" t="n">
        <v>6547</v>
      </c>
      <c r="O1050" s="100" t="n">
        <v>1133</v>
      </c>
      <c r="P1050" s="100" t="n">
        <v>1099</v>
      </c>
      <c r="Q1050" s="100"/>
      <c r="R1050" s="103" t="n">
        <f aca="false">合約與計費!$D$4</f>
        <v>0.296</v>
      </c>
      <c r="S1050" s="104" t="n">
        <f aca="false">ROUND(P1050*R1050,0)</f>
        <v>325</v>
      </c>
      <c r="T1050" s="105"/>
      <c r="U1050" s="100"/>
      <c r="V1050" s="100"/>
      <c r="W1050" s="106"/>
      <c r="X1050" s="100"/>
      <c r="Y1050" s="100"/>
      <c r="Z1050" s="107"/>
      <c r="AA1050" s="108"/>
      <c r="AB1050" s="109"/>
      <c r="AC1050" s="110"/>
      <c r="AD1050" s="42" t="n">
        <v>0.0781</v>
      </c>
      <c r="AE1050" s="43" t="n">
        <v>0.6</v>
      </c>
    </row>
    <row r="1051" customFormat="false" ht="16.5" hidden="false" customHeight="true" outlineLevel="0" collapsed="false">
      <c r="A1051" s="97" t="n">
        <f aca="false">ROW(A1048)</f>
        <v>1048</v>
      </c>
      <c r="B1051" s="97" t="s">
        <v>469</v>
      </c>
      <c r="C1051" s="100" t="n">
        <v>1</v>
      </c>
      <c r="D1051" s="85"/>
      <c r="E1051" s="98" t="s">
        <v>2799</v>
      </c>
      <c r="F1051" s="99" t="s">
        <v>2793</v>
      </c>
      <c r="G1051" s="100" t="s">
        <v>2515</v>
      </c>
      <c r="H1051" s="100" t="s">
        <v>2755</v>
      </c>
      <c r="I1051" s="175" t="s">
        <v>387</v>
      </c>
      <c r="J1051" s="98" t="s">
        <v>471</v>
      </c>
      <c r="K1051" s="101" t="s">
        <v>2800</v>
      </c>
      <c r="L1051" s="102" t="n">
        <v>45784</v>
      </c>
      <c r="M1051" s="100" t="n">
        <v>4340</v>
      </c>
      <c r="N1051" s="100" t="n">
        <v>5490</v>
      </c>
      <c r="O1051" s="100" t="n">
        <v>1150</v>
      </c>
      <c r="P1051" s="100" t="n">
        <v>1116</v>
      </c>
      <c r="Q1051" s="100"/>
      <c r="R1051" s="103" t="n">
        <f aca="false">合約與計費!$D$4</f>
        <v>0.296</v>
      </c>
      <c r="S1051" s="104" t="n">
        <f aca="false">ROUND(P1051*R1051,0)</f>
        <v>330</v>
      </c>
      <c r="T1051" s="105"/>
      <c r="U1051" s="100"/>
      <c r="V1051" s="100"/>
      <c r="W1051" s="106"/>
      <c r="X1051" s="100"/>
      <c r="Y1051" s="100"/>
      <c r="Z1051" s="107"/>
      <c r="AA1051" s="108"/>
      <c r="AB1051" s="109"/>
      <c r="AC1051" s="110"/>
      <c r="AD1051" s="42" t="n">
        <v>0.0762</v>
      </c>
      <c r="AE1051" s="43" t="n">
        <v>0.7</v>
      </c>
    </row>
    <row r="1052" customFormat="false" ht="16.5" hidden="false" customHeight="true" outlineLevel="0" collapsed="false">
      <c r="A1052" s="97" t="n">
        <f aca="false">ROW(A1049)</f>
        <v>1049</v>
      </c>
      <c r="B1052" s="97" t="s">
        <v>473</v>
      </c>
      <c r="C1052" s="100" t="n">
        <v>1</v>
      </c>
      <c r="D1052" s="85"/>
      <c r="E1052" s="98" t="s">
        <v>2801</v>
      </c>
      <c r="F1052" s="99" t="s">
        <v>2793</v>
      </c>
      <c r="G1052" s="100" t="s">
        <v>2515</v>
      </c>
      <c r="H1052" s="100" t="s">
        <v>2755</v>
      </c>
      <c r="I1052" s="175" t="s">
        <v>387</v>
      </c>
      <c r="J1052" s="98" t="s">
        <v>471</v>
      </c>
      <c r="K1052" s="101" t="s">
        <v>2802</v>
      </c>
      <c r="L1052" s="102" t="n">
        <v>45784</v>
      </c>
      <c r="M1052" s="100" t="n">
        <v>4494</v>
      </c>
      <c r="N1052" s="100" t="n">
        <v>5358</v>
      </c>
      <c r="O1052" s="100" t="n">
        <v>864</v>
      </c>
      <c r="P1052" s="100" t="n">
        <v>838</v>
      </c>
      <c r="Q1052" s="100"/>
      <c r="R1052" s="103" t="n">
        <f aca="false">合約與計費!$D$4</f>
        <v>0.296</v>
      </c>
      <c r="S1052" s="104" t="n">
        <f aca="false">ROUND(P1052*R1052,0)</f>
        <v>248</v>
      </c>
      <c r="T1052" s="105"/>
      <c r="U1052" s="100"/>
      <c r="V1052" s="100"/>
      <c r="W1052" s="106"/>
      <c r="X1052" s="100"/>
      <c r="Y1052" s="100"/>
      <c r="Z1052" s="107"/>
      <c r="AA1052" s="108"/>
      <c r="AB1052" s="109"/>
      <c r="AC1052" s="110"/>
      <c r="AD1052" s="42" t="n">
        <v>0.0523</v>
      </c>
      <c r="AE1052" s="43" t="n">
        <v>0.8</v>
      </c>
    </row>
    <row r="1053" customFormat="false" ht="16.5" hidden="false" customHeight="true" outlineLevel="0" collapsed="false">
      <c r="A1053" s="111" t="n">
        <f aca="false">ROW(A1050)</f>
        <v>1050</v>
      </c>
      <c r="B1053" s="111" t="s">
        <v>476</v>
      </c>
      <c r="C1053" s="114" t="n">
        <v>1</v>
      </c>
      <c r="D1053" s="85"/>
      <c r="E1053" s="112" t="s">
        <v>2803</v>
      </c>
      <c r="F1053" s="113" t="s">
        <v>2793</v>
      </c>
      <c r="G1053" s="114" t="s">
        <v>2515</v>
      </c>
      <c r="H1053" s="114" t="s">
        <v>2755</v>
      </c>
      <c r="I1053" s="173" t="s">
        <v>387</v>
      </c>
      <c r="J1053" s="112" t="s">
        <v>471</v>
      </c>
      <c r="K1053" s="115" t="s">
        <v>2804</v>
      </c>
      <c r="L1053" s="116" t="n">
        <v>45784</v>
      </c>
      <c r="M1053" s="114" t="n">
        <v>3673</v>
      </c>
      <c r="N1053" s="114" t="n">
        <v>4769</v>
      </c>
      <c r="O1053" s="114" t="n">
        <v>1096</v>
      </c>
      <c r="P1053" s="114" t="n">
        <v>1063</v>
      </c>
      <c r="Q1053" s="114" t="n">
        <f aca="false">ROUND(SUM(P1048:P1053),2)</f>
        <v>4555</v>
      </c>
      <c r="R1053" s="117" t="n">
        <f aca="false">合約與計費!$D$4</f>
        <v>0.296</v>
      </c>
      <c r="S1053" s="118" t="n">
        <f aca="false">ROUND(P1053*R1053,0)</f>
        <v>315</v>
      </c>
      <c r="T1053" s="119" t="n">
        <f aca="false">ROUND(SUM(S1048:S1053),2)</f>
        <v>1348</v>
      </c>
      <c r="U1053" s="114"/>
      <c r="V1053" s="114"/>
      <c r="W1053" s="120"/>
      <c r="X1053" s="114"/>
      <c r="Y1053" s="114" t="n">
        <f aca="false">ROUND(SUM(X1048:X1053),2)</f>
        <v>38</v>
      </c>
      <c r="Z1053" s="121"/>
      <c r="AA1053" s="122"/>
      <c r="AB1053" s="123" t="n">
        <f aca="false">ROUND(SUM(AA1048:AA1053),2)</f>
        <v>106</v>
      </c>
      <c r="AC1053" s="124"/>
      <c r="AD1053" s="42" t="n">
        <v>0.0739</v>
      </c>
      <c r="AE1053" s="43" t="n">
        <v>0.7</v>
      </c>
    </row>
    <row r="1054" customFormat="false" ht="16.5" hidden="false" customHeight="true" outlineLevel="0" collapsed="false">
      <c r="A1054" s="84" t="n">
        <f aca="false">ROW(A1051)</f>
        <v>1051</v>
      </c>
      <c r="B1054" s="84" t="s">
        <v>455</v>
      </c>
      <c r="C1054" s="32" t="n">
        <v>1</v>
      </c>
      <c r="D1054" s="85" t="n">
        <v>106</v>
      </c>
      <c r="E1054" s="233" t="s">
        <v>2805</v>
      </c>
      <c r="F1054" s="87" t="s">
        <v>2806</v>
      </c>
      <c r="G1054" s="32" t="s">
        <v>2515</v>
      </c>
      <c r="H1054" s="32" t="s">
        <v>2755</v>
      </c>
      <c r="I1054" s="172" t="s">
        <v>412</v>
      </c>
      <c r="J1054" s="86" t="s">
        <v>460</v>
      </c>
      <c r="K1054" s="88" t="s">
        <v>2807</v>
      </c>
      <c r="L1054" s="89" t="n">
        <v>45785</v>
      </c>
      <c r="M1054" s="32" t="n">
        <v>18</v>
      </c>
      <c r="N1054" s="32" t="n">
        <v>27</v>
      </c>
      <c r="O1054" s="32" t="n">
        <v>9</v>
      </c>
      <c r="P1054" s="32" t="n">
        <v>9</v>
      </c>
      <c r="Q1054" s="32"/>
      <c r="R1054" s="90" t="n">
        <f aca="false">合約與計費!$D$4</f>
        <v>0.296</v>
      </c>
      <c r="S1054" s="91" t="n">
        <f aca="false">ROUND(P1054*R1054,0)</f>
        <v>3</v>
      </c>
      <c r="T1054" s="92"/>
      <c r="U1054" s="32" t="n">
        <v>107</v>
      </c>
      <c r="V1054" s="32" t="n">
        <v>139</v>
      </c>
      <c r="W1054" s="32" t="n">
        <v>32</v>
      </c>
      <c r="X1054" s="32" t="n">
        <v>31</v>
      </c>
      <c r="Y1054" s="32"/>
      <c r="Z1054" s="93" t="n">
        <f aca="false">合約與計費!$E$4</f>
        <v>2.8</v>
      </c>
      <c r="AA1054" s="94" t="n">
        <f aca="false">ROUND(X1054*Z1054,0)</f>
        <v>87</v>
      </c>
      <c r="AB1054" s="95"/>
      <c r="AC1054" s="96"/>
      <c r="AD1054" s="42"/>
      <c r="AE1054" s="43"/>
    </row>
    <row r="1055" customFormat="false" ht="16.5" hidden="false" customHeight="true" outlineLevel="0" collapsed="false">
      <c r="A1055" s="97" t="n">
        <f aca="false">ROW(A1052)</f>
        <v>1052</v>
      </c>
      <c r="B1055" s="97" t="s">
        <v>462</v>
      </c>
      <c r="C1055" s="100" t="n">
        <v>1</v>
      </c>
      <c r="D1055" s="85"/>
      <c r="E1055" s="234" t="s">
        <v>2808</v>
      </c>
      <c r="F1055" s="99" t="s">
        <v>2806</v>
      </c>
      <c r="G1055" s="100" t="s">
        <v>2515</v>
      </c>
      <c r="H1055" s="100" t="s">
        <v>2755</v>
      </c>
      <c r="I1055" s="175" t="s">
        <v>412</v>
      </c>
      <c r="J1055" s="98" t="s">
        <v>464</v>
      </c>
      <c r="K1055" s="101" t="s">
        <v>2809</v>
      </c>
      <c r="L1055" s="102" t="n">
        <v>45785</v>
      </c>
      <c r="M1055" s="100" t="n">
        <v>2317</v>
      </c>
      <c r="N1055" s="100" t="n">
        <v>2787</v>
      </c>
      <c r="O1055" s="100" t="n">
        <v>470</v>
      </c>
      <c r="P1055" s="100" t="n">
        <v>456</v>
      </c>
      <c r="Q1055" s="100"/>
      <c r="R1055" s="103" t="n">
        <f aca="false">合約與計費!$D$4</f>
        <v>0.296</v>
      </c>
      <c r="S1055" s="104" t="n">
        <f aca="false">ROUND(P1055*R1055,0)</f>
        <v>135</v>
      </c>
      <c r="T1055" s="105"/>
      <c r="U1055" s="100"/>
      <c r="V1055" s="100"/>
      <c r="W1055" s="106"/>
      <c r="X1055" s="100"/>
      <c r="Y1055" s="100"/>
      <c r="Z1055" s="107"/>
      <c r="AA1055" s="108"/>
      <c r="AB1055" s="109"/>
      <c r="AC1055" s="110"/>
      <c r="AD1055" s="42" t="n">
        <v>0.0673</v>
      </c>
      <c r="AE1055" s="43" t="n">
        <v>0.9</v>
      </c>
    </row>
    <row r="1056" customFormat="false" ht="16.5" hidden="false" customHeight="true" outlineLevel="0" collapsed="false">
      <c r="A1056" s="97" t="n">
        <f aca="false">ROW(A1053)</f>
        <v>1053</v>
      </c>
      <c r="B1056" s="97" t="s">
        <v>466</v>
      </c>
      <c r="C1056" s="100" t="n">
        <v>1</v>
      </c>
      <c r="D1056" s="85"/>
      <c r="E1056" s="234" t="s">
        <v>2810</v>
      </c>
      <c r="F1056" s="99" t="s">
        <v>2806</v>
      </c>
      <c r="G1056" s="100" t="s">
        <v>2515</v>
      </c>
      <c r="H1056" s="100" t="s">
        <v>2755</v>
      </c>
      <c r="I1056" s="175" t="s">
        <v>412</v>
      </c>
      <c r="J1056" s="98" t="s">
        <v>471</v>
      </c>
      <c r="K1056" s="101" t="s">
        <v>2811</v>
      </c>
      <c r="L1056" s="102" t="n">
        <v>45785</v>
      </c>
      <c r="M1056" s="100" t="n">
        <v>6326</v>
      </c>
      <c r="N1056" s="100" t="n">
        <v>8087</v>
      </c>
      <c r="O1056" s="100" t="n">
        <v>1761</v>
      </c>
      <c r="P1056" s="100" t="n">
        <v>1708</v>
      </c>
      <c r="Q1056" s="100"/>
      <c r="R1056" s="103" t="n">
        <f aca="false">合約與計費!$D$4</f>
        <v>0.296</v>
      </c>
      <c r="S1056" s="104" t="n">
        <f aca="false">ROUND(P1056*R1056,0)</f>
        <v>506</v>
      </c>
      <c r="T1056" s="105"/>
      <c r="U1056" s="100"/>
      <c r="V1056" s="100"/>
      <c r="W1056" s="106"/>
      <c r="X1056" s="100"/>
      <c r="Y1056" s="100"/>
      <c r="Z1056" s="107"/>
      <c r="AA1056" s="108"/>
      <c r="AB1056" s="109"/>
      <c r="AC1056" s="110"/>
      <c r="AD1056" s="42" t="n">
        <v>0.0715</v>
      </c>
      <c r="AE1056" s="43" t="n">
        <v>0.5</v>
      </c>
    </row>
    <row r="1057" customFormat="false" ht="16.5" hidden="false" customHeight="true" outlineLevel="0" collapsed="false">
      <c r="A1057" s="97" t="n">
        <f aca="false">ROW(A1054)</f>
        <v>1054</v>
      </c>
      <c r="B1057" s="97" t="s">
        <v>469</v>
      </c>
      <c r="C1057" s="100" t="n">
        <v>1</v>
      </c>
      <c r="D1057" s="85"/>
      <c r="E1057" s="234" t="s">
        <v>2812</v>
      </c>
      <c r="F1057" s="99" t="s">
        <v>2806</v>
      </c>
      <c r="G1057" s="100" t="s">
        <v>2515</v>
      </c>
      <c r="H1057" s="100" t="s">
        <v>2755</v>
      </c>
      <c r="I1057" s="175" t="s">
        <v>412</v>
      </c>
      <c r="J1057" s="98" t="s">
        <v>471</v>
      </c>
      <c r="K1057" s="101" t="s">
        <v>2813</v>
      </c>
      <c r="L1057" s="102" t="n">
        <v>45785</v>
      </c>
      <c r="M1057" s="100" t="n">
        <v>6550</v>
      </c>
      <c r="N1057" s="100" t="n">
        <v>8319</v>
      </c>
      <c r="O1057" s="100" t="n">
        <v>1769</v>
      </c>
      <c r="P1057" s="100" t="n">
        <v>1716</v>
      </c>
      <c r="Q1057" s="100"/>
      <c r="R1057" s="103" t="n">
        <f aca="false">合約與計費!$D$4</f>
        <v>0.296</v>
      </c>
      <c r="S1057" s="104" t="n">
        <f aca="false">ROUND(P1057*R1057,0)</f>
        <v>508</v>
      </c>
      <c r="T1057" s="105"/>
      <c r="U1057" s="100"/>
      <c r="V1057" s="100"/>
      <c r="W1057" s="106"/>
      <c r="X1057" s="100"/>
      <c r="Y1057" s="100"/>
      <c r="Z1057" s="107"/>
      <c r="AA1057" s="108"/>
      <c r="AB1057" s="109"/>
      <c r="AC1057" s="110"/>
      <c r="AD1057" s="42" t="n">
        <v>0.0788</v>
      </c>
      <c r="AE1057" s="43" t="n">
        <v>0.5</v>
      </c>
    </row>
    <row r="1058" customFormat="false" ht="16.5" hidden="false" customHeight="true" outlineLevel="0" collapsed="false">
      <c r="A1058" s="111" t="n">
        <f aca="false">ROW(A1055)</f>
        <v>1055</v>
      </c>
      <c r="B1058" s="111" t="s">
        <v>473</v>
      </c>
      <c r="C1058" s="114" t="n">
        <v>1</v>
      </c>
      <c r="D1058" s="85"/>
      <c r="E1058" s="235" t="s">
        <v>2814</v>
      </c>
      <c r="F1058" s="113" t="s">
        <v>2806</v>
      </c>
      <c r="G1058" s="114" t="s">
        <v>2515</v>
      </c>
      <c r="H1058" s="114" t="s">
        <v>2755</v>
      </c>
      <c r="I1058" s="173" t="s">
        <v>412</v>
      </c>
      <c r="J1058" s="112" t="s">
        <v>471</v>
      </c>
      <c r="K1058" s="115" t="s">
        <v>2815</v>
      </c>
      <c r="L1058" s="116" t="n">
        <v>45785</v>
      </c>
      <c r="M1058" s="114" t="n">
        <v>1233</v>
      </c>
      <c r="N1058" s="114" t="n">
        <v>1556</v>
      </c>
      <c r="O1058" s="114" t="n">
        <v>323</v>
      </c>
      <c r="P1058" s="114" t="n">
        <v>313</v>
      </c>
      <c r="Q1058" s="114" t="n">
        <f aca="false">ROUND(SUM(P1054:P1058),2)</f>
        <v>4202</v>
      </c>
      <c r="R1058" s="117" t="n">
        <f aca="false">合約與計費!$D$4</f>
        <v>0.296</v>
      </c>
      <c r="S1058" s="118" t="n">
        <f aca="false">ROUND(P1058*R1058,0)</f>
        <v>93</v>
      </c>
      <c r="T1058" s="119" t="n">
        <f aca="false">ROUND(SUM(S1054:S1058),2)</f>
        <v>1245</v>
      </c>
      <c r="U1058" s="114"/>
      <c r="V1058" s="114"/>
      <c r="W1058" s="120"/>
      <c r="X1058" s="114"/>
      <c r="Y1058" s="114" t="n">
        <f aca="false">ROUND(SUM(X1054:X1058),2)</f>
        <v>31</v>
      </c>
      <c r="Z1058" s="121"/>
      <c r="AA1058" s="122"/>
      <c r="AB1058" s="123" t="n">
        <f aca="false">ROUND(SUM(AA1054:AA1058),2)</f>
        <v>87</v>
      </c>
      <c r="AC1058" s="124"/>
      <c r="AD1058" s="42" t="n">
        <v>0.0399</v>
      </c>
      <c r="AE1058" s="43" t="n">
        <v>0.6</v>
      </c>
    </row>
    <row r="1059" customFormat="false" ht="16.5" hidden="false" customHeight="true" outlineLevel="0" collapsed="false">
      <c r="A1059" s="84" t="n">
        <f aca="false">ROW(A1056)</f>
        <v>1056</v>
      </c>
      <c r="B1059" s="84" t="s">
        <v>455</v>
      </c>
      <c r="C1059" s="32" t="n">
        <v>1</v>
      </c>
      <c r="D1059" s="85" t="n">
        <v>113</v>
      </c>
      <c r="E1059" s="233" t="s">
        <v>2816</v>
      </c>
      <c r="F1059" s="87" t="s">
        <v>2817</v>
      </c>
      <c r="G1059" s="32" t="s">
        <v>2515</v>
      </c>
      <c r="H1059" s="32" t="s">
        <v>2755</v>
      </c>
      <c r="I1059" s="172" t="s">
        <v>298</v>
      </c>
      <c r="J1059" s="86" t="s">
        <v>460</v>
      </c>
      <c r="K1059" s="225" t="s">
        <v>2818</v>
      </c>
      <c r="L1059" s="89" t="n">
        <v>45763</v>
      </c>
      <c r="M1059" s="32" t="n">
        <v>41</v>
      </c>
      <c r="N1059" s="32" t="n">
        <v>48</v>
      </c>
      <c r="O1059" s="32" t="n">
        <v>7</v>
      </c>
      <c r="P1059" s="32" t="n">
        <v>7</v>
      </c>
      <c r="Q1059" s="32"/>
      <c r="R1059" s="90" t="n">
        <f aca="false">合約與計費!$D$4</f>
        <v>0.296</v>
      </c>
      <c r="S1059" s="91" t="n">
        <f aca="false">ROUND(P1059*R1059,0)</f>
        <v>2</v>
      </c>
      <c r="T1059" s="92"/>
      <c r="U1059" s="32" t="n">
        <v>116</v>
      </c>
      <c r="V1059" s="32" t="n">
        <v>332</v>
      </c>
      <c r="W1059" s="32" t="n">
        <v>216</v>
      </c>
      <c r="X1059" s="32" t="n">
        <v>210</v>
      </c>
      <c r="Y1059" s="32"/>
      <c r="Z1059" s="93" t="n">
        <f aca="false">合約與計費!$E$4</f>
        <v>2.8</v>
      </c>
      <c r="AA1059" s="94" t="n">
        <f aca="false">ROUND(X1059*Z1059,0)</f>
        <v>588</v>
      </c>
      <c r="AB1059" s="95"/>
      <c r="AC1059" s="96"/>
      <c r="AD1059" s="42"/>
      <c r="AE1059" s="43"/>
    </row>
    <row r="1060" customFormat="false" ht="16.5" hidden="false" customHeight="true" outlineLevel="0" collapsed="false">
      <c r="A1060" s="97" t="n">
        <f aca="false">ROW(A1057)</f>
        <v>1057</v>
      </c>
      <c r="B1060" s="97" t="s">
        <v>462</v>
      </c>
      <c r="C1060" s="100" t="n">
        <v>1</v>
      </c>
      <c r="D1060" s="85"/>
      <c r="E1060" s="234" t="s">
        <v>2819</v>
      </c>
      <c r="F1060" s="99" t="s">
        <v>2817</v>
      </c>
      <c r="G1060" s="100" t="s">
        <v>2515</v>
      </c>
      <c r="H1060" s="100" t="s">
        <v>2755</v>
      </c>
      <c r="I1060" s="175" t="s">
        <v>298</v>
      </c>
      <c r="J1060" s="98" t="s">
        <v>464</v>
      </c>
      <c r="K1060" s="101" t="s">
        <v>2820</v>
      </c>
      <c r="L1060" s="102" t="n">
        <v>45763</v>
      </c>
      <c r="M1060" s="100" t="n">
        <v>1514</v>
      </c>
      <c r="N1060" s="100" t="n">
        <v>1906</v>
      </c>
      <c r="O1060" s="100" t="n">
        <v>392</v>
      </c>
      <c r="P1060" s="100" t="n">
        <v>380</v>
      </c>
      <c r="Q1060" s="100"/>
      <c r="R1060" s="103" t="n">
        <f aca="false">合約與計費!$D$4</f>
        <v>0.296</v>
      </c>
      <c r="S1060" s="104" t="n">
        <f aca="false">ROUND(P1060*R1060,0)</f>
        <v>112</v>
      </c>
      <c r="T1060" s="105"/>
      <c r="U1060" s="100"/>
      <c r="V1060" s="100"/>
      <c r="W1060" s="106"/>
      <c r="X1060" s="100"/>
      <c r="Y1060" s="100"/>
      <c r="Z1060" s="107"/>
      <c r="AA1060" s="108"/>
      <c r="AB1060" s="109"/>
      <c r="AC1060" s="110"/>
      <c r="AD1060" s="42" t="n">
        <v>0.0733</v>
      </c>
      <c r="AE1060" s="43" t="n">
        <v>0.1</v>
      </c>
    </row>
    <row r="1061" customFormat="false" ht="16.5" hidden="false" customHeight="true" outlineLevel="0" collapsed="false">
      <c r="A1061" s="97" t="n">
        <f aca="false">ROW(A1058)</f>
        <v>1058</v>
      </c>
      <c r="B1061" s="97" t="s">
        <v>466</v>
      </c>
      <c r="C1061" s="100" t="n">
        <v>1</v>
      </c>
      <c r="D1061" s="85"/>
      <c r="E1061" s="234" t="s">
        <v>2821</v>
      </c>
      <c r="F1061" s="99" t="s">
        <v>2817</v>
      </c>
      <c r="G1061" s="100" t="s">
        <v>2515</v>
      </c>
      <c r="H1061" s="100" t="s">
        <v>2755</v>
      </c>
      <c r="I1061" s="175" t="s">
        <v>298</v>
      </c>
      <c r="J1061" s="98" t="s">
        <v>471</v>
      </c>
      <c r="K1061" s="171" t="s">
        <v>2822</v>
      </c>
      <c r="L1061" s="102" t="n">
        <v>45763</v>
      </c>
      <c r="M1061" s="100" t="n">
        <v>12269</v>
      </c>
      <c r="N1061" s="100" t="n">
        <v>15630</v>
      </c>
      <c r="O1061" s="100" t="n">
        <v>3361</v>
      </c>
      <c r="P1061" s="100" t="n">
        <v>3260</v>
      </c>
      <c r="Q1061" s="100"/>
      <c r="R1061" s="103" t="n">
        <f aca="false">合約與計費!$D$4</f>
        <v>0.296</v>
      </c>
      <c r="S1061" s="104" t="n">
        <f aca="false">ROUND(P1061*R1061,0)</f>
        <v>965</v>
      </c>
      <c r="T1061" s="105"/>
      <c r="U1061" s="100"/>
      <c r="V1061" s="100"/>
      <c r="W1061" s="106"/>
      <c r="X1061" s="100"/>
      <c r="Y1061" s="100"/>
      <c r="Z1061" s="107"/>
      <c r="AA1061" s="108"/>
      <c r="AB1061" s="109"/>
      <c r="AC1061" s="110"/>
      <c r="AD1061" s="42" t="n">
        <v>0.1058</v>
      </c>
      <c r="AE1061" s="43" t="n">
        <v>0.1</v>
      </c>
    </row>
    <row r="1062" customFormat="false" ht="16.5" hidden="false" customHeight="true" outlineLevel="0" collapsed="false">
      <c r="A1062" s="97" t="n">
        <f aca="false">ROW(A1059)</f>
        <v>1059</v>
      </c>
      <c r="B1062" s="97" t="s">
        <v>469</v>
      </c>
      <c r="C1062" s="100" t="n">
        <v>1</v>
      </c>
      <c r="D1062" s="85"/>
      <c r="E1062" s="234" t="s">
        <v>2823</v>
      </c>
      <c r="F1062" s="99" t="s">
        <v>2817</v>
      </c>
      <c r="G1062" s="100" t="s">
        <v>2515</v>
      </c>
      <c r="H1062" s="100" t="s">
        <v>2755</v>
      </c>
      <c r="I1062" s="175" t="s">
        <v>298</v>
      </c>
      <c r="J1062" s="98" t="s">
        <v>471</v>
      </c>
      <c r="K1062" s="101" t="s">
        <v>2824</v>
      </c>
      <c r="L1062" s="102" t="n">
        <v>45763</v>
      </c>
      <c r="M1062" s="100" t="n">
        <v>15558</v>
      </c>
      <c r="N1062" s="100" t="n">
        <v>19606</v>
      </c>
      <c r="O1062" s="100" t="n">
        <v>4048</v>
      </c>
      <c r="P1062" s="100" t="n">
        <v>3927</v>
      </c>
      <c r="Q1062" s="100"/>
      <c r="R1062" s="103" t="n">
        <f aca="false">合約與計費!$D$4</f>
        <v>0.296</v>
      </c>
      <c r="S1062" s="104" t="n">
        <f aca="false">ROUND(P1062*R1062,0)</f>
        <v>1162</v>
      </c>
      <c r="T1062" s="105"/>
      <c r="U1062" s="100"/>
      <c r="V1062" s="100"/>
      <c r="W1062" s="106"/>
      <c r="X1062" s="100"/>
      <c r="Y1062" s="100"/>
      <c r="Z1062" s="107"/>
      <c r="AA1062" s="108"/>
      <c r="AB1062" s="109"/>
      <c r="AC1062" s="110"/>
      <c r="AD1062" s="42" t="n">
        <v>0.0907</v>
      </c>
      <c r="AE1062" s="43" t="n">
        <v>0.1</v>
      </c>
    </row>
    <row r="1063" customFormat="false" ht="16.5" hidden="false" customHeight="true" outlineLevel="0" collapsed="false">
      <c r="A1063" s="111" t="n">
        <f aca="false">ROW(A1060)</f>
        <v>1060</v>
      </c>
      <c r="B1063" s="111" t="s">
        <v>473</v>
      </c>
      <c r="C1063" s="114" t="n">
        <v>1</v>
      </c>
      <c r="D1063" s="85"/>
      <c r="E1063" s="235" t="s">
        <v>2825</v>
      </c>
      <c r="F1063" s="113" t="s">
        <v>2817</v>
      </c>
      <c r="G1063" s="114" t="s">
        <v>2515</v>
      </c>
      <c r="H1063" s="114" t="s">
        <v>2755</v>
      </c>
      <c r="I1063" s="173" t="s">
        <v>298</v>
      </c>
      <c r="J1063" s="112" t="s">
        <v>471</v>
      </c>
      <c r="K1063" s="115" t="s">
        <v>2826</v>
      </c>
      <c r="L1063" s="116" t="n">
        <v>45763</v>
      </c>
      <c r="M1063" s="114" t="n">
        <v>1448</v>
      </c>
      <c r="N1063" s="114" t="n">
        <v>1877</v>
      </c>
      <c r="O1063" s="114" t="n">
        <v>429</v>
      </c>
      <c r="P1063" s="114" t="n">
        <v>416</v>
      </c>
      <c r="Q1063" s="114" t="n">
        <f aca="false">ROUND(SUM(P1059:P1063),2)</f>
        <v>7990</v>
      </c>
      <c r="R1063" s="117" t="n">
        <f aca="false">合約與計費!$D$4</f>
        <v>0.296</v>
      </c>
      <c r="S1063" s="118" t="n">
        <f aca="false">ROUND(P1063*R1063,0)</f>
        <v>123</v>
      </c>
      <c r="T1063" s="119" t="n">
        <f aca="false">ROUND(SUM(S1059:S1063),2)</f>
        <v>2364</v>
      </c>
      <c r="U1063" s="114"/>
      <c r="V1063" s="114"/>
      <c r="W1063" s="120"/>
      <c r="X1063" s="114"/>
      <c r="Y1063" s="114" t="n">
        <f aca="false">ROUND(SUM(X1059:X1063),2)</f>
        <v>210</v>
      </c>
      <c r="Z1063" s="121"/>
      <c r="AA1063" s="122"/>
      <c r="AB1063" s="123" t="n">
        <f aca="false">ROUND(SUM(AA1059:AA1063),2)</f>
        <v>588</v>
      </c>
      <c r="AC1063" s="124"/>
      <c r="AD1063" s="42" t="n">
        <v>0.0395</v>
      </c>
      <c r="AE1063" s="43" t="n">
        <v>0.9</v>
      </c>
    </row>
    <row r="1064" customFormat="false" ht="16.5" hidden="false" customHeight="true" outlineLevel="0" collapsed="false">
      <c r="A1064" s="84" t="n">
        <f aca="false">ROW(A1061)</f>
        <v>1061</v>
      </c>
      <c r="B1064" s="84" t="s">
        <v>455</v>
      </c>
      <c r="C1064" s="32" t="n">
        <v>1</v>
      </c>
      <c r="D1064" s="85" t="n">
        <v>256</v>
      </c>
      <c r="E1064" s="86" t="s">
        <v>2827</v>
      </c>
      <c r="F1064" s="87" t="s">
        <v>2828</v>
      </c>
      <c r="G1064" s="32" t="s">
        <v>2515</v>
      </c>
      <c r="H1064" s="32" t="s">
        <v>2755</v>
      </c>
      <c r="I1064" s="172" t="s">
        <v>45</v>
      </c>
      <c r="J1064" s="86" t="s">
        <v>460</v>
      </c>
      <c r="K1064" s="88" t="s">
        <v>2829</v>
      </c>
      <c r="L1064" s="89" t="n">
        <v>45782</v>
      </c>
      <c r="M1064" s="32" t="n">
        <v>258</v>
      </c>
      <c r="N1064" s="32" t="n">
        <v>414</v>
      </c>
      <c r="O1064" s="32" t="n">
        <v>156</v>
      </c>
      <c r="P1064" s="32" t="n">
        <v>151</v>
      </c>
      <c r="Q1064" s="32"/>
      <c r="R1064" s="90" t="n">
        <f aca="false">合約與計費!$D$4</f>
        <v>0.296</v>
      </c>
      <c r="S1064" s="91" t="n">
        <f aca="false">ROUND(P1064*R1064,0)</f>
        <v>45</v>
      </c>
      <c r="T1064" s="92"/>
      <c r="U1064" s="32" t="n">
        <v>230</v>
      </c>
      <c r="V1064" s="32" t="n">
        <v>306</v>
      </c>
      <c r="W1064" s="32" t="n">
        <v>76</v>
      </c>
      <c r="X1064" s="32" t="n">
        <v>74</v>
      </c>
      <c r="Y1064" s="32"/>
      <c r="Z1064" s="93" t="n">
        <f aca="false">合約與計費!$E$4</f>
        <v>2.8</v>
      </c>
      <c r="AA1064" s="94" t="n">
        <f aca="false">ROUND(X1064*Z1064,0)</f>
        <v>207</v>
      </c>
      <c r="AB1064" s="95"/>
      <c r="AC1064" s="96"/>
      <c r="AD1064" s="42"/>
      <c r="AE1064" s="43"/>
    </row>
    <row r="1065" customFormat="false" ht="16.5" hidden="false" customHeight="true" outlineLevel="0" collapsed="false">
      <c r="A1065" s="111" t="n">
        <f aca="false">ROW(A1062)</f>
        <v>1062</v>
      </c>
      <c r="B1065" s="111" t="s">
        <v>462</v>
      </c>
      <c r="C1065" s="114" t="n">
        <v>1</v>
      </c>
      <c r="D1065" s="85"/>
      <c r="E1065" s="112" t="s">
        <v>2830</v>
      </c>
      <c r="F1065" s="113" t="s">
        <v>2828</v>
      </c>
      <c r="G1065" s="114" t="s">
        <v>2515</v>
      </c>
      <c r="H1065" s="114" t="s">
        <v>2755</v>
      </c>
      <c r="I1065" s="173" t="s">
        <v>45</v>
      </c>
      <c r="J1065" s="112" t="s">
        <v>464</v>
      </c>
      <c r="K1065" s="115" t="s">
        <v>2831</v>
      </c>
      <c r="L1065" s="116" t="n">
        <v>45782</v>
      </c>
      <c r="M1065" s="114" t="n">
        <v>3307</v>
      </c>
      <c r="N1065" s="114" t="n">
        <v>3901</v>
      </c>
      <c r="O1065" s="114" t="n">
        <v>594</v>
      </c>
      <c r="P1065" s="114" t="n">
        <v>576</v>
      </c>
      <c r="Q1065" s="114" t="n">
        <f aca="false">ROUND(SUM(P1064:P1065),2)</f>
        <v>727</v>
      </c>
      <c r="R1065" s="117" t="n">
        <f aca="false">合約與計費!$D$4</f>
        <v>0.296</v>
      </c>
      <c r="S1065" s="118" t="n">
        <f aca="false">ROUND(P1065*R1065,0)</f>
        <v>170</v>
      </c>
      <c r="T1065" s="119" t="n">
        <f aca="false">ROUND(SUM(S1064:S1065),2)</f>
        <v>215</v>
      </c>
      <c r="U1065" s="114"/>
      <c r="V1065" s="114"/>
      <c r="W1065" s="120"/>
      <c r="X1065" s="114"/>
      <c r="Y1065" s="114" t="n">
        <f aca="false">ROUND(SUM(X1064:X1065),2)</f>
        <v>74</v>
      </c>
      <c r="Z1065" s="121"/>
      <c r="AA1065" s="122"/>
      <c r="AB1065" s="123" t="n">
        <f aca="false">ROUND(SUM(AA1064:AA1065),2)</f>
        <v>207</v>
      </c>
      <c r="AC1065" s="124"/>
      <c r="AD1065" s="42" t="n">
        <v>0.0619</v>
      </c>
      <c r="AE1065" s="43" t="n">
        <v>0.9</v>
      </c>
    </row>
    <row r="1066" customFormat="false" ht="16.5" hidden="false" customHeight="true" outlineLevel="0" collapsed="false">
      <c r="A1066" s="84" t="n">
        <f aca="false">ROW(A1063)</f>
        <v>1063</v>
      </c>
      <c r="B1066" s="84" t="s">
        <v>455</v>
      </c>
      <c r="C1066" s="32" t="n">
        <v>1</v>
      </c>
      <c r="D1066" s="85" t="n">
        <v>332</v>
      </c>
      <c r="E1066" s="233" t="s">
        <v>2832</v>
      </c>
      <c r="F1066" s="87" t="s">
        <v>2833</v>
      </c>
      <c r="G1066" s="32" t="s">
        <v>2515</v>
      </c>
      <c r="H1066" s="32" t="s">
        <v>2755</v>
      </c>
      <c r="I1066" s="172" t="s">
        <v>114</v>
      </c>
      <c r="J1066" s="86" t="s">
        <v>464</v>
      </c>
      <c r="K1066" s="225" t="s">
        <v>2834</v>
      </c>
      <c r="L1066" s="89" t="n">
        <v>45770</v>
      </c>
      <c r="M1066" s="32" t="n">
        <v>22380</v>
      </c>
      <c r="N1066" s="32" t="n">
        <v>25137</v>
      </c>
      <c r="O1066" s="32" t="n">
        <v>2757</v>
      </c>
      <c r="P1066" s="32" t="n">
        <v>2674</v>
      </c>
      <c r="Q1066" s="32"/>
      <c r="R1066" s="90" t="n">
        <f aca="false">合約與計費!$D$4</f>
        <v>0.296</v>
      </c>
      <c r="S1066" s="91" t="n">
        <f aca="false">ROUND(P1066*R1066,0)</f>
        <v>792</v>
      </c>
      <c r="T1066" s="92"/>
      <c r="U1066" s="32"/>
      <c r="V1066" s="32"/>
      <c r="W1066" s="226"/>
      <c r="X1066" s="32"/>
      <c r="Y1066" s="32"/>
      <c r="Z1066" s="93"/>
      <c r="AA1066" s="94"/>
      <c r="AB1066" s="95"/>
      <c r="AC1066" s="96"/>
      <c r="AD1066" s="42" t="n">
        <v>0.1564</v>
      </c>
      <c r="AE1066" s="43" t="n">
        <v>0.1</v>
      </c>
    </row>
    <row r="1067" customFormat="false" ht="16.5" hidden="false" customHeight="true" outlineLevel="0" collapsed="false">
      <c r="A1067" s="111" t="n">
        <f aca="false">ROW(A1064)</f>
        <v>1064</v>
      </c>
      <c r="B1067" s="111" t="s">
        <v>462</v>
      </c>
      <c r="C1067" s="114" t="n">
        <v>1</v>
      </c>
      <c r="D1067" s="85"/>
      <c r="E1067" s="235" t="s">
        <v>2835</v>
      </c>
      <c r="F1067" s="113" t="s">
        <v>2833</v>
      </c>
      <c r="G1067" s="114" t="s">
        <v>2515</v>
      </c>
      <c r="H1067" s="114" t="s">
        <v>2755</v>
      </c>
      <c r="I1067" s="173" t="s">
        <v>114</v>
      </c>
      <c r="J1067" s="112" t="s">
        <v>471</v>
      </c>
      <c r="K1067" s="236" t="s">
        <v>2836</v>
      </c>
      <c r="L1067" s="116" t="n">
        <v>45783</v>
      </c>
      <c r="M1067" s="114" t="n">
        <v>50806</v>
      </c>
      <c r="N1067" s="114" t="n">
        <v>58185</v>
      </c>
      <c r="O1067" s="114" t="n">
        <v>7379</v>
      </c>
      <c r="P1067" s="114" t="n">
        <v>7158</v>
      </c>
      <c r="Q1067" s="114" t="n">
        <f aca="false">ROUND(SUM(P1066:P1067),2)</f>
        <v>9832</v>
      </c>
      <c r="R1067" s="117" t="n">
        <f aca="false">合約與計費!$D$4</f>
        <v>0.296</v>
      </c>
      <c r="S1067" s="118" t="n">
        <f aca="false">ROUND(P1067*R1067,0)</f>
        <v>2119</v>
      </c>
      <c r="T1067" s="119" t="n">
        <f aca="false">ROUND(SUM(S1066:S1067),2)</f>
        <v>2911</v>
      </c>
      <c r="U1067" s="114"/>
      <c r="V1067" s="114"/>
      <c r="W1067" s="120"/>
      <c r="X1067" s="114"/>
      <c r="Y1067" s="114"/>
      <c r="Z1067" s="121"/>
      <c r="AA1067" s="122"/>
      <c r="AB1067" s="123"/>
      <c r="AC1067" s="124"/>
      <c r="AD1067" s="42" t="n">
        <v>0.0293</v>
      </c>
      <c r="AE1067" s="43" t="n">
        <v>0.1</v>
      </c>
    </row>
    <row r="1068" customFormat="false" ht="16.5" hidden="false" customHeight="true" outlineLevel="0" collapsed="false">
      <c r="A1068" s="84" t="n">
        <f aca="false">ROW(A1065)</f>
        <v>1065</v>
      </c>
      <c r="B1068" s="84" t="s">
        <v>455</v>
      </c>
      <c r="C1068" s="32" t="n">
        <v>1</v>
      </c>
      <c r="D1068" s="85" t="n">
        <v>391</v>
      </c>
      <c r="E1068" s="86" t="s">
        <v>2837</v>
      </c>
      <c r="F1068" s="87" t="s">
        <v>2838</v>
      </c>
      <c r="G1068" s="32" t="s">
        <v>2515</v>
      </c>
      <c r="H1068" s="32" t="s">
        <v>2755</v>
      </c>
      <c r="I1068" s="172" t="s">
        <v>411</v>
      </c>
      <c r="J1068" s="86" t="s">
        <v>460</v>
      </c>
      <c r="K1068" s="88" t="s">
        <v>2839</v>
      </c>
      <c r="L1068" s="89" t="n">
        <v>45784</v>
      </c>
      <c r="M1068" s="32" t="n">
        <v>1425</v>
      </c>
      <c r="N1068" s="32" t="n">
        <v>1792</v>
      </c>
      <c r="O1068" s="32" t="n">
        <v>367</v>
      </c>
      <c r="P1068" s="32" t="n">
        <v>356</v>
      </c>
      <c r="Q1068" s="32"/>
      <c r="R1068" s="90" t="n">
        <f aca="false">合約與計費!$D$4</f>
        <v>0.296</v>
      </c>
      <c r="S1068" s="91" t="n">
        <f aca="false">ROUND(P1068*R1068,0)</f>
        <v>105</v>
      </c>
      <c r="T1068" s="92"/>
      <c r="U1068" s="32" t="n">
        <v>181</v>
      </c>
      <c r="V1068" s="32" t="n">
        <v>269</v>
      </c>
      <c r="W1068" s="32" t="n">
        <v>88</v>
      </c>
      <c r="X1068" s="32" t="n">
        <v>85</v>
      </c>
      <c r="Y1068" s="32"/>
      <c r="Z1068" s="93" t="n">
        <f aca="false">合約與計費!$E$4</f>
        <v>2.8</v>
      </c>
      <c r="AA1068" s="94" t="n">
        <f aca="false">ROUND(X1068*Z1068,0)</f>
        <v>238</v>
      </c>
      <c r="AB1068" s="95"/>
      <c r="AC1068" s="96"/>
      <c r="AD1068" s="42"/>
      <c r="AE1068" s="43"/>
    </row>
    <row r="1069" customFormat="false" ht="16.5" hidden="false" customHeight="true" outlineLevel="0" collapsed="false">
      <c r="A1069" s="97" t="n">
        <f aca="false">ROW(A1066)</f>
        <v>1066</v>
      </c>
      <c r="B1069" s="97" t="s">
        <v>462</v>
      </c>
      <c r="C1069" s="100" t="n">
        <v>1</v>
      </c>
      <c r="D1069" s="85"/>
      <c r="E1069" s="98" t="s">
        <v>2840</v>
      </c>
      <c r="F1069" s="99" t="s">
        <v>2838</v>
      </c>
      <c r="G1069" s="100" t="s">
        <v>2515</v>
      </c>
      <c r="H1069" s="100" t="s">
        <v>2755</v>
      </c>
      <c r="I1069" s="175" t="s">
        <v>411</v>
      </c>
      <c r="J1069" s="98" t="s">
        <v>464</v>
      </c>
      <c r="K1069" s="101" t="s">
        <v>2841</v>
      </c>
      <c r="L1069" s="102" t="n">
        <v>45784</v>
      </c>
      <c r="M1069" s="100" t="n">
        <v>3112</v>
      </c>
      <c r="N1069" s="100" t="n">
        <v>4023</v>
      </c>
      <c r="O1069" s="100" t="n">
        <v>911</v>
      </c>
      <c r="P1069" s="100" t="n">
        <v>884</v>
      </c>
      <c r="Q1069" s="100"/>
      <c r="R1069" s="103" t="n">
        <f aca="false">合約與計費!$D$4</f>
        <v>0.296</v>
      </c>
      <c r="S1069" s="104" t="n">
        <f aca="false">ROUND(P1069*R1069,0)</f>
        <v>262</v>
      </c>
      <c r="T1069" s="105"/>
      <c r="U1069" s="100"/>
      <c r="V1069" s="100"/>
      <c r="W1069" s="106"/>
      <c r="X1069" s="100"/>
      <c r="Y1069" s="100"/>
      <c r="Z1069" s="107"/>
      <c r="AA1069" s="108"/>
      <c r="AB1069" s="109"/>
      <c r="AC1069" s="110"/>
      <c r="AD1069" s="42" t="n">
        <v>0.0692</v>
      </c>
      <c r="AE1069" s="43" t="n">
        <v>0.9</v>
      </c>
    </row>
    <row r="1070" customFormat="false" ht="16.5" hidden="false" customHeight="true" outlineLevel="0" collapsed="false">
      <c r="A1070" s="97" t="n">
        <f aca="false">ROW(A1067)</f>
        <v>1067</v>
      </c>
      <c r="B1070" s="97" t="s">
        <v>466</v>
      </c>
      <c r="C1070" s="100" t="n">
        <v>1</v>
      </c>
      <c r="D1070" s="85"/>
      <c r="E1070" s="98" t="s">
        <v>2842</v>
      </c>
      <c r="F1070" s="99" t="s">
        <v>2838</v>
      </c>
      <c r="G1070" s="100" t="s">
        <v>2515</v>
      </c>
      <c r="H1070" s="100" t="s">
        <v>2755</v>
      </c>
      <c r="I1070" s="175" t="s">
        <v>411</v>
      </c>
      <c r="J1070" s="98" t="s">
        <v>471</v>
      </c>
      <c r="K1070" s="101" t="s">
        <v>2843</v>
      </c>
      <c r="L1070" s="102" t="n">
        <v>45784</v>
      </c>
      <c r="M1070" s="100" t="n">
        <v>7291</v>
      </c>
      <c r="N1070" s="100" t="n">
        <v>9149</v>
      </c>
      <c r="O1070" s="100" t="n">
        <v>1858</v>
      </c>
      <c r="P1070" s="100" t="n">
        <v>1802</v>
      </c>
      <c r="Q1070" s="100"/>
      <c r="R1070" s="103" t="n">
        <f aca="false">合約與計費!$D$4</f>
        <v>0.296</v>
      </c>
      <c r="S1070" s="104" t="n">
        <f aca="false">ROUND(P1070*R1070,0)</f>
        <v>533</v>
      </c>
      <c r="T1070" s="105"/>
      <c r="U1070" s="100"/>
      <c r="V1070" s="100"/>
      <c r="W1070" s="106"/>
      <c r="X1070" s="100"/>
      <c r="Y1070" s="100"/>
      <c r="Z1070" s="107"/>
      <c r="AA1070" s="108"/>
      <c r="AB1070" s="109"/>
      <c r="AC1070" s="110"/>
      <c r="AD1070" s="42" t="n">
        <v>0.2299</v>
      </c>
      <c r="AE1070" s="43" t="n">
        <v>0.1</v>
      </c>
    </row>
    <row r="1071" customFormat="false" ht="16.5" hidden="false" customHeight="true" outlineLevel="0" collapsed="false">
      <c r="A1071" s="97" t="n">
        <f aca="false">ROW(A1068)</f>
        <v>1068</v>
      </c>
      <c r="B1071" s="97" t="s">
        <v>469</v>
      </c>
      <c r="C1071" s="100" t="n">
        <v>1</v>
      </c>
      <c r="D1071" s="85"/>
      <c r="E1071" s="98" t="s">
        <v>2844</v>
      </c>
      <c r="F1071" s="99" t="s">
        <v>2838</v>
      </c>
      <c r="G1071" s="100" t="s">
        <v>2515</v>
      </c>
      <c r="H1071" s="100" t="s">
        <v>2755</v>
      </c>
      <c r="I1071" s="175" t="s">
        <v>411</v>
      </c>
      <c r="J1071" s="98" t="s">
        <v>471</v>
      </c>
      <c r="K1071" s="101" t="s">
        <v>2845</v>
      </c>
      <c r="L1071" s="102" t="n">
        <v>45812</v>
      </c>
      <c r="M1071" s="100" t="n">
        <v>6681</v>
      </c>
      <c r="N1071" s="100" t="n">
        <v>9237</v>
      </c>
      <c r="O1071" s="100" t="n">
        <v>2556</v>
      </c>
      <c r="P1071" s="100" t="n">
        <v>2479</v>
      </c>
      <c r="Q1071" s="100"/>
      <c r="R1071" s="103" t="n">
        <f aca="false">合約與計費!$D$4</f>
        <v>0.296</v>
      </c>
      <c r="S1071" s="104" t="n">
        <f aca="false">ROUND(P1071*R1071,0)</f>
        <v>734</v>
      </c>
      <c r="T1071" s="105"/>
      <c r="U1071" s="100"/>
      <c r="V1071" s="100"/>
      <c r="W1071" s="106"/>
      <c r="X1071" s="100"/>
      <c r="Y1071" s="100"/>
      <c r="Z1071" s="107"/>
      <c r="AA1071" s="108"/>
      <c r="AB1071" s="109"/>
      <c r="AC1071" s="110"/>
      <c r="AD1071" s="42" t="n">
        <v>0.0874</v>
      </c>
      <c r="AE1071" s="43" t="n">
        <v>1</v>
      </c>
    </row>
    <row r="1072" customFormat="false" ht="16.5" hidden="false" customHeight="true" outlineLevel="0" collapsed="false">
      <c r="A1072" s="97" t="n">
        <f aca="false">ROW(A1069)</f>
        <v>1069</v>
      </c>
      <c r="B1072" s="97" t="s">
        <v>473</v>
      </c>
      <c r="C1072" s="100" t="n">
        <v>1</v>
      </c>
      <c r="D1072" s="85"/>
      <c r="E1072" s="98" t="s">
        <v>2846</v>
      </c>
      <c r="F1072" s="99" t="s">
        <v>2838</v>
      </c>
      <c r="G1072" s="100" t="s">
        <v>2515</v>
      </c>
      <c r="H1072" s="100" t="s">
        <v>2755</v>
      </c>
      <c r="I1072" s="175" t="s">
        <v>411</v>
      </c>
      <c r="J1072" s="98" t="s">
        <v>471</v>
      </c>
      <c r="K1072" s="101" t="s">
        <v>2847</v>
      </c>
      <c r="L1072" s="102" t="n">
        <v>45796</v>
      </c>
      <c r="M1072" s="100" t="n">
        <v>6671</v>
      </c>
      <c r="N1072" s="100" t="n">
        <v>8260</v>
      </c>
      <c r="O1072" s="100" t="n">
        <v>1589</v>
      </c>
      <c r="P1072" s="100" t="n">
        <v>1541</v>
      </c>
      <c r="Q1072" s="100"/>
      <c r="R1072" s="103" t="n">
        <f aca="false">合約與計費!$D$4</f>
        <v>0.296</v>
      </c>
      <c r="S1072" s="104" t="n">
        <f aca="false">ROUND(P1072*R1072,0)</f>
        <v>456</v>
      </c>
      <c r="T1072" s="105"/>
      <c r="U1072" s="100"/>
      <c r="V1072" s="100"/>
      <c r="W1072" s="106"/>
      <c r="X1072" s="100"/>
      <c r="Y1072" s="100"/>
      <c r="Z1072" s="107"/>
      <c r="AA1072" s="108"/>
      <c r="AB1072" s="109"/>
      <c r="AC1072" s="110"/>
      <c r="AD1072" s="42" t="n">
        <v>0.0993</v>
      </c>
      <c r="AE1072" s="43" t="n">
        <v>1</v>
      </c>
    </row>
    <row r="1073" customFormat="false" ht="16.5" hidden="false" customHeight="true" outlineLevel="0" collapsed="false">
      <c r="A1073" s="97" t="n">
        <f aca="false">ROW(A1070)</f>
        <v>1070</v>
      </c>
      <c r="B1073" s="97" t="s">
        <v>476</v>
      </c>
      <c r="C1073" s="100" t="n">
        <v>1</v>
      </c>
      <c r="D1073" s="85"/>
      <c r="E1073" s="98" t="s">
        <v>2848</v>
      </c>
      <c r="F1073" s="99" t="s">
        <v>2838</v>
      </c>
      <c r="G1073" s="100" t="s">
        <v>2515</v>
      </c>
      <c r="H1073" s="100" t="s">
        <v>2755</v>
      </c>
      <c r="I1073" s="175" t="s">
        <v>411</v>
      </c>
      <c r="J1073" s="98" t="s">
        <v>471</v>
      </c>
      <c r="K1073" s="101" t="s">
        <v>2849</v>
      </c>
      <c r="L1073" s="102" t="n">
        <v>45796</v>
      </c>
      <c r="M1073" s="100" t="n">
        <v>5991</v>
      </c>
      <c r="N1073" s="100" t="n">
        <v>7731</v>
      </c>
      <c r="O1073" s="100" t="n">
        <v>1740</v>
      </c>
      <c r="P1073" s="100" t="n">
        <v>1688</v>
      </c>
      <c r="Q1073" s="100"/>
      <c r="R1073" s="103" t="n">
        <f aca="false">合約與計費!$D$4</f>
        <v>0.296</v>
      </c>
      <c r="S1073" s="104" t="n">
        <f aca="false">ROUND(P1073*R1073,0)</f>
        <v>500</v>
      </c>
      <c r="T1073" s="105"/>
      <c r="U1073" s="100"/>
      <c r="V1073" s="100"/>
      <c r="W1073" s="106"/>
      <c r="X1073" s="100"/>
      <c r="Y1073" s="100"/>
      <c r="Z1073" s="107"/>
      <c r="AA1073" s="108"/>
      <c r="AB1073" s="109"/>
      <c r="AC1073" s="110"/>
      <c r="AD1073" s="42" t="n">
        <v>0.0824</v>
      </c>
      <c r="AE1073" s="43" t="n">
        <v>0.3</v>
      </c>
    </row>
    <row r="1074" customFormat="false" ht="16.5" hidden="false" customHeight="true" outlineLevel="0" collapsed="false">
      <c r="A1074" s="111" t="n">
        <f aca="false">ROW(A1071)</f>
        <v>1071</v>
      </c>
      <c r="B1074" s="111" t="s">
        <v>479</v>
      </c>
      <c r="C1074" s="114" t="n">
        <v>1</v>
      </c>
      <c r="D1074" s="85"/>
      <c r="E1074" s="112" t="s">
        <v>2850</v>
      </c>
      <c r="F1074" s="113" t="s">
        <v>2838</v>
      </c>
      <c r="G1074" s="114" t="s">
        <v>2515</v>
      </c>
      <c r="H1074" s="114" t="s">
        <v>2755</v>
      </c>
      <c r="I1074" s="173" t="s">
        <v>411</v>
      </c>
      <c r="J1074" s="112" t="s">
        <v>471</v>
      </c>
      <c r="K1074" s="115" t="s">
        <v>2851</v>
      </c>
      <c r="L1074" s="116" t="n">
        <v>45812</v>
      </c>
      <c r="M1074" s="114" t="n">
        <v>5240</v>
      </c>
      <c r="N1074" s="114" t="n">
        <v>6937</v>
      </c>
      <c r="O1074" s="114" t="n">
        <v>1697</v>
      </c>
      <c r="P1074" s="114" t="n">
        <v>1646</v>
      </c>
      <c r="Q1074" s="114" t="n">
        <f aca="false">ROUND(SUM(P1068:P1074),2)</f>
        <v>10396</v>
      </c>
      <c r="R1074" s="117" t="n">
        <f aca="false">合約與計費!$D$4</f>
        <v>0.296</v>
      </c>
      <c r="S1074" s="118" t="n">
        <f aca="false">ROUND(P1074*R1074,0)</f>
        <v>487</v>
      </c>
      <c r="T1074" s="119" t="n">
        <f aca="false">ROUND(SUM(S1068:S1074),2)</f>
        <v>3077</v>
      </c>
      <c r="U1074" s="114"/>
      <c r="V1074" s="114"/>
      <c r="W1074" s="120"/>
      <c r="X1074" s="114"/>
      <c r="Y1074" s="114" t="n">
        <f aca="false">ROUND(SUM(X1068:X1074),2)</f>
        <v>85</v>
      </c>
      <c r="Z1074" s="121"/>
      <c r="AA1074" s="122"/>
      <c r="AB1074" s="123" t="n">
        <f aca="false">ROUND(SUM(AA1068:AA1074),2)</f>
        <v>238</v>
      </c>
      <c r="AC1074" s="124"/>
      <c r="AD1074" s="42" t="n">
        <v>0.0854</v>
      </c>
      <c r="AE1074" s="43" t="n">
        <v>0.5</v>
      </c>
    </row>
    <row r="1075" customFormat="false" ht="16.5" hidden="false" customHeight="true" outlineLevel="0" collapsed="false">
      <c r="A1075" s="84" t="n">
        <f aca="false">ROW(A1072)</f>
        <v>1072</v>
      </c>
      <c r="B1075" s="84" t="s">
        <v>455</v>
      </c>
      <c r="C1075" s="32" t="n">
        <v>1</v>
      </c>
      <c r="D1075" s="85" t="n">
        <v>396</v>
      </c>
      <c r="E1075" s="86" t="s">
        <v>2852</v>
      </c>
      <c r="F1075" s="87" t="s">
        <v>2853</v>
      </c>
      <c r="G1075" s="32" t="s">
        <v>2515</v>
      </c>
      <c r="H1075" s="32" t="s">
        <v>2755</v>
      </c>
      <c r="I1075" s="172" t="s">
        <v>166</v>
      </c>
      <c r="J1075" s="86" t="s">
        <v>460</v>
      </c>
      <c r="K1075" s="88" t="s">
        <v>2854</v>
      </c>
      <c r="L1075" s="89" t="n">
        <v>45743</v>
      </c>
      <c r="M1075" s="32" t="n">
        <v>520</v>
      </c>
      <c r="N1075" s="32" t="n">
        <v>581</v>
      </c>
      <c r="O1075" s="32" t="n">
        <v>61</v>
      </c>
      <c r="P1075" s="32" t="n">
        <v>59</v>
      </c>
      <c r="Q1075" s="32"/>
      <c r="R1075" s="90" t="n">
        <f aca="false">合約與計費!$D$4</f>
        <v>0.296</v>
      </c>
      <c r="S1075" s="91" t="n">
        <f aca="false">ROUND(P1075*R1075,0)</f>
        <v>17</v>
      </c>
      <c r="T1075" s="92"/>
      <c r="U1075" s="32" t="n">
        <v>40</v>
      </c>
      <c r="V1075" s="32" t="n">
        <v>49</v>
      </c>
      <c r="W1075" s="32" t="n">
        <v>9</v>
      </c>
      <c r="X1075" s="32" t="n">
        <v>9</v>
      </c>
      <c r="Y1075" s="32"/>
      <c r="Z1075" s="93" t="n">
        <f aca="false">合約與計費!$E$4</f>
        <v>2.8</v>
      </c>
      <c r="AA1075" s="94" t="n">
        <f aca="false">ROUND(X1075*Z1075,0)</f>
        <v>25</v>
      </c>
      <c r="AB1075" s="95"/>
      <c r="AC1075" s="96"/>
      <c r="AD1075" s="42"/>
      <c r="AE1075" s="43"/>
    </row>
    <row r="1076" customFormat="false" ht="16.5" hidden="false" customHeight="true" outlineLevel="0" collapsed="false">
      <c r="A1076" s="97" t="n">
        <f aca="false">ROW(A1073)</f>
        <v>1073</v>
      </c>
      <c r="B1076" s="97" t="s">
        <v>462</v>
      </c>
      <c r="C1076" s="100" t="n">
        <v>1</v>
      </c>
      <c r="D1076" s="85"/>
      <c r="E1076" s="237" t="s">
        <v>2855</v>
      </c>
      <c r="F1076" s="238" t="s">
        <v>2853</v>
      </c>
      <c r="G1076" s="239" t="s">
        <v>2515</v>
      </c>
      <c r="H1076" s="239" t="s">
        <v>2755</v>
      </c>
      <c r="I1076" s="240" t="s">
        <v>166</v>
      </c>
      <c r="J1076" s="237" t="s">
        <v>464</v>
      </c>
      <c r="K1076" s="207" t="s">
        <v>2856</v>
      </c>
      <c r="L1076" s="116" t="n">
        <v>45743</v>
      </c>
      <c r="M1076" s="206" t="n">
        <v>861</v>
      </c>
      <c r="N1076" s="206" t="n">
        <v>1210</v>
      </c>
      <c r="O1076" s="114" t="n">
        <v>349</v>
      </c>
      <c r="P1076" s="114" t="n">
        <v>339</v>
      </c>
      <c r="Q1076" s="114" t="n">
        <f aca="false">ROUND(SUM(P1075:P1076),2)</f>
        <v>398</v>
      </c>
      <c r="R1076" s="241" t="n">
        <f aca="false">合約與計費!$D$4</f>
        <v>0.296</v>
      </c>
      <c r="S1076" s="242" t="n">
        <f aca="false">ROUND(P1076*R1076,0)</f>
        <v>100</v>
      </c>
      <c r="T1076" s="119" t="n">
        <f aca="false">ROUND(SUM(S1075:S1076),2)</f>
        <v>117</v>
      </c>
      <c r="U1076" s="206"/>
      <c r="V1076" s="206"/>
      <c r="W1076" s="243"/>
      <c r="X1076" s="244"/>
      <c r="Y1076" s="114" t="n">
        <f aca="false">ROUND(SUM(X1075:X1076),2)</f>
        <v>9</v>
      </c>
      <c r="Z1076" s="245"/>
      <c r="AA1076" s="122"/>
      <c r="AB1076" s="123" t="n">
        <f aca="false">ROUND(SUM(AA1075:AA1076),2)</f>
        <v>25</v>
      </c>
      <c r="AC1076" s="124"/>
      <c r="AD1076" s="42" t="n">
        <v>0.0638</v>
      </c>
      <c r="AE1076" s="43" t="n">
        <v>0.5</v>
      </c>
    </row>
    <row r="1077" customFormat="false" ht="16.5" hidden="false" customHeight="true" outlineLevel="0" collapsed="false">
      <c r="A1077" s="85" t="n">
        <f aca="false">ROW(A1074)</f>
        <v>1074</v>
      </c>
      <c r="B1077" s="85" t="s">
        <v>455</v>
      </c>
      <c r="C1077" s="216" t="n">
        <v>1</v>
      </c>
      <c r="D1077" s="85" t="n">
        <v>397</v>
      </c>
      <c r="E1077" s="214" t="s">
        <v>2857</v>
      </c>
      <c r="F1077" s="215" t="s">
        <v>2858</v>
      </c>
      <c r="G1077" s="216" t="s">
        <v>2515</v>
      </c>
      <c r="H1077" s="216" t="s">
        <v>2755</v>
      </c>
      <c r="I1077" s="246" t="s">
        <v>209</v>
      </c>
      <c r="J1077" s="214" t="s">
        <v>464</v>
      </c>
      <c r="K1077" s="232" t="s">
        <v>2859</v>
      </c>
      <c r="L1077" s="218" t="n">
        <v>45769</v>
      </c>
      <c r="M1077" s="216" t="n">
        <v>3986</v>
      </c>
      <c r="N1077" s="216" t="n">
        <v>4632</v>
      </c>
      <c r="O1077" s="114" t="n">
        <v>646</v>
      </c>
      <c r="P1077" s="114" t="n">
        <v>627</v>
      </c>
      <c r="Q1077" s="114" t="n">
        <f aca="false">ROUND(SUM(P1077),2)</f>
        <v>627</v>
      </c>
      <c r="R1077" s="219" t="n">
        <f aca="false">合約與計費!$D$4</f>
        <v>0.296</v>
      </c>
      <c r="S1077" s="220" t="n">
        <f aca="false">ROUND(P1077*R1077,0)</f>
        <v>186</v>
      </c>
      <c r="T1077" s="119" t="n">
        <f aca="false">ROUND(SUM(S1077),2)</f>
        <v>186</v>
      </c>
      <c r="U1077" s="216"/>
      <c r="V1077" s="216"/>
      <c r="W1077" s="247"/>
      <c r="X1077" s="216"/>
      <c r="Y1077" s="216"/>
      <c r="Z1077" s="221"/>
      <c r="AA1077" s="94"/>
      <c r="AB1077" s="223"/>
      <c r="AC1077" s="224"/>
      <c r="AD1077" s="42" t="n">
        <v>0.0633</v>
      </c>
      <c r="AE1077" s="43" t="n">
        <v>0.8</v>
      </c>
    </row>
    <row r="1078" customFormat="false" ht="16.5" hidden="false" customHeight="true" outlineLevel="0" collapsed="false">
      <c r="A1078" s="84" t="n">
        <f aca="false">ROW(A1075)</f>
        <v>1075</v>
      </c>
      <c r="B1078" s="84" t="s">
        <v>455</v>
      </c>
      <c r="C1078" s="32" t="n">
        <v>1</v>
      </c>
      <c r="D1078" s="85" t="n">
        <v>107</v>
      </c>
      <c r="E1078" s="86" t="s">
        <v>2860</v>
      </c>
      <c r="F1078" s="87" t="s">
        <v>2861</v>
      </c>
      <c r="G1078" s="32" t="s">
        <v>2515</v>
      </c>
      <c r="H1078" s="32" t="s">
        <v>2862</v>
      </c>
      <c r="I1078" s="32" t="s">
        <v>50</v>
      </c>
      <c r="J1078" s="86" t="s">
        <v>460</v>
      </c>
      <c r="K1078" s="88" t="s">
        <v>2863</v>
      </c>
      <c r="L1078" s="89" t="n">
        <v>45729</v>
      </c>
      <c r="M1078" s="32" t="n">
        <v>1542</v>
      </c>
      <c r="N1078" s="32" t="n">
        <v>1678</v>
      </c>
      <c r="O1078" s="32" t="n">
        <v>136</v>
      </c>
      <c r="P1078" s="32" t="n">
        <v>132</v>
      </c>
      <c r="Q1078" s="32"/>
      <c r="R1078" s="90" t="n">
        <f aca="false">合約與計費!$D$4</f>
        <v>0.296</v>
      </c>
      <c r="S1078" s="91" t="n">
        <f aca="false">ROUND(P1078*R1078,0)</f>
        <v>39</v>
      </c>
      <c r="T1078" s="92"/>
      <c r="U1078" s="32" t="n">
        <v>443</v>
      </c>
      <c r="V1078" s="32" t="n">
        <v>631</v>
      </c>
      <c r="W1078" s="32" t="n">
        <v>188</v>
      </c>
      <c r="X1078" s="32" t="n">
        <v>182</v>
      </c>
      <c r="Y1078" s="32"/>
      <c r="Z1078" s="93" t="n">
        <f aca="false">合約與計費!$E$4</f>
        <v>2.8</v>
      </c>
      <c r="AA1078" s="94" t="n">
        <f aca="false">ROUND(X1078*Z1078,0)</f>
        <v>510</v>
      </c>
      <c r="AB1078" s="95"/>
      <c r="AC1078" s="96"/>
      <c r="AD1078" s="42"/>
      <c r="AE1078" s="43"/>
    </row>
    <row r="1079" customFormat="false" ht="16.5" hidden="false" customHeight="true" outlineLevel="0" collapsed="false">
      <c r="A1079" s="97" t="n">
        <f aca="false">ROW(A1076)</f>
        <v>1076</v>
      </c>
      <c r="B1079" s="97" t="s">
        <v>462</v>
      </c>
      <c r="C1079" s="100" t="n">
        <v>1</v>
      </c>
      <c r="D1079" s="85"/>
      <c r="E1079" s="98" t="s">
        <v>2864</v>
      </c>
      <c r="F1079" s="99" t="s">
        <v>2861</v>
      </c>
      <c r="G1079" s="100" t="s">
        <v>2515</v>
      </c>
      <c r="H1079" s="100" t="s">
        <v>2862</v>
      </c>
      <c r="I1079" s="100" t="s">
        <v>50</v>
      </c>
      <c r="J1079" s="98" t="s">
        <v>464</v>
      </c>
      <c r="K1079" s="101" t="s">
        <v>2865</v>
      </c>
      <c r="L1079" s="102" t="n">
        <v>45729</v>
      </c>
      <c r="M1079" s="100" t="n">
        <v>542</v>
      </c>
      <c r="N1079" s="100" t="n">
        <v>648</v>
      </c>
      <c r="O1079" s="100" t="n">
        <v>106</v>
      </c>
      <c r="P1079" s="100" t="n">
        <v>103</v>
      </c>
      <c r="Q1079" s="100"/>
      <c r="R1079" s="103" t="n">
        <f aca="false">合約與計費!$D$4</f>
        <v>0.296</v>
      </c>
      <c r="S1079" s="104" t="n">
        <f aca="false">ROUND(P1079*R1079,0)</f>
        <v>30</v>
      </c>
      <c r="T1079" s="105"/>
      <c r="U1079" s="100"/>
      <c r="V1079" s="100"/>
      <c r="W1079" s="106"/>
      <c r="X1079" s="100"/>
      <c r="Y1079" s="100"/>
      <c r="Z1079" s="107"/>
      <c r="AA1079" s="108"/>
      <c r="AB1079" s="109"/>
      <c r="AC1079" s="110"/>
      <c r="AD1079" s="42" t="n">
        <v>0.3266</v>
      </c>
      <c r="AE1079" s="43" t="n">
        <v>0.8</v>
      </c>
    </row>
    <row r="1080" customFormat="false" ht="16.5" hidden="false" customHeight="true" outlineLevel="0" collapsed="false">
      <c r="A1080" s="97" t="n">
        <f aca="false">ROW(A1077)</f>
        <v>1077</v>
      </c>
      <c r="B1080" s="97" t="s">
        <v>466</v>
      </c>
      <c r="C1080" s="100" t="n">
        <v>1</v>
      </c>
      <c r="D1080" s="85"/>
      <c r="E1080" s="98" t="s">
        <v>2866</v>
      </c>
      <c r="F1080" s="99" t="s">
        <v>2861</v>
      </c>
      <c r="G1080" s="100" t="s">
        <v>2515</v>
      </c>
      <c r="H1080" s="100" t="s">
        <v>2862</v>
      </c>
      <c r="I1080" s="100" t="s">
        <v>50</v>
      </c>
      <c r="J1080" s="98" t="s">
        <v>471</v>
      </c>
      <c r="K1080" s="101" t="s">
        <v>2867</v>
      </c>
      <c r="L1080" s="102" t="n">
        <v>45729</v>
      </c>
      <c r="M1080" s="100" t="n">
        <v>18024</v>
      </c>
      <c r="N1080" s="100" t="n">
        <v>20616</v>
      </c>
      <c r="O1080" s="100" t="n">
        <v>2592</v>
      </c>
      <c r="P1080" s="100" t="n">
        <v>2514</v>
      </c>
      <c r="Q1080" s="100"/>
      <c r="R1080" s="103" t="n">
        <f aca="false">合約與計費!$D$4</f>
        <v>0.296</v>
      </c>
      <c r="S1080" s="104" t="n">
        <f aca="false">ROUND(P1080*R1080,0)</f>
        <v>744</v>
      </c>
      <c r="T1080" s="105"/>
      <c r="U1080" s="100"/>
      <c r="V1080" s="100"/>
      <c r="W1080" s="106"/>
      <c r="X1080" s="100"/>
      <c r="Y1080" s="100"/>
      <c r="Z1080" s="107"/>
      <c r="AA1080" s="108"/>
      <c r="AB1080" s="109"/>
      <c r="AC1080" s="110"/>
      <c r="AD1080" s="42" t="n">
        <v>0.123</v>
      </c>
      <c r="AE1080" s="43" t="n">
        <v>0.1</v>
      </c>
    </row>
    <row r="1081" customFormat="false" ht="16.5" hidden="false" customHeight="true" outlineLevel="0" collapsed="false">
      <c r="A1081" s="111" t="n">
        <f aca="false">ROW(A1078)</f>
        <v>1078</v>
      </c>
      <c r="B1081" s="111" t="s">
        <v>469</v>
      </c>
      <c r="C1081" s="114" t="n">
        <v>1</v>
      </c>
      <c r="D1081" s="85"/>
      <c r="E1081" s="112" t="s">
        <v>2868</v>
      </c>
      <c r="F1081" s="113" t="s">
        <v>2861</v>
      </c>
      <c r="G1081" s="114" t="s">
        <v>2515</v>
      </c>
      <c r="H1081" s="114" t="s">
        <v>2862</v>
      </c>
      <c r="I1081" s="114" t="s">
        <v>50</v>
      </c>
      <c r="J1081" s="112" t="s">
        <v>471</v>
      </c>
      <c r="K1081" s="115" t="s">
        <v>2869</v>
      </c>
      <c r="L1081" s="116" t="n">
        <v>45729</v>
      </c>
      <c r="M1081" s="114" t="n">
        <v>7651</v>
      </c>
      <c r="N1081" s="114" t="n">
        <v>8816</v>
      </c>
      <c r="O1081" s="114" t="n">
        <v>1165</v>
      </c>
      <c r="P1081" s="114" t="n">
        <v>1130</v>
      </c>
      <c r="Q1081" s="114" t="n">
        <f aca="false">ROUND(SUM(P1078:P1081),2)</f>
        <v>3879</v>
      </c>
      <c r="R1081" s="117" t="n">
        <f aca="false">合約與計費!$D$4</f>
        <v>0.296</v>
      </c>
      <c r="S1081" s="118" t="n">
        <f aca="false">ROUND(P1081*R1081,0)</f>
        <v>334</v>
      </c>
      <c r="T1081" s="119" t="n">
        <f aca="false">ROUND(SUM(S1078:S1081),2)</f>
        <v>1147</v>
      </c>
      <c r="U1081" s="114"/>
      <c r="V1081" s="114"/>
      <c r="W1081" s="120"/>
      <c r="X1081" s="114"/>
      <c r="Y1081" s="114" t="n">
        <f aca="false">ROUND(SUM(X1078:X1081),2)</f>
        <v>182</v>
      </c>
      <c r="Z1081" s="121"/>
      <c r="AA1081" s="122"/>
      <c r="AB1081" s="123" t="n">
        <f aca="false">ROUND(SUM(AA1078:AA1081),2)</f>
        <v>510</v>
      </c>
      <c r="AC1081" s="124"/>
      <c r="AD1081" s="42" t="n">
        <v>0.1095</v>
      </c>
      <c r="AE1081" s="43" t="n">
        <v>0.8</v>
      </c>
    </row>
    <row r="1082" customFormat="false" ht="16.5" hidden="false" customHeight="true" outlineLevel="0" collapsed="false">
      <c r="A1082" s="84" t="n">
        <f aca="false">ROW(A1079)</f>
        <v>1079</v>
      </c>
      <c r="B1082" s="84" t="s">
        <v>455</v>
      </c>
      <c r="C1082" s="32" t="n">
        <v>1</v>
      </c>
      <c r="D1082" s="85" t="n">
        <v>109</v>
      </c>
      <c r="E1082" s="86" t="s">
        <v>2870</v>
      </c>
      <c r="F1082" s="87" t="s">
        <v>2871</v>
      </c>
      <c r="G1082" s="32" t="s">
        <v>2515</v>
      </c>
      <c r="H1082" s="32" t="s">
        <v>2862</v>
      </c>
      <c r="I1082" s="32" t="s">
        <v>108</v>
      </c>
      <c r="J1082" s="86" t="s">
        <v>460</v>
      </c>
      <c r="K1082" s="88" t="s">
        <v>2872</v>
      </c>
      <c r="L1082" s="89" t="n">
        <v>45770</v>
      </c>
      <c r="M1082" s="32" t="n">
        <v>89</v>
      </c>
      <c r="N1082" s="32" t="n">
        <v>140</v>
      </c>
      <c r="O1082" s="32" t="n">
        <v>51</v>
      </c>
      <c r="P1082" s="32" t="n">
        <v>49</v>
      </c>
      <c r="Q1082" s="32"/>
      <c r="R1082" s="90" t="n">
        <f aca="false">合約與計費!$D$4</f>
        <v>0.296</v>
      </c>
      <c r="S1082" s="91" t="n">
        <f aca="false">ROUND(P1082*R1082,0)</f>
        <v>15</v>
      </c>
      <c r="T1082" s="92"/>
      <c r="U1082" s="32" t="n">
        <v>44</v>
      </c>
      <c r="V1082" s="32" t="n">
        <v>72</v>
      </c>
      <c r="W1082" s="32" t="n">
        <v>28</v>
      </c>
      <c r="X1082" s="32" t="n">
        <v>27</v>
      </c>
      <c r="Y1082" s="32"/>
      <c r="Z1082" s="93" t="n">
        <f aca="false">合約與計費!$E$4</f>
        <v>2.8</v>
      </c>
      <c r="AA1082" s="94" t="n">
        <f aca="false">ROUND(X1082*Z1082,0)</f>
        <v>76</v>
      </c>
      <c r="AB1082" s="95"/>
      <c r="AC1082" s="96"/>
      <c r="AD1082" s="42"/>
      <c r="AE1082" s="43"/>
    </row>
    <row r="1083" customFormat="false" ht="16.5" hidden="false" customHeight="true" outlineLevel="0" collapsed="false">
      <c r="A1083" s="97" t="n">
        <f aca="false">ROW(A1080)</f>
        <v>1080</v>
      </c>
      <c r="B1083" s="97" t="s">
        <v>462</v>
      </c>
      <c r="C1083" s="100" t="n">
        <v>1</v>
      </c>
      <c r="D1083" s="85"/>
      <c r="E1083" s="98" t="s">
        <v>2873</v>
      </c>
      <c r="F1083" s="99" t="s">
        <v>2871</v>
      </c>
      <c r="G1083" s="100" t="s">
        <v>2515</v>
      </c>
      <c r="H1083" s="100" t="s">
        <v>2862</v>
      </c>
      <c r="I1083" s="100" t="s">
        <v>108</v>
      </c>
      <c r="J1083" s="98" t="s">
        <v>464</v>
      </c>
      <c r="K1083" s="171" t="s">
        <v>2874</v>
      </c>
      <c r="L1083" s="102" t="n">
        <v>45770</v>
      </c>
      <c r="M1083" s="100" t="n">
        <v>1214</v>
      </c>
      <c r="N1083" s="100" t="n">
        <v>1410</v>
      </c>
      <c r="O1083" s="100" t="n">
        <v>196</v>
      </c>
      <c r="P1083" s="100" t="n">
        <v>190</v>
      </c>
      <c r="Q1083" s="100"/>
      <c r="R1083" s="103" t="n">
        <f aca="false">合約與計費!$D$4</f>
        <v>0.296</v>
      </c>
      <c r="S1083" s="104" t="n">
        <f aca="false">ROUND(P1083*R1083,0)</f>
        <v>56</v>
      </c>
      <c r="T1083" s="105"/>
      <c r="U1083" s="100"/>
      <c r="V1083" s="100"/>
      <c r="W1083" s="106"/>
      <c r="X1083" s="100"/>
      <c r="Y1083" s="100"/>
      <c r="Z1083" s="107"/>
      <c r="AA1083" s="108"/>
      <c r="AB1083" s="109"/>
      <c r="AC1083" s="110"/>
      <c r="AD1083" s="42" t="n">
        <v>0.0609</v>
      </c>
      <c r="AE1083" s="43" t="n">
        <v>1</v>
      </c>
    </row>
    <row r="1084" customFormat="false" ht="16.5" hidden="false" customHeight="true" outlineLevel="0" collapsed="false">
      <c r="A1084" s="97" t="n">
        <f aca="false">ROW(A1081)</f>
        <v>1081</v>
      </c>
      <c r="B1084" s="97" t="s">
        <v>466</v>
      </c>
      <c r="C1084" s="100" t="n">
        <v>1</v>
      </c>
      <c r="D1084" s="85"/>
      <c r="E1084" s="98" t="s">
        <v>2875</v>
      </c>
      <c r="F1084" s="99" t="s">
        <v>2871</v>
      </c>
      <c r="G1084" s="100" t="s">
        <v>2515</v>
      </c>
      <c r="H1084" s="100" t="s">
        <v>2862</v>
      </c>
      <c r="I1084" s="100" t="s">
        <v>108</v>
      </c>
      <c r="J1084" s="98" t="s">
        <v>471</v>
      </c>
      <c r="K1084" s="101" t="s">
        <v>2876</v>
      </c>
      <c r="L1084" s="102" t="n">
        <v>45770</v>
      </c>
      <c r="M1084" s="100" t="n">
        <v>3055</v>
      </c>
      <c r="N1084" s="100" t="n">
        <v>4086</v>
      </c>
      <c r="O1084" s="100" t="n">
        <v>1031</v>
      </c>
      <c r="P1084" s="100" t="n">
        <v>1000</v>
      </c>
      <c r="Q1084" s="100"/>
      <c r="R1084" s="103" t="n">
        <f aca="false">合約與計費!$D$4</f>
        <v>0.296</v>
      </c>
      <c r="S1084" s="104" t="n">
        <f aca="false">ROUND(P1084*R1084,0)</f>
        <v>296</v>
      </c>
      <c r="T1084" s="105"/>
      <c r="U1084" s="100"/>
      <c r="V1084" s="100"/>
      <c r="W1084" s="106"/>
      <c r="X1084" s="100"/>
      <c r="Y1084" s="100"/>
      <c r="Z1084" s="107"/>
      <c r="AA1084" s="108"/>
      <c r="AB1084" s="109"/>
      <c r="AC1084" s="110"/>
      <c r="AD1084" s="42" t="n">
        <v>0.0621</v>
      </c>
      <c r="AE1084" s="43" t="n">
        <v>0.9</v>
      </c>
    </row>
    <row r="1085" customFormat="false" ht="16.5" hidden="false" customHeight="true" outlineLevel="0" collapsed="false">
      <c r="A1085" s="97" t="n">
        <f aca="false">ROW(A1082)</f>
        <v>1082</v>
      </c>
      <c r="B1085" s="97" t="s">
        <v>469</v>
      </c>
      <c r="C1085" s="100" t="n">
        <v>1</v>
      </c>
      <c r="D1085" s="85"/>
      <c r="E1085" s="98" t="s">
        <v>2877</v>
      </c>
      <c r="F1085" s="99" t="s">
        <v>2871</v>
      </c>
      <c r="G1085" s="100" t="s">
        <v>2515</v>
      </c>
      <c r="H1085" s="100" t="s">
        <v>2862</v>
      </c>
      <c r="I1085" s="100" t="s">
        <v>108</v>
      </c>
      <c r="J1085" s="98" t="s">
        <v>471</v>
      </c>
      <c r="K1085" s="101" t="s">
        <v>2878</v>
      </c>
      <c r="L1085" s="102" t="n">
        <v>45770</v>
      </c>
      <c r="M1085" s="100" t="n">
        <v>11570</v>
      </c>
      <c r="N1085" s="100" t="n">
        <v>14660</v>
      </c>
      <c r="O1085" s="100" t="n">
        <v>3090</v>
      </c>
      <c r="P1085" s="100" t="n">
        <v>2997</v>
      </c>
      <c r="Q1085" s="100"/>
      <c r="R1085" s="103" t="n">
        <f aca="false">合約與計費!$D$4</f>
        <v>0.296</v>
      </c>
      <c r="S1085" s="104" t="n">
        <f aca="false">ROUND(P1085*R1085,0)</f>
        <v>887</v>
      </c>
      <c r="T1085" s="105"/>
      <c r="U1085" s="100"/>
      <c r="V1085" s="100"/>
      <c r="W1085" s="106"/>
      <c r="X1085" s="100"/>
      <c r="Y1085" s="100"/>
      <c r="Z1085" s="107"/>
      <c r="AA1085" s="108"/>
      <c r="AB1085" s="109"/>
      <c r="AC1085" s="110"/>
      <c r="AD1085" s="42" t="n">
        <v>0.0839</v>
      </c>
      <c r="AE1085" s="43" t="n">
        <v>0.5</v>
      </c>
    </row>
    <row r="1086" customFormat="false" ht="16.5" hidden="false" customHeight="true" outlineLevel="0" collapsed="false">
      <c r="A1086" s="111" t="n">
        <f aca="false">ROW(A1083)</f>
        <v>1083</v>
      </c>
      <c r="B1086" s="111" t="s">
        <v>473</v>
      </c>
      <c r="C1086" s="114" t="n">
        <v>1</v>
      </c>
      <c r="D1086" s="85"/>
      <c r="E1086" s="112" t="s">
        <v>2879</v>
      </c>
      <c r="F1086" s="113" t="s">
        <v>2871</v>
      </c>
      <c r="G1086" s="114" t="s">
        <v>2515</v>
      </c>
      <c r="H1086" s="114" t="s">
        <v>2862</v>
      </c>
      <c r="I1086" s="114" t="s">
        <v>108</v>
      </c>
      <c r="J1086" s="112" t="s">
        <v>471</v>
      </c>
      <c r="K1086" s="115" t="s">
        <v>2880</v>
      </c>
      <c r="L1086" s="116" t="n">
        <v>45770</v>
      </c>
      <c r="M1086" s="114" t="n">
        <v>4781</v>
      </c>
      <c r="N1086" s="114" t="n">
        <v>6177</v>
      </c>
      <c r="O1086" s="114" t="n">
        <v>1396</v>
      </c>
      <c r="P1086" s="114" t="n">
        <v>1354</v>
      </c>
      <c r="Q1086" s="114" t="n">
        <f aca="false">ROUND(SUM(P1082:P1086),2)</f>
        <v>5590</v>
      </c>
      <c r="R1086" s="117" t="n">
        <f aca="false">合約與計費!$D$4</f>
        <v>0.296</v>
      </c>
      <c r="S1086" s="118" t="n">
        <f aca="false">ROUND(P1086*R1086,0)</f>
        <v>401</v>
      </c>
      <c r="T1086" s="119" t="n">
        <f aca="false">ROUND(SUM(S1082:S1086),2)</f>
        <v>1655</v>
      </c>
      <c r="U1086" s="114"/>
      <c r="V1086" s="114"/>
      <c r="W1086" s="120"/>
      <c r="X1086" s="114"/>
      <c r="Y1086" s="114" t="n">
        <f aca="false">ROUND(SUM(X1082:X1086),2)</f>
        <v>27</v>
      </c>
      <c r="Z1086" s="121"/>
      <c r="AA1086" s="122"/>
      <c r="AB1086" s="123" t="n">
        <f aca="false">ROUND(SUM(AA1082:AA1086),2)</f>
        <v>76</v>
      </c>
      <c r="AC1086" s="124"/>
      <c r="AD1086" s="42" t="n">
        <v>0.093</v>
      </c>
      <c r="AE1086" s="43" t="n">
        <v>0.5</v>
      </c>
    </row>
    <row r="1087" customFormat="false" ht="16.5" hidden="false" customHeight="true" outlineLevel="0" collapsed="false">
      <c r="A1087" s="84" t="n">
        <f aca="false">ROW(A1084)</f>
        <v>1084</v>
      </c>
      <c r="B1087" s="84" t="s">
        <v>455</v>
      </c>
      <c r="C1087" s="32" t="n">
        <v>1</v>
      </c>
      <c r="D1087" s="85" t="n">
        <v>112</v>
      </c>
      <c r="E1087" s="86" t="s">
        <v>2881</v>
      </c>
      <c r="F1087" s="87" t="s">
        <v>2882</v>
      </c>
      <c r="G1087" s="32" t="s">
        <v>2515</v>
      </c>
      <c r="H1087" s="32" t="s">
        <v>2862</v>
      </c>
      <c r="I1087" s="32" t="s">
        <v>255</v>
      </c>
      <c r="J1087" s="86" t="s">
        <v>460</v>
      </c>
      <c r="K1087" s="225" t="s">
        <v>2883</v>
      </c>
      <c r="L1087" s="89" t="n">
        <v>45770</v>
      </c>
      <c r="M1087" s="32" t="n">
        <v>1241</v>
      </c>
      <c r="N1087" s="32" t="n">
        <v>1454</v>
      </c>
      <c r="O1087" s="32" t="n">
        <v>213</v>
      </c>
      <c r="P1087" s="32" t="n">
        <v>207</v>
      </c>
      <c r="Q1087" s="32"/>
      <c r="R1087" s="90" t="n">
        <f aca="false">合約與計費!$D$4</f>
        <v>0.296</v>
      </c>
      <c r="S1087" s="91" t="n">
        <f aca="false">ROUND(P1087*R1087,0)</f>
        <v>61</v>
      </c>
      <c r="T1087" s="92"/>
      <c r="U1087" s="32" t="n">
        <v>260</v>
      </c>
      <c r="V1087" s="32" t="n">
        <v>374</v>
      </c>
      <c r="W1087" s="32" t="n">
        <v>114</v>
      </c>
      <c r="X1087" s="32" t="n">
        <v>111</v>
      </c>
      <c r="Y1087" s="32"/>
      <c r="Z1087" s="93" t="n">
        <f aca="false">合約與計費!$E$4</f>
        <v>2.8</v>
      </c>
      <c r="AA1087" s="94" t="n">
        <f aca="false">ROUND(X1087*Z1087,0)</f>
        <v>311</v>
      </c>
      <c r="AB1087" s="95"/>
      <c r="AC1087" s="96"/>
      <c r="AD1087" s="42"/>
      <c r="AE1087" s="43"/>
    </row>
    <row r="1088" customFormat="false" ht="16.5" hidden="false" customHeight="true" outlineLevel="0" collapsed="false">
      <c r="A1088" s="97" t="n">
        <f aca="false">ROW(A1085)</f>
        <v>1085</v>
      </c>
      <c r="B1088" s="97" t="s">
        <v>462</v>
      </c>
      <c r="C1088" s="100" t="n">
        <v>1</v>
      </c>
      <c r="D1088" s="85"/>
      <c r="E1088" s="98" t="s">
        <v>2884</v>
      </c>
      <c r="F1088" s="99" t="s">
        <v>2882</v>
      </c>
      <c r="G1088" s="100" t="s">
        <v>2515</v>
      </c>
      <c r="H1088" s="100" t="s">
        <v>2862</v>
      </c>
      <c r="I1088" s="100" t="s">
        <v>255</v>
      </c>
      <c r="J1088" s="98" t="s">
        <v>464</v>
      </c>
      <c r="K1088" s="171" t="s">
        <v>2885</v>
      </c>
      <c r="L1088" s="102" t="n">
        <v>45770</v>
      </c>
      <c r="M1088" s="100" t="n">
        <v>1348</v>
      </c>
      <c r="N1088" s="100" t="n">
        <v>1779</v>
      </c>
      <c r="O1088" s="100" t="n">
        <v>431</v>
      </c>
      <c r="P1088" s="100" t="n">
        <v>418</v>
      </c>
      <c r="Q1088" s="100"/>
      <c r="R1088" s="103" t="n">
        <f aca="false">合約與計費!$D$4</f>
        <v>0.296</v>
      </c>
      <c r="S1088" s="104" t="n">
        <f aca="false">ROUND(P1088*R1088,0)</f>
        <v>124</v>
      </c>
      <c r="T1088" s="105"/>
      <c r="U1088" s="100"/>
      <c r="V1088" s="100"/>
      <c r="W1088" s="106"/>
      <c r="X1088" s="100"/>
      <c r="Y1088" s="100"/>
      <c r="Z1088" s="107"/>
      <c r="AA1088" s="108"/>
      <c r="AB1088" s="109"/>
      <c r="AC1088" s="110"/>
      <c r="AD1088" s="42" t="n">
        <v>0.0738</v>
      </c>
      <c r="AE1088" s="43" t="n">
        <v>0.9</v>
      </c>
    </row>
    <row r="1089" customFormat="false" ht="16.5" hidden="false" customHeight="true" outlineLevel="0" collapsed="false">
      <c r="A1089" s="97" t="n">
        <f aca="false">ROW(A1086)</f>
        <v>1086</v>
      </c>
      <c r="B1089" s="97" t="s">
        <v>466</v>
      </c>
      <c r="C1089" s="100" t="n">
        <v>1</v>
      </c>
      <c r="D1089" s="85"/>
      <c r="E1089" s="98" t="s">
        <v>2886</v>
      </c>
      <c r="F1089" s="99" t="s">
        <v>2882</v>
      </c>
      <c r="G1089" s="100" t="s">
        <v>2515</v>
      </c>
      <c r="H1089" s="100" t="s">
        <v>2862</v>
      </c>
      <c r="I1089" s="100" t="s">
        <v>255</v>
      </c>
      <c r="J1089" s="98" t="s">
        <v>471</v>
      </c>
      <c r="K1089" s="101" t="s">
        <v>2887</v>
      </c>
      <c r="L1089" s="102" t="n">
        <v>45770</v>
      </c>
      <c r="M1089" s="100" t="n">
        <v>1547</v>
      </c>
      <c r="N1089" s="100" t="n">
        <v>1975</v>
      </c>
      <c r="O1089" s="100" t="n">
        <v>428</v>
      </c>
      <c r="P1089" s="100" t="n">
        <v>415</v>
      </c>
      <c r="Q1089" s="100"/>
      <c r="R1089" s="103" t="n">
        <f aca="false">合約與計費!$D$4</f>
        <v>0.296</v>
      </c>
      <c r="S1089" s="104" t="n">
        <f aca="false">ROUND(P1089*R1089,0)</f>
        <v>123</v>
      </c>
      <c r="T1089" s="105"/>
      <c r="U1089" s="100"/>
      <c r="V1089" s="100"/>
      <c r="W1089" s="106"/>
      <c r="X1089" s="100"/>
      <c r="Y1089" s="100"/>
      <c r="Z1089" s="107"/>
      <c r="AA1089" s="108"/>
      <c r="AB1089" s="109"/>
      <c r="AC1089" s="110"/>
      <c r="AD1089" s="42" t="n">
        <v>0.0413</v>
      </c>
      <c r="AE1089" s="43" t="n">
        <v>0.3</v>
      </c>
    </row>
    <row r="1090" customFormat="false" ht="16.5" hidden="false" customHeight="true" outlineLevel="0" collapsed="false">
      <c r="A1090" s="111" t="n">
        <f aca="false">ROW(A1087)</f>
        <v>1087</v>
      </c>
      <c r="B1090" s="111" t="s">
        <v>469</v>
      </c>
      <c r="C1090" s="114" t="n">
        <v>1</v>
      </c>
      <c r="D1090" s="85"/>
      <c r="E1090" s="112" t="s">
        <v>2888</v>
      </c>
      <c r="F1090" s="113" t="s">
        <v>2882</v>
      </c>
      <c r="G1090" s="114" t="s">
        <v>2515</v>
      </c>
      <c r="H1090" s="114" t="s">
        <v>2862</v>
      </c>
      <c r="I1090" s="114" t="s">
        <v>255</v>
      </c>
      <c r="J1090" s="112" t="s">
        <v>464</v>
      </c>
      <c r="K1090" s="115" t="s">
        <v>2889</v>
      </c>
      <c r="L1090" s="116" t="n">
        <v>45770</v>
      </c>
      <c r="M1090" s="114" t="n">
        <v>14280</v>
      </c>
      <c r="N1090" s="114" t="n">
        <v>17947</v>
      </c>
      <c r="O1090" s="100" t="n">
        <v>3667</v>
      </c>
      <c r="P1090" s="100" t="n">
        <v>3557</v>
      </c>
      <c r="Q1090" s="100" t="n">
        <f aca="false">ROUND(SUM(P1087:P1090),2)</f>
        <v>4597</v>
      </c>
      <c r="R1090" s="117" t="n">
        <f aca="false">合約與計費!$D$4</f>
        <v>0.296</v>
      </c>
      <c r="S1090" s="118" t="n">
        <f aca="false">ROUND(P1090*R1090,0)</f>
        <v>1053</v>
      </c>
      <c r="T1090" s="105" t="n">
        <f aca="false">ROUND(SUM(S1087:S1090),2)</f>
        <v>1361</v>
      </c>
      <c r="U1090" s="114"/>
      <c r="V1090" s="114"/>
      <c r="W1090" s="120"/>
      <c r="X1090" s="114"/>
      <c r="Y1090" s="100" t="n">
        <f aca="false">ROUND(SUM(X1087:X1090),2)</f>
        <v>111</v>
      </c>
      <c r="Z1090" s="121"/>
      <c r="AA1090" s="108"/>
      <c r="AB1090" s="109" t="n">
        <f aca="false">ROUND(SUM(AA1087:AA1090),2)</f>
        <v>311</v>
      </c>
      <c r="AC1090" s="124"/>
      <c r="AD1090" s="42" t="n">
        <v>0.0935</v>
      </c>
      <c r="AE1090" s="43" t="n">
        <v>0.5</v>
      </c>
    </row>
    <row r="1091" customFormat="false" ht="16.5" hidden="false" customHeight="true" outlineLevel="0" collapsed="false">
      <c r="A1091" s="84" t="n">
        <f aca="false">ROW(A1088)</f>
        <v>1088</v>
      </c>
      <c r="B1091" s="84" t="s">
        <v>455</v>
      </c>
      <c r="C1091" s="32" t="n">
        <v>1</v>
      </c>
      <c r="D1091" s="85" t="n">
        <v>115</v>
      </c>
      <c r="E1091" s="86" t="s">
        <v>2890</v>
      </c>
      <c r="F1091" s="87" t="s">
        <v>2891</v>
      </c>
      <c r="G1091" s="32" t="s">
        <v>2515</v>
      </c>
      <c r="H1091" s="32" t="s">
        <v>2862</v>
      </c>
      <c r="I1091" s="32" t="s">
        <v>392</v>
      </c>
      <c r="J1091" s="86" t="s">
        <v>460</v>
      </c>
      <c r="K1091" s="88" t="s">
        <v>2892</v>
      </c>
      <c r="L1091" s="89" t="n">
        <v>45776</v>
      </c>
      <c r="M1091" s="32" t="n">
        <v>97</v>
      </c>
      <c r="N1091" s="32" t="n">
        <v>136</v>
      </c>
      <c r="O1091" s="32" t="n">
        <v>39</v>
      </c>
      <c r="P1091" s="32" t="n">
        <v>38</v>
      </c>
      <c r="Q1091" s="32"/>
      <c r="R1091" s="90" t="n">
        <f aca="false">合約與計費!$D$4</f>
        <v>0.296</v>
      </c>
      <c r="S1091" s="91" t="n">
        <f aca="false">ROUND(P1091*R1091,0)</f>
        <v>11</v>
      </c>
      <c r="T1091" s="92"/>
      <c r="U1091" s="32" t="n">
        <v>178</v>
      </c>
      <c r="V1091" s="32" t="n">
        <v>297</v>
      </c>
      <c r="W1091" s="32" t="n">
        <v>119</v>
      </c>
      <c r="X1091" s="32" t="n">
        <v>115</v>
      </c>
      <c r="Y1091" s="32"/>
      <c r="Z1091" s="93" t="n">
        <f aca="false">合約與計費!$E$4</f>
        <v>2.8</v>
      </c>
      <c r="AA1091" s="94" t="n">
        <f aca="false">ROUND(X1091*Z1091,0)</f>
        <v>322</v>
      </c>
      <c r="AB1091" s="95"/>
      <c r="AC1091" s="96"/>
      <c r="AD1091" s="42"/>
      <c r="AE1091" s="43"/>
    </row>
    <row r="1092" customFormat="false" ht="16.5" hidden="false" customHeight="true" outlineLevel="0" collapsed="false">
      <c r="A1092" s="97" t="n">
        <f aca="false">ROW(A1089)</f>
        <v>1089</v>
      </c>
      <c r="B1092" s="97" t="s">
        <v>462</v>
      </c>
      <c r="C1092" s="100" t="n">
        <v>1</v>
      </c>
      <c r="D1092" s="85"/>
      <c r="E1092" s="98" t="s">
        <v>2893</v>
      </c>
      <c r="F1092" s="99" t="s">
        <v>2891</v>
      </c>
      <c r="G1092" s="100" t="s">
        <v>2515</v>
      </c>
      <c r="H1092" s="100" t="s">
        <v>2862</v>
      </c>
      <c r="I1092" s="100" t="s">
        <v>392</v>
      </c>
      <c r="J1092" s="98" t="s">
        <v>464</v>
      </c>
      <c r="K1092" s="101" t="s">
        <v>2894</v>
      </c>
      <c r="L1092" s="102" t="n">
        <v>45776</v>
      </c>
      <c r="M1092" s="100" t="n">
        <v>744</v>
      </c>
      <c r="N1092" s="100" t="n">
        <v>1001</v>
      </c>
      <c r="O1092" s="100" t="n">
        <v>257</v>
      </c>
      <c r="P1092" s="100" t="n">
        <v>249</v>
      </c>
      <c r="Q1092" s="100"/>
      <c r="R1092" s="103" t="n">
        <f aca="false">合約與計費!$D$4</f>
        <v>0.296</v>
      </c>
      <c r="S1092" s="104" t="n">
        <f aca="false">ROUND(P1092*R1092,0)</f>
        <v>74</v>
      </c>
      <c r="T1092" s="105"/>
      <c r="U1092" s="100"/>
      <c r="V1092" s="100"/>
      <c r="W1092" s="106"/>
      <c r="X1092" s="100"/>
      <c r="Y1092" s="100"/>
      <c r="Z1092" s="107"/>
      <c r="AA1092" s="108"/>
      <c r="AB1092" s="109"/>
      <c r="AC1092" s="110"/>
      <c r="AD1092" s="42" t="n">
        <v>0.0571</v>
      </c>
      <c r="AE1092" s="43" t="n">
        <v>0.7</v>
      </c>
    </row>
    <row r="1093" customFormat="false" ht="16.5" hidden="false" customHeight="true" outlineLevel="0" collapsed="false">
      <c r="A1093" s="97" t="n">
        <f aca="false">ROW(A1090)</f>
        <v>1090</v>
      </c>
      <c r="B1093" s="97" t="s">
        <v>466</v>
      </c>
      <c r="C1093" s="100" t="n">
        <v>1</v>
      </c>
      <c r="D1093" s="85"/>
      <c r="E1093" s="98" t="s">
        <v>2895</v>
      </c>
      <c r="F1093" s="99" t="s">
        <v>2891</v>
      </c>
      <c r="G1093" s="100" t="s">
        <v>2515</v>
      </c>
      <c r="H1093" s="100" t="s">
        <v>2862</v>
      </c>
      <c r="I1093" s="100" t="s">
        <v>392</v>
      </c>
      <c r="J1093" s="98" t="s">
        <v>471</v>
      </c>
      <c r="K1093" s="101" t="s">
        <v>2896</v>
      </c>
      <c r="L1093" s="102" t="n">
        <v>45776</v>
      </c>
      <c r="M1093" s="100" t="n">
        <v>9442</v>
      </c>
      <c r="N1093" s="100" t="n">
        <v>11979</v>
      </c>
      <c r="O1093" s="100" t="n">
        <v>2537</v>
      </c>
      <c r="P1093" s="100" t="n">
        <v>2461</v>
      </c>
      <c r="Q1093" s="100"/>
      <c r="R1093" s="103" t="n">
        <f aca="false">合約與計費!$D$4</f>
        <v>0.296</v>
      </c>
      <c r="S1093" s="104" t="n">
        <f aca="false">ROUND(P1093*R1093,0)</f>
        <v>728</v>
      </c>
      <c r="T1093" s="105"/>
      <c r="U1093" s="100"/>
      <c r="V1093" s="100"/>
      <c r="W1093" s="106"/>
      <c r="X1093" s="100"/>
      <c r="Y1093" s="100"/>
      <c r="Z1093" s="107"/>
      <c r="AA1093" s="108"/>
      <c r="AB1093" s="109"/>
      <c r="AC1093" s="110"/>
      <c r="AD1093" s="42" t="n">
        <v>0.0902</v>
      </c>
      <c r="AE1093" s="43" t="n">
        <v>0.9</v>
      </c>
    </row>
    <row r="1094" customFormat="false" ht="16.5" hidden="false" customHeight="true" outlineLevel="0" collapsed="false">
      <c r="A1094" s="111" t="n">
        <f aca="false">ROW(A1091)</f>
        <v>1091</v>
      </c>
      <c r="B1094" s="111" t="s">
        <v>469</v>
      </c>
      <c r="C1094" s="114" t="n">
        <v>1</v>
      </c>
      <c r="D1094" s="85"/>
      <c r="E1094" s="112" t="s">
        <v>2897</v>
      </c>
      <c r="F1094" s="113" t="s">
        <v>2891</v>
      </c>
      <c r="G1094" s="114" t="s">
        <v>2515</v>
      </c>
      <c r="H1094" s="114" t="s">
        <v>2862</v>
      </c>
      <c r="I1094" s="114" t="s">
        <v>392</v>
      </c>
      <c r="J1094" s="112" t="s">
        <v>471</v>
      </c>
      <c r="K1094" s="115" t="s">
        <v>2898</v>
      </c>
      <c r="L1094" s="116" t="n">
        <v>45776</v>
      </c>
      <c r="M1094" s="114" t="n">
        <v>11591</v>
      </c>
      <c r="N1094" s="114" t="n">
        <v>15207</v>
      </c>
      <c r="O1094" s="114" t="n">
        <v>3616</v>
      </c>
      <c r="P1094" s="114" t="n">
        <v>3508</v>
      </c>
      <c r="Q1094" s="114" t="n">
        <f aca="false">ROUND(SUM(P1091:P1094),2)</f>
        <v>6256</v>
      </c>
      <c r="R1094" s="117" t="n">
        <f aca="false">合約與計費!$D$4</f>
        <v>0.296</v>
      </c>
      <c r="S1094" s="118" t="n">
        <f aca="false">ROUND(P1094*R1094,0)</f>
        <v>1038</v>
      </c>
      <c r="T1094" s="119" t="n">
        <f aca="false">ROUND(SUM(S1091:S1094),2)</f>
        <v>1851</v>
      </c>
      <c r="U1094" s="114"/>
      <c r="V1094" s="114"/>
      <c r="W1094" s="120"/>
      <c r="X1094" s="114"/>
      <c r="Y1094" s="114" t="n">
        <f aca="false">ROUND(SUM(X1091:X1094),2)</f>
        <v>115</v>
      </c>
      <c r="Z1094" s="121"/>
      <c r="AA1094" s="122"/>
      <c r="AB1094" s="123" t="n">
        <f aca="false">ROUND(SUM(AA1091:AA1094),2)</f>
        <v>322</v>
      </c>
      <c r="AC1094" s="124"/>
      <c r="AD1094" s="42" t="n">
        <v>0.0915</v>
      </c>
      <c r="AE1094" s="43" t="n">
        <v>0.3</v>
      </c>
    </row>
    <row r="1095" customFormat="false" ht="16.5" hidden="false" customHeight="true" outlineLevel="0" collapsed="false">
      <c r="A1095" s="84" t="n">
        <f aca="false">ROW(A1092)</f>
        <v>1092</v>
      </c>
      <c r="B1095" s="84" t="s">
        <v>455</v>
      </c>
      <c r="C1095" s="32" t="n">
        <v>1</v>
      </c>
      <c r="D1095" s="85" t="n">
        <v>117</v>
      </c>
      <c r="E1095" s="86" t="s">
        <v>2899</v>
      </c>
      <c r="F1095" s="87" t="s">
        <v>2900</v>
      </c>
      <c r="G1095" s="32" t="s">
        <v>2515</v>
      </c>
      <c r="H1095" s="32" t="s">
        <v>2862</v>
      </c>
      <c r="I1095" s="32" t="s">
        <v>418</v>
      </c>
      <c r="J1095" s="86" t="s">
        <v>460</v>
      </c>
      <c r="K1095" s="88" t="s">
        <v>2901</v>
      </c>
      <c r="L1095" s="89" t="n">
        <v>45756</v>
      </c>
      <c r="M1095" s="32" t="n">
        <v>404</v>
      </c>
      <c r="N1095" s="32" t="n">
        <v>447</v>
      </c>
      <c r="O1095" s="32" t="n">
        <v>43</v>
      </c>
      <c r="P1095" s="32" t="n">
        <v>42</v>
      </c>
      <c r="Q1095" s="32"/>
      <c r="R1095" s="90" t="n">
        <f aca="false">合約與計費!$D$4</f>
        <v>0.296</v>
      </c>
      <c r="S1095" s="91" t="n">
        <f aca="false">ROUND(P1095*R1095,0)</f>
        <v>12</v>
      </c>
      <c r="T1095" s="92"/>
      <c r="U1095" s="32" t="n">
        <v>290</v>
      </c>
      <c r="V1095" s="32" t="n">
        <v>353</v>
      </c>
      <c r="W1095" s="32" t="n">
        <v>63</v>
      </c>
      <c r="X1095" s="32" t="n">
        <v>61</v>
      </c>
      <c r="Y1095" s="32"/>
      <c r="Z1095" s="93" t="n">
        <f aca="false">合約與計費!$E$4</f>
        <v>2.8</v>
      </c>
      <c r="AA1095" s="94" t="n">
        <f aca="false">ROUND(X1095*Z1095,0)</f>
        <v>171</v>
      </c>
      <c r="AB1095" s="95"/>
      <c r="AC1095" s="96"/>
      <c r="AD1095" s="42"/>
      <c r="AE1095" s="43"/>
    </row>
    <row r="1096" customFormat="false" ht="16.5" hidden="false" customHeight="true" outlineLevel="0" collapsed="false">
      <c r="A1096" s="97" t="n">
        <f aca="false">ROW(A1093)</f>
        <v>1093</v>
      </c>
      <c r="B1096" s="97" t="s">
        <v>462</v>
      </c>
      <c r="C1096" s="100" t="n">
        <v>1</v>
      </c>
      <c r="D1096" s="85"/>
      <c r="E1096" s="98" t="s">
        <v>2902</v>
      </c>
      <c r="F1096" s="99" t="s">
        <v>2900</v>
      </c>
      <c r="G1096" s="100" t="s">
        <v>2515</v>
      </c>
      <c r="H1096" s="100" t="s">
        <v>2862</v>
      </c>
      <c r="I1096" s="100" t="s">
        <v>418</v>
      </c>
      <c r="J1096" s="98" t="s">
        <v>471</v>
      </c>
      <c r="K1096" s="101" t="s">
        <v>2903</v>
      </c>
      <c r="L1096" s="102" t="n">
        <v>45756</v>
      </c>
      <c r="M1096" s="100" t="n">
        <v>18128</v>
      </c>
      <c r="N1096" s="100" t="n">
        <v>21322</v>
      </c>
      <c r="O1096" s="100" t="n">
        <v>3194</v>
      </c>
      <c r="P1096" s="100" t="n">
        <v>3098</v>
      </c>
      <c r="Q1096" s="100"/>
      <c r="R1096" s="103" t="n">
        <f aca="false">合約與計費!$D$4</f>
        <v>0.296</v>
      </c>
      <c r="S1096" s="104" t="n">
        <f aca="false">ROUND(P1096*R1096,0)</f>
        <v>917</v>
      </c>
      <c r="T1096" s="105"/>
      <c r="U1096" s="100"/>
      <c r="V1096" s="100"/>
      <c r="W1096" s="106"/>
      <c r="X1096" s="100"/>
      <c r="Y1096" s="100"/>
      <c r="Z1096" s="107"/>
      <c r="AA1096" s="108"/>
      <c r="AB1096" s="109"/>
      <c r="AC1096" s="110"/>
      <c r="AD1096" s="42" t="n">
        <v>0.0899</v>
      </c>
      <c r="AE1096" s="43" t="n">
        <v>1</v>
      </c>
    </row>
    <row r="1097" customFormat="false" ht="16.5" hidden="false" customHeight="true" outlineLevel="0" collapsed="false">
      <c r="A1097" s="97" t="n">
        <f aca="false">ROW(A1094)</f>
        <v>1094</v>
      </c>
      <c r="B1097" s="97" t="s">
        <v>466</v>
      </c>
      <c r="C1097" s="100" t="n">
        <v>1</v>
      </c>
      <c r="D1097" s="85"/>
      <c r="E1097" s="98" t="s">
        <v>2904</v>
      </c>
      <c r="F1097" s="99" t="s">
        <v>2900</v>
      </c>
      <c r="G1097" s="100" t="s">
        <v>2515</v>
      </c>
      <c r="H1097" s="100" t="s">
        <v>2862</v>
      </c>
      <c r="I1097" s="100" t="s">
        <v>418</v>
      </c>
      <c r="J1097" s="98" t="s">
        <v>471</v>
      </c>
      <c r="K1097" s="101" t="s">
        <v>2905</v>
      </c>
      <c r="L1097" s="102" t="n">
        <v>45756</v>
      </c>
      <c r="M1097" s="100" t="n">
        <v>2167</v>
      </c>
      <c r="N1097" s="100" t="n">
        <v>2503</v>
      </c>
      <c r="O1097" s="100" t="n">
        <v>336</v>
      </c>
      <c r="P1097" s="100" t="n">
        <v>326</v>
      </c>
      <c r="Q1097" s="100"/>
      <c r="R1097" s="103" t="n">
        <f aca="false">合約與計費!$D$4</f>
        <v>0.296</v>
      </c>
      <c r="S1097" s="104" t="n">
        <f aca="false">ROUND(P1097*R1097,0)</f>
        <v>96</v>
      </c>
      <c r="T1097" s="105"/>
      <c r="U1097" s="100"/>
      <c r="V1097" s="100"/>
      <c r="W1097" s="106"/>
      <c r="X1097" s="100"/>
      <c r="Y1097" s="100"/>
      <c r="Z1097" s="107"/>
      <c r="AA1097" s="108"/>
      <c r="AB1097" s="109"/>
      <c r="AC1097" s="110"/>
      <c r="AD1097" s="42" t="n">
        <v>0.0478</v>
      </c>
      <c r="AE1097" s="43" t="n">
        <v>0.1</v>
      </c>
    </row>
    <row r="1098" customFormat="false" ht="16.5" hidden="false" customHeight="true" outlineLevel="0" collapsed="false">
      <c r="A1098" s="97" t="n">
        <f aca="false">ROW(A1095)</f>
        <v>1095</v>
      </c>
      <c r="B1098" s="97" t="s">
        <v>469</v>
      </c>
      <c r="C1098" s="100" t="n">
        <v>1</v>
      </c>
      <c r="D1098" s="85"/>
      <c r="E1098" s="98" t="s">
        <v>2906</v>
      </c>
      <c r="F1098" s="99" t="s">
        <v>2900</v>
      </c>
      <c r="G1098" s="100" t="s">
        <v>2515</v>
      </c>
      <c r="H1098" s="100" t="s">
        <v>2862</v>
      </c>
      <c r="I1098" s="100" t="s">
        <v>418</v>
      </c>
      <c r="J1098" s="98" t="s">
        <v>471</v>
      </c>
      <c r="K1098" s="101" t="s">
        <v>2907</v>
      </c>
      <c r="L1098" s="102" t="n">
        <v>45756</v>
      </c>
      <c r="M1098" s="100" t="n">
        <v>2550</v>
      </c>
      <c r="N1098" s="100" t="n">
        <v>2894</v>
      </c>
      <c r="O1098" s="100" t="n">
        <v>344</v>
      </c>
      <c r="P1098" s="100" t="n">
        <v>334</v>
      </c>
      <c r="Q1098" s="100"/>
      <c r="R1098" s="103" t="n">
        <f aca="false">合約與計費!$D$4</f>
        <v>0.296</v>
      </c>
      <c r="S1098" s="104" t="n">
        <f aca="false">ROUND(P1098*R1098,0)</f>
        <v>99</v>
      </c>
      <c r="T1098" s="105"/>
      <c r="U1098" s="100"/>
      <c r="V1098" s="100"/>
      <c r="W1098" s="106"/>
      <c r="X1098" s="100"/>
      <c r="Y1098" s="100"/>
      <c r="Z1098" s="107"/>
      <c r="AA1098" s="108"/>
      <c r="AB1098" s="109"/>
      <c r="AC1098" s="110"/>
      <c r="AD1098" s="42" t="n">
        <v>0.0704</v>
      </c>
      <c r="AE1098" s="43" t="n">
        <v>0.9</v>
      </c>
    </row>
    <row r="1099" customFormat="false" ht="16.5" hidden="false" customHeight="true" outlineLevel="0" collapsed="false">
      <c r="A1099" s="97" t="n">
        <f aca="false">ROW(A1096)</f>
        <v>1096</v>
      </c>
      <c r="B1099" s="97" t="s">
        <v>473</v>
      </c>
      <c r="C1099" s="100" t="n">
        <v>1</v>
      </c>
      <c r="D1099" s="85"/>
      <c r="E1099" s="98" t="s">
        <v>2908</v>
      </c>
      <c r="F1099" s="99" t="s">
        <v>2900</v>
      </c>
      <c r="G1099" s="100" t="s">
        <v>2515</v>
      </c>
      <c r="H1099" s="100" t="s">
        <v>2862</v>
      </c>
      <c r="I1099" s="100" t="s">
        <v>418</v>
      </c>
      <c r="J1099" s="98" t="s">
        <v>471</v>
      </c>
      <c r="K1099" s="101" t="s">
        <v>2909</v>
      </c>
      <c r="L1099" s="102" t="n">
        <v>45756</v>
      </c>
      <c r="M1099" s="100" t="n">
        <v>5441</v>
      </c>
      <c r="N1099" s="100" t="n">
        <v>6199</v>
      </c>
      <c r="O1099" s="100" t="n">
        <v>758</v>
      </c>
      <c r="P1099" s="100" t="n">
        <v>735</v>
      </c>
      <c r="Q1099" s="100"/>
      <c r="R1099" s="103" t="n">
        <f aca="false">合約與計費!$D$4</f>
        <v>0.296</v>
      </c>
      <c r="S1099" s="104" t="n">
        <f aca="false">ROUND(P1099*R1099,0)</f>
        <v>218</v>
      </c>
      <c r="T1099" s="105"/>
      <c r="U1099" s="100"/>
      <c r="V1099" s="100"/>
      <c r="W1099" s="106"/>
      <c r="X1099" s="100"/>
      <c r="Y1099" s="100"/>
      <c r="Z1099" s="107"/>
      <c r="AA1099" s="108"/>
      <c r="AB1099" s="109"/>
      <c r="AC1099" s="110"/>
      <c r="AD1099" s="42" t="n">
        <v>0.1085</v>
      </c>
      <c r="AE1099" s="43" t="n">
        <v>0.3</v>
      </c>
    </row>
    <row r="1100" customFormat="false" ht="16.5" hidden="false" customHeight="true" outlineLevel="0" collapsed="false">
      <c r="A1100" s="111" t="n">
        <f aca="false">ROW(A1097)</f>
        <v>1097</v>
      </c>
      <c r="B1100" s="111" t="s">
        <v>476</v>
      </c>
      <c r="C1100" s="114" t="n">
        <v>1</v>
      </c>
      <c r="D1100" s="85"/>
      <c r="E1100" s="112" t="s">
        <v>2910</v>
      </c>
      <c r="F1100" s="113" t="s">
        <v>2900</v>
      </c>
      <c r="G1100" s="114" t="s">
        <v>2515</v>
      </c>
      <c r="H1100" s="114" t="s">
        <v>2862</v>
      </c>
      <c r="I1100" s="114" t="s">
        <v>418</v>
      </c>
      <c r="J1100" s="112" t="s">
        <v>471</v>
      </c>
      <c r="K1100" s="115" t="s">
        <v>2911</v>
      </c>
      <c r="L1100" s="116" t="n">
        <v>45756</v>
      </c>
      <c r="M1100" s="114" t="n">
        <v>8319</v>
      </c>
      <c r="N1100" s="114" t="n">
        <v>9662</v>
      </c>
      <c r="O1100" s="114" t="n">
        <v>1343</v>
      </c>
      <c r="P1100" s="114" t="n">
        <v>1303</v>
      </c>
      <c r="Q1100" s="114" t="n">
        <f aca="false">ROUND(SUM(P1095:P1100),2)</f>
        <v>5838</v>
      </c>
      <c r="R1100" s="117" t="n">
        <f aca="false">合約與計費!$D$4</f>
        <v>0.296</v>
      </c>
      <c r="S1100" s="118" t="n">
        <f aca="false">ROUND(P1100*R1100,0)</f>
        <v>386</v>
      </c>
      <c r="T1100" s="119" t="n">
        <f aca="false">ROUND(SUM(S1095:S1100),2)</f>
        <v>1728</v>
      </c>
      <c r="U1100" s="114"/>
      <c r="V1100" s="114"/>
      <c r="W1100" s="120"/>
      <c r="X1100" s="114"/>
      <c r="Y1100" s="114" t="n">
        <f aca="false">ROUND(SUM(X1095:X1100),2)</f>
        <v>61</v>
      </c>
      <c r="Z1100" s="121"/>
      <c r="AA1100" s="122"/>
      <c r="AB1100" s="123" t="n">
        <f aca="false">ROUND(SUM(AA1095:AA1100),2)</f>
        <v>171</v>
      </c>
      <c r="AC1100" s="124"/>
      <c r="AD1100" s="42" t="n">
        <v>0.1087</v>
      </c>
      <c r="AE1100" s="43" t="n">
        <v>0.1</v>
      </c>
    </row>
    <row r="1101" customFormat="false" ht="16.5" hidden="false" customHeight="true" outlineLevel="0" collapsed="false">
      <c r="A1101" s="84" t="n">
        <f aca="false">ROW(A1098)</f>
        <v>1098</v>
      </c>
      <c r="B1101" s="84" t="s">
        <v>455</v>
      </c>
      <c r="C1101" s="32" t="n">
        <v>1</v>
      </c>
      <c r="D1101" s="85" t="n">
        <v>121</v>
      </c>
      <c r="E1101" s="86" t="s">
        <v>2912</v>
      </c>
      <c r="F1101" s="87" t="s">
        <v>2913</v>
      </c>
      <c r="G1101" s="32" t="s">
        <v>2515</v>
      </c>
      <c r="H1101" s="32" t="s">
        <v>2862</v>
      </c>
      <c r="I1101" s="32" t="s">
        <v>112</v>
      </c>
      <c r="J1101" s="86" t="s">
        <v>460</v>
      </c>
      <c r="K1101" s="88" t="s">
        <v>2914</v>
      </c>
      <c r="L1101" s="89" t="n">
        <v>45761</v>
      </c>
      <c r="M1101" s="32" t="n">
        <v>105</v>
      </c>
      <c r="N1101" s="32" t="n">
        <v>137</v>
      </c>
      <c r="O1101" s="32" t="n">
        <v>32</v>
      </c>
      <c r="P1101" s="32" t="n">
        <v>31</v>
      </c>
      <c r="Q1101" s="32"/>
      <c r="R1101" s="90" t="n">
        <f aca="false">合約與計費!$D$4</f>
        <v>0.296</v>
      </c>
      <c r="S1101" s="91" t="n">
        <f aca="false">ROUND(P1101*R1101,0)</f>
        <v>9</v>
      </c>
      <c r="T1101" s="92"/>
      <c r="U1101" s="32" t="n">
        <v>78</v>
      </c>
      <c r="V1101" s="32" t="n">
        <v>143</v>
      </c>
      <c r="W1101" s="32" t="n">
        <v>65</v>
      </c>
      <c r="X1101" s="32" t="n">
        <v>63</v>
      </c>
      <c r="Y1101" s="32"/>
      <c r="Z1101" s="93" t="n">
        <f aca="false">合約與計費!$E$4</f>
        <v>2.8</v>
      </c>
      <c r="AA1101" s="94" t="n">
        <f aca="false">ROUND(X1101*Z1101,0)</f>
        <v>176</v>
      </c>
      <c r="AB1101" s="95"/>
      <c r="AC1101" s="96"/>
      <c r="AD1101" s="42"/>
      <c r="AE1101" s="43"/>
    </row>
    <row r="1102" customFormat="false" ht="16.5" hidden="false" customHeight="true" outlineLevel="0" collapsed="false">
      <c r="A1102" s="97" t="n">
        <f aca="false">ROW(A1099)</f>
        <v>1099</v>
      </c>
      <c r="B1102" s="97" t="s">
        <v>462</v>
      </c>
      <c r="C1102" s="100" t="n">
        <v>1</v>
      </c>
      <c r="D1102" s="85"/>
      <c r="E1102" s="98" t="s">
        <v>2915</v>
      </c>
      <c r="F1102" s="99" t="s">
        <v>2913</v>
      </c>
      <c r="G1102" s="100" t="s">
        <v>2515</v>
      </c>
      <c r="H1102" s="100" t="s">
        <v>2862</v>
      </c>
      <c r="I1102" s="100" t="s">
        <v>112</v>
      </c>
      <c r="J1102" s="98" t="s">
        <v>464</v>
      </c>
      <c r="K1102" s="101" t="s">
        <v>2916</v>
      </c>
      <c r="L1102" s="102" t="n">
        <v>45761</v>
      </c>
      <c r="M1102" s="100" t="n">
        <v>708</v>
      </c>
      <c r="N1102" s="100" t="n">
        <v>822</v>
      </c>
      <c r="O1102" s="100" t="n">
        <v>114</v>
      </c>
      <c r="P1102" s="100" t="n">
        <v>111</v>
      </c>
      <c r="Q1102" s="100"/>
      <c r="R1102" s="103" t="n">
        <f aca="false">合約與計費!$D$4</f>
        <v>0.296</v>
      </c>
      <c r="S1102" s="104" t="n">
        <f aca="false">ROUND(P1102*R1102,0)</f>
        <v>33</v>
      </c>
      <c r="T1102" s="105"/>
      <c r="U1102" s="100"/>
      <c r="V1102" s="100"/>
      <c r="W1102" s="106"/>
      <c r="X1102" s="100"/>
      <c r="Y1102" s="100"/>
      <c r="Z1102" s="107"/>
      <c r="AA1102" s="108"/>
      <c r="AB1102" s="109"/>
      <c r="AC1102" s="110"/>
      <c r="AD1102" s="42" t="n">
        <v>0.0675</v>
      </c>
      <c r="AE1102" s="43" t="n">
        <v>0.6</v>
      </c>
    </row>
    <row r="1103" customFormat="false" ht="16.5" hidden="false" customHeight="true" outlineLevel="0" collapsed="false">
      <c r="A1103" s="97" t="n">
        <f aca="false">ROW(A1100)</f>
        <v>1100</v>
      </c>
      <c r="B1103" s="97" t="s">
        <v>466</v>
      </c>
      <c r="C1103" s="100" t="n">
        <v>1</v>
      </c>
      <c r="D1103" s="85"/>
      <c r="E1103" s="98" t="s">
        <v>2917</v>
      </c>
      <c r="F1103" s="99" t="s">
        <v>2913</v>
      </c>
      <c r="G1103" s="100" t="s">
        <v>2515</v>
      </c>
      <c r="H1103" s="100" t="s">
        <v>2862</v>
      </c>
      <c r="I1103" s="100" t="s">
        <v>112</v>
      </c>
      <c r="J1103" s="98" t="s">
        <v>527</v>
      </c>
      <c r="K1103" s="101" t="s">
        <v>2918</v>
      </c>
      <c r="L1103" s="102" t="n">
        <v>45761</v>
      </c>
      <c r="M1103" s="100" t="n">
        <v>1527</v>
      </c>
      <c r="N1103" s="100" t="n">
        <v>1795</v>
      </c>
      <c r="O1103" s="100" t="n">
        <v>268</v>
      </c>
      <c r="P1103" s="100" t="n">
        <v>260</v>
      </c>
      <c r="Q1103" s="100"/>
      <c r="R1103" s="103" t="n">
        <f aca="false">合約與計費!$D$4</f>
        <v>0.296</v>
      </c>
      <c r="S1103" s="104" t="n">
        <f aca="false">ROUND(P1103*R1103,0)</f>
        <v>77</v>
      </c>
      <c r="T1103" s="105"/>
      <c r="U1103" s="100"/>
      <c r="V1103" s="100"/>
      <c r="W1103" s="106"/>
      <c r="X1103" s="100"/>
      <c r="Y1103" s="100"/>
      <c r="Z1103" s="107"/>
      <c r="AA1103" s="108"/>
      <c r="AB1103" s="109"/>
      <c r="AC1103" s="110"/>
      <c r="AD1103" s="42"/>
      <c r="AE1103" s="43" t="n">
        <v>0.2</v>
      </c>
    </row>
    <row r="1104" customFormat="false" ht="16.5" hidden="false" customHeight="true" outlineLevel="0" collapsed="false">
      <c r="A1104" s="111" t="n">
        <f aca="false">ROW(A1101)</f>
        <v>1101</v>
      </c>
      <c r="B1104" s="111" t="s">
        <v>469</v>
      </c>
      <c r="C1104" s="114" t="n">
        <v>1</v>
      </c>
      <c r="D1104" s="85"/>
      <c r="E1104" s="112" t="s">
        <v>2919</v>
      </c>
      <c r="F1104" s="113" t="s">
        <v>2913</v>
      </c>
      <c r="G1104" s="114" t="s">
        <v>2515</v>
      </c>
      <c r="H1104" s="114" t="s">
        <v>2862</v>
      </c>
      <c r="I1104" s="114" t="s">
        <v>112</v>
      </c>
      <c r="J1104" s="112" t="s">
        <v>527</v>
      </c>
      <c r="K1104" s="115" t="s">
        <v>2920</v>
      </c>
      <c r="L1104" s="116" t="n">
        <v>45761</v>
      </c>
      <c r="M1104" s="114" t="n">
        <v>18416</v>
      </c>
      <c r="N1104" s="114" t="n">
        <v>22799</v>
      </c>
      <c r="O1104" s="114" t="n">
        <v>4383</v>
      </c>
      <c r="P1104" s="114" t="n">
        <v>4252</v>
      </c>
      <c r="Q1104" s="114" t="n">
        <f aca="false">ROUND(SUM(P1101:P1104),2)</f>
        <v>4654</v>
      </c>
      <c r="R1104" s="117" t="n">
        <f aca="false">合約與計費!$D$4</f>
        <v>0.296</v>
      </c>
      <c r="S1104" s="118" t="n">
        <f aca="false">ROUND(P1104*R1104,0)</f>
        <v>1259</v>
      </c>
      <c r="T1104" s="119" t="n">
        <f aca="false">ROUND(SUM(S1101:S1104),2)</f>
        <v>1378</v>
      </c>
      <c r="U1104" s="114"/>
      <c r="V1104" s="114"/>
      <c r="W1104" s="120"/>
      <c r="X1104" s="114"/>
      <c r="Y1104" s="114" t="n">
        <f aca="false">ROUND(SUM(X1101:X1104),2)</f>
        <v>63</v>
      </c>
      <c r="Z1104" s="121"/>
      <c r="AA1104" s="122"/>
      <c r="AB1104" s="123" t="n">
        <f aca="false">ROUND(SUM(AA1101:AA1104),2)</f>
        <v>176</v>
      </c>
      <c r="AC1104" s="124"/>
      <c r="AD1104" s="42"/>
      <c r="AE1104" s="43" t="n">
        <v>0.1</v>
      </c>
    </row>
    <row r="1105" customFormat="false" ht="16.5" hidden="false" customHeight="true" outlineLevel="0" collapsed="false">
      <c r="A1105" s="84" t="n">
        <f aca="false">ROW(A1102)</f>
        <v>1102</v>
      </c>
      <c r="B1105" s="84" t="s">
        <v>455</v>
      </c>
      <c r="C1105" s="32" t="n">
        <v>1</v>
      </c>
      <c r="D1105" s="85" t="n">
        <v>122</v>
      </c>
      <c r="E1105" s="86" t="s">
        <v>2921</v>
      </c>
      <c r="F1105" s="87" t="s">
        <v>2922</v>
      </c>
      <c r="G1105" s="32" t="s">
        <v>2515</v>
      </c>
      <c r="H1105" s="32" t="s">
        <v>2862</v>
      </c>
      <c r="I1105" s="32" t="s">
        <v>113</v>
      </c>
      <c r="J1105" s="86" t="s">
        <v>460</v>
      </c>
      <c r="K1105" s="88" t="s">
        <v>2923</v>
      </c>
      <c r="L1105" s="89" t="n">
        <v>45756</v>
      </c>
      <c r="M1105" s="32" t="n">
        <v>86</v>
      </c>
      <c r="N1105" s="32" t="n">
        <v>97</v>
      </c>
      <c r="O1105" s="32" t="n">
        <v>11</v>
      </c>
      <c r="P1105" s="32" t="n">
        <v>11</v>
      </c>
      <c r="Q1105" s="32"/>
      <c r="R1105" s="90" t="n">
        <f aca="false">合約與計費!$D$4</f>
        <v>0.296</v>
      </c>
      <c r="S1105" s="91" t="n">
        <f aca="false">ROUND(P1105*R1105,0)</f>
        <v>3</v>
      </c>
      <c r="T1105" s="92"/>
      <c r="U1105" s="32" t="n">
        <v>385</v>
      </c>
      <c r="V1105" s="32" t="n">
        <v>424</v>
      </c>
      <c r="W1105" s="32" t="n">
        <v>39</v>
      </c>
      <c r="X1105" s="32" t="n">
        <v>38</v>
      </c>
      <c r="Y1105" s="32"/>
      <c r="Z1105" s="93" t="n">
        <f aca="false">合約與計費!$E$4</f>
        <v>2.8</v>
      </c>
      <c r="AA1105" s="94" t="n">
        <f aca="false">ROUND(X1105*Z1105,0)</f>
        <v>106</v>
      </c>
      <c r="AB1105" s="95"/>
      <c r="AC1105" s="96"/>
      <c r="AD1105" s="42"/>
      <c r="AE1105" s="43"/>
    </row>
    <row r="1106" customFormat="false" ht="16.5" hidden="false" customHeight="true" outlineLevel="0" collapsed="false">
      <c r="A1106" s="97" t="n">
        <f aca="false">ROW(A1103)</f>
        <v>1103</v>
      </c>
      <c r="B1106" s="97" t="s">
        <v>462</v>
      </c>
      <c r="C1106" s="100" t="n">
        <v>1</v>
      </c>
      <c r="D1106" s="85"/>
      <c r="E1106" s="98" t="s">
        <v>2924</v>
      </c>
      <c r="F1106" s="99" t="s">
        <v>2922</v>
      </c>
      <c r="G1106" s="100" t="s">
        <v>2515</v>
      </c>
      <c r="H1106" s="100" t="s">
        <v>2862</v>
      </c>
      <c r="I1106" s="100" t="s">
        <v>113</v>
      </c>
      <c r="J1106" s="98" t="s">
        <v>464</v>
      </c>
      <c r="K1106" s="101" t="s">
        <v>2925</v>
      </c>
      <c r="L1106" s="102" t="n">
        <v>45756</v>
      </c>
      <c r="M1106" s="100" t="n">
        <v>726</v>
      </c>
      <c r="N1106" s="100" t="n">
        <v>818</v>
      </c>
      <c r="O1106" s="100" t="n">
        <v>92</v>
      </c>
      <c r="P1106" s="100" t="n">
        <v>89</v>
      </c>
      <c r="Q1106" s="100"/>
      <c r="R1106" s="103" t="n">
        <f aca="false">合約與計費!$D$4</f>
        <v>0.296</v>
      </c>
      <c r="S1106" s="104" t="n">
        <f aca="false">ROUND(P1106*R1106,0)</f>
        <v>26</v>
      </c>
      <c r="T1106" s="105"/>
      <c r="U1106" s="100"/>
      <c r="V1106" s="100"/>
      <c r="W1106" s="106"/>
      <c r="X1106" s="100"/>
      <c r="Y1106" s="100"/>
      <c r="Z1106" s="107"/>
      <c r="AA1106" s="108"/>
      <c r="AB1106" s="109"/>
      <c r="AC1106" s="110"/>
      <c r="AD1106" s="42" t="n">
        <v>0.1568</v>
      </c>
      <c r="AE1106" s="43" t="n">
        <v>0.7</v>
      </c>
    </row>
    <row r="1107" customFormat="false" ht="16.5" hidden="false" customHeight="true" outlineLevel="0" collapsed="false">
      <c r="A1107" s="97" t="n">
        <f aca="false">ROW(A1104)</f>
        <v>1104</v>
      </c>
      <c r="B1107" s="97" t="s">
        <v>466</v>
      </c>
      <c r="C1107" s="100" t="n">
        <v>1</v>
      </c>
      <c r="D1107" s="85"/>
      <c r="E1107" s="98" t="s">
        <v>2926</v>
      </c>
      <c r="F1107" s="99" t="s">
        <v>2922</v>
      </c>
      <c r="G1107" s="100" t="s">
        <v>2515</v>
      </c>
      <c r="H1107" s="100" t="s">
        <v>2862</v>
      </c>
      <c r="I1107" s="100" t="s">
        <v>113</v>
      </c>
      <c r="J1107" s="98" t="s">
        <v>471</v>
      </c>
      <c r="K1107" s="101" t="s">
        <v>2927</v>
      </c>
      <c r="L1107" s="102" t="n">
        <v>45756</v>
      </c>
      <c r="M1107" s="100" t="n">
        <v>15708</v>
      </c>
      <c r="N1107" s="100" t="n">
        <v>18593</v>
      </c>
      <c r="O1107" s="100" t="n">
        <v>2885</v>
      </c>
      <c r="P1107" s="100" t="n">
        <v>2798</v>
      </c>
      <c r="Q1107" s="100"/>
      <c r="R1107" s="103" t="n">
        <f aca="false">合約與計費!$D$4</f>
        <v>0.296</v>
      </c>
      <c r="S1107" s="104" t="n">
        <f aca="false">ROUND(P1107*R1107,0)</f>
        <v>828</v>
      </c>
      <c r="T1107" s="105"/>
      <c r="U1107" s="100"/>
      <c r="V1107" s="100"/>
      <c r="W1107" s="106"/>
      <c r="X1107" s="100"/>
      <c r="Y1107" s="100"/>
      <c r="Z1107" s="107"/>
      <c r="AA1107" s="108"/>
      <c r="AB1107" s="109"/>
      <c r="AC1107" s="110"/>
      <c r="AD1107" s="42" t="n">
        <v>0.0769</v>
      </c>
      <c r="AE1107" s="43" t="n">
        <v>0.3</v>
      </c>
    </row>
    <row r="1108" customFormat="false" ht="16.5" hidden="false" customHeight="true" outlineLevel="0" collapsed="false">
      <c r="A1108" s="111" t="n">
        <f aca="false">ROW(A1105)</f>
        <v>1105</v>
      </c>
      <c r="B1108" s="111" t="s">
        <v>469</v>
      </c>
      <c r="C1108" s="114" t="n">
        <v>1</v>
      </c>
      <c r="D1108" s="85"/>
      <c r="E1108" s="112" t="s">
        <v>2928</v>
      </c>
      <c r="F1108" s="113" t="s">
        <v>2922</v>
      </c>
      <c r="G1108" s="114" t="s">
        <v>2515</v>
      </c>
      <c r="H1108" s="114" t="s">
        <v>2862</v>
      </c>
      <c r="I1108" s="114" t="s">
        <v>113</v>
      </c>
      <c r="J1108" s="112" t="s">
        <v>471</v>
      </c>
      <c r="K1108" s="115" t="s">
        <v>2929</v>
      </c>
      <c r="L1108" s="116" t="n">
        <v>45756</v>
      </c>
      <c r="M1108" s="114" t="n">
        <v>1582</v>
      </c>
      <c r="N1108" s="114" t="n">
        <v>1885</v>
      </c>
      <c r="O1108" s="114" t="n">
        <v>303</v>
      </c>
      <c r="P1108" s="114" t="n">
        <v>294</v>
      </c>
      <c r="Q1108" s="114" t="n">
        <f aca="false">ROUND(SUM(P1105:P1108),2)</f>
        <v>3192</v>
      </c>
      <c r="R1108" s="117" t="n">
        <f aca="false">合約與計費!$D$4</f>
        <v>0.296</v>
      </c>
      <c r="S1108" s="118" t="n">
        <f aca="false">ROUND(P1108*R1108,0)</f>
        <v>87</v>
      </c>
      <c r="T1108" s="119" t="n">
        <f aca="false">ROUND(SUM(S1105:S1108),2)</f>
        <v>944</v>
      </c>
      <c r="U1108" s="114"/>
      <c r="V1108" s="114"/>
      <c r="W1108" s="120"/>
      <c r="X1108" s="114"/>
      <c r="Y1108" s="114" t="n">
        <f aca="false">ROUND(SUM(X1105:X1108),2)</f>
        <v>38</v>
      </c>
      <c r="Z1108" s="121"/>
      <c r="AA1108" s="122"/>
      <c r="AB1108" s="123" t="n">
        <f aca="false">ROUND(SUM(AA1105:AA1108),2)</f>
        <v>106</v>
      </c>
      <c r="AC1108" s="124"/>
      <c r="AD1108" s="42" t="n">
        <v>0.0435</v>
      </c>
      <c r="AE1108" s="43" t="n">
        <v>0.3</v>
      </c>
    </row>
    <row r="1109" customFormat="false" ht="16.5" hidden="false" customHeight="true" outlineLevel="0" collapsed="false">
      <c r="A1109" s="84" t="n">
        <f aca="false">ROW(A1106)</f>
        <v>1106</v>
      </c>
      <c r="B1109" s="84" t="s">
        <v>455</v>
      </c>
      <c r="C1109" s="32" t="n">
        <v>1</v>
      </c>
      <c r="D1109" s="85" t="n">
        <v>126</v>
      </c>
      <c r="E1109" s="86" t="s">
        <v>2930</v>
      </c>
      <c r="F1109" s="87" t="s">
        <v>2931</v>
      </c>
      <c r="G1109" s="32" t="s">
        <v>2515</v>
      </c>
      <c r="H1109" s="32" t="s">
        <v>2862</v>
      </c>
      <c r="I1109" s="32" t="s">
        <v>292</v>
      </c>
      <c r="J1109" s="86" t="s">
        <v>460</v>
      </c>
      <c r="K1109" s="88" t="s">
        <v>2932</v>
      </c>
      <c r="L1109" s="89" t="n">
        <v>45777</v>
      </c>
      <c r="M1109" s="32" t="n">
        <v>227</v>
      </c>
      <c r="N1109" s="32" t="n">
        <v>298</v>
      </c>
      <c r="O1109" s="32" t="n">
        <v>71</v>
      </c>
      <c r="P1109" s="32" t="n">
        <v>69</v>
      </c>
      <c r="Q1109" s="32"/>
      <c r="R1109" s="90" t="n">
        <f aca="false">合約與計費!$D$4</f>
        <v>0.296</v>
      </c>
      <c r="S1109" s="91" t="n">
        <f aca="false">ROUND(P1109*R1109,0)</f>
        <v>20</v>
      </c>
      <c r="T1109" s="92"/>
      <c r="U1109" s="32" t="n">
        <v>78</v>
      </c>
      <c r="V1109" s="32" t="n">
        <v>106</v>
      </c>
      <c r="W1109" s="32" t="n">
        <v>28</v>
      </c>
      <c r="X1109" s="32" t="n">
        <v>27</v>
      </c>
      <c r="Y1109" s="32"/>
      <c r="Z1109" s="93" t="n">
        <f aca="false">合約與計費!$E$4</f>
        <v>2.8</v>
      </c>
      <c r="AA1109" s="94" t="n">
        <f aca="false">ROUND(X1109*Z1109,0)</f>
        <v>76</v>
      </c>
      <c r="AB1109" s="95"/>
      <c r="AC1109" s="96"/>
      <c r="AD1109" s="42"/>
      <c r="AE1109" s="43"/>
    </row>
    <row r="1110" customFormat="false" ht="16.5" hidden="false" customHeight="true" outlineLevel="0" collapsed="false">
      <c r="A1110" s="97" t="n">
        <f aca="false">ROW(A1107)</f>
        <v>1107</v>
      </c>
      <c r="B1110" s="97" t="s">
        <v>462</v>
      </c>
      <c r="C1110" s="100" t="n">
        <v>1</v>
      </c>
      <c r="D1110" s="85"/>
      <c r="E1110" s="98" t="s">
        <v>2933</v>
      </c>
      <c r="F1110" s="99" t="s">
        <v>2931</v>
      </c>
      <c r="G1110" s="100" t="s">
        <v>2515</v>
      </c>
      <c r="H1110" s="100" t="s">
        <v>2862</v>
      </c>
      <c r="I1110" s="100" t="s">
        <v>292</v>
      </c>
      <c r="J1110" s="98" t="s">
        <v>464</v>
      </c>
      <c r="K1110" s="101" t="s">
        <v>2934</v>
      </c>
      <c r="L1110" s="102" t="n">
        <v>45777</v>
      </c>
      <c r="M1110" s="100" t="n">
        <v>255</v>
      </c>
      <c r="N1110" s="100" t="n">
        <v>327</v>
      </c>
      <c r="O1110" s="100" t="n">
        <v>72</v>
      </c>
      <c r="P1110" s="100" t="n">
        <v>70</v>
      </c>
      <c r="Q1110" s="100"/>
      <c r="R1110" s="103" t="n">
        <f aca="false">合約與計費!$D$4</f>
        <v>0.296</v>
      </c>
      <c r="S1110" s="104" t="n">
        <f aca="false">ROUND(P1110*R1110,0)</f>
        <v>21</v>
      </c>
      <c r="T1110" s="105"/>
      <c r="U1110" s="100"/>
      <c r="V1110" s="100"/>
      <c r="W1110" s="106"/>
      <c r="X1110" s="100"/>
      <c r="Y1110" s="100"/>
      <c r="Z1110" s="107"/>
      <c r="AA1110" s="108"/>
      <c r="AB1110" s="109"/>
      <c r="AC1110" s="110"/>
      <c r="AD1110" s="42" t="n">
        <v>0.0501</v>
      </c>
      <c r="AE1110" s="43" t="n">
        <v>0.9</v>
      </c>
    </row>
    <row r="1111" customFormat="false" ht="16.5" hidden="false" customHeight="true" outlineLevel="0" collapsed="false">
      <c r="A1111" s="111" t="n">
        <f aca="false">ROW(A1108)</f>
        <v>1108</v>
      </c>
      <c r="B1111" s="111" t="s">
        <v>466</v>
      </c>
      <c r="C1111" s="114" t="n">
        <v>1</v>
      </c>
      <c r="D1111" s="85"/>
      <c r="E1111" s="112" t="s">
        <v>2935</v>
      </c>
      <c r="F1111" s="113" t="s">
        <v>2931</v>
      </c>
      <c r="G1111" s="114" t="s">
        <v>2515</v>
      </c>
      <c r="H1111" s="114" t="s">
        <v>2862</v>
      </c>
      <c r="I1111" s="114" t="s">
        <v>292</v>
      </c>
      <c r="J1111" s="112" t="s">
        <v>471</v>
      </c>
      <c r="K1111" s="115" t="s">
        <v>2936</v>
      </c>
      <c r="L1111" s="116" t="n">
        <v>45777</v>
      </c>
      <c r="M1111" s="114" t="n">
        <v>13506</v>
      </c>
      <c r="N1111" s="114" t="n">
        <v>17151</v>
      </c>
      <c r="O1111" s="100" t="n">
        <v>3645</v>
      </c>
      <c r="P1111" s="100" t="n">
        <v>3536</v>
      </c>
      <c r="Q1111" s="100" t="n">
        <f aca="false">ROUND(SUM(P1109:P1111),2)</f>
        <v>3675</v>
      </c>
      <c r="R1111" s="117" t="n">
        <f aca="false">合約與計費!$D$4</f>
        <v>0.296</v>
      </c>
      <c r="S1111" s="118" t="n">
        <f aca="false">ROUND(P1111*R1111,0)</f>
        <v>1047</v>
      </c>
      <c r="T1111" s="105" t="n">
        <f aca="false">ROUND(SUM(S1109:S1111),2)</f>
        <v>1088</v>
      </c>
      <c r="U1111" s="114"/>
      <c r="V1111" s="114"/>
      <c r="W1111" s="120"/>
      <c r="X1111" s="114"/>
      <c r="Y1111" s="100" t="n">
        <f aca="false">ROUND(SUM(X1109:X1111),2)</f>
        <v>27</v>
      </c>
      <c r="Z1111" s="121"/>
      <c r="AA1111" s="108"/>
      <c r="AB1111" s="109" t="n">
        <f aca="false">ROUND(SUM(AA1109:AA1111),2)</f>
        <v>76</v>
      </c>
      <c r="AC1111" s="124"/>
      <c r="AD1111" s="42" t="n">
        <v>0.1272</v>
      </c>
      <c r="AE1111" s="43" t="n">
        <v>0.1</v>
      </c>
    </row>
    <row r="1112" customFormat="false" ht="16.5" hidden="false" customHeight="true" outlineLevel="0" collapsed="false">
      <c r="A1112" s="84" t="n">
        <f aca="false">ROW(A1109)</f>
        <v>1109</v>
      </c>
      <c r="B1112" s="84" t="s">
        <v>455</v>
      </c>
      <c r="C1112" s="32" t="n">
        <v>1</v>
      </c>
      <c r="D1112" s="85" t="n">
        <v>127</v>
      </c>
      <c r="E1112" s="86" t="s">
        <v>2937</v>
      </c>
      <c r="F1112" s="87" t="s">
        <v>2938</v>
      </c>
      <c r="G1112" s="32" t="s">
        <v>2515</v>
      </c>
      <c r="H1112" s="32" t="s">
        <v>2862</v>
      </c>
      <c r="I1112" s="32" t="s">
        <v>338</v>
      </c>
      <c r="J1112" s="86" t="s">
        <v>460</v>
      </c>
      <c r="K1112" s="88" t="s">
        <v>2939</v>
      </c>
      <c r="L1112" s="89" t="n">
        <v>45783</v>
      </c>
      <c r="M1112" s="32" t="n">
        <v>209</v>
      </c>
      <c r="N1112" s="32" t="n">
        <v>230</v>
      </c>
      <c r="O1112" s="32" t="n">
        <v>21</v>
      </c>
      <c r="P1112" s="32" t="n">
        <v>20</v>
      </c>
      <c r="Q1112" s="32"/>
      <c r="R1112" s="90" t="n">
        <f aca="false">合約與計費!$D$4</f>
        <v>0.296</v>
      </c>
      <c r="S1112" s="91" t="n">
        <f aca="false">ROUND(P1112*R1112,0)</f>
        <v>6</v>
      </c>
      <c r="T1112" s="92"/>
      <c r="U1112" s="32" t="n">
        <v>148</v>
      </c>
      <c r="V1112" s="32" t="n">
        <v>181</v>
      </c>
      <c r="W1112" s="32" t="n">
        <v>33</v>
      </c>
      <c r="X1112" s="32" t="n">
        <v>32</v>
      </c>
      <c r="Y1112" s="32"/>
      <c r="Z1112" s="93" t="n">
        <f aca="false">合約與計費!$E$4</f>
        <v>2.8</v>
      </c>
      <c r="AA1112" s="94" t="n">
        <f aca="false">ROUND(X1112*Z1112,0)</f>
        <v>90</v>
      </c>
      <c r="AB1112" s="95"/>
      <c r="AC1112" s="96"/>
      <c r="AD1112" s="42"/>
      <c r="AE1112" s="43"/>
    </row>
    <row r="1113" customFormat="false" ht="16.5" hidden="false" customHeight="true" outlineLevel="0" collapsed="false">
      <c r="A1113" s="97" t="n">
        <f aca="false">ROW(A1110)</f>
        <v>1110</v>
      </c>
      <c r="B1113" s="97" t="s">
        <v>462</v>
      </c>
      <c r="C1113" s="100" t="n">
        <v>1</v>
      </c>
      <c r="D1113" s="85"/>
      <c r="E1113" s="98" t="s">
        <v>2940</v>
      </c>
      <c r="F1113" s="99" t="s">
        <v>2938</v>
      </c>
      <c r="G1113" s="100" t="s">
        <v>2515</v>
      </c>
      <c r="H1113" s="100" t="s">
        <v>2862</v>
      </c>
      <c r="I1113" s="100" t="s">
        <v>338</v>
      </c>
      <c r="J1113" s="98" t="s">
        <v>464</v>
      </c>
      <c r="K1113" s="101" t="s">
        <v>2941</v>
      </c>
      <c r="L1113" s="102" t="n">
        <v>45783</v>
      </c>
      <c r="M1113" s="100" t="n">
        <v>828</v>
      </c>
      <c r="N1113" s="100" t="n">
        <v>1014</v>
      </c>
      <c r="O1113" s="100" t="n">
        <v>186</v>
      </c>
      <c r="P1113" s="100" t="n">
        <v>180</v>
      </c>
      <c r="Q1113" s="100"/>
      <c r="R1113" s="103" t="n">
        <f aca="false">合約與計費!$D$4</f>
        <v>0.296</v>
      </c>
      <c r="S1113" s="104" t="n">
        <f aca="false">ROUND(P1113*R1113,0)</f>
        <v>53</v>
      </c>
      <c r="T1113" s="105"/>
      <c r="U1113" s="100"/>
      <c r="V1113" s="100"/>
      <c r="W1113" s="106"/>
      <c r="X1113" s="100"/>
      <c r="Y1113" s="100"/>
      <c r="Z1113" s="107"/>
      <c r="AA1113" s="108"/>
      <c r="AB1113" s="109"/>
      <c r="AC1113" s="110"/>
      <c r="AD1113" s="42" t="n">
        <v>0.071</v>
      </c>
      <c r="AE1113" s="43" t="n">
        <v>0.5</v>
      </c>
    </row>
    <row r="1114" customFormat="false" ht="16.5" hidden="false" customHeight="true" outlineLevel="0" collapsed="false">
      <c r="A1114" s="97" t="n">
        <f aca="false">ROW(A1111)</f>
        <v>1111</v>
      </c>
      <c r="B1114" s="97" t="s">
        <v>466</v>
      </c>
      <c r="C1114" s="100" t="n">
        <v>1</v>
      </c>
      <c r="D1114" s="85"/>
      <c r="E1114" s="98" t="s">
        <v>2942</v>
      </c>
      <c r="F1114" s="99" t="s">
        <v>2938</v>
      </c>
      <c r="G1114" s="100" t="s">
        <v>2515</v>
      </c>
      <c r="H1114" s="100" t="s">
        <v>2862</v>
      </c>
      <c r="I1114" s="100" t="s">
        <v>338</v>
      </c>
      <c r="J1114" s="98" t="s">
        <v>471</v>
      </c>
      <c r="K1114" s="101" t="s">
        <v>2943</v>
      </c>
      <c r="L1114" s="102" t="n">
        <v>45783</v>
      </c>
      <c r="M1114" s="100" t="n">
        <v>8823</v>
      </c>
      <c r="N1114" s="100" t="n">
        <v>10825</v>
      </c>
      <c r="O1114" s="100" t="n">
        <v>2002</v>
      </c>
      <c r="P1114" s="100" t="n">
        <v>1942</v>
      </c>
      <c r="Q1114" s="100"/>
      <c r="R1114" s="103" t="n">
        <f aca="false">合約與計費!$D$4</f>
        <v>0.296</v>
      </c>
      <c r="S1114" s="104" t="n">
        <f aca="false">ROUND(P1114*R1114,0)</f>
        <v>575</v>
      </c>
      <c r="T1114" s="105"/>
      <c r="U1114" s="100"/>
      <c r="V1114" s="100"/>
      <c r="W1114" s="106"/>
      <c r="X1114" s="100"/>
      <c r="Y1114" s="100"/>
      <c r="Z1114" s="107"/>
      <c r="AA1114" s="108"/>
      <c r="AB1114" s="109"/>
      <c r="AC1114" s="110"/>
      <c r="AD1114" s="42" t="n">
        <v>0.0789</v>
      </c>
      <c r="AE1114" s="43" t="n">
        <v>1</v>
      </c>
    </row>
    <row r="1115" customFormat="false" ht="16.5" hidden="false" customHeight="true" outlineLevel="0" collapsed="false">
      <c r="A1115" s="111" t="n">
        <f aca="false">ROW(A1112)</f>
        <v>1112</v>
      </c>
      <c r="B1115" s="111" t="s">
        <v>469</v>
      </c>
      <c r="C1115" s="114" t="n">
        <v>1</v>
      </c>
      <c r="D1115" s="85"/>
      <c r="E1115" s="112" t="s">
        <v>2944</v>
      </c>
      <c r="F1115" s="113" t="s">
        <v>2938</v>
      </c>
      <c r="G1115" s="114" t="s">
        <v>2515</v>
      </c>
      <c r="H1115" s="114" t="s">
        <v>2862</v>
      </c>
      <c r="I1115" s="114" t="s">
        <v>338</v>
      </c>
      <c r="J1115" s="112" t="s">
        <v>471</v>
      </c>
      <c r="K1115" s="115" t="s">
        <v>2945</v>
      </c>
      <c r="L1115" s="116" t="n">
        <v>45783</v>
      </c>
      <c r="M1115" s="114" t="n">
        <v>12064</v>
      </c>
      <c r="N1115" s="114" t="n">
        <v>15350</v>
      </c>
      <c r="O1115" s="114" t="n">
        <v>3286</v>
      </c>
      <c r="P1115" s="114" t="n">
        <v>3187</v>
      </c>
      <c r="Q1115" s="114" t="n">
        <f aca="false">ROUND(SUM(P1112:P1115),2)</f>
        <v>5329</v>
      </c>
      <c r="R1115" s="117" t="n">
        <f aca="false">合約與計費!$D$4</f>
        <v>0.296</v>
      </c>
      <c r="S1115" s="118" t="n">
        <f aca="false">ROUND(P1115*R1115,0)</f>
        <v>943</v>
      </c>
      <c r="T1115" s="119" t="n">
        <f aca="false">ROUND(SUM(S1112:S1115),2)</f>
        <v>1577</v>
      </c>
      <c r="U1115" s="114"/>
      <c r="V1115" s="114"/>
      <c r="W1115" s="120"/>
      <c r="X1115" s="114"/>
      <c r="Y1115" s="114" t="n">
        <f aca="false">ROUND(SUM(X1112:X1115),2)</f>
        <v>32</v>
      </c>
      <c r="Z1115" s="121"/>
      <c r="AA1115" s="122"/>
      <c r="AB1115" s="123" t="n">
        <f aca="false">ROUND(SUM(AA1112:AA1115),2)</f>
        <v>90</v>
      </c>
      <c r="AC1115" s="124"/>
      <c r="AD1115" s="42" t="n">
        <v>0.2171</v>
      </c>
      <c r="AE1115" s="43" t="n">
        <v>0.1</v>
      </c>
    </row>
    <row r="1116" customFormat="false" ht="16.5" hidden="false" customHeight="true" outlineLevel="0" collapsed="false">
      <c r="A1116" s="84" t="n">
        <f aca="false">ROW(A1113)</f>
        <v>1113</v>
      </c>
      <c r="B1116" s="84" t="s">
        <v>455</v>
      </c>
      <c r="C1116" s="32" t="n">
        <v>1</v>
      </c>
      <c r="D1116" s="85" t="n">
        <v>210</v>
      </c>
      <c r="E1116" s="86" t="s">
        <v>2946</v>
      </c>
      <c r="F1116" s="87" t="s">
        <v>2947</v>
      </c>
      <c r="G1116" s="32" t="s">
        <v>2515</v>
      </c>
      <c r="H1116" s="32" t="s">
        <v>2862</v>
      </c>
      <c r="I1116" s="32" t="s">
        <v>237</v>
      </c>
      <c r="J1116" s="86" t="s">
        <v>460</v>
      </c>
      <c r="K1116" s="88" t="s">
        <v>2948</v>
      </c>
      <c r="L1116" s="89" t="n">
        <v>45777</v>
      </c>
      <c r="M1116" s="32" t="n">
        <v>39</v>
      </c>
      <c r="N1116" s="32" t="n">
        <v>41</v>
      </c>
      <c r="O1116" s="32" t="n">
        <v>2</v>
      </c>
      <c r="P1116" s="32" t="n">
        <v>2</v>
      </c>
      <c r="Q1116" s="32"/>
      <c r="R1116" s="90" t="n">
        <f aca="false">合約與計費!$D$4</f>
        <v>0.296</v>
      </c>
      <c r="S1116" s="91" t="n">
        <f aca="false">ROUND(P1116*R1116,0)</f>
        <v>1</v>
      </c>
      <c r="T1116" s="92"/>
      <c r="U1116" s="32" t="n">
        <v>73</v>
      </c>
      <c r="V1116" s="32" t="n">
        <v>133</v>
      </c>
      <c r="W1116" s="32" t="n">
        <v>60</v>
      </c>
      <c r="X1116" s="32" t="n">
        <v>58</v>
      </c>
      <c r="Y1116" s="32"/>
      <c r="Z1116" s="93" t="n">
        <f aca="false">合約與計費!$E$4</f>
        <v>2.8</v>
      </c>
      <c r="AA1116" s="94" t="n">
        <f aca="false">ROUND(X1116*Z1116,0)</f>
        <v>162</v>
      </c>
      <c r="AB1116" s="95"/>
      <c r="AC1116" s="96"/>
      <c r="AD1116" s="42"/>
      <c r="AE1116" s="43"/>
    </row>
    <row r="1117" customFormat="false" ht="16.5" hidden="false" customHeight="true" outlineLevel="0" collapsed="false">
      <c r="A1117" s="111" t="n">
        <f aca="false">ROW(A1114)</f>
        <v>1114</v>
      </c>
      <c r="B1117" s="111" t="s">
        <v>462</v>
      </c>
      <c r="C1117" s="114" t="n">
        <v>1</v>
      </c>
      <c r="D1117" s="85"/>
      <c r="E1117" s="112" t="s">
        <v>2949</v>
      </c>
      <c r="F1117" s="113" t="s">
        <v>2947</v>
      </c>
      <c r="G1117" s="114" t="s">
        <v>2515</v>
      </c>
      <c r="H1117" s="114" t="s">
        <v>2862</v>
      </c>
      <c r="I1117" s="114" t="s">
        <v>237</v>
      </c>
      <c r="J1117" s="112" t="s">
        <v>464</v>
      </c>
      <c r="K1117" s="236" t="s">
        <v>2950</v>
      </c>
      <c r="L1117" s="116" t="n">
        <v>45805</v>
      </c>
      <c r="M1117" s="114" t="n">
        <v>1308</v>
      </c>
      <c r="N1117" s="114" t="n">
        <v>1852</v>
      </c>
      <c r="O1117" s="114" t="n">
        <v>544</v>
      </c>
      <c r="P1117" s="114" t="n">
        <v>528</v>
      </c>
      <c r="Q1117" s="114" t="n">
        <f aca="false">ROUND(SUM(P1116:P1117),2)</f>
        <v>530</v>
      </c>
      <c r="R1117" s="117" t="n">
        <f aca="false">合約與計費!$D$4</f>
        <v>0.296</v>
      </c>
      <c r="S1117" s="118" t="n">
        <f aca="false">ROUND(P1117*R1117,0)</f>
        <v>156</v>
      </c>
      <c r="T1117" s="119" t="n">
        <f aca="false">ROUND(SUM(S1116:S1117),2)</f>
        <v>157</v>
      </c>
      <c r="U1117" s="114"/>
      <c r="V1117" s="114"/>
      <c r="W1117" s="120"/>
      <c r="X1117" s="114"/>
      <c r="Y1117" s="114" t="n">
        <f aca="false">ROUND(SUM(X1116:X1117),2)</f>
        <v>58</v>
      </c>
      <c r="Z1117" s="121"/>
      <c r="AA1117" s="122"/>
      <c r="AB1117" s="123" t="n">
        <f aca="false">ROUND(SUM(AA1116:AA1117),2)</f>
        <v>162</v>
      </c>
      <c r="AC1117" s="124"/>
      <c r="AD1117" s="42" t="n">
        <v>0.0597</v>
      </c>
      <c r="AE1117" s="43" t="n">
        <v>0.1</v>
      </c>
    </row>
    <row r="1118" customFormat="false" ht="16.5" hidden="false" customHeight="true" outlineLevel="0" collapsed="false">
      <c r="A1118" s="84" t="n">
        <f aca="false">ROW(A1115)</f>
        <v>1115</v>
      </c>
      <c r="B1118" s="84" t="s">
        <v>455</v>
      </c>
      <c r="C1118" s="32" t="n">
        <v>1</v>
      </c>
      <c r="D1118" s="85" t="n">
        <v>253</v>
      </c>
      <c r="E1118" s="86" t="s">
        <v>2951</v>
      </c>
      <c r="F1118" s="87" t="s">
        <v>2952</v>
      </c>
      <c r="G1118" s="32" t="s">
        <v>2515</v>
      </c>
      <c r="H1118" s="32" t="s">
        <v>2862</v>
      </c>
      <c r="I1118" s="172" t="s">
        <v>86</v>
      </c>
      <c r="J1118" s="86" t="s">
        <v>460</v>
      </c>
      <c r="K1118" s="88" t="s">
        <v>2953</v>
      </c>
      <c r="L1118" s="89" t="n">
        <v>45742</v>
      </c>
      <c r="M1118" s="32" t="n">
        <v>96</v>
      </c>
      <c r="N1118" s="32" t="n">
        <v>112</v>
      </c>
      <c r="O1118" s="32" t="n">
        <v>16</v>
      </c>
      <c r="P1118" s="32" t="n">
        <v>16</v>
      </c>
      <c r="Q1118" s="32"/>
      <c r="R1118" s="90" t="n">
        <f aca="false">合約與計費!$D$4</f>
        <v>0.296</v>
      </c>
      <c r="S1118" s="91" t="n">
        <f aca="false">ROUND(P1118*R1118,0)</f>
        <v>5</v>
      </c>
      <c r="T1118" s="92"/>
      <c r="U1118" s="32" t="n">
        <v>684</v>
      </c>
      <c r="V1118" s="32" t="n">
        <v>819</v>
      </c>
      <c r="W1118" s="32" t="n">
        <v>135</v>
      </c>
      <c r="X1118" s="32" t="n">
        <v>131</v>
      </c>
      <c r="Y1118" s="32"/>
      <c r="Z1118" s="93" t="n">
        <f aca="false">合約與計費!$E$4</f>
        <v>2.8</v>
      </c>
      <c r="AA1118" s="94" t="n">
        <f aca="false">ROUND(X1118*Z1118,0)</f>
        <v>367</v>
      </c>
      <c r="AB1118" s="95"/>
      <c r="AC1118" s="96"/>
      <c r="AD1118" s="42"/>
      <c r="AE1118" s="43"/>
    </row>
    <row r="1119" customFormat="false" ht="16.5" hidden="false" customHeight="true" outlineLevel="0" collapsed="false">
      <c r="A1119" s="97" t="n">
        <f aca="false">ROW(A1116)</f>
        <v>1116</v>
      </c>
      <c r="B1119" s="97" t="s">
        <v>462</v>
      </c>
      <c r="C1119" s="100" t="n">
        <v>1</v>
      </c>
      <c r="D1119" s="85"/>
      <c r="E1119" s="98" t="s">
        <v>2954</v>
      </c>
      <c r="F1119" s="99" t="s">
        <v>2952</v>
      </c>
      <c r="G1119" s="100" t="s">
        <v>2515</v>
      </c>
      <c r="H1119" s="100" t="s">
        <v>2862</v>
      </c>
      <c r="I1119" s="175" t="s">
        <v>86</v>
      </c>
      <c r="J1119" s="98" t="s">
        <v>464</v>
      </c>
      <c r="K1119" s="101" t="s">
        <v>2955</v>
      </c>
      <c r="L1119" s="102" t="n">
        <v>45742</v>
      </c>
      <c r="M1119" s="100" t="n">
        <v>4909</v>
      </c>
      <c r="N1119" s="100" t="n">
        <v>5855</v>
      </c>
      <c r="O1119" s="100" t="n">
        <v>946</v>
      </c>
      <c r="P1119" s="100" t="n">
        <v>918</v>
      </c>
      <c r="Q1119" s="100"/>
      <c r="R1119" s="103" t="n">
        <f aca="false">合約與計費!$D$4</f>
        <v>0.296</v>
      </c>
      <c r="S1119" s="104" t="n">
        <f aca="false">ROUND(P1119*R1119,0)</f>
        <v>272</v>
      </c>
      <c r="T1119" s="105"/>
      <c r="U1119" s="100"/>
      <c r="V1119" s="100"/>
      <c r="W1119" s="106"/>
      <c r="X1119" s="100"/>
      <c r="Y1119" s="100"/>
      <c r="Z1119" s="107"/>
      <c r="AA1119" s="108"/>
      <c r="AB1119" s="109"/>
      <c r="AC1119" s="110"/>
      <c r="AD1119" s="42" t="n">
        <v>0.058</v>
      </c>
      <c r="AE1119" s="43" t="n">
        <v>0.8</v>
      </c>
    </row>
    <row r="1120" customFormat="false" ht="16.5" hidden="false" customHeight="true" outlineLevel="0" collapsed="false">
      <c r="A1120" s="97" t="n">
        <f aca="false">ROW(A1117)</f>
        <v>1117</v>
      </c>
      <c r="B1120" s="97" t="s">
        <v>466</v>
      </c>
      <c r="C1120" s="100" t="n">
        <v>1</v>
      </c>
      <c r="D1120" s="85"/>
      <c r="E1120" s="98" t="s">
        <v>2956</v>
      </c>
      <c r="F1120" s="99" t="s">
        <v>2952</v>
      </c>
      <c r="G1120" s="100" t="s">
        <v>2515</v>
      </c>
      <c r="H1120" s="100" t="s">
        <v>2862</v>
      </c>
      <c r="I1120" s="175" t="s">
        <v>86</v>
      </c>
      <c r="J1120" s="98" t="s">
        <v>471</v>
      </c>
      <c r="K1120" s="101" t="s">
        <v>2957</v>
      </c>
      <c r="L1120" s="102" t="n">
        <v>45681</v>
      </c>
      <c r="M1120" s="100" t="n">
        <v>19787</v>
      </c>
      <c r="N1120" s="100" t="n">
        <v>22577</v>
      </c>
      <c r="O1120" s="100" t="n">
        <v>2790</v>
      </c>
      <c r="P1120" s="100" t="n">
        <v>2706</v>
      </c>
      <c r="Q1120" s="100"/>
      <c r="R1120" s="103" t="n">
        <f aca="false">合約與計費!$D$4</f>
        <v>0.296</v>
      </c>
      <c r="S1120" s="104" t="n">
        <f aca="false">ROUND(P1120*R1120,0)</f>
        <v>801</v>
      </c>
      <c r="T1120" s="105"/>
      <c r="U1120" s="100"/>
      <c r="V1120" s="100"/>
      <c r="W1120" s="106"/>
      <c r="X1120" s="100"/>
      <c r="Y1120" s="100"/>
      <c r="Z1120" s="107"/>
      <c r="AA1120" s="108"/>
      <c r="AB1120" s="109"/>
      <c r="AC1120" s="110"/>
      <c r="AD1120" s="42" t="n">
        <v>0.1067</v>
      </c>
      <c r="AE1120" s="43" t="n">
        <v>0.1</v>
      </c>
    </row>
    <row r="1121" customFormat="false" ht="16.5" hidden="false" customHeight="true" outlineLevel="0" collapsed="false">
      <c r="A1121" s="97" t="n">
        <f aca="false">ROW(A1118)</f>
        <v>1118</v>
      </c>
      <c r="B1121" s="97" t="s">
        <v>469</v>
      </c>
      <c r="C1121" s="100" t="n">
        <v>1</v>
      </c>
      <c r="D1121" s="85"/>
      <c r="E1121" s="98" t="s">
        <v>2958</v>
      </c>
      <c r="F1121" s="99" t="s">
        <v>2952</v>
      </c>
      <c r="G1121" s="100" t="s">
        <v>2515</v>
      </c>
      <c r="H1121" s="100" t="s">
        <v>2862</v>
      </c>
      <c r="I1121" s="175" t="s">
        <v>86</v>
      </c>
      <c r="J1121" s="98" t="s">
        <v>471</v>
      </c>
      <c r="K1121" s="101" t="s">
        <v>2959</v>
      </c>
      <c r="L1121" s="102" t="n">
        <v>45742</v>
      </c>
      <c r="M1121" s="100" t="n">
        <v>18511</v>
      </c>
      <c r="N1121" s="100" t="n">
        <v>23372</v>
      </c>
      <c r="O1121" s="100" t="n">
        <v>4861</v>
      </c>
      <c r="P1121" s="100" t="n">
        <v>4715</v>
      </c>
      <c r="Q1121" s="100"/>
      <c r="R1121" s="103" t="n">
        <f aca="false">合約與計費!$D$4</f>
        <v>0.296</v>
      </c>
      <c r="S1121" s="104" t="n">
        <f aca="false">ROUND(P1121*R1121,0)</f>
        <v>1396</v>
      </c>
      <c r="T1121" s="105"/>
      <c r="U1121" s="100"/>
      <c r="V1121" s="100"/>
      <c r="W1121" s="106"/>
      <c r="X1121" s="100"/>
      <c r="Y1121" s="100"/>
      <c r="Z1121" s="107"/>
      <c r="AA1121" s="108"/>
      <c r="AB1121" s="109"/>
      <c r="AC1121" s="110"/>
      <c r="AD1121" s="42" t="n">
        <v>0.0994</v>
      </c>
      <c r="AE1121" s="43" t="n">
        <v>0.5</v>
      </c>
    </row>
    <row r="1122" customFormat="false" ht="16.5" hidden="false" customHeight="true" outlineLevel="0" collapsed="false">
      <c r="A1122" s="97" t="n">
        <f aca="false">ROW(A1119)</f>
        <v>1119</v>
      </c>
      <c r="B1122" s="97" t="s">
        <v>473</v>
      </c>
      <c r="C1122" s="100" t="n">
        <v>1</v>
      </c>
      <c r="D1122" s="85"/>
      <c r="E1122" s="98" t="s">
        <v>2960</v>
      </c>
      <c r="F1122" s="99" t="s">
        <v>2952</v>
      </c>
      <c r="G1122" s="100" t="s">
        <v>2515</v>
      </c>
      <c r="H1122" s="100" t="s">
        <v>2862</v>
      </c>
      <c r="I1122" s="175" t="s">
        <v>86</v>
      </c>
      <c r="J1122" s="98" t="s">
        <v>471</v>
      </c>
      <c r="K1122" s="101" t="s">
        <v>2961</v>
      </c>
      <c r="L1122" s="102" t="n">
        <v>45742</v>
      </c>
      <c r="M1122" s="100" t="n">
        <v>17082</v>
      </c>
      <c r="N1122" s="100" t="n">
        <v>21594</v>
      </c>
      <c r="O1122" s="100" t="n">
        <v>4512</v>
      </c>
      <c r="P1122" s="100" t="n">
        <v>4377</v>
      </c>
      <c r="Q1122" s="100"/>
      <c r="R1122" s="103" t="n">
        <f aca="false">合約與計費!$D$4</f>
        <v>0.296</v>
      </c>
      <c r="S1122" s="104" t="n">
        <f aca="false">ROUND(P1122*R1122,0)</f>
        <v>1296</v>
      </c>
      <c r="T1122" s="105"/>
      <c r="U1122" s="100"/>
      <c r="V1122" s="100"/>
      <c r="W1122" s="106"/>
      <c r="X1122" s="100"/>
      <c r="Y1122" s="100"/>
      <c r="Z1122" s="107"/>
      <c r="AA1122" s="108"/>
      <c r="AB1122" s="109"/>
      <c r="AC1122" s="110"/>
      <c r="AD1122" s="42" t="n">
        <v>0.0956</v>
      </c>
      <c r="AE1122" s="43" t="n">
        <v>0.7</v>
      </c>
    </row>
    <row r="1123" customFormat="false" ht="16.5" hidden="false" customHeight="true" outlineLevel="0" collapsed="false">
      <c r="A1123" s="111" t="n">
        <f aca="false">ROW(A1120)</f>
        <v>1120</v>
      </c>
      <c r="B1123" s="111" t="s">
        <v>476</v>
      </c>
      <c r="C1123" s="114" t="n">
        <v>1</v>
      </c>
      <c r="D1123" s="85"/>
      <c r="E1123" s="112" t="s">
        <v>2962</v>
      </c>
      <c r="F1123" s="113" t="s">
        <v>2952</v>
      </c>
      <c r="G1123" s="114" t="s">
        <v>2515</v>
      </c>
      <c r="H1123" s="114" t="s">
        <v>2862</v>
      </c>
      <c r="I1123" s="173" t="s">
        <v>86</v>
      </c>
      <c r="J1123" s="112" t="s">
        <v>471</v>
      </c>
      <c r="K1123" s="115" t="s">
        <v>2963</v>
      </c>
      <c r="L1123" s="116" t="n">
        <v>45742</v>
      </c>
      <c r="M1123" s="114" t="n">
        <v>12764</v>
      </c>
      <c r="N1123" s="114" t="n">
        <v>16235</v>
      </c>
      <c r="O1123" s="114" t="n">
        <v>3471</v>
      </c>
      <c r="P1123" s="114" t="n">
        <v>3367</v>
      </c>
      <c r="Q1123" s="114" t="n">
        <f aca="false">ROUND(SUM(P1118:P1123),2)</f>
        <v>16099</v>
      </c>
      <c r="R1123" s="117" t="n">
        <f aca="false">合約與計費!$D$4</f>
        <v>0.296</v>
      </c>
      <c r="S1123" s="118" t="n">
        <f aca="false">ROUND(P1123*R1123,0)</f>
        <v>997</v>
      </c>
      <c r="T1123" s="119" t="n">
        <f aca="false">ROUND(SUM(S1118:S1123),2)</f>
        <v>4767</v>
      </c>
      <c r="U1123" s="114"/>
      <c r="V1123" s="114"/>
      <c r="W1123" s="120"/>
      <c r="X1123" s="114"/>
      <c r="Y1123" s="114" t="n">
        <f aca="false">ROUND(SUM(X1118:X1123),2)</f>
        <v>131</v>
      </c>
      <c r="Z1123" s="121"/>
      <c r="AA1123" s="122"/>
      <c r="AB1123" s="123" t="n">
        <f aca="false">ROUND(SUM(AA1118:AA1123),2)</f>
        <v>367</v>
      </c>
      <c r="AC1123" s="124"/>
      <c r="AD1123" s="42" t="n">
        <v>0.1897</v>
      </c>
      <c r="AE1123" s="43" t="n">
        <v>0.6</v>
      </c>
    </row>
    <row r="1124" customFormat="false" ht="16.5" hidden="false" customHeight="true" outlineLevel="0" collapsed="false">
      <c r="A1124" s="84" t="n">
        <f aca="false">ROW(A1121)</f>
        <v>1121</v>
      </c>
      <c r="B1124" s="84" t="s">
        <v>455</v>
      </c>
      <c r="C1124" s="32" t="n">
        <v>1</v>
      </c>
      <c r="D1124" s="85" t="n">
        <v>254</v>
      </c>
      <c r="E1124" s="86" t="s">
        <v>2964</v>
      </c>
      <c r="F1124" s="87" t="s">
        <v>2965</v>
      </c>
      <c r="G1124" s="32" t="s">
        <v>2515</v>
      </c>
      <c r="H1124" s="32" t="s">
        <v>2862</v>
      </c>
      <c r="I1124" s="172" t="s">
        <v>238</v>
      </c>
      <c r="J1124" s="86" t="s">
        <v>460</v>
      </c>
      <c r="K1124" s="88" t="s">
        <v>2966</v>
      </c>
      <c r="L1124" s="89" t="n">
        <v>45779</v>
      </c>
      <c r="M1124" s="32" t="n">
        <v>257</v>
      </c>
      <c r="N1124" s="32" t="n">
        <v>283</v>
      </c>
      <c r="O1124" s="32" t="n">
        <v>26</v>
      </c>
      <c r="P1124" s="32" t="n">
        <v>25</v>
      </c>
      <c r="Q1124" s="32"/>
      <c r="R1124" s="90" t="n">
        <f aca="false">合約與計費!$D$4</f>
        <v>0.296</v>
      </c>
      <c r="S1124" s="91" t="n">
        <f aca="false">ROUND(P1124*R1124,0)</f>
        <v>7</v>
      </c>
      <c r="T1124" s="92"/>
      <c r="U1124" s="32" t="n">
        <v>821</v>
      </c>
      <c r="V1124" s="32" t="n">
        <v>923</v>
      </c>
      <c r="W1124" s="32" t="n">
        <v>102</v>
      </c>
      <c r="X1124" s="32" t="n">
        <v>99</v>
      </c>
      <c r="Y1124" s="32"/>
      <c r="Z1124" s="93" t="n">
        <f aca="false">合約與計費!$E$4</f>
        <v>2.8</v>
      </c>
      <c r="AA1124" s="94" t="n">
        <f aca="false">ROUND(X1124*Z1124,0)</f>
        <v>277</v>
      </c>
      <c r="AB1124" s="95"/>
      <c r="AC1124" s="96"/>
      <c r="AD1124" s="42"/>
      <c r="AE1124" s="43"/>
    </row>
    <row r="1125" customFormat="false" ht="16.5" hidden="false" customHeight="true" outlineLevel="0" collapsed="false">
      <c r="A1125" s="97" t="n">
        <f aca="false">ROW(A1122)</f>
        <v>1122</v>
      </c>
      <c r="B1125" s="97" t="s">
        <v>462</v>
      </c>
      <c r="C1125" s="100" t="n">
        <v>1</v>
      </c>
      <c r="D1125" s="85"/>
      <c r="E1125" s="98" t="s">
        <v>2967</v>
      </c>
      <c r="F1125" s="99" t="s">
        <v>2965</v>
      </c>
      <c r="G1125" s="100" t="s">
        <v>2515</v>
      </c>
      <c r="H1125" s="100" t="s">
        <v>2862</v>
      </c>
      <c r="I1125" s="175" t="s">
        <v>238</v>
      </c>
      <c r="J1125" s="98" t="s">
        <v>464</v>
      </c>
      <c r="K1125" s="101" t="s">
        <v>2968</v>
      </c>
      <c r="L1125" s="102" t="n">
        <v>45779</v>
      </c>
      <c r="M1125" s="100" t="n">
        <v>12625</v>
      </c>
      <c r="N1125" s="100" t="n">
        <v>14634</v>
      </c>
      <c r="O1125" s="100" t="n">
        <v>2009</v>
      </c>
      <c r="P1125" s="100" t="n">
        <v>1949</v>
      </c>
      <c r="Q1125" s="100"/>
      <c r="R1125" s="103" t="n">
        <f aca="false">合約與計費!$D$4</f>
        <v>0.296</v>
      </c>
      <c r="S1125" s="104" t="n">
        <f aca="false">ROUND(P1125*R1125,0)</f>
        <v>577</v>
      </c>
      <c r="T1125" s="105"/>
      <c r="U1125" s="100"/>
      <c r="V1125" s="100"/>
      <c r="W1125" s="106"/>
      <c r="X1125" s="100"/>
      <c r="Y1125" s="100"/>
      <c r="Z1125" s="107"/>
      <c r="AA1125" s="108"/>
      <c r="AB1125" s="109"/>
      <c r="AC1125" s="110"/>
      <c r="AD1125" s="42" t="n">
        <v>0.0445</v>
      </c>
      <c r="AE1125" s="43" t="n">
        <v>0.3</v>
      </c>
    </row>
    <row r="1126" customFormat="false" ht="16.5" hidden="false" customHeight="true" outlineLevel="0" collapsed="false">
      <c r="A1126" s="97" t="n">
        <f aca="false">ROW(A1123)</f>
        <v>1123</v>
      </c>
      <c r="B1126" s="97" t="s">
        <v>466</v>
      </c>
      <c r="C1126" s="100" t="n">
        <v>1</v>
      </c>
      <c r="D1126" s="85"/>
      <c r="E1126" s="98" t="s">
        <v>2969</v>
      </c>
      <c r="F1126" s="99" t="s">
        <v>2965</v>
      </c>
      <c r="G1126" s="100" t="s">
        <v>2515</v>
      </c>
      <c r="H1126" s="100" t="s">
        <v>2862</v>
      </c>
      <c r="I1126" s="175" t="s">
        <v>238</v>
      </c>
      <c r="J1126" s="98" t="s">
        <v>464</v>
      </c>
      <c r="K1126" s="101" t="s">
        <v>2970</v>
      </c>
      <c r="L1126" s="102" t="n">
        <v>45779</v>
      </c>
      <c r="M1126" s="100" t="n">
        <v>4007</v>
      </c>
      <c r="N1126" s="100" t="n">
        <v>4879</v>
      </c>
      <c r="O1126" s="100" t="n">
        <v>872</v>
      </c>
      <c r="P1126" s="100" t="n">
        <v>846</v>
      </c>
      <c r="Q1126" s="100"/>
      <c r="R1126" s="103" t="n">
        <f aca="false">合約與計費!$D$4</f>
        <v>0.296</v>
      </c>
      <c r="S1126" s="104" t="n">
        <f aca="false">ROUND(P1126*R1126,0)</f>
        <v>250</v>
      </c>
      <c r="T1126" s="105"/>
      <c r="U1126" s="100"/>
      <c r="V1126" s="100"/>
      <c r="W1126" s="106"/>
      <c r="X1126" s="100"/>
      <c r="Y1126" s="100"/>
      <c r="Z1126" s="107"/>
      <c r="AA1126" s="108"/>
      <c r="AB1126" s="109"/>
      <c r="AC1126" s="110"/>
      <c r="AD1126" s="42" t="n">
        <v>0.0765</v>
      </c>
      <c r="AE1126" s="43" t="n">
        <v>0.6</v>
      </c>
    </row>
    <row r="1127" customFormat="false" ht="16.5" hidden="false" customHeight="true" outlineLevel="0" collapsed="false">
      <c r="A1127" s="97" t="n">
        <f aca="false">ROW(A1124)</f>
        <v>1124</v>
      </c>
      <c r="B1127" s="97" t="s">
        <v>469</v>
      </c>
      <c r="C1127" s="100" t="n">
        <v>1</v>
      </c>
      <c r="D1127" s="85"/>
      <c r="E1127" s="98" t="s">
        <v>2971</v>
      </c>
      <c r="F1127" s="99" t="s">
        <v>2965</v>
      </c>
      <c r="G1127" s="100" t="s">
        <v>2515</v>
      </c>
      <c r="H1127" s="100" t="s">
        <v>2862</v>
      </c>
      <c r="I1127" s="175" t="s">
        <v>238</v>
      </c>
      <c r="J1127" s="98" t="s">
        <v>471</v>
      </c>
      <c r="K1127" s="101" t="s">
        <v>2972</v>
      </c>
      <c r="L1127" s="102" t="n">
        <v>45779</v>
      </c>
      <c r="M1127" s="100" t="n">
        <v>20</v>
      </c>
      <c r="N1127" s="100" t="n">
        <v>24</v>
      </c>
      <c r="O1127" s="100" t="n">
        <v>4</v>
      </c>
      <c r="P1127" s="100" t="n">
        <v>4</v>
      </c>
      <c r="Q1127" s="100"/>
      <c r="R1127" s="103" t="n">
        <f aca="false">合約與計費!$D$4</f>
        <v>0.296</v>
      </c>
      <c r="S1127" s="104" t="n">
        <f aca="false">ROUND(P1127*R1127,0)</f>
        <v>1</v>
      </c>
      <c r="T1127" s="105"/>
      <c r="U1127" s="100"/>
      <c r="V1127" s="100"/>
      <c r="W1127" s="106"/>
      <c r="X1127" s="100"/>
      <c r="Y1127" s="100"/>
      <c r="Z1127" s="107"/>
      <c r="AA1127" s="108"/>
      <c r="AB1127" s="109"/>
      <c r="AC1127" s="110"/>
      <c r="AD1127" s="42" t="n">
        <v>0.0483</v>
      </c>
      <c r="AE1127" s="43" t="n">
        <v>1</v>
      </c>
    </row>
    <row r="1128" customFormat="false" ht="16.5" hidden="false" customHeight="true" outlineLevel="0" collapsed="false">
      <c r="A1128" s="97" t="n">
        <f aca="false">ROW(A1125)</f>
        <v>1125</v>
      </c>
      <c r="B1128" s="97" t="s">
        <v>473</v>
      </c>
      <c r="C1128" s="100" t="n">
        <v>1</v>
      </c>
      <c r="D1128" s="85"/>
      <c r="E1128" s="98" t="s">
        <v>2973</v>
      </c>
      <c r="F1128" s="99" t="s">
        <v>2965</v>
      </c>
      <c r="G1128" s="100" t="s">
        <v>2515</v>
      </c>
      <c r="H1128" s="100" t="s">
        <v>2862</v>
      </c>
      <c r="I1128" s="175" t="s">
        <v>238</v>
      </c>
      <c r="J1128" s="98" t="s">
        <v>471</v>
      </c>
      <c r="K1128" s="101" t="s">
        <v>2974</v>
      </c>
      <c r="L1128" s="102" t="n">
        <v>45779</v>
      </c>
      <c r="M1128" s="100" t="n">
        <v>7777</v>
      </c>
      <c r="N1128" s="100" t="n">
        <v>8908</v>
      </c>
      <c r="O1128" s="100" t="n">
        <v>1131</v>
      </c>
      <c r="P1128" s="100" t="n">
        <v>1097</v>
      </c>
      <c r="Q1128" s="100"/>
      <c r="R1128" s="103" t="n">
        <f aca="false">合約與計費!$D$4</f>
        <v>0.296</v>
      </c>
      <c r="S1128" s="104" t="n">
        <f aca="false">ROUND(P1128*R1128,0)</f>
        <v>325</v>
      </c>
      <c r="T1128" s="105"/>
      <c r="U1128" s="100"/>
      <c r="V1128" s="100"/>
      <c r="W1128" s="106"/>
      <c r="X1128" s="100"/>
      <c r="Y1128" s="100"/>
      <c r="Z1128" s="107"/>
      <c r="AA1128" s="108"/>
      <c r="AB1128" s="109"/>
      <c r="AC1128" s="110"/>
      <c r="AD1128" s="42" t="n">
        <v>0.3472</v>
      </c>
      <c r="AE1128" s="43" t="n">
        <v>0.1</v>
      </c>
    </row>
    <row r="1129" customFormat="false" ht="16.5" hidden="false" customHeight="true" outlineLevel="0" collapsed="false">
      <c r="A1129" s="97" t="n">
        <f aca="false">ROW(A1126)</f>
        <v>1126</v>
      </c>
      <c r="B1129" s="97" t="s">
        <v>476</v>
      </c>
      <c r="C1129" s="100" t="n">
        <v>1</v>
      </c>
      <c r="D1129" s="85"/>
      <c r="E1129" s="98" t="s">
        <v>2975</v>
      </c>
      <c r="F1129" s="99" t="s">
        <v>2965</v>
      </c>
      <c r="G1129" s="100" t="s">
        <v>2515</v>
      </c>
      <c r="H1129" s="100" t="s">
        <v>2862</v>
      </c>
      <c r="I1129" s="175" t="s">
        <v>238</v>
      </c>
      <c r="J1129" s="98" t="s">
        <v>471</v>
      </c>
      <c r="K1129" s="101" t="s">
        <v>2976</v>
      </c>
      <c r="L1129" s="102" t="n">
        <v>45779</v>
      </c>
      <c r="M1129" s="100" t="n">
        <v>8380</v>
      </c>
      <c r="N1129" s="100" t="n">
        <v>9213</v>
      </c>
      <c r="O1129" s="100" t="n">
        <v>833</v>
      </c>
      <c r="P1129" s="100" t="n">
        <v>808</v>
      </c>
      <c r="Q1129" s="100"/>
      <c r="R1129" s="103" t="n">
        <f aca="false">合約與計費!$D$4</f>
        <v>0.296</v>
      </c>
      <c r="S1129" s="104" t="n">
        <f aca="false">ROUND(P1129*R1129,0)</f>
        <v>239</v>
      </c>
      <c r="T1129" s="105"/>
      <c r="U1129" s="100"/>
      <c r="V1129" s="100"/>
      <c r="W1129" s="106"/>
      <c r="X1129" s="100"/>
      <c r="Y1129" s="100"/>
      <c r="Z1129" s="107"/>
      <c r="AA1129" s="108"/>
      <c r="AB1129" s="109"/>
      <c r="AC1129" s="110"/>
      <c r="AD1129" s="42" t="n">
        <v>0.1008</v>
      </c>
      <c r="AE1129" s="43" t="n">
        <v>0.1</v>
      </c>
    </row>
    <row r="1130" customFormat="false" ht="16.5" hidden="false" customHeight="true" outlineLevel="0" collapsed="false">
      <c r="A1130" s="97" t="n">
        <f aca="false">ROW(A1127)</f>
        <v>1127</v>
      </c>
      <c r="B1130" s="97" t="s">
        <v>479</v>
      </c>
      <c r="C1130" s="100" t="n">
        <v>1</v>
      </c>
      <c r="D1130" s="85"/>
      <c r="E1130" s="98" t="s">
        <v>2977</v>
      </c>
      <c r="F1130" s="99" t="s">
        <v>2965</v>
      </c>
      <c r="G1130" s="100" t="s">
        <v>2515</v>
      </c>
      <c r="H1130" s="100" t="s">
        <v>2862</v>
      </c>
      <c r="I1130" s="175" t="s">
        <v>238</v>
      </c>
      <c r="J1130" s="98" t="s">
        <v>471</v>
      </c>
      <c r="K1130" s="101" t="s">
        <v>2978</v>
      </c>
      <c r="L1130" s="102" t="n">
        <v>45779</v>
      </c>
      <c r="M1130" s="100" t="n">
        <v>2291</v>
      </c>
      <c r="N1130" s="100" t="n">
        <v>2550</v>
      </c>
      <c r="O1130" s="100" t="n">
        <v>259</v>
      </c>
      <c r="P1130" s="100" t="n">
        <v>251</v>
      </c>
      <c r="Q1130" s="100"/>
      <c r="R1130" s="103" t="n">
        <f aca="false">合約與計費!$D$4</f>
        <v>0.296</v>
      </c>
      <c r="S1130" s="104" t="n">
        <f aca="false">ROUND(P1130*R1130,0)</f>
        <v>74</v>
      </c>
      <c r="T1130" s="105"/>
      <c r="U1130" s="100"/>
      <c r="V1130" s="100"/>
      <c r="W1130" s="106"/>
      <c r="X1130" s="100"/>
      <c r="Y1130" s="100"/>
      <c r="Z1130" s="107"/>
      <c r="AA1130" s="108"/>
      <c r="AB1130" s="109"/>
      <c r="AC1130" s="110"/>
      <c r="AD1130" s="42" t="n">
        <v>0.0936</v>
      </c>
      <c r="AE1130" s="43" t="n">
        <v>0.8</v>
      </c>
    </row>
    <row r="1131" customFormat="false" ht="16.5" hidden="false" customHeight="true" outlineLevel="0" collapsed="false">
      <c r="A1131" s="97" t="n">
        <f aca="false">ROW(A1128)</f>
        <v>1128</v>
      </c>
      <c r="B1131" s="97" t="s">
        <v>482</v>
      </c>
      <c r="C1131" s="100" t="n">
        <v>1</v>
      </c>
      <c r="D1131" s="85"/>
      <c r="E1131" s="98" t="s">
        <v>2979</v>
      </c>
      <c r="F1131" s="99" t="s">
        <v>2965</v>
      </c>
      <c r="G1131" s="100" t="s">
        <v>2515</v>
      </c>
      <c r="H1131" s="100" t="s">
        <v>2862</v>
      </c>
      <c r="I1131" s="175" t="s">
        <v>238</v>
      </c>
      <c r="J1131" s="98" t="s">
        <v>471</v>
      </c>
      <c r="K1131" s="101" t="s">
        <v>2980</v>
      </c>
      <c r="L1131" s="102" t="n">
        <v>45779</v>
      </c>
      <c r="M1131" s="100" t="n">
        <v>2967</v>
      </c>
      <c r="N1131" s="100" t="n">
        <v>3352</v>
      </c>
      <c r="O1131" s="100" t="n">
        <v>385</v>
      </c>
      <c r="P1131" s="100" t="n">
        <v>373</v>
      </c>
      <c r="Q1131" s="100"/>
      <c r="R1131" s="103" t="n">
        <f aca="false">合約與計費!$D$4</f>
        <v>0.296</v>
      </c>
      <c r="S1131" s="104" t="n">
        <f aca="false">ROUND(P1131*R1131,0)</f>
        <v>110</v>
      </c>
      <c r="T1131" s="105"/>
      <c r="U1131" s="100"/>
      <c r="V1131" s="100"/>
      <c r="W1131" s="106"/>
      <c r="X1131" s="100"/>
      <c r="Y1131" s="100"/>
      <c r="Z1131" s="107"/>
      <c r="AA1131" s="108"/>
      <c r="AB1131" s="109"/>
      <c r="AC1131" s="110"/>
      <c r="AD1131" s="42" t="n">
        <v>0.0467</v>
      </c>
      <c r="AE1131" s="43" t="n">
        <v>1</v>
      </c>
    </row>
    <row r="1132" customFormat="false" ht="16.5" hidden="false" customHeight="true" outlineLevel="0" collapsed="false">
      <c r="A1132" s="97" t="n">
        <f aca="false">ROW(A1129)</f>
        <v>1129</v>
      </c>
      <c r="B1132" s="97" t="s">
        <v>485</v>
      </c>
      <c r="C1132" s="100" t="n">
        <v>1</v>
      </c>
      <c r="D1132" s="85"/>
      <c r="E1132" s="98" t="s">
        <v>2981</v>
      </c>
      <c r="F1132" s="99" t="s">
        <v>2965</v>
      </c>
      <c r="G1132" s="100" t="s">
        <v>2515</v>
      </c>
      <c r="H1132" s="100" t="s">
        <v>2862</v>
      </c>
      <c r="I1132" s="175" t="s">
        <v>238</v>
      </c>
      <c r="J1132" s="98" t="s">
        <v>471</v>
      </c>
      <c r="K1132" s="101" t="s">
        <v>2982</v>
      </c>
      <c r="L1132" s="102" t="n">
        <v>45779</v>
      </c>
      <c r="M1132" s="100" t="n">
        <v>9420</v>
      </c>
      <c r="N1132" s="100" t="n">
        <v>10541</v>
      </c>
      <c r="O1132" s="100" t="n">
        <v>1121</v>
      </c>
      <c r="P1132" s="100" t="n">
        <v>1087</v>
      </c>
      <c r="Q1132" s="100"/>
      <c r="R1132" s="103" t="n">
        <f aca="false">合約與計費!$D$4</f>
        <v>0.296</v>
      </c>
      <c r="S1132" s="104" t="n">
        <f aca="false">ROUND(P1132*R1132,0)</f>
        <v>322</v>
      </c>
      <c r="T1132" s="105"/>
      <c r="U1132" s="100"/>
      <c r="V1132" s="100"/>
      <c r="W1132" s="106"/>
      <c r="X1132" s="100"/>
      <c r="Y1132" s="100"/>
      <c r="Z1132" s="107"/>
      <c r="AA1132" s="108"/>
      <c r="AB1132" s="109"/>
      <c r="AC1132" s="110"/>
      <c r="AD1132" s="42" t="n">
        <v>0.1118</v>
      </c>
      <c r="AE1132" s="43" t="n">
        <v>0.3</v>
      </c>
    </row>
    <row r="1133" customFormat="false" ht="16.5" hidden="false" customHeight="true" outlineLevel="0" collapsed="false">
      <c r="A1133" s="97" t="n">
        <f aca="false">ROW(A1130)</f>
        <v>1130</v>
      </c>
      <c r="B1133" s="97" t="n">
        <v>10</v>
      </c>
      <c r="C1133" s="100" t="n">
        <v>1</v>
      </c>
      <c r="D1133" s="85"/>
      <c r="E1133" s="98" t="s">
        <v>2983</v>
      </c>
      <c r="F1133" s="99" t="s">
        <v>2965</v>
      </c>
      <c r="G1133" s="100" t="s">
        <v>2515</v>
      </c>
      <c r="H1133" s="100" t="s">
        <v>2862</v>
      </c>
      <c r="I1133" s="175" t="s">
        <v>238</v>
      </c>
      <c r="J1133" s="98" t="s">
        <v>471</v>
      </c>
      <c r="K1133" s="101" t="s">
        <v>2984</v>
      </c>
      <c r="L1133" s="102" t="n">
        <v>45779</v>
      </c>
      <c r="M1133" s="100" t="n">
        <v>2335</v>
      </c>
      <c r="N1133" s="100" t="n">
        <v>3123</v>
      </c>
      <c r="O1133" s="100" t="n">
        <v>788</v>
      </c>
      <c r="P1133" s="100" t="n">
        <v>764</v>
      </c>
      <c r="Q1133" s="100"/>
      <c r="R1133" s="103" t="n">
        <f aca="false">合約與計費!$D$4</f>
        <v>0.296</v>
      </c>
      <c r="S1133" s="104" t="n">
        <f aca="false">ROUND(P1133*R1133,0)</f>
        <v>226</v>
      </c>
      <c r="T1133" s="105"/>
      <c r="U1133" s="100"/>
      <c r="V1133" s="100"/>
      <c r="W1133" s="106"/>
      <c r="X1133" s="100"/>
      <c r="Y1133" s="100"/>
      <c r="Z1133" s="107"/>
      <c r="AA1133" s="108"/>
      <c r="AB1133" s="109"/>
      <c r="AC1133" s="110"/>
      <c r="AD1133" s="42" t="n">
        <v>0.0777</v>
      </c>
      <c r="AE1133" s="43" t="n">
        <v>0.9</v>
      </c>
    </row>
    <row r="1134" customFormat="false" ht="16.5" hidden="false" customHeight="true" outlineLevel="0" collapsed="false">
      <c r="A1134" s="111" t="n">
        <f aca="false">ROW(A1131)</f>
        <v>1131</v>
      </c>
      <c r="B1134" s="111" t="n">
        <v>11</v>
      </c>
      <c r="C1134" s="114" t="n">
        <v>1</v>
      </c>
      <c r="D1134" s="85"/>
      <c r="E1134" s="112" t="s">
        <v>2985</v>
      </c>
      <c r="F1134" s="113" t="s">
        <v>2965</v>
      </c>
      <c r="G1134" s="114" t="s">
        <v>2515</v>
      </c>
      <c r="H1134" s="114" t="s">
        <v>2862</v>
      </c>
      <c r="I1134" s="173" t="s">
        <v>238</v>
      </c>
      <c r="J1134" s="112" t="s">
        <v>471</v>
      </c>
      <c r="K1134" s="115" t="s">
        <v>2986</v>
      </c>
      <c r="L1134" s="116" t="n">
        <v>45779</v>
      </c>
      <c r="M1134" s="114" t="n">
        <v>11254</v>
      </c>
      <c r="N1134" s="114" t="n">
        <v>13920</v>
      </c>
      <c r="O1134" s="100" t="n">
        <v>2666</v>
      </c>
      <c r="P1134" s="100" t="n">
        <v>2586</v>
      </c>
      <c r="Q1134" s="100" t="n">
        <f aca="false">ROUND(SUM(P1124:P1134),2)</f>
        <v>9790</v>
      </c>
      <c r="R1134" s="117" t="n">
        <f aca="false">合約與計費!$D$4</f>
        <v>0.296</v>
      </c>
      <c r="S1134" s="118" t="n">
        <f aca="false">ROUND(P1134*R1134,0)</f>
        <v>765</v>
      </c>
      <c r="T1134" s="105" t="n">
        <f aca="false">ROUND(SUM(S1124:S1134),2)</f>
        <v>2896</v>
      </c>
      <c r="U1134" s="114"/>
      <c r="V1134" s="114"/>
      <c r="W1134" s="120"/>
      <c r="X1134" s="114"/>
      <c r="Y1134" s="100" t="n">
        <f aca="false">ROUND(SUM(X1124:X1134),2)</f>
        <v>99</v>
      </c>
      <c r="Z1134" s="121"/>
      <c r="AA1134" s="108"/>
      <c r="AB1134" s="109" t="n">
        <f aca="false">ROUND(SUM(AA1124:AA1134),2)</f>
        <v>277</v>
      </c>
      <c r="AC1134" s="124"/>
      <c r="AD1134" s="42" t="n">
        <v>0.1002</v>
      </c>
      <c r="AE1134" s="43" t="n">
        <v>0.5</v>
      </c>
    </row>
    <row r="1135" customFormat="false" ht="16.5" hidden="false" customHeight="true" outlineLevel="0" collapsed="false">
      <c r="A1135" s="84" t="n">
        <f aca="false">ROW(A1132)</f>
        <v>1132</v>
      </c>
      <c r="B1135" s="84" t="s">
        <v>455</v>
      </c>
      <c r="C1135" s="32" t="n">
        <v>1</v>
      </c>
      <c r="D1135" s="85" t="n">
        <v>335</v>
      </c>
      <c r="E1135" s="233" t="s">
        <v>2987</v>
      </c>
      <c r="F1135" s="87" t="s">
        <v>2988</v>
      </c>
      <c r="G1135" s="32" t="s">
        <v>2515</v>
      </c>
      <c r="H1135" s="32" t="s">
        <v>2862</v>
      </c>
      <c r="I1135" s="172" t="s">
        <v>35</v>
      </c>
      <c r="J1135" s="86" t="s">
        <v>460</v>
      </c>
      <c r="K1135" s="88" t="s">
        <v>2989</v>
      </c>
      <c r="L1135" s="89" t="n">
        <v>45783</v>
      </c>
      <c r="M1135" s="32" t="n">
        <v>2926</v>
      </c>
      <c r="N1135" s="32" t="n">
        <v>3662</v>
      </c>
      <c r="O1135" s="32" t="n">
        <v>736</v>
      </c>
      <c r="P1135" s="32" t="n">
        <v>714</v>
      </c>
      <c r="Q1135" s="32"/>
      <c r="R1135" s="90" t="n">
        <f aca="false">合約與計費!$D$4</f>
        <v>0.296</v>
      </c>
      <c r="S1135" s="91" t="n">
        <f aca="false">ROUND(P1135*R1135,0)</f>
        <v>211</v>
      </c>
      <c r="T1135" s="92"/>
      <c r="U1135" s="32" t="n">
        <v>46</v>
      </c>
      <c r="V1135" s="32" t="n">
        <v>75</v>
      </c>
      <c r="W1135" s="32" t="n">
        <v>29</v>
      </c>
      <c r="X1135" s="32" t="n">
        <v>28</v>
      </c>
      <c r="Y1135" s="32"/>
      <c r="Z1135" s="93" t="n">
        <f aca="false">合約與計費!$E$4</f>
        <v>2.8</v>
      </c>
      <c r="AA1135" s="94" t="n">
        <f aca="false">ROUND(X1135*Z1135,0)</f>
        <v>78</v>
      </c>
      <c r="AB1135" s="95"/>
      <c r="AC1135" s="96"/>
      <c r="AD1135" s="42"/>
      <c r="AE1135" s="43"/>
    </row>
    <row r="1136" customFormat="false" ht="16.5" hidden="false" customHeight="true" outlineLevel="0" collapsed="false">
      <c r="A1136" s="97" t="n">
        <f aca="false">ROW(A1133)</f>
        <v>1133</v>
      </c>
      <c r="B1136" s="97" t="s">
        <v>462</v>
      </c>
      <c r="C1136" s="100" t="n">
        <v>1</v>
      </c>
      <c r="D1136" s="85"/>
      <c r="E1136" s="234" t="s">
        <v>2990</v>
      </c>
      <c r="F1136" s="99" t="s">
        <v>2988</v>
      </c>
      <c r="G1136" s="100" t="s">
        <v>2515</v>
      </c>
      <c r="H1136" s="100" t="s">
        <v>2862</v>
      </c>
      <c r="I1136" s="175" t="s">
        <v>35</v>
      </c>
      <c r="J1136" s="98" t="s">
        <v>464</v>
      </c>
      <c r="K1136" s="101" t="s">
        <v>2991</v>
      </c>
      <c r="L1136" s="102" t="n">
        <v>45783</v>
      </c>
      <c r="M1136" s="100" t="n">
        <v>5563</v>
      </c>
      <c r="N1136" s="100" t="n">
        <v>6498</v>
      </c>
      <c r="O1136" s="100" t="n">
        <v>935</v>
      </c>
      <c r="P1136" s="100" t="n">
        <v>907</v>
      </c>
      <c r="Q1136" s="100"/>
      <c r="R1136" s="103" t="n">
        <f aca="false">合約與計費!$D$4</f>
        <v>0.296</v>
      </c>
      <c r="S1136" s="104" t="n">
        <f aca="false">ROUND(P1136*R1136,0)</f>
        <v>268</v>
      </c>
      <c r="T1136" s="105"/>
      <c r="U1136" s="100"/>
      <c r="V1136" s="100"/>
      <c r="W1136" s="106"/>
      <c r="X1136" s="100"/>
      <c r="Y1136" s="100"/>
      <c r="Z1136" s="107"/>
      <c r="AA1136" s="108"/>
      <c r="AB1136" s="109"/>
      <c r="AC1136" s="110"/>
      <c r="AD1136" s="42" t="n">
        <v>0.0584</v>
      </c>
      <c r="AE1136" s="43" t="n">
        <v>0.7</v>
      </c>
    </row>
    <row r="1137" customFormat="false" ht="16.5" hidden="false" customHeight="true" outlineLevel="0" collapsed="false">
      <c r="A1137" s="97" t="n">
        <f aca="false">ROW(A1134)</f>
        <v>1134</v>
      </c>
      <c r="B1137" s="97" t="s">
        <v>466</v>
      </c>
      <c r="C1137" s="100" t="n">
        <v>1</v>
      </c>
      <c r="D1137" s="85"/>
      <c r="E1137" s="234" t="s">
        <v>2992</v>
      </c>
      <c r="F1137" s="99" t="s">
        <v>2988</v>
      </c>
      <c r="G1137" s="100" t="s">
        <v>2515</v>
      </c>
      <c r="H1137" s="100" t="s">
        <v>2862</v>
      </c>
      <c r="I1137" s="175" t="s">
        <v>35</v>
      </c>
      <c r="J1137" s="98" t="s">
        <v>471</v>
      </c>
      <c r="K1137" s="101" t="s">
        <v>2993</v>
      </c>
      <c r="L1137" s="102" t="n">
        <v>45814</v>
      </c>
      <c r="M1137" s="100" t="n">
        <v>7778</v>
      </c>
      <c r="N1137" s="100" t="n">
        <v>9143</v>
      </c>
      <c r="O1137" s="100" t="n">
        <v>1365</v>
      </c>
      <c r="P1137" s="100" t="n">
        <v>1324</v>
      </c>
      <c r="Q1137" s="100"/>
      <c r="R1137" s="103" t="n">
        <f aca="false">合約與計費!$D$4</f>
        <v>0.296</v>
      </c>
      <c r="S1137" s="104" t="n">
        <f aca="false">ROUND(P1137*R1137,0)</f>
        <v>392</v>
      </c>
      <c r="T1137" s="105"/>
      <c r="U1137" s="100"/>
      <c r="V1137" s="100"/>
      <c r="W1137" s="106"/>
      <c r="X1137" s="100"/>
      <c r="Y1137" s="100"/>
      <c r="Z1137" s="107"/>
      <c r="AA1137" s="108"/>
      <c r="AB1137" s="109"/>
      <c r="AC1137" s="110"/>
      <c r="AD1137" s="42" t="n">
        <v>0.3177</v>
      </c>
      <c r="AE1137" s="43" t="n">
        <v>0</v>
      </c>
    </row>
    <row r="1138" customFormat="false" ht="16.5" hidden="false" customHeight="true" outlineLevel="0" collapsed="false">
      <c r="A1138" s="97" t="n">
        <f aca="false">ROW(A1135)</f>
        <v>1135</v>
      </c>
      <c r="B1138" s="97" t="s">
        <v>469</v>
      </c>
      <c r="C1138" s="100" t="n">
        <v>1</v>
      </c>
      <c r="D1138" s="85"/>
      <c r="E1138" s="234" t="s">
        <v>2994</v>
      </c>
      <c r="F1138" s="99" t="s">
        <v>2988</v>
      </c>
      <c r="G1138" s="100" t="s">
        <v>2515</v>
      </c>
      <c r="H1138" s="100" t="s">
        <v>2862</v>
      </c>
      <c r="I1138" s="175" t="s">
        <v>35</v>
      </c>
      <c r="J1138" s="98" t="s">
        <v>471</v>
      </c>
      <c r="K1138" s="101" t="s">
        <v>2995</v>
      </c>
      <c r="L1138" s="102" t="n">
        <v>45783</v>
      </c>
      <c r="M1138" s="100" t="n">
        <v>12745</v>
      </c>
      <c r="N1138" s="100" t="n">
        <v>14215</v>
      </c>
      <c r="O1138" s="100" t="n">
        <v>1470</v>
      </c>
      <c r="P1138" s="100" t="n">
        <v>1426</v>
      </c>
      <c r="Q1138" s="100"/>
      <c r="R1138" s="103" t="n">
        <f aca="false">合約與計費!$D$4</f>
        <v>0.296</v>
      </c>
      <c r="S1138" s="104" t="n">
        <f aca="false">ROUND(P1138*R1138,0)</f>
        <v>422</v>
      </c>
      <c r="T1138" s="105"/>
      <c r="U1138" s="100"/>
      <c r="V1138" s="100"/>
      <c r="W1138" s="106"/>
      <c r="X1138" s="100"/>
      <c r="Y1138" s="100"/>
      <c r="Z1138" s="107"/>
      <c r="AA1138" s="108"/>
      <c r="AB1138" s="109"/>
      <c r="AC1138" s="110"/>
      <c r="AD1138" s="42" t="n">
        <v>0.0967</v>
      </c>
      <c r="AE1138" s="43" t="n">
        <v>0.5</v>
      </c>
    </row>
    <row r="1139" customFormat="false" ht="16.5" hidden="false" customHeight="true" outlineLevel="0" collapsed="false">
      <c r="A1139" s="97" t="n">
        <f aca="false">ROW(A1136)</f>
        <v>1136</v>
      </c>
      <c r="B1139" s="97" t="s">
        <v>473</v>
      </c>
      <c r="C1139" s="100" t="n">
        <v>1</v>
      </c>
      <c r="D1139" s="85"/>
      <c r="E1139" s="234" t="s">
        <v>2996</v>
      </c>
      <c r="F1139" s="99" t="s">
        <v>2988</v>
      </c>
      <c r="G1139" s="100" t="s">
        <v>2515</v>
      </c>
      <c r="H1139" s="100" t="s">
        <v>2862</v>
      </c>
      <c r="I1139" s="175" t="s">
        <v>35</v>
      </c>
      <c r="J1139" s="98" t="s">
        <v>471</v>
      </c>
      <c r="K1139" s="101" t="s">
        <v>2997</v>
      </c>
      <c r="L1139" s="102" t="n">
        <v>45783</v>
      </c>
      <c r="M1139" s="100" t="n">
        <v>10527</v>
      </c>
      <c r="N1139" s="100" t="n">
        <v>12611</v>
      </c>
      <c r="O1139" s="100" t="n">
        <v>2084</v>
      </c>
      <c r="P1139" s="100" t="n">
        <v>2021</v>
      </c>
      <c r="Q1139" s="100"/>
      <c r="R1139" s="103" t="n">
        <f aca="false">合約與計費!$D$4</f>
        <v>0.296</v>
      </c>
      <c r="S1139" s="104" t="n">
        <f aca="false">ROUND(P1139*R1139,0)</f>
        <v>598</v>
      </c>
      <c r="T1139" s="105"/>
      <c r="U1139" s="100"/>
      <c r="V1139" s="100"/>
      <c r="W1139" s="106"/>
      <c r="X1139" s="100"/>
      <c r="Y1139" s="100"/>
      <c r="Z1139" s="107"/>
      <c r="AA1139" s="108"/>
      <c r="AB1139" s="109"/>
      <c r="AC1139" s="110"/>
      <c r="AD1139" s="42" t="n">
        <v>0.0931</v>
      </c>
      <c r="AE1139" s="43" t="n">
        <v>0.7</v>
      </c>
    </row>
    <row r="1140" customFormat="false" ht="16.5" hidden="false" customHeight="true" outlineLevel="0" collapsed="false">
      <c r="A1140" s="111" t="n">
        <f aca="false">ROW(A1137)</f>
        <v>1137</v>
      </c>
      <c r="B1140" s="111" t="s">
        <v>476</v>
      </c>
      <c r="C1140" s="114" t="n">
        <v>1</v>
      </c>
      <c r="D1140" s="85"/>
      <c r="E1140" s="235" t="s">
        <v>2998</v>
      </c>
      <c r="F1140" s="113" t="s">
        <v>2988</v>
      </c>
      <c r="G1140" s="114" t="s">
        <v>2515</v>
      </c>
      <c r="H1140" s="114" t="s">
        <v>2862</v>
      </c>
      <c r="I1140" s="173" t="s">
        <v>35</v>
      </c>
      <c r="J1140" s="112" t="s">
        <v>471</v>
      </c>
      <c r="K1140" s="115" t="s">
        <v>2999</v>
      </c>
      <c r="L1140" s="116" t="n">
        <v>45783</v>
      </c>
      <c r="M1140" s="114" t="n">
        <v>3497</v>
      </c>
      <c r="N1140" s="114" t="n">
        <v>4185</v>
      </c>
      <c r="O1140" s="100" t="n">
        <v>688</v>
      </c>
      <c r="P1140" s="100" t="n">
        <v>667</v>
      </c>
      <c r="Q1140" s="100" t="n">
        <f aca="false">ROUND(SUM(P1135:P1140),2)</f>
        <v>7059</v>
      </c>
      <c r="R1140" s="117" t="n">
        <f aca="false">合約與計費!$D$4</f>
        <v>0.296</v>
      </c>
      <c r="S1140" s="118" t="n">
        <f aca="false">ROUND(P1140*R1140,0)</f>
        <v>197</v>
      </c>
      <c r="T1140" s="105" t="n">
        <f aca="false">ROUND(SUM(S1135:S1140),2)</f>
        <v>2088</v>
      </c>
      <c r="U1140" s="114"/>
      <c r="V1140" s="114"/>
      <c r="W1140" s="120"/>
      <c r="X1140" s="114"/>
      <c r="Y1140" s="100" t="n">
        <f aca="false">ROUND(SUM(X1135:X1140),2)</f>
        <v>28</v>
      </c>
      <c r="Z1140" s="121"/>
      <c r="AA1140" s="108"/>
      <c r="AB1140" s="109" t="n">
        <f aca="false">ROUND(SUM(AA1135:AA1140),2)</f>
        <v>78</v>
      </c>
      <c r="AC1140" s="124"/>
      <c r="AD1140" s="42" t="n">
        <v>0.0463</v>
      </c>
      <c r="AE1140" s="43" t="n">
        <v>1</v>
      </c>
    </row>
    <row r="1141" customFormat="false" ht="16.5" hidden="false" customHeight="true" outlineLevel="0" collapsed="false">
      <c r="A1141" s="84" t="n">
        <f aca="false">ROW(A1138)</f>
        <v>1138</v>
      </c>
      <c r="B1141" s="84" t="s">
        <v>455</v>
      </c>
      <c r="C1141" s="32" t="n">
        <v>1</v>
      </c>
      <c r="D1141" s="85" t="n">
        <v>132</v>
      </c>
      <c r="E1141" s="86" t="s">
        <v>3000</v>
      </c>
      <c r="F1141" s="87" t="s">
        <v>3001</v>
      </c>
      <c r="G1141" s="32" t="s">
        <v>2515</v>
      </c>
      <c r="H1141" s="32" t="s">
        <v>3002</v>
      </c>
      <c r="I1141" s="32" t="s">
        <v>147</v>
      </c>
      <c r="J1141" s="86" t="s">
        <v>460</v>
      </c>
      <c r="K1141" s="88" t="s">
        <v>3003</v>
      </c>
      <c r="L1141" s="89" t="n">
        <v>45729</v>
      </c>
      <c r="M1141" s="32" t="n">
        <v>134</v>
      </c>
      <c r="N1141" s="32" t="n">
        <v>151</v>
      </c>
      <c r="O1141" s="32" t="n">
        <v>17</v>
      </c>
      <c r="P1141" s="32" t="n">
        <v>16</v>
      </c>
      <c r="Q1141" s="32"/>
      <c r="R1141" s="90" t="n">
        <f aca="false">合約與計費!$D$4</f>
        <v>0.296</v>
      </c>
      <c r="S1141" s="91" t="n">
        <f aca="false">ROUND(P1141*R1141,0)</f>
        <v>5</v>
      </c>
      <c r="T1141" s="92"/>
      <c r="U1141" s="32" t="n">
        <v>75</v>
      </c>
      <c r="V1141" s="32" t="n">
        <v>95</v>
      </c>
      <c r="W1141" s="32" t="n">
        <v>20</v>
      </c>
      <c r="X1141" s="32" t="n">
        <v>19</v>
      </c>
      <c r="Y1141" s="32"/>
      <c r="Z1141" s="93" t="n">
        <f aca="false">合約與計費!$E$4</f>
        <v>2.8</v>
      </c>
      <c r="AA1141" s="94" t="n">
        <f aca="false">ROUND(X1141*Z1141,0)</f>
        <v>53</v>
      </c>
      <c r="AB1141" s="95"/>
      <c r="AC1141" s="96"/>
      <c r="AD1141" s="42"/>
      <c r="AE1141" s="43"/>
    </row>
    <row r="1142" customFormat="false" ht="16.5" hidden="false" customHeight="true" outlineLevel="0" collapsed="false">
      <c r="A1142" s="97" t="n">
        <f aca="false">ROW(A1139)</f>
        <v>1139</v>
      </c>
      <c r="B1142" s="97" t="s">
        <v>462</v>
      </c>
      <c r="C1142" s="100" t="n">
        <v>1</v>
      </c>
      <c r="D1142" s="85"/>
      <c r="E1142" s="98" t="s">
        <v>3004</v>
      </c>
      <c r="F1142" s="99" t="s">
        <v>3001</v>
      </c>
      <c r="G1142" s="100" t="s">
        <v>2515</v>
      </c>
      <c r="H1142" s="100" t="s">
        <v>3002</v>
      </c>
      <c r="I1142" s="100" t="s">
        <v>147</v>
      </c>
      <c r="J1142" s="98" t="s">
        <v>527</v>
      </c>
      <c r="K1142" s="101" t="s">
        <v>3005</v>
      </c>
      <c r="L1142" s="102" t="n">
        <v>45729</v>
      </c>
      <c r="M1142" s="100" t="n">
        <v>8425</v>
      </c>
      <c r="N1142" s="100" t="n">
        <v>9938</v>
      </c>
      <c r="O1142" s="100" t="n">
        <v>1513</v>
      </c>
      <c r="P1142" s="100" t="n">
        <v>1468</v>
      </c>
      <c r="Q1142" s="100"/>
      <c r="R1142" s="103" t="n">
        <f aca="false">合約與計費!$D$4</f>
        <v>0.296</v>
      </c>
      <c r="S1142" s="104" t="n">
        <f aca="false">ROUND(P1142*R1142,0)</f>
        <v>435</v>
      </c>
      <c r="T1142" s="105"/>
      <c r="U1142" s="100"/>
      <c r="V1142" s="100"/>
      <c r="W1142" s="106"/>
      <c r="X1142" s="100"/>
      <c r="Y1142" s="100"/>
      <c r="Z1142" s="107"/>
      <c r="AA1142" s="108"/>
      <c r="AB1142" s="109"/>
      <c r="AC1142" s="110"/>
      <c r="AD1142" s="42"/>
      <c r="AE1142" s="43"/>
    </row>
    <row r="1143" customFormat="false" ht="16.5" hidden="false" customHeight="true" outlineLevel="0" collapsed="false">
      <c r="A1143" s="97" t="n">
        <f aca="false">ROW(A1140)</f>
        <v>1140</v>
      </c>
      <c r="B1143" s="97" t="s">
        <v>466</v>
      </c>
      <c r="C1143" s="100" t="n">
        <v>1</v>
      </c>
      <c r="D1143" s="85"/>
      <c r="E1143" s="98" t="s">
        <v>3006</v>
      </c>
      <c r="F1143" s="99" t="s">
        <v>3001</v>
      </c>
      <c r="G1143" s="100" t="s">
        <v>2515</v>
      </c>
      <c r="H1143" s="100" t="s">
        <v>3002</v>
      </c>
      <c r="I1143" s="100" t="s">
        <v>147</v>
      </c>
      <c r="J1143" s="98" t="s">
        <v>527</v>
      </c>
      <c r="K1143" s="101" t="s">
        <v>3007</v>
      </c>
      <c r="L1143" s="102" t="n">
        <v>45729</v>
      </c>
      <c r="M1143" s="100" t="n">
        <v>16090</v>
      </c>
      <c r="N1143" s="100" t="n">
        <v>19227</v>
      </c>
      <c r="O1143" s="100" t="n">
        <v>3137</v>
      </c>
      <c r="P1143" s="100" t="n">
        <v>3043</v>
      </c>
      <c r="Q1143" s="100"/>
      <c r="R1143" s="103" t="n">
        <f aca="false">合約與計費!$D$4</f>
        <v>0.296</v>
      </c>
      <c r="S1143" s="104" t="n">
        <f aca="false">ROUND(P1143*R1143,0)</f>
        <v>901</v>
      </c>
      <c r="T1143" s="105"/>
      <c r="U1143" s="100"/>
      <c r="V1143" s="100"/>
      <c r="W1143" s="106"/>
      <c r="X1143" s="100"/>
      <c r="Y1143" s="100"/>
      <c r="Z1143" s="107"/>
      <c r="AA1143" s="108"/>
      <c r="AB1143" s="109"/>
      <c r="AC1143" s="110"/>
      <c r="AD1143" s="42"/>
      <c r="AE1143" s="43"/>
    </row>
    <row r="1144" customFormat="false" ht="16.5" hidden="false" customHeight="true" outlineLevel="0" collapsed="false">
      <c r="A1144" s="111" t="n">
        <f aca="false">ROW(A1141)</f>
        <v>1141</v>
      </c>
      <c r="B1144" s="111" t="s">
        <v>469</v>
      </c>
      <c r="C1144" s="114" t="n">
        <v>1</v>
      </c>
      <c r="D1144" s="85"/>
      <c r="E1144" s="112" t="s">
        <v>3008</v>
      </c>
      <c r="F1144" s="113" t="s">
        <v>3001</v>
      </c>
      <c r="G1144" s="114" t="s">
        <v>2515</v>
      </c>
      <c r="H1144" s="114" t="s">
        <v>3002</v>
      </c>
      <c r="I1144" s="114" t="s">
        <v>147</v>
      </c>
      <c r="J1144" s="112" t="s">
        <v>527</v>
      </c>
      <c r="K1144" s="115" t="s">
        <v>3009</v>
      </c>
      <c r="L1144" s="116" t="n">
        <v>45729</v>
      </c>
      <c r="M1144" s="114" t="n">
        <v>7440</v>
      </c>
      <c r="N1144" s="114" t="n">
        <v>8767</v>
      </c>
      <c r="O1144" s="114" t="n">
        <v>1327</v>
      </c>
      <c r="P1144" s="114" t="n">
        <v>1287</v>
      </c>
      <c r="Q1144" s="114" t="n">
        <f aca="false">ROUND(SUM(P1141:P1144),2)</f>
        <v>5814</v>
      </c>
      <c r="R1144" s="117" t="n">
        <f aca="false">合約與計費!$D$4</f>
        <v>0.296</v>
      </c>
      <c r="S1144" s="118" t="n">
        <f aca="false">ROUND(P1144*R1144,0)</f>
        <v>381</v>
      </c>
      <c r="T1144" s="119" t="n">
        <f aca="false">ROUND(SUM(S1141:S1144),2)</f>
        <v>1722</v>
      </c>
      <c r="U1144" s="114"/>
      <c r="V1144" s="114"/>
      <c r="W1144" s="120"/>
      <c r="X1144" s="114"/>
      <c r="Y1144" s="114" t="n">
        <f aca="false">ROUND(SUM(X1141:X1144),2)</f>
        <v>19</v>
      </c>
      <c r="Z1144" s="121"/>
      <c r="AA1144" s="122"/>
      <c r="AB1144" s="123" t="n">
        <f aca="false">ROUND(SUM(AA1141:AA1144),2)</f>
        <v>53</v>
      </c>
      <c r="AC1144" s="124"/>
      <c r="AD1144" s="42"/>
      <c r="AE1144" s="43"/>
    </row>
    <row r="1145" customFormat="false" ht="16.5" hidden="false" customHeight="true" outlineLevel="0" collapsed="false">
      <c r="A1145" s="84" t="n">
        <f aca="false">ROW(A1142)</f>
        <v>1142</v>
      </c>
      <c r="B1145" s="84" t="s">
        <v>455</v>
      </c>
      <c r="C1145" s="32" t="n">
        <v>1</v>
      </c>
      <c r="D1145" s="85" t="n">
        <v>134</v>
      </c>
      <c r="E1145" s="86" t="s">
        <v>3010</v>
      </c>
      <c r="F1145" s="87" t="s">
        <v>3011</v>
      </c>
      <c r="G1145" s="32" t="s">
        <v>2515</v>
      </c>
      <c r="H1145" s="32" t="s">
        <v>3002</v>
      </c>
      <c r="I1145" s="32" t="s">
        <v>318</v>
      </c>
      <c r="J1145" s="86" t="s">
        <v>460</v>
      </c>
      <c r="K1145" s="88" t="s">
        <v>3012</v>
      </c>
      <c r="L1145" s="89" t="n">
        <v>45743</v>
      </c>
      <c r="M1145" s="32" t="n">
        <v>276</v>
      </c>
      <c r="N1145" s="32" t="n">
        <v>340</v>
      </c>
      <c r="O1145" s="32" t="n">
        <v>64</v>
      </c>
      <c r="P1145" s="32" t="n">
        <v>62</v>
      </c>
      <c r="Q1145" s="32"/>
      <c r="R1145" s="90" t="n">
        <f aca="false">合約與計費!$D$4</f>
        <v>0.296</v>
      </c>
      <c r="S1145" s="91" t="n">
        <f aca="false">ROUND(P1145*R1145,0)</f>
        <v>18</v>
      </c>
      <c r="T1145" s="92"/>
      <c r="U1145" s="32" t="n">
        <v>289</v>
      </c>
      <c r="V1145" s="32" t="n">
        <v>352</v>
      </c>
      <c r="W1145" s="32" t="n">
        <v>63</v>
      </c>
      <c r="X1145" s="32" t="n">
        <v>61</v>
      </c>
      <c r="Y1145" s="32"/>
      <c r="Z1145" s="93" t="n">
        <f aca="false">合約與計費!$E$4</f>
        <v>2.8</v>
      </c>
      <c r="AA1145" s="94" t="n">
        <f aca="false">ROUND(X1145*Z1145,0)</f>
        <v>171</v>
      </c>
      <c r="AB1145" s="95"/>
      <c r="AC1145" s="96"/>
      <c r="AD1145" s="42"/>
      <c r="AE1145" s="43"/>
    </row>
    <row r="1146" customFormat="false" ht="16.5" hidden="false" customHeight="true" outlineLevel="0" collapsed="false">
      <c r="A1146" s="97" t="n">
        <f aca="false">ROW(A1143)</f>
        <v>1143</v>
      </c>
      <c r="B1146" s="97" t="s">
        <v>462</v>
      </c>
      <c r="C1146" s="100" t="n">
        <v>1</v>
      </c>
      <c r="D1146" s="85"/>
      <c r="E1146" s="98" t="s">
        <v>3013</v>
      </c>
      <c r="F1146" s="99" t="s">
        <v>3011</v>
      </c>
      <c r="G1146" s="100" t="s">
        <v>2515</v>
      </c>
      <c r="H1146" s="100" t="s">
        <v>3002</v>
      </c>
      <c r="I1146" s="100" t="s">
        <v>318</v>
      </c>
      <c r="J1146" s="98" t="s">
        <v>464</v>
      </c>
      <c r="K1146" s="101" t="s">
        <v>3014</v>
      </c>
      <c r="L1146" s="102" t="n">
        <v>45743</v>
      </c>
      <c r="M1146" s="100" t="n">
        <v>790</v>
      </c>
      <c r="N1146" s="100" t="n">
        <v>948</v>
      </c>
      <c r="O1146" s="100" t="n">
        <v>158</v>
      </c>
      <c r="P1146" s="100" t="n">
        <v>153</v>
      </c>
      <c r="Q1146" s="100"/>
      <c r="R1146" s="103" t="n">
        <f aca="false">合約與計費!$D$4</f>
        <v>0.296</v>
      </c>
      <c r="S1146" s="104" t="n">
        <f aca="false">ROUND(P1146*R1146,0)</f>
        <v>45</v>
      </c>
      <c r="T1146" s="105"/>
      <c r="U1146" s="100"/>
      <c r="V1146" s="100"/>
      <c r="W1146" s="106"/>
      <c r="X1146" s="100"/>
      <c r="Y1146" s="100"/>
      <c r="Z1146" s="107"/>
      <c r="AA1146" s="108"/>
      <c r="AB1146" s="109"/>
      <c r="AC1146" s="110"/>
      <c r="AD1146" s="42" t="n">
        <v>0.0662</v>
      </c>
      <c r="AE1146" s="43" t="n">
        <v>0.6</v>
      </c>
    </row>
    <row r="1147" customFormat="false" ht="16.5" hidden="false" customHeight="true" outlineLevel="0" collapsed="false">
      <c r="A1147" s="97" t="n">
        <f aca="false">ROW(A1144)</f>
        <v>1144</v>
      </c>
      <c r="B1147" s="97" t="s">
        <v>466</v>
      </c>
      <c r="C1147" s="100" t="n">
        <v>1</v>
      </c>
      <c r="D1147" s="85"/>
      <c r="E1147" s="98" t="s">
        <v>3015</v>
      </c>
      <c r="F1147" s="99" t="s">
        <v>3011</v>
      </c>
      <c r="G1147" s="100" t="s">
        <v>2515</v>
      </c>
      <c r="H1147" s="100" t="s">
        <v>3002</v>
      </c>
      <c r="I1147" s="100" t="s">
        <v>318</v>
      </c>
      <c r="J1147" s="98" t="s">
        <v>527</v>
      </c>
      <c r="K1147" s="101" t="s">
        <v>3016</v>
      </c>
      <c r="L1147" s="102" t="n">
        <v>45743</v>
      </c>
      <c r="M1147" s="100" t="n">
        <v>6698</v>
      </c>
      <c r="N1147" s="100" t="n">
        <v>7826</v>
      </c>
      <c r="O1147" s="100" t="n">
        <v>1128</v>
      </c>
      <c r="P1147" s="100" t="n">
        <v>1094</v>
      </c>
      <c r="Q1147" s="100"/>
      <c r="R1147" s="103" t="n">
        <f aca="false">合約與計費!$D$4</f>
        <v>0.296</v>
      </c>
      <c r="S1147" s="104" t="n">
        <f aca="false">ROUND(P1147*R1147,0)</f>
        <v>324</v>
      </c>
      <c r="T1147" s="105"/>
      <c r="U1147" s="100"/>
      <c r="V1147" s="100"/>
      <c r="W1147" s="106"/>
      <c r="X1147" s="100"/>
      <c r="Y1147" s="100"/>
      <c r="Z1147" s="107"/>
      <c r="AA1147" s="108"/>
      <c r="AB1147" s="109"/>
      <c r="AC1147" s="110"/>
      <c r="AD1147" s="42"/>
      <c r="AE1147" s="43"/>
    </row>
    <row r="1148" customFormat="false" ht="16.5" hidden="false" customHeight="true" outlineLevel="0" collapsed="false">
      <c r="A1148" s="97" t="n">
        <f aca="false">ROW(A1145)</f>
        <v>1145</v>
      </c>
      <c r="B1148" s="97" t="s">
        <v>469</v>
      </c>
      <c r="C1148" s="100" t="n">
        <v>1</v>
      </c>
      <c r="D1148" s="85"/>
      <c r="E1148" s="98" t="s">
        <v>3017</v>
      </c>
      <c r="F1148" s="99" t="s">
        <v>3011</v>
      </c>
      <c r="G1148" s="100" t="s">
        <v>2515</v>
      </c>
      <c r="H1148" s="100" t="s">
        <v>3002</v>
      </c>
      <c r="I1148" s="100" t="s">
        <v>318</v>
      </c>
      <c r="J1148" s="98" t="s">
        <v>527</v>
      </c>
      <c r="K1148" s="101" t="s">
        <v>3018</v>
      </c>
      <c r="L1148" s="102" t="n">
        <v>45743</v>
      </c>
      <c r="M1148" s="100" t="n">
        <v>1844</v>
      </c>
      <c r="N1148" s="100" t="n">
        <v>2093</v>
      </c>
      <c r="O1148" s="100" t="n">
        <v>249</v>
      </c>
      <c r="P1148" s="100" t="n">
        <v>242</v>
      </c>
      <c r="Q1148" s="100"/>
      <c r="R1148" s="103" t="n">
        <f aca="false">合約與計費!$D$4</f>
        <v>0.296</v>
      </c>
      <c r="S1148" s="104" t="n">
        <f aca="false">ROUND(P1148*R1148,0)</f>
        <v>72</v>
      </c>
      <c r="T1148" s="105"/>
      <c r="U1148" s="100"/>
      <c r="V1148" s="100"/>
      <c r="W1148" s="106"/>
      <c r="X1148" s="100"/>
      <c r="Y1148" s="100"/>
      <c r="Z1148" s="107"/>
      <c r="AA1148" s="108"/>
      <c r="AB1148" s="109"/>
      <c r="AC1148" s="110"/>
      <c r="AD1148" s="42"/>
      <c r="AE1148" s="43"/>
    </row>
    <row r="1149" customFormat="false" ht="16.5" hidden="false" customHeight="true" outlineLevel="0" collapsed="false">
      <c r="A1149" s="97" t="n">
        <f aca="false">ROW(A1146)</f>
        <v>1146</v>
      </c>
      <c r="B1149" s="97" t="s">
        <v>473</v>
      </c>
      <c r="C1149" s="100" t="n">
        <v>1</v>
      </c>
      <c r="D1149" s="85"/>
      <c r="E1149" s="98" t="s">
        <v>3019</v>
      </c>
      <c r="F1149" s="99" t="s">
        <v>3011</v>
      </c>
      <c r="G1149" s="100" t="s">
        <v>2515</v>
      </c>
      <c r="H1149" s="100" t="s">
        <v>3002</v>
      </c>
      <c r="I1149" s="100" t="s">
        <v>318</v>
      </c>
      <c r="J1149" s="98" t="s">
        <v>527</v>
      </c>
      <c r="K1149" s="101" t="s">
        <v>3020</v>
      </c>
      <c r="L1149" s="102" t="n">
        <v>45743</v>
      </c>
      <c r="M1149" s="100" t="n">
        <v>14232</v>
      </c>
      <c r="N1149" s="100" t="n">
        <v>16778</v>
      </c>
      <c r="O1149" s="100" t="n">
        <v>2546</v>
      </c>
      <c r="P1149" s="100" t="n">
        <v>2470</v>
      </c>
      <c r="Q1149" s="100"/>
      <c r="R1149" s="103" t="n">
        <f aca="false">合約與計費!$D$4</f>
        <v>0.296</v>
      </c>
      <c r="S1149" s="104" t="n">
        <f aca="false">ROUND(P1149*R1149,0)</f>
        <v>731</v>
      </c>
      <c r="T1149" s="105"/>
      <c r="U1149" s="100"/>
      <c r="V1149" s="100"/>
      <c r="W1149" s="106"/>
      <c r="X1149" s="100"/>
      <c r="Y1149" s="100"/>
      <c r="Z1149" s="107"/>
      <c r="AA1149" s="108"/>
      <c r="AB1149" s="109"/>
      <c r="AC1149" s="110"/>
      <c r="AD1149" s="42"/>
      <c r="AE1149" s="43"/>
    </row>
    <row r="1150" customFormat="false" ht="16.5" hidden="false" customHeight="true" outlineLevel="0" collapsed="false">
      <c r="A1150" s="97" t="n">
        <f aca="false">ROW(A1147)</f>
        <v>1147</v>
      </c>
      <c r="B1150" s="97" t="s">
        <v>476</v>
      </c>
      <c r="C1150" s="100" t="n">
        <v>1</v>
      </c>
      <c r="D1150" s="85"/>
      <c r="E1150" s="98" t="s">
        <v>3021</v>
      </c>
      <c r="F1150" s="99" t="s">
        <v>3011</v>
      </c>
      <c r="G1150" s="100" t="s">
        <v>2515</v>
      </c>
      <c r="H1150" s="100" t="s">
        <v>3002</v>
      </c>
      <c r="I1150" s="100" t="s">
        <v>318</v>
      </c>
      <c r="J1150" s="98" t="s">
        <v>527</v>
      </c>
      <c r="K1150" s="101" t="s">
        <v>3022</v>
      </c>
      <c r="L1150" s="102" t="n">
        <v>45743</v>
      </c>
      <c r="M1150" s="100" t="n">
        <v>3352</v>
      </c>
      <c r="N1150" s="100" t="n">
        <v>3970</v>
      </c>
      <c r="O1150" s="100" t="n">
        <v>618</v>
      </c>
      <c r="P1150" s="100" t="n">
        <v>599</v>
      </c>
      <c r="Q1150" s="100"/>
      <c r="R1150" s="103" t="n">
        <f aca="false">合約與計費!$D$4</f>
        <v>0.296</v>
      </c>
      <c r="S1150" s="104" t="n">
        <f aca="false">ROUND(P1150*R1150,0)</f>
        <v>177</v>
      </c>
      <c r="T1150" s="105"/>
      <c r="U1150" s="100"/>
      <c r="V1150" s="100"/>
      <c r="W1150" s="106"/>
      <c r="X1150" s="100"/>
      <c r="Y1150" s="100"/>
      <c r="Z1150" s="107"/>
      <c r="AA1150" s="108"/>
      <c r="AB1150" s="109"/>
      <c r="AC1150" s="110"/>
      <c r="AD1150" s="42"/>
      <c r="AE1150" s="43"/>
    </row>
    <row r="1151" customFormat="false" ht="16.5" hidden="false" customHeight="true" outlineLevel="0" collapsed="false">
      <c r="A1151" s="97" t="n">
        <f aca="false">ROW(A1148)</f>
        <v>1148</v>
      </c>
      <c r="B1151" s="97" t="s">
        <v>479</v>
      </c>
      <c r="C1151" s="100" t="n">
        <v>1</v>
      </c>
      <c r="D1151" s="85"/>
      <c r="E1151" s="98" t="s">
        <v>3023</v>
      </c>
      <c r="F1151" s="99" t="s">
        <v>3011</v>
      </c>
      <c r="G1151" s="100" t="s">
        <v>2515</v>
      </c>
      <c r="H1151" s="100" t="s">
        <v>3002</v>
      </c>
      <c r="I1151" s="100" t="s">
        <v>318</v>
      </c>
      <c r="J1151" s="98" t="s">
        <v>527</v>
      </c>
      <c r="K1151" s="101" t="s">
        <v>3024</v>
      </c>
      <c r="L1151" s="102" t="n">
        <v>45743</v>
      </c>
      <c r="M1151" s="100" t="n">
        <v>1926</v>
      </c>
      <c r="N1151" s="100" t="n">
        <v>2378</v>
      </c>
      <c r="O1151" s="100" t="n">
        <v>452</v>
      </c>
      <c r="P1151" s="100" t="n">
        <v>438</v>
      </c>
      <c r="Q1151" s="100"/>
      <c r="R1151" s="103" t="n">
        <f aca="false">合約與計費!$D$4</f>
        <v>0.296</v>
      </c>
      <c r="S1151" s="104" t="n">
        <f aca="false">ROUND(P1151*R1151,0)</f>
        <v>130</v>
      </c>
      <c r="T1151" s="105"/>
      <c r="U1151" s="100"/>
      <c r="V1151" s="100"/>
      <c r="W1151" s="106"/>
      <c r="X1151" s="100"/>
      <c r="Y1151" s="100"/>
      <c r="Z1151" s="107"/>
      <c r="AA1151" s="108"/>
      <c r="AB1151" s="109"/>
      <c r="AC1151" s="110"/>
      <c r="AD1151" s="42"/>
      <c r="AE1151" s="43"/>
    </row>
    <row r="1152" customFormat="false" ht="16.5" hidden="false" customHeight="true" outlineLevel="0" collapsed="false">
      <c r="A1152" s="111" t="n">
        <f aca="false">ROW(A1149)</f>
        <v>1149</v>
      </c>
      <c r="B1152" s="111" t="s">
        <v>482</v>
      </c>
      <c r="C1152" s="114" t="n">
        <v>1</v>
      </c>
      <c r="D1152" s="85"/>
      <c r="E1152" s="112" t="s">
        <v>3025</v>
      </c>
      <c r="F1152" s="113" t="s">
        <v>3011</v>
      </c>
      <c r="G1152" s="114" t="s">
        <v>2515</v>
      </c>
      <c r="H1152" s="114" t="s">
        <v>3002</v>
      </c>
      <c r="I1152" s="114" t="s">
        <v>318</v>
      </c>
      <c r="J1152" s="98" t="s">
        <v>527</v>
      </c>
      <c r="K1152" s="101" t="s">
        <v>3026</v>
      </c>
      <c r="L1152" s="102" t="n">
        <v>45743</v>
      </c>
      <c r="M1152" s="100" t="n">
        <v>10036</v>
      </c>
      <c r="N1152" s="100" t="n">
        <v>13725</v>
      </c>
      <c r="O1152" s="100" t="n">
        <v>3689</v>
      </c>
      <c r="P1152" s="100" t="n">
        <v>3578</v>
      </c>
      <c r="Q1152" s="100" t="n">
        <f aca="false">ROUND(SUM(P1145:P1152),2)</f>
        <v>8636</v>
      </c>
      <c r="R1152" s="103" t="n">
        <f aca="false">合約與計費!$D$4</f>
        <v>0.296</v>
      </c>
      <c r="S1152" s="104" t="n">
        <f aca="false">ROUND(P1152*R1152,0)</f>
        <v>1059</v>
      </c>
      <c r="T1152" s="105" t="n">
        <f aca="false">ROUND(SUM(S1145:S1152),2)</f>
        <v>2556</v>
      </c>
      <c r="U1152" s="100"/>
      <c r="V1152" s="100"/>
      <c r="W1152" s="106"/>
      <c r="X1152" s="100"/>
      <c r="Y1152" s="100" t="n">
        <f aca="false">ROUND(SUM(X1145:X1152),2)</f>
        <v>61</v>
      </c>
      <c r="Z1152" s="107"/>
      <c r="AA1152" s="108"/>
      <c r="AB1152" s="109" t="n">
        <f aca="false">ROUND(SUM(AA1145:AA1152),2)</f>
        <v>171</v>
      </c>
      <c r="AC1152" s="110"/>
      <c r="AD1152" s="42"/>
      <c r="AE1152" s="43"/>
    </row>
    <row r="1153" customFormat="false" ht="16.5" hidden="false" customHeight="true" outlineLevel="0" collapsed="false">
      <c r="A1153" s="84" t="n">
        <f aca="false">ROW(A1150)</f>
        <v>1150</v>
      </c>
      <c r="B1153" s="84" t="s">
        <v>455</v>
      </c>
      <c r="C1153" s="32" t="n">
        <v>1</v>
      </c>
      <c r="D1153" s="85" t="n">
        <v>136</v>
      </c>
      <c r="E1153" s="86" t="s">
        <v>3027</v>
      </c>
      <c r="F1153" s="87" t="s">
        <v>3028</v>
      </c>
      <c r="G1153" s="32" t="s">
        <v>2515</v>
      </c>
      <c r="H1153" s="32" t="s">
        <v>3002</v>
      </c>
      <c r="I1153" s="32" t="s">
        <v>374</v>
      </c>
      <c r="J1153" s="86" t="s">
        <v>460</v>
      </c>
      <c r="K1153" s="88" t="s">
        <v>3029</v>
      </c>
      <c r="L1153" s="89" t="n">
        <v>45723</v>
      </c>
      <c r="M1153" s="32" t="n">
        <v>212</v>
      </c>
      <c r="N1153" s="32" t="n">
        <v>251</v>
      </c>
      <c r="O1153" s="32" t="n">
        <v>39</v>
      </c>
      <c r="P1153" s="32" t="n">
        <v>38</v>
      </c>
      <c r="Q1153" s="32"/>
      <c r="R1153" s="90" t="n">
        <f aca="false">合約與計費!$D$4</f>
        <v>0.296</v>
      </c>
      <c r="S1153" s="91" t="n">
        <f aca="false">ROUND(P1153*R1153,0)</f>
        <v>11</v>
      </c>
      <c r="T1153" s="92"/>
      <c r="U1153" s="32" t="n">
        <v>100</v>
      </c>
      <c r="V1153" s="32" t="n">
        <v>112</v>
      </c>
      <c r="W1153" s="32" t="n">
        <v>12</v>
      </c>
      <c r="X1153" s="32" t="n">
        <v>12</v>
      </c>
      <c r="Y1153" s="32"/>
      <c r="Z1153" s="93" t="n">
        <f aca="false">合約與計費!$E$4</f>
        <v>2.8</v>
      </c>
      <c r="AA1153" s="94" t="n">
        <f aca="false">ROUND(X1153*Z1153,0)</f>
        <v>34</v>
      </c>
      <c r="AB1153" s="95"/>
      <c r="AC1153" s="96"/>
      <c r="AD1153" s="42"/>
      <c r="AE1153" s="43"/>
    </row>
    <row r="1154" customFormat="false" ht="16.5" hidden="false" customHeight="true" outlineLevel="0" collapsed="false">
      <c r="A1154" s="97" t="n">
        <f aca="false">ROW(A1151)</f>
        <v>1151</v>
      </c>
      <c r="B1154" s="97" t="s">
        <v>462</v>
      </c>
      <c r="C1154" s="100" t="n">
        <v>1</v>
      </c>
      <c r="D1154" s="85"/>
      <c r="E1154" s="98" t="s">
        <v>3030</v>
      </c>
      <c r="F1154" s="99" t="s">
        <v>3028</v>
      </c>
      <c r="G1154" s="100" t="s">
        <v>2515</v>
      </c>
      <c r="H1154" s="100" t="s">
        <v>3002</v>
      </c>
      <c r="I1154" s="100" t="s">
        <v>374</v>
      </c>
      <c r="J1154" s="98" t="s">
        <v>527</v>
      </c>
      <c r="K1154" s="101" t="s">
        <v>3031</v>
      </c>
      <c r="L1154" s="102" t="n">
        <v>45723</v>
      </c>
      <c r="M1154" s="100" t="n">
        <v>9674</v>
      </c>
      <c r="N1154" s="100" t="n">
        <v>11146</v>
      </c>
      <c r="O1154" s="100" t="n">
        <v>1472</v>
      </c>
      <c r="P1154" s="100" t="n">
        <v>1428</v>
      </c>
      <c r="Q1154" s="100"/>
      <c r="R1154" s="103" t="n">
        <f aca="false">合約與計費!$D$4</f>
        <v>0.296</v>
      </c>
      <c r="S1154" s="104" t="n">
        <f aca="false">ROUND(P1154*R1154,0)</f>
        <v>423</v>
      </c>
      <c r="T1154" s="105"/>
      <c r="U1154" s="100"/>
      <c r="V1154" s="100"/>
      <c r="W1154" s="106"/>
      <c r="X1154" s="100"/>
      <c r="Y1154" s="100"/>
      <c r="Z1154" s="107"/>
      <c r="AA1154" s="108"/>
      <c r="AB1154" s="109"/>
      <c r="AC1154" s="110"/>
      <c r="AD1154" s="42"/>
      <c r="AE1154" s="43"/>
    </row>
    <row r="1155" customFormat="false" ht="16.5" hidden="false" customHeight="true" outlineLevel="0" collapsed="false">
      <c r="A1155" s="97" t="n">
        <f aca="false">ROW(A1152)</f>
        <v>1152</v>
      </c>
      <c r="B1155" s="97" t="s">
        <v>466</v>
      </c>
      <c r="C1155" s="100" t="n">
        <v>1</v>
      </c>
      <c r="D1155" s="85"/>
      <c r="E1155" s="98" t="s">
        <v>3032</v>
      </c>
      <c r="F1155" s="99" t="s">
        <v>3028</v>
      </c>
      <c r="G1155" s="100" t="s">
        <v>2515</v>
      </c>
      <c r="H1155" s="100" t="s">
        <v>3002</v>
      </c>
      <c r="I1155" s="100" t="s">
        <v>374</v>
      </c>
      <c r="J1155" s="98" t="s">
        <v>527</v>
      </c>
      <c r="K1155" s="101" t="s">
        <v>3033</v>
      </c>
      <c r="L1155" s="102" t="n">
        <v>45723</v>
      </c>
      <c r="M1155" s="100" t="n">
        <v>5397</v>
      </c>
      <c r="N1155" s="100" t="n">
        <v>6497</v>
      </c>
      <c r="O1155" s="100" t="n">
        <v>1100</v>
      </c>
      <c r="P1155" s="100" t="n">
        <v>1067</v>
      </c>
      <c r="Q1155" s="100"/>
      <c r="R1155" s="103" t="n">
        <f aca="false">合約與計費!$D$4</f>
        <v>0.296</v>
      </c>
      <c r="S1155" s="104" t="n">
        <f aca="false">ROUND(P1155*R1155,0)</f>
        <v>316</v>
      </c>
      <c r="T1155" s="105"/>
      <c r="U1155" s="100"/>
      <c r="V1155" s="100"/>
      <c r="W1155" s="106"/>
      <c r="X1155" s="100"/>
      <c r="Y1155" s="100"/>
      <c r="Z1155" s="107"/>
      <c r="AA1155" s="108"/>
      <c r="AB1155" s="109"/>
      <c r="AC1155" s="110"/>
      <c r="AD1155" s="42"/>
      <c r="AE1155" s="43"/>
    </row>
    <row r="1156" customFormat="false" ht="16.5" hidden="false" customHeight="true" outlineLevel="0" collapsed="false">
      <c r="A1156" s="97" t="n">
        <f aca="false">ROW(A1153)</f>
        <v>1153</v>
      </c>
      <c r="B1156" s="97" t="s">
        <v>469</v>
      </c>
      <c r="C1156" s="100" t="n">
        <v>1</v>
      </c>
      <c r="D1156" s="85"/>
      <c r="E1156" s="98" t="s">
        <v>3034</v>
      </c>
      <c r="F1156" s="99" t="s">
        <v>3028</v>
      </c>
      <c r="G1156" s="100" t="s">
        <v>2515</v>
      </c>
      <c r="H1156" s="100" t="s">
        <v>3002</v>
      </c>
      <c r="I1156" s="100" t="s">
        <v>374</v>
      </c>
      <c r="J1156" s="98" t="s">
        <v>527</v>
      </c>
      <c r="K1156" s="101" t="s">
        <v>3035</v>
      </c>
      <c r="L1156" s="102" t="n">
        <v>45723</v>
      </c>
      <c r="M1156" s="100" t="n">
        <v>503</v>
      </c>
      <c r="N1156" s="100" t="n">
        <v>517</v>
      </c>
      <c r="O1156" s="100" t="n">
        <v>14</v>
      </c>
      <c r="P1156" s="100" t="n">
        <v>14</v>
      </c>
      <c r="Q1156" s="100"/>
      <c r="R1156" s="103" t="n">
        <f aca="false">合約與計費!$D$4</f>
        <v>0.296</v>
      </c>
      <c r="S1156" s="104" t="n">
        <f aca="false">ROUND(P1156*R1156,0)</f>
        <v>4</v>
      </c>
      <c r="T1156" s="105"/>
      <c r="U1156" s="100"/>
      <c r="V1156" s="100"/>
      <c r="W1156" s="106"/>
      <c r="X1156" s="100"/>
      <c r="Y1156" s="100"/>
      <c r="Z1156" s="107"/>
      <c r="AA1156" s="108"/>
      <c r="AB1156" s="109"/>
      <c r="AC1156" s="110"/>
      <c r="AD1156" s="42"/>
      <c r="AE1156" s="43"/>
    </row>
    <row r="1157" customFormat="false" ht="16.5" hidden="false" customHeight="true" outlineLevel="0" collapsed="false">
      <c r="A1157" s="97" t="n">
        <f aca="false">ROW(A1154)</f>
        <v>1154</v>
      </c>
      <c r="B1157" s="97" t="s">
        <v>473</v>
      </c>
      <c r="C1157" s="100" t="n">
        <v>1</v>
      </c>
      <c r="D1157" s="85"/>
      <c r="E1157" s="98" t="s">
        <v>3036</v>
      </c>
      <c r="F1157" s="99" t="s">
        <v>3028</v>
      </c>
      <c r="G1157" s="100" t="s">
        <v>2515</v>
      </c>
      <c r="H1157" s="100" t="s">
        <v>3002</v>
      </c>
      <c r="I1157" s="100" t="s">
        <v>374</v>
      </c>
      <c r="J1157" s="98" t="s">
        <v>527</v>
      </c>
      <c r="K1157" s="101" t="s">
        <v>3037</v>
      </c>
      <c r="L1157" s="102" t="n">
        <v>45723</v>
      </c>
      <c r="M1157" s="100" t="n">
        <v>6304</v>
      </c>
      <c r="N1157" s="100" t="n">
        <v>7421</v>
      </c>
      <c r="O1157" s="100" t="n">
        <v>1117</v>
      </c>
      <c r="P1157" s="100" t="n">
        <v>1083</v>
      </c>
      <c r="Q1157" s="100"/>
      <c r="R1157" s="103" t="n">
        <f aca="false">合約與計費!$D$4</f>
        <v>0.296</v>
      </c>
      <c r="S1157" s="104" t="n">
        <f aca="false">ROUND(P1157*R1157,0)</f>
        <v>321</v>
      </c>
      <c r="T1157" s="105"/>
      <c r="U1157" s="100"/>
      <c r="V1157" s="100"/>
      <c r="W1157" s="106"/>
      <c r="X1157" s="100"/>
      <c r="Y1157" s="100"/>
      <c r="Z1157" s="107"/>
      <c r="AA1157" s="108"/>
      <c r="AB1157" s="109"/>
      <c r="AC1157" s="110"/>
      <c r="AD1157" s="42"/>
      <c r="AE1157" s="43"/>
    </row>
    <row r="1158" customFormat="false" ht="16.5" hidden="false" customHeight="true" outlineLevel="0" collapsed="false">
      <c r="A1158" s="111" t="n">
        <f aca="false">ROW(A1155)</f>
        <v>1155</v>
      </c>
      <c r="B1158" s="111" t="s">
        <v>476</v>
      </c>
      <c r="C1158" s="114" t="n">
        <v>1</v>
      </c>
      <c r="D1158" s="85"/>
      <c r="E1158" s="112" t="s">
        <v>3038</v>
      </c>
      <c r="F1158" s="113" t="s">
        <v>3028</v>
      </c>
      <c r="G1158" s="114" t="s">
        <v>2515</v>
      </c>
      <c r="H1158" s="114" t="s">
        <v>3002</v>
      </c>
      <c r="I1158" s="114" t="s">
        <v>374</v>
      </c>
      <c r="J1158" s="112" t="s">
        <v>527</v>
      </c>
      <c r="K1158" s="115" t="s">
        <v>3039</v>
      </c>
      <c r="L1158" s="116" t="n">
        <v>45723</v>
      </c>
      <c r="M1158" s="114" t="n">
        <v>605</v>
      </c>
      <c r="N1158" s="114" t="n">
        <v>728</v>
      </c>
      <c r="O1158" s="114" t="n">
        <v>123</v>
      </c>
      <c r="P1158" s="114" t="n">
        <v>119</v>
      </c>
      <c r="Q1158" s="114" t="n">
        <f aca="false">ROUND(SUM(P1153:P1158),2)</f>
        <v>3749</v>
      </c>
      <c r="R1158" s="117" t="n">
        <f aca="false">合約與計費!$D$4</f>
        <v>0.296</v>
      </c>
      <c r="S1158" s="118" t="n">
        <f aca="false">ROUND(P1158*R1158,0)</f>
        <v>35</v>
      </c>
      <c r="T1158" s="119" t="n">
        <f aca="false">ROUND(SUM(S1153:S1158),2)</f>
        <v>1110</v>
      </c>
      <c r="U1158" s="114"/>
      <c r="V1158" s="114"/>
      <c r="W1158" s="120"/>
      <c r="X1158" s="114"/>
      <c r="Y1158" s="114" t="n">
        <f aca="false">ROUND(SUM(X1153:X1158),2)</f>
        <v>12</v>
      </c>
      <c r="Z1158" s="121"/>
      <c r="AA1158" s="122"/>
      <c r="AB1158" s="123" t="n">
        <f aca="false">ROUND(SUM(AA1153:AA1158),2)</f>
        <v>34</v>
      </c>
      <c r="AC1158" s="124"/>
      <c r="AD1158" s="42"/>
      <c r="AE1158" s="43"/>
    </row>
    <row r="1159" customFormat="false" ht="16.5" hidden="false" customHeight="true" outlineLevel="0" collapsed="false">
      <c r="A1159" s="84" t="n">
        <f aca="false">ROW(A1156)</f>
        <v>1156</v>
      </c>
      <c r="B1159" s="84" t="s">
        <v>455</v>
      </c>
      <c r="C1159" s="32" t="n">
        <v>1</v>
      </c>
      <c r="D1159" s="85" t="n">
        <v>190</v>
      </c>
      <c r="E1159" s="86" t="s">
        <v>3040</v>
      </c>
      <c r="F1159" s="87" t="s">
        <v>3041</v>
      </c>
      <c r="G1159" s="32" t="s">
        <v>2515</v>
      </c>
      <c r="H1159" s="32" t="s">
        <v>3002</v>
      </c>
      <c r="I1159" s="32" t="s">
        <v>199</v>
      </c>
      <c r="J1159" s="86" t="s">
        <v>460</v>
      </c>
      <c r="K1159" s="88" t="s">
        <v>3042</v>
      </c>
      <c r="L1159" s="89" t="n">
        <v>45749</v>
      </c>
      <c r="M1159" s="32" t="n">
        <v>338</v>
      </c>
      <c r="N1159" s="32" t="n">
        <v>415</v>
      </c>
      <c r="O1159" s="32" t="n">
        <v>77</v>
      </c>
      <c r="P1159" s="32" t="n">
        <v>75</v>
      </c>
      <c r="Q1159" s="32"/>
      <c r="R1159" s="90" t="n">
        <f aca="false">合約與計費!$D$4</f>
        <v>0.296</v>
      </c>
      <c r="S1159" s="91" t="n">
        <f aca="false">ROUND(P1159*R1159,0)</f>
        <v>22</v>
      </c>
      <c r="T1159" s="92"/>
      <c r="U1159" s="32" t="n">
        <v>232</v>
      </c>
      <c r="V1159" s="32" t="n">
        <v>303</v>
      </c>
      <c r="W1159" s="32" t="n">
        <v>71</v>
      </c>
      <c r="X1159" s="32" t="n">
        <v>69</v>
      </c>
      <c r="Y1159" s="32"/>
      <c r="Z1159" s="93" t="n">
        <f aca="false">合約與計費!$E$4</f>
        <v>2.8</v>
      </c>
      <c r="AA1159" s="94" t="n">
        <f aca="false">ROUND(X1159*Z1159,0)</f>
        <v>193</v>
      </c>
      <c r="AB1159" s="95"/>
      <c r="AC1159" s="96"/>
      <c r="AD1159" s="42"/>
      <c r="AE1159" s="43"/>
    </row>
    <row r="1160" customFormat="false" ht="16.5" hidden="false" customHeight="true" outlineLevel="0" collapsed="false">
      <c r="A1160" s="97" t="n">
        <f aca="false">ROW(A1157)</f>
        <v>1157</v>
      </c>
      <c r="B1160" s="97" t="s">
        <v>462</v>
      </c>
      <c r="C1160" s="100" t="n">
        <v>1</v>
      </c>
      <c r="D1160" s="85"/>
      <c r="E1160" s="98" t="s">
        <v>3043</v>
      </c>
      <c r="F1160" s="99" t="s">
        <v>3041</v>
      </c>
      <c r="G1160" s="100" t="s">
        <v>2515</v>
      </c>
      <c r="H1160" s="100" t="s">
        <v>3002</v>
      </c>
      <c r="I1160" s="100" t="s">
        <v>199</v>
      </c>
      <c r="J1160" s="98" t="s">
        <v>527</v>
      </c>
      <c r="K1160" s="101" t="s">
        <v>3044</v>
      </c>
      <c r="L1160" s="102" t="n">
        <v>45749</v>
      </c>
      <c r="M1160" s="100" t="n">
        <v>4445</v>
      </c>
      <c r="N1160" s="100" t="n">
        <v>5242</v>
      </c>
      <c r="O1160" s="100" t="n">
        <v>797</v>
      </c>
      <c r="P1160" s="100" t="n">
        <v>773</v>
      </c>
      <c r="Q1160" s="100"/>
      <c r="R1160" s="103" t="n">
        <f aca="false">合約與計費!$D$4</f>
        <v>0.296</v>
      </c>
      <c r="S1160" s="104" t="n">
        <f aca="false">ROUND(P1160*R1160,0)</f>
        <v>229</v>
      </c>
      <c r="T1160" s="105"/>
      <c r="U1160" s="100"/>
      <c r="V1160" s="100"/>
      <c r="W1160" s="106"/>
      <c r="X1160" s="100"/>
      <c r="Y1160" s="100"/>
      <c r="Z1160" s="107"/>
      <c r="AA1160" s="108"/>
      <c r="AB1160" s="109"/>
      <c r="AC1160" s="110"/>
      <c r="AD1160" s="42"/>
      <c r="AE1160" s="43"/>
    </row>
    <row r="1161" customFormat="false" ht="16.5" hidden="false" customHeight="true" outlineLevel="0" collapsed="false">
      <c r="A1161" s="97" t="n">
        <f aca="false">ROW(A1158)</f>
        <v>1158</v>
      </c>
      <c r="B1161" s="97" t="s">
        <v>466</v>
      </c>
      <c r="C1161" s="100" t="n">
        <v>1</v>
      </c>
      <c r="D1161" s="85"/>
      <c r="E1161" s="98" t="s">
        <v>3045</v>
      </c>
      <c r="F1161" s="99" t="s">
        <v>3041</v>
      </c>
      <c r="G1161" s="100" t="s">
        <v>2515</v>
      </c>
      <c r="H1161" s="100" t="s">
        <v>3002</v>
      </c>
      <c r="I1161" s="100" t="s">
        <v>199</v>
      </c>
      <c r="J1161" s="98" t="s">
        <v>527</v>
      </c>
      <c r="K1161" s="101" t="s">
        <v>3046</v>
      </c>
      <c r="L1161" s="102" t="n">
        <v>45749</v>
      </c>
      <c r="M1161" s="100" t="n">
        <v>7534</v>
      </c>
      <c r="N1161" s="100" t="n">
        <v>8706</v>
      </c>
      <c r="O1161" s="100" t="n">
        <v>1172</v>
      </c>
      <c r="P1161" s="100" t="n">
        <v>1137</v>
      </c>
      <c r="Q1161" s="100"/>
      <c r="R1161" s="103" t="n">
        <f aca="false">合約與計費!$D$4</f>
        <v>0.296</v>
      </c>
      <c r="S1161" s="104" t="n">
        <f aca="false">ROUND(P1161*R1161,0)</f>
        <v>337</v>
      </c>
      <c r="T1161" s="105"/>
      <c r="U1161" s="100"/>
      <c r="V1161" s="100"/>
      <c r="W1161" s="106"/>
      <c r="X1161" s="100"/>
      <c r="Y1161" s="100"/>
      <c r="Z1161" s="107"/>
      <c r="AA1161" s="108"/>
      <c r="AB1161" s="109"/>
      <c r="AC1161" s="110"/>
      <c r="AD1161" s="42"/>
      <c r="AE1161" s="43"/>
    </row>
    <row r="1162" customFormat="false" ht="16.5" hidden="false" customHeight="true" outlineLevel="0" collapsed="false">
      <c r="A1162" s="97" t="n">
        <f aca="false">ROW(A1159)</f>
        <v>1159</v>
      </c>
      <c r="B1162" s="97" t="s">
        <v>469</v>
      </c>
      <c r="C1162" s="100" t="n">
        <v>1</v>
      </c>
      <c r="D1162" s="85"/>
      <c r="E1162" s="98" t="s">
        <v>3047</v>
      </c>
      <c r="F1162" s="99" t="s">
        <v>3041</v>
      </c>
      <c r="G1162" s="100" t="s">
        <v>2515</v>
      </c>
      <c r="H1162" s="100" t="s">
        <v>3002</v>
      </c>
      <c r="I1162" s="100" t="s">
        <v>199</v>
      </c>
      <c r="J1162" s="98" t="s">
        <v>527</v>
      </c>
      <c r="K1162" s="101" t="s">
        <v>3048</v>
      </c>
      <c r="L1162" s="102" t="n">
        <v>45749</v>
      </c>
      <c r="M1162" s="100" t="n">
        <v>5119</v>
      </c>
      <c r="N1162" s="100" t="n">
        <v>6088</v>
      </c>
      <c r="O1162" s="100" t="n">
        <v>969</v>
      </c>
      <c r="P1162" s="100" t="n">
        <v>940</v>
      </c>
      <c r="Q1162" s="100"/>
      <c r="R1162" s="103" t="n">
        <f aca="false">合約與計費!$D$4</f>
        <v>0.296</v>
      </c>
      <c r="S1162" s="104" t="n">
        <f aca="false">ROUND(P1162*R1162,0)</f>
        <v>278</v>
      </c>
      <c r="T1162" s="105"/>
      <c r="U1162" s="100"/>
      <c r="V1162" s="100"/>
      <c r="W1162" s="106"/>
      <c r="X1162" s="100"/>
      <c r="Y1162" s="100"/>
      <c r="Z1162" s="107"/>
      <c r="AA1162" s="108"/>
      <c r="AB1162" s="109"/>
      <c r="AC1162" s="110"/>
      <c r="AD1162" s="42"/>
      <c r="AE1162" s="43"/>
    </row>
    <row r="1163" customFormat="false" ht="16.5" hidden="false" customHeight="true" outlineLevel="0" collapsed="false">
      <c r="A1163" s="97" t="n">
        <f aca="false">ROW(A1160)</f>
        <v>1160</v>
      </c>
      <c r="B1163" s="97" t="s">
        <v>473</v>
      </c>
      <c r="C1163" s="100" t="n">
        <v>1</v>
      </c>
      <c r="D1163" s="85"/>
      <c r="E1163" s="98" t="s">
        <v>3049</v>
      </c>
      <c r="F1163" s="99" t="s">
        <v>3041</v>
      </c>
      <c r="G1163" s="100" t="s">
        <v>2515</v>
      </c>
      <c r="H1163" s="100" t="s">
        <v>3002</v>
      </c>
      <c r="I1163" s="100" t="s">
        <v>199</v>
      </c>
      <c r="J1163" s="98" t="s">
        <v>527</v>
      </c>
      <c r="K1163" s="101" t="s">
        <v>3050</v>
      </c>
      <c r="L1163" s="102" t="n">
        <v>45749</v>
      </c>
      <c r="M1163" s="100" t="n">
        <v>2443</v>
      </c>
      <c r="N1163" s="100" t="n">
        <v>2928</v>
      </c>
      <c r="O1163" s="100" t="n">
        <v>485</v>
      </c>
      <c r="P1163" s="100" t="n">
        <v>470</v>
      </c>
      <c r="Q1163" s="100"/>
      <c r="R1163" s="103" t="n">
        <f aca="false">合約與計費!$D$4</f>
        <v>0.296</v>
      </c>
      <c r="S1163" s="104" t="n">
        <f aca="false">ROUND(P1163*R1163,0)</f>
        <v>139</v>
      </c>
      <c r="T1163" s="105"/>
      <c r="U1163" s="100"/>
      <c r="V1163" s="100"/>
      <c r="W1163" s="106"/>
      <c r="X1163" s="100"/>
      <c r="Y1163" s="100"/>
      <c r="Z1163" s="107"/>
      <c r="AA1163" s="108"/>
      <c r="AB1163" s="109"/>
      <c r="AC1163" s="110"/>
      <c r="AD1163" s="42"/>
      <c r="AE1163" s="43"/>
    </row>
    <row r="1164" customFormat="false" ht="16.5" hidden="false" customHeight="true" outlineLevel="0" collapsed="false">
      <c r="A1164" s="97" t="n">
        <f aca="false">ROW(A1161)</f>
        <v>1161</v>
      </c>
      <c r="B1164" s="97" t="s">
        <v>476</v>
      </c>
      <c r="C1164" s="100" t="n">
        <v>1</v>
      </c>
      <c r="D1164" s="85"/>
      <c r="E1164" s="98" t="s">
        <v>3051</v>
      </c>
      <c r="F1164" s="99" t="s">
        <v>3041</v>
      </c>
      <c r="G1164" s="100" t="s">
        <v>2515</v>
      </c>
      <c r="H1164" s="100" t="s">
        <v>3002</v>
      </c>
      <c r="I1164" s="100" t="s">
        <v>199</v>
      </c>
      <c r="J1164" s="98" t="s">
        <v>527</v>
      </c>
      <c r="K1164" s="101" t="s">
        <v>3052</v>
      </c>
      <c r="L1164" s="102" t="n">
        <v>45749</v>
      </c>
      <c r="M1164" s="100" t="n">
        <v>4199</v>
      </c>
      <c r="N1164" s="100" t="n">
        <v>4883</v>
      </c>
      <c r="O1164" s="100" t="n">
        <v>684</v>
      </c>
      <c r="P1164" s="100" t="n">
        <v>663</v>
      </c>
      <c r="Q1164" s="100"/>
      <c r="R1164" s="103" t="n">
        <f aca="false">合約與計費!$D$4</f>
        <v>0.296</v>
      </c>
      <c r="S1164" s="104" t="n">
        <f aca="false">ROUND(P1164*R1164,0)</f>
        <v>196</v>
      </c>
      <c r="T1164" s="105"/>
      <c r="U1164" s="100"/>
      <c r="V1164" s="100"/>
      <c r="W1164" s="106"/>
      <c r="X1164" s="100"/>
      <c r="Y1164" s="100"/>
      <c r="Z1164" s="107"/>
      <c r="AA1164" s="108"/>
      <c r="AB1164" s="109"/>
      <c r="AC1164" s="110"/>
      <c r="AD1164" s="42"/>
      <c r="AE1164" s="43"/>
    </row>
    <row r="1165" customFormat="false" ht="16.5" hidden="false" customHeight="true" outlineLevel="0" collapsed="false">
      <c r="A1165" s="111" t="n">
        <f aca="false">ROW(A1162)</f>
        <v>1162</v>
      </c>
      <c r="B1165" s="111" t="s">
        <v>479</v>
      </c>
      <c r="C1165" s="114" t="n">
        <v>1</v>
      </c>
      <c r="D1165" s="85"/>
      <c r="E1165" s="112" t="s">
        <v>3053</v>
      </c>
      <c r="F1165" s="113" t="s">
        <v>3041</v>
      </c>
      <c r="G1165" s="114" t="s">
        <v>2515</v>
      </c>
      <c r="H1165" s="114" t="s">
        <v>3002</v>
      </c>
      <c r="I1165" s="114" t="s">
        <v>199</v>
      </c>
      <c r="J1165" s="112" t="s">
        <v>527</v>
      </c>
      <c r="K1165" s="115" t="s">
        <v>3054</v>
      </c>
      <c r="L1165" s="116" t="n">
        <v>45749</v>
      </c>
      <c r="M1165" s="114" t="n">
        <v>3563</v>
      </c>
      <c r="N1165" s="114" t="n">
        <v>4155</v>
      </c>
      <c r="O1165" s="114" t="n">
        <v>592</v>
      </c>
      <c r="P1165" s="114" t="n">
        <v>574</v>
      </c>
      <c r="Q1165" s="114" t="n">
        <f aca="false">ROUND(SUM(P1159:P1165),2)</f>
        <v>4632</v>
      </c>
      <c r="R1165" s="117" t="n">
        <f aca="false">合約與計費!$D$4</f>
        <v>0.296</v>
      </c>
      <c r="S1165" s="118" t="n">
        <f aca="false">ROUND(P1165*R1165,0)</f>
        <v>170</v>
      </c>
      <c r="T1165" s="119" t="n">
        <f aca="false">ROUND(SUM(S1159:S1165),2)</f>
        <v>1371</v>
      </c>
      <c r="U1165" s="114"/>
      <c r="V1165" s="114"/>
      <c r="W1165" s="120"/>
      <c r="X1165" s="114"/>
      <c r="Y1165" s="114" t="n">
        <f aca="false">ROUND(SUM(X1159:X1165),2)</f>
        <v>69</v>
      </c>
      <c r="Z1165" s="121"/>
      <c r="AA1165" s="122"/>
      <c r="AB1165" s="123" t="n">
        <f aca="false">ROUND(SUM(AA1159:AA1165),2)</f>
        <v>193</v>
      </c>
      <c r="AC1165" s="124"/>
      <c r="AD1165" s="42"/>
      <c r="AE1165" s="43"/>
    </row>
    <row r="1166" customFormat="false" ht="16.5" hidden="false" customHeight="true" outlineLevel="0" collapsed="false">
      <c r="A1166" s="84" t="n">
        <f aca="false">ROW(A1163)</f>
        <v>1163</v>
      </c>
      <c r="B1166" s="84" t="s">
        <v>455</v>
      </c>
      <c r="C1166" s="32" t="n">
        <v>1</v>
      </c>
      <c r="D1166" s="85" t="n">
        <v>213</v>
      </c>
      <c r="E1166" s="86" t="s">
        <v>3055</v>
      </c>
      <c r="F1166" s="87" t="s">
        <v>3056</v>
      </c>
      <c r="G1166" s="32" t="s">
        <v>2515</v>
      </c>
      <c r="H1166" s="32" t="s">
        <v>3002</v>
      </c>
      <c r="I1166" s="32" t="s">
        <v>191</v>
      </c>
      <c r="J1166" s="86" t="s">
        <v>460</v>
      </c>
      <c r="K1166" s="88" t="s">
        <v>3057</v>
      </c>
      <c r="L1166" s="89" t="n">
        <v>45776</v>
      </c>
      <c r="M1166" s="32" t="n">
        <v>1213</v>
      </c>
      <c r="N1166" s="32" t="n">
        <v>1526</v>
      </c>
      <c r="O1166" s="32" t="n">
        <v>313</v>
      </c>
      <c r="P1166" s="32" t="n">
        <v>304</v>
      </c>
      <c r="Q1166" s="32"/>
      <c r="R1166" s="90" t="n">
        <f aca="false">合約與計費!$D$4</f>
        <v>0.296</v>
      </c>
      <c r="S1166" s="91" t="n">
        <f aca="false">ROUND(P1166*R1166,0)</f>
        <v>90</v>
      </c>
      <c r="T1166" s="92"/>
      <c r="U1166" s="32" t="n">
        <v>190</v>
      </c>
      <c r="V1166" s="32" t="n">
        <v>276</v>
      </c>
      <c r="W1166" s="32" t="n">
        <v>86</v>
      </c>
      <c r="X1166" s="32" t="n">
        <v>83</v>
      </c>
      <c r="Y1166" s="32"/>
      <c r="Z1166" s="93" t="n">
        <f aca="false">合約與計費!$E$4</f>
        <v>2.8</v>
      </c>
      <c r="AA1166" s="94" t="n">
        <f aca="false">ROUND(X1166*Z1166,0)</f>
        <v>232</v>
      </c>
      <c r="AB1166" s="95"/>
      <c r="AC1166" s="96"/>
      <c r="AD1166" s="42"/>
      <c r="AE1166" s="43"/>
    </row>
    <row r="1167" customFormat="false" ht="16.5" hidden="false" customHeight="true" outlineLevel="0" collapsed="false">
      <c r="A1167" s="97" t="n">
        <f aca="false">ROW(A1164)</f>
        <v>1164</v>
      </c>
      <c r="B1167" s="97" t="s">
        <v>462</v>
      </c>
      <c r="C1167" s="100" t="n">
        <v>1</v>
      </c>
      <c r="D1167" s="85"/>
      <c r="E1167" s="98" t="s">
        <v>3058</v>
      </c>
      <c r="F1167" s="99" t="s">
        <v>3056</v>
      </c>
      <c r="G1167" s="100" t="s">
        <v>2515</v>
      </c>
      <c r="H1167" s="100" t="s">
        <v>3002</v>
      </c>
      <c r="I1167" s="100" t="s">
        <v>191</v>
      </c>
      <c r="J1167" s="98" t="s">
        <v>527</v>
      </c>
      <c r="K1167" s="101" t="s">
        <v>3059</v>
      </c>
      <c r="L1167" s="102" t="n">
        <v>45776</v>
      </c>
      <c r="M1167" s="100" t="n">
        <v>10449</v>
      </c>
      <c r="N1167" s="100" t="n">
        <v>12531</v>
      </c>
      <c r="O1167" s="100" t="n">
        <v>2082</v>
      </c>
      <c r="P1167" s="100" t="n">
        <v>2020</v>
      </c>
      <c r="Q1167" s="100"/>
      <c r="R1167" s="103" t="n">
        <f aca="false">合約與計費!$D$4</f>
        <v>0.296</v>
      </c>
      <c r="S1167" s="104" t="n">
        <f aca="false">ROUND(P1167*R1167,0)</f>
        <v>598</v>
      </c>
      <c r="T1167" s="105"/>
      <c r="U1167" s="100"/>
      <c r="V1167" s="100"/>
      <c r="W1167" s="106"/>
      <c r="X1167" s="100"/>
      <c r="Y1167" s="100"/>
      <c r="Z1167" s="107"/>
      <c r="AA1167" s="108"/>
      <c r="AB1167" s="109"/>
      <c r="AC1167" s="110"/>
      <c r="AD1167" s="42"/>
      <c r="AE1167" s="43"/>
    </row>
    <row r="1168" customFormat="false" ht="16.5" hidden="false" customHeight="true" outlineLevel="0" collapsed="false">
      <c r="A1168" s="97" t="n">
        <f aca="false">ROW(A1165)</f>
        <v>1165</v>
      </c>
      <c r="B1168" s="97" t="s">
        <v>466</v>
      </c>
      <c r="C1168" s="100" t="n">
        <v>1</v>
      </c>
      <c r="D1168" s="85"/>
      <c r="E1168" s="98" t="s">
        <v>3060</v>
      </c>
      <c r="F1168" s="99" t="s">
        <v>3056</v>
      </c>
      <c r="G1168" s="100" t="s">
        <v>2515</v>
      </c>
      <c r="H1168" s="100" t="s">
        <v>3002</v>
      </c>
      <c r="I1168" s="100" t="s">
        <v>191</v>
      </c>
      <c r="J1168" s="98" t="s">
        <v>527</v>
      </c>
      <c r="K1168" s="101" t="s">
        <v>3061</v>
      </c>
      <c r="L1168" s="102" t="n">
        <v>45776</v>
      </c>
      <c r="M1168" s="100" t="n">
        <v>457</v>
      </c>
      <c r="N1168" s="100" t="n">
        <v>581</v>
      </c>
      <c r="O1168" s="100" t="n">
        <v>124</v>
      </c>
      <c r="P1168" s="100" t="n">
        <v>120</v>
      </c>
      <c r="Q1168" s="100"/>
      <c r="R1168" s="103" t="n">
        <f aca="false">合約與計費!$D$4</f>
        <v>0.296</v>
      </c>
      <c r="S1168" s="104" t="n">
        <f aca="false">ROUND(P1168*R1168,0)</f>
        <v>36</v>
      </c>
      <c r="T1168" s="105"/>
      <c r="U1168" s="100"/>
      <c r="V1168" s="100"/>
      <c r="W1168" s="106"/>
      <c r="X1168" s="100"/>
      <c r="Y1168" s="100"/>
      <c r="Z1168" s="107"/>
      <c r="AA1168" s="108"/>
      <c r="AB1168" s="109"/>
      <c r="AC1168" s="110"/>
      <c r="AD1168" s="42"/>
      <c r="AE1168" s="43"/>
    </row>
    <row r="1169" customFormat="false" ht="16.5" hidden="false" customHeight="true" outlineLevel="0" collapsed="false">
      <c r="A1169" s="111" t="n">
        <f aca="false">ROW(A1166)</f>
        <v>1166</v>
      </c>
      <c r="B1169" s="111" t="s">
        <v>469</v>
      </c>
      <c r="C1169" s="114" t="n">
        <v>1</v>
      </c>
      <c r="D1169" s="85"/>
      <c r="E1169" s="112" t="s">
        <v>3062</v>
      </c>
      <c r="F1169" s="113" t="s">
        <v>3056</v>
      </c>
      <c r="G1169" s="114" t="s">
        <v>2515</v>
      </c>
      <c r="H1169" s="114" t="s">
        <v>3002</v>
      </c>
      <c r="I1169" s="173" t="s">
        <v>191</v>
      </c>
      <c r="J1169" s="112" t="s">
        <v>527</v>
      </c>
      <c r="K1169" s="115" t="s">
        <v>3063</v>
      </c>
      <c r="L1169" s="116" t="n">
        <v>45776</v>
      </c>
      <c r="M1169" s="114" t="n">
        <v>3121</v>
      </c>
      <c r="N1169" s="114" t="n">
        <v>3692</v>
      </c>
      <c r="O1169" s="114" t="n">
        <v>571</v>
      </c>
      <c r="P1169" s="114" t="n">
        <v>554</v>
      </c>
      <c r="Q1169" s="114" t="n">
        <f aca="false">ROUND(SUM(P1166:P1169),2)</f>
        <v>2998</v>
      </c>
      <c r="R1169" s="117" t="n">
        <f aca="false">合約與計費!$D$4</f>
        <v>0.296</v>
      </c>
      <c r="S1169" s="118" t="n">
        <f aca="false">ROUND(P1169*R1169,0)</f>
        <v>164</v>
      </c>
      <c r="T1169" s="119" t="n">
        <f aca="false">ROUND(SUM(S1166:S1169),2)</f>
        <v>888</v>
      </c>
      <c r="U1169" s="114"/>
      <c r="V1169" s="114"/>
      <c r="W1169" s="120"/>
      <c r="X1169" s="114"/>
      <c r="Y1169" s="114" t="n">
        <f aca="false">ROUND(SUM(X1166:X1169),2)</f>
        <v>83</v>
      </c>
      <c r="Z1169" s="121"/>
      <c r="AA1169" s="122"/>
      <c r="AB1169" s="123" t="n">
        <f aca="false">ROUND(SUM(AA1166:AA1169),2)</f>
        <v>232</v>
      </c>
      <c r="AC1169" s="124"/>
      <c r="AD1169" s="42"/>
      <c r="AE1169" s="43"/>
    </row>
    <row r="1170" customFormat="false" ht="16.5" hidden="false" customHeight="true" outlineLevel="0" collapsed="false">
      <c r="A1170" s="84" t="n">
        <f aca="false">ROW(A1167)</f>
        <v>1167</v>
      </c>
      <c r="B1170" s="84" t="s">
        <v>455</v>
      </c>
      <c r="C1170" s="32" t="n">
        <v>1</v>
      </c>
      <c r="D1170" s="85" t="n">
        <v>247</v>
      </c>
      <c r="E1170" s="233" t="s">
        <v>3064</v>
      </c>
      <c r="F1170" s="87" t="s">
        <v>3065</v>
      </c>
      <c r="G1170" s="32" t="s">
        <v>2515</v>
      </c>
      <c r="H1170" s="32" t="s">
        <v>3002</v>
      </c>
      <c r="I1170" s="172" t="s">
        <v>41</v>
      </c>
      <c r="J1170" s="86" t="s">
        <v>460</v>
      </c>
      <c r="K1170" s="88" t="s">
        <v>3066</v>
      </c>
      <c r="L1170" s="89" t="n">
        <v>45772</v>
      </c>
      <c r="M1170" s="32" t="n">
        <v>28</v>
      </c>
      <c r="N1170" s="32" t="n">
        <v>31</v>
      </c>
      <c r="O1170" s="32" t="n">
        <v>3</v>
      </c>
      <c r="P1170" s="32" t="n">
        <v>3</v>
      </c>
      <c r="Q1170" s="32"/>
      <c r="R1170" s="90" t="n">
        <f aca="false">合約與計費!$D$4</f>
        <v>0.296</v>
      </c>
      <c r="S1170" s="91" t="n">
        <f aca="false">ROUND(P1170*R1170,0)</f>
        <v>1</v>
      </c>
      <c r="T1170" s="92"/>
      <c r="U1170" s="32" t="n">
        <v>28</v>
      </c>
      <c r="V1170" s="32" t="n">
        <v>38</v>
      </c>
      <c r="W1170" s="32" t="n">
        <v>10</v>
      </c>
      <c r="X1170" s="32" t="n">
        <v>10</v>
      </c>
      <c r="Y1170" s="32"/>
      <c r="Z1170" s="93" t="n">
        <f aca="false">合約與計費!$E$4</f>
        <v>2.8</v>
      </c>
      <c r="AA1170" s="94" t="n">
        <f aca="false">ROUND(X1170*Z1170,0)</f>
        <v>28</v>
      </c>
      <c r="AB1170" s="95"/>
      <c r="AC1170" s="96"/>
      <c r="AD1170" s="42"/>
      <c r="AE1170" s="43"/>
    </row>
    <row r="1171" customFormat="false" ht="16.5" hidden="false" customHeight="true" outlineLevel="0" collapsed="false">
      <c r="A1171" s="97" t="n">
        <f aca="false">ROW(A1168)</f>
        <v>1168</v>
      </c>
      <c r="B1171" s="97" t="s">
        <v>462</v>
      </c>
      <c r="C1171" s="100" t="n">
        <v>1</v>
      </c>
      <c r="D1171" s="85"/>
      <c r="E1171" s="234" t="s">
        <v>3067</v>
      </c>
      <c r="F1171" s="99" t="s">
        <v>3065</v>
      </c>
      <c r="G1171" s="100" t="s">
        <v>2515</v>
      </c>
      <c r="H1171" s="100" t="s">
        <v>3002</v>
      </c>
      <c r="I1171" s="175" t="s">
        <v>41</v>
      </c>
      <c r="J1171" s="98" t="s">
        <v>464</v>
      </c>
      <c r="K1171" s="101" t="s">
        <v>3068</v>
      </c>
      <c r="L1171" s="102" t="n">
        <v>45772</v>
      </c>
      <c r="M1171" s="100" t="n">
        <v>455</v>
      </c>
      <c r="N1171" s="100" t="n">
        <v>487</v>
      </c>
      <c r="O1171" s="100" t="n">
        <v>32</v>
      </c>
      <c r="P1171" s="100" t="n">
        <v>31</v>
      </c>
      <c r="Q1171" s="100"/>
      <c r="R1171" s="103" t="n">
        <f aca="false">合約與計費!$D$4</f>
        <v>0.296</v>
      </c>
      <c r="S1171" s="104" t="n">
        <f aca="false">ROUND(P1171*R1171,0)</f>
        <v>9</v>
      </c>
      <c r="T1171" s="105"/>
      <c r="U1171" s="100"/>
      <c r="V1171" s="100"/>
      <c r="W1171" s="106"/>
      <c r="X1171" s="100"/>
      <c r="Y1171" s="100"/>
      <c r="Z1171" s="107"/>
      <c r="AA1171" s="108"/>
      <c r="AB1171" s="109"/>
      <c r="AC1171" s="110"/>
      <c r="AD1171" s="42" t="n">
        <v>0.0444</v>
      </c>
      <c r="AE1171" s="43" t="n">
        <v>0.9</v>
      </c>
    </row>
    <row r="1172" customFormat="false" ht="16.5" hidden="false" customHeight="true" outlineLevel="0" collapsed="false">
      <c r="A1172" s="97" t="n">
        <f aca="false">ROW(A1169)</f>
        <v>1169</v>
      </c>
      <c r="B1172" s="97" t="s">
        <v>466</v>
      </c>
      <c r="C1172" s="100" t="n">
        <v>1</v>
      </c>
      <c r="D1172" s="85"/>
      <c r="E1172" s="234" t="s">
        <v>3069</v>
      </c>
      <c r="F1172" s="99" t="s">
        <v>3065</v>
      </c>
      <c r="G1172" s="100" t="s">
        <v>2515</v>
      </c>
      <c r="H1172" s="100" t="s">
        <v>3002</v>
      </c>
      <c r="I1172" s="175" t="s">
        <v>41</v>
      </c>
      <c r="J1172" s="98" t="s">
        <v>527</v>
      </c>
      <c r="K1172" s="101" t="s">
        <v>3070</v>
      </c>
      <c r="L1172" s="102" t="n">
        <v>45772</v>
      </c>
      <c r="M1172" s="100" t="n">
        <v>4789</v>
      </c>
      <c r="N1172" s="100" t="n">
        <v>5403</v>
      </c>
      <c r="O1172" s="100" t="n">
        <v>614</v>
      </c>
      <c r="P1172" s="100" t="n">
        <v>596</v>
      </c>
      <c r="Q1172" s="100"/>
      <c r="R1172" s="103" t="n">
        <f aca="false">合約與計費!$D$4</f>
        <v>0.296</v>
      </c>
      <c r="S1172" s="104" t="n">
        <f aca="false">ROUND(P1172*R1172,0)</f>
        <v>176</v>
      </c>
      <c r="T1172" s="105"/>
      <c r="U1172" s="100"/>
      <c r="V1172" s="100"/>
      <c r="W1172" s="106"/>
      <c r="X1172" s="100"/>
      <c r="Y1172" s="100"/>
      <c r="Z1172" s="107"/>
      <c r="AA1172" s="108"/>
      <c r="AB1172" s="109"/>
      <c r="AC1172" s="110"/>
      <c r="AD1172" s="42"/>
      <c r="AE1172" s="43"/>
    </row>
    <row r="1173" customFormat="false" ht="16.5" hidden="false" customHeight="true" outlineLevel="0" collapsed="false">
      <c r="A1173" s="111" t="n">
        <f aca="false">ROW(A1170)</f>
        <v>1170</v>
      </c>
      <c r="B1173" s="111" t="s">
        <v>469</v>
      </c>
      <c r="C1173" s="114" t="n">
        <v>1</v>
      </c>
      <c r="D1173" s="85"/>
      <c r="E1173" s="235" t="s">
        <v>3071</v>
      </c>
      <c r="F1173" s="113" t="s">
        <v>3065</v>
      </c>
      <c r="G1173" s="114" t="s">
        <v>2515</v>
      </c>
      <c r="H1173" s="114" t="s">
        <v>3002</v>
      </c>
      <c r="I1173" s="173" t="s">
        <v>41</v>
      </c>
      <c r="J1173" s="98" t="s">
        <v>527</v>
      </c>
      <c r="K1173" s="101" t="s">
        <v>3072</v>
      </c>
      <c r="L1173" s="102" t="n">
        <v>45772</v>
      </c>
      <c r="M1173" s="100" t="n">
        <v>2353</v>
      </c>
      <c r="N1173" s="100" t="n">
        <v>2640</v>
      </c>
      <c r="O1173" s="100" t="n">
        <v>287</v>
      </c>
      <c r="P1173" s="100" t="n">
        <v>278</v>
      </c>
      <c r="Q1173" s="100" t="n">
        <f aca="false">ROUND(SUM(P1170:P1173),2)</f>
        <v>908</v>
      </c>
      <c r="R1173" s="103" t="n">
        <f aca="false">合約與計費!$D$4</f>
        <v>0.296</v>
      </c>
      <c r="S1173" s="104" t="n">
        <f aca="false">ROUND(P1173*R1173,0)</f>
        <v>82</v>
      </c>
      <c r="T1173" s="105" t="n">
        <f aca="false">ROUND(SUM(S1170:S1173),2)</f>
        <v>268</v>
      </c>
      <c r="U1173" s="100"/>
      <c r="V1173" s="100"/>
      <c r="W1173" s="106"/>
      <c r="X1173" s="100"/>
      <c r="Y1173" s="100" t="n">
        <f aca="false">ROUND(SUM(X1170:X1173),2)</f>
        <v>10</v>
      </c>
      <c r="Z1173" s="107"/>
      <c r="AA1173" s="108"/>
      <c r="AB1173" s="109" t="n">
        <f aca="false">ROUND(SUM(AA1170:AA1173),2)</f>
        <v>28</v>
      </c>
      <c r="AC1173" s="110"/>
      <c r="AD1173" s="42"/>
      <c r="AE1173" s="43"/>
    </row>
    <row r="1174" customFormat="false" ht="16.5" hidden="false" customHeight="true" outlineLevel="0" collapsed="false">
      <c r="A1174" s="84" t="n">
        <f aca="false">ROW(A1171)</f>
        <v>1171</v>
      </c>
      <c r="B1174" s="84" t="s">
        <v>455</v>
      </c>
      <c r="C1174" s="32" t="n">
        <v>1</v>
      </c>
      <c r="D1174" s="85" t="n">
        <v>250</v>
      </c>
      <c r="E1174" s="86" t="s">
        <v>3073</v>
      </c>
      <c r="F1174" s="87" t="s">
        <v>3074</v>
      </c>
      <c r="G1174" s="32" t="s">
        <v>2515</v>
      </c>
      <c r="H1174" s="32" t="s">
        <v>3002</v>
      </c>
      <c r="I1174" s="172" t="s">
        <v>184</v>
      </c>
      <c r="J1174" s="86" t="s">
        <v>460</v>
      </c>
      <c r="K1174" s="88" t="s">
        <v>3075</v>
      </c>
      <c r="L1174" s="89" t="n">
        <v>45772</v>
      </c>
      <c r="M1174" s="32" t="n">
        <v>34</v>
      </c>
      <c r="N1174" s="32" t="n">
        <v>41</v>
      </c>
      <c r="O1174" s="32" t="n">
        <v>7</v>
      </c>
      <c r="P1174" s="32" t="n">
        <v>7</v>
      </c>
      <c r="Q1174" s="32"/>
      <c r="R1174" s="90" t="n">
        <f aca="false">合約與計費!$D$4</f>
        <v>0.296</v>
      </c>
      <c r="S1174" s="91" t="n">
        <f aca="false">ROUND(P1174*R1174,0)</f>
        <v>2</v>
      </c>
      <c r="T1174" s="92"/>
      <c r="U1174" s="32" t="n">
        <v>23</v>
      </c>
      <c r="V1174" s="32" t="n">
        <v>32</v>
      </c>
      <c r="W1174" s="32" t="n">
        <v>9</v>
      </c>
      <c r="X1174" s="32" t="n">
        <v>9</v>
      </c>
      <c r="Y1174" s="32"/>
      <c r="Z1174" s="93" t="n">
        <f aca="false">合約與計費!$E$4</f>
        <v>2.8</v>
      </c>
      <c r="AA1174" s="94" t="n">
        <f aca="false">ROUND(X1174*Z1174,0)</f>
        <v>25</v>
      </c>
      <c r="AB1174" s="95"/>
      <c r="AC1174" s="96"/>
      <c r="AD1174" s="42"/>
      <c r="AE1174" s="43"/>
    </row>
    <row r="1175" customFormat="false" ht="16.5" hidden="false" customHeight="true" outlineLevel="0" collapsed="false">
      <c r="A1175" s="97" t="n">
        <f aca="false">ROW(A1172)</f>
        <v>1172</v>
      </c>
      <c r="B1175" s="97" t="s">
        <v>462</v>
      </c>
      <c r="C1175" s="100" t="n">
        <v>1</v>
      </c>
      <c r="D1175" s="85"/>
      <c r="E1175" s="98" t="s">
        <v>3076</v>
      </c>
      <c r="F1175" s="99" t="s">
        <v>3074</v>
      </c>
      <c r="G1175" s="100" t="s">
        <v>2515</v>
      </c>
      <c r="H1175" s="100" t="s">
        <v>3002</v>
      </c>
      <c r="I1175" s="175" t="s">
        <v>184</v>
      </c>
      <c r="J1175" s="98" t="s">
        <v>464</v>
      </c>
      <c r="K1175" s="101" t="s">
        <v>3077</v>
      </c>
      <c r="L1175" s="102" t="n">
        <v>45772</v>
      </c>
      <c r="M1175" s="100" t="n">
        <v>429</v>
      </c>
      <c r="N1175" s="100" t="n">
        <v>547</v>
      </c>
      <c r="O1175" s="100" t="n">
        <v>118</v>
      </c>
      <c r="P1175" s="100" t="n">
        <v>114</v>
      </c>
      <c r="Q1175" s="100"/>
      <c r="R1175" s="103" t="n">
        <f aca="false">合約與計費!$D$4</f>
        <v>0.296</v>
      </c>
      <c r="S1175" s="104" t="n">
        <f aca="false">ROUND(P1175*R1175,0)</f>
        <v>34</v>
      </c>
      <c r="T1175" s="105"/>
      <c r="U1175" s="100"/>
      <c r="V1175" s="100"/>
      <c r="W1175" s="106"/>
      <c r="X1175" s="100"/>
      <c r="Y1175" s="100"/>
      <c r="Z1175" s="107"/>
      <c r="AA1175" s="108"/>
      <c r="AB1175" s="109"/>
      <c r="AC1175" s="110"/>
      <c r="AD1175" s="42" t="n">
        <v>0.0736</v>
      </c>
      <c r="AE1175" s="43" t="n">
        <v>0.7</v>
      </c>
    </row>
    <row r="1176" customFormat="false" ht="16.5" hidden="false" customHeight="true" outlineLevel="0" collapsed="false">
      <c r="A1176" s="97" t="n">
        <f aca="false">ROW(A1173)</f>
        <v>1173</v>
      </c>
      <c r="B1176" s="97" t="s">
        <v>466</v>
      </c>
      <c r="C1176" s="100" t="n">
        <v>1</v>
      </c>
      <c r="D1176" s="85"/>
      <c r="E1176" s="98" t="s">
        <v>3078</v>
      </c>
      <c r="F1176" s="99" t="s">
        <v>3074</v>
      </c>
      <c r="G1176" s="100" t="s">
        <v>2515</v>
      </c>
      <c r="H1176" s="100" t="s">
        <v>3002</v>
      </c>
      <c r="I1176" s="175" t="s">
        <v>184</v>
      </c>
      <c r="J1176" s="98" t="s">
        <v>527</v>
      </c>
      <c r="K1176" s="101" t="s">
        <v>3079</v>
      </c>
      <c r="L1176" s="102" t="n">
        <v>45772</v>
      </c>
      <c r="M1176" s="100" t="n">
        <v>3054</v>
      </c>
      <c r="N1176" s="100" t="n">
        <v>3663</v>
      </c>
      <c r="O1176" s="100" t="n">
        <v>609</v>
      </c>
      <c r="P1176" s="100" t="n">
        <v>591</v>
      </c>
      <c r="Q1176" s="100"/>
      <c r="R1176" s="103" t="n">
        <f aca="false">合約與計費!$D$4</f>
        <v>0.296</v>
      </c>
      <c r="S1176" s="104" t="n">
        <f aca="false">ROUND(P1176*R1176,0)</f>
        <v>175</v>
      </c>
      <c r="T1176" s="105"/>
      <c r="U1176" s="100"/>
      <c r="V1176" s="100"/>
      <c r="W1176" s="106"/>
      <c r="X1176" s="100"/>
      <c r="Y1176" s="100"/>
      <c r="Z1176" s="107"/>
      <c r="AA1176" s="108"/>
      <c r="AB1176" s="109"/>
      <c r="AC1176" s="110"/>
      <c r="AD1176" s="42"/>
      <c r="AE1176" s="43"/>
    </row>
    <row r="1177" customFormat="false" ht="16.5" hidden="false" customHeight="true" outlineLevel="0" collapsed="false">
      <c r="A1177" s="97" t="n">
        <f aca="false">ROW(A1174)</f>
        <v>1174</v>
      </c>
      <c r="B1177" s="97" t="s">
        <v>469</v>
      </c>
      <c r="C1177" s="100" t="n">
        <v>1</v>
      </c>
      <c r="D1177" s="85"/>
      <c r="E1177" s="98" t="s">
        <v>3080</v>
      </c>
      <c r="F1177" s="99" t="s">
        <v>3074</v>
      </c>
      <c r="G1177" s="100" t="s">
        <v>2515</v>
      </c>
      <c r="H1177" s="100" t="s">
        <v>3002</v>
      </c>
      <c r="I1177" s="175" t="s">
        <v>184</v>
      </c>
      <c r="J1177" s="98" t="s">
        <v>527</v>
      </c>
      <c r="K1177" s="101" t="s">
        <v>3081</v>
      </c>
      <c r="L1177" s="102" t="n">
        <v>45772</v>
      </c>
      <c r="M1177" s="100" t="n">
        <v>6386</v>
      </c>
      <c r="N1177" s="100" t="n">
        <v>7636</v>
      </c>
      <c r="O1177" s="100" t="n">
        <v>1250</v>
      </c>
      <c r="P1177" s="100" t="n">
        <v>1213</v>
      </c>
      <c r="Q1177" s="100"/>
      <c r="R1177" s="103" t="n">
        <f aca="false">合約與計費!$D$4</f>
        <v>0.296</v>
      </c>
      <c r="S1177" s="104" t="n">
        <f aca="false">ROUND(P1177*R1177,0)</f>
        <v>359</v>
      </c>
      <c r="T1177" s="105"/>
      <c r="U1177" s="100"/>
      <c r="V1177" s="100"/>
      <c r="W1177" s="106"/>
      <c r="X1177" s="100"/>
      <c r="Y1177" s="100"/>
      <c r="Z1177" s="107"/>
      <c r="AA1177" s="108"/>
      <c r="AB1177" s="109"/>
      <c r="AC1177" s="110"/>
      <c r="AD1177" s="42"/>
      <c r="AE1177" s="43"/>
    </row>
    <row r="1178" customFormat="false" ht="16.5" hidden="false" customHeight="true" outlineLevel="0" collapsed="false">
      <c r="A1178" s="111" t="n">
        <f aca="false">ROW(A1175)</f>
        <v>1175</v>
      </c>
      <c r="B1178" s="111" t="s">
        <v>473</v>
      </c>
      <c r="C1178" s="114" t="n">
        <v>1</v>
      </c>
      <c r="D1178" s="85"/>
      <c r="E1178" s="112" t="s">
        <v>3082</v>
      </c>
      <c r="F1178" s="113" t="s">
        <v>3074</v>
      </c>
      <c r="G1178" s="114" t="s">
        <v>2515</v>
      </c>
      <c r="H1178" s="114" t="s">
        <v>3002</v>
      </c>
      <c r="I1178" s="173" t="s">
        <v>184</v>
      </c>
      <c r="J1178" s="112" t="s">
        <v>527</v>
      </c>
      <c r="K1178" s="115" t="s">
        <v>3083</v>
      </c>
      <c r="L1178" s="116" t="n">
        <v>45772</v>
      </c>
      <c r="M1178" s="114" t="n">
        <v>962</v>
      </c>
      <c r="N1178" s="114" t="n">
        <v>1126</v>
      </c>
      <c r="O1178" s="114" t="n">
        <v>164</v>
      </c>
      <c r="P1178" s="114" t="n">
        <v>159</v>
      </c>
      <c r="Q1178" s="114" t="n">
        <f aca="false">ROUND(SUM(P1174:P1178),2)</f>
        <v>2084</v>
      </c>
      <c r="R1178" s="117" t="n">
        <f aca="false">合約與計費!$D$4</f>
        <v>0.296</v>
      </c>
      <c r="S1178" s="118" t="n">
        <f aca="false">ROUND(P1178*R1178,0)</f>
        <v>47</v>
      </c>
      <c r="T1178" s="119" t="n">
        <f aca="false">ROUND(SUM(S1174:S1178),2)</f>
        <v>617</v>
      </c>
      <c r="U1178" s="114"/>
      <c r="V1178" s="114"/>
      <c r="W1178" s="120"/>
      <c r="X1178" s="114"/>
      <c r="Y1178" s="114" t="n">
        <f aca="false">ROUND(SUM(X1174:X1178),2)</f>
        <v>9</v>
      </c>
      <c r="Z1178" s="121"/>
      <c r="AA1178" s="122"/>
      <c r="AB1178" s="123" t="n">
        <f aca="false">ROUND(SUM(AA1174:AA1178),2)</f>
        <v>25</v>
      </c>
      <c r="AC1178" s="124"/>
      <c r="AD1178" s="42"/>
      <c r="AE1178" s="43"/>
    </row>
    <row r="1179" customFormat="false" ht="16.5" hidden="false" customHeight="true" outlineLevel="0" collapsed="false">
      <c r="A1179" s="84" t="n">
        <f aca="false">ROW(A1176)</f>
        <v>1176</v>
      </c>
      <c r="B1179" s="84" t="s">
        <v>455</v>
      </c>
      <c r="C1179" s="32" t="n">
        <v>1</v>
      </c>
      <c r="D1179" s="85" t="n">
        <v>251</v>
      </c>
      <c r="E1179" s="233" t="s">
        <v>3084</v>
      </c>
      <c r="F1179" s="87" t="s">
        <v>3085</v>
      </c>
      <c r="G1179" s="32" t="s">
        <v>2515</v>
      </c>
      <c r="H1179" s="32" t="s">
        <v>3002</v>
      </c>
      <c r="I1179" s="172" t="s">
        <v>97</v>
      </c>
      <c r="J1179" s="86" t="s">
        <v>460</v>
      </c>
      <c r="K1179" s="88" t="s">
        <v>3086</v>
      </c>
      <c r="L1179" s="89" t="n">
        <v>45772</v>
      </c>
      <c r="M1179" s="32" t="n">
        <v>32</v>
      </c>
      <c r="N1179" s="32" t="n">
        <v>49</v>
      </c>
      <c r="O1179" s="32" t="n">
        <v>17</v>
      </c>
      <c r="P1179" s="32" t="n">
        <v>16</v>
      </c>
      <c r="Q1179" s="32"/>
      <c r="R1179" s="90" t="n">
        <f aca="false">合約與計費!$D$4</f>
        <v>0.296</v>
      </c>
      <c r="S1179" s="91" t="n">
        <f aca="false">ROUND(P1179*R1179,0)</f>
        <v>5</v>
      </c>
      <c r="T1179" s="92"/>
      <c r="U1179" s="32" t="n">
        <v>47</v>
      </c>
      <c r="V1179" s="32" t="n">
        <v>65</v>
      </c>
      <c r="W1179" s="32" t="n">
        <v>18</v>
      </c>
      <c r="X1179" s="32" t="n">
        <v>17</v>
      </c>
      <c r="Y1179" s="32"/>
      <c r="Z1179" s="93" t="n">
        <f aca="false">合約與計費!$E$4</f>
        <v>2.8</v>
      </c>
      <c r="AA1179" s="94" t="n">
        <f aca="false">ROUND(X1179*Z1179,0)</f>
        <v>48</v>
      </c>
      <c r="AB1179" s="95"/>
      <c r="AC1179" s="96"/>
      <c r="AD1179" s="42"/>
      <c r="AE1179" s="43"/>
    </row>
    <row r="1180" customFormat="false" ht="16.5" hidden="false" customHeight="true" outlineLevel="0" collapsed="false">
      <c r="A1180" s="97" t="n">
        <f aca="false">ROW(A1177)</f>
        <v>1177</v>
      </c>
      <c r="B1180" s="97" t="s">
        <v>462</v>
      </c>
      <c r="C1180" s="100" t="n">
        <v>1</v>
      </c>
      <c r="D1180" s="85"/>
      <c r="E1180" s="234" t="s">
        <v>3087</v>
      </c>
      <c r="F1180" s="99" t="s">
        <v>3085</v>
      </c>
      <c r="G1180" s="100" t="s">
        <v>2515</v>
      </c>
      <c r="H1180" s="100" t="s">
        <v>3002</v>
      </c>
      <c r="I1180" s="175" t="s">
        <v>97</v>
      </c>
      <c r="J1180" s="98" t="s">
        <v>464</v>
      </c>
      <c r="K1180" s="101" t="s">
        <v>3088</v>
      </c>
      <c r="L1180" s="102" t="n">
        <v>45772</v>
      </c>
      <c r="M1180" s="100" t="n">
        <v>2052</v>
      </c>
      <c r="N1180" s="100" t="n">
        <v>2584</v>
      </c>
      <c r="O1180" s="100" t="n">
        <v>532</v>
      </c>
      <c r="P1180" s="100" t="n">
        <v>516</v>
      </c>
      <c r="Q1180" s="100"/>
      <c r="R1180" s="103" t="n">
        <f aca="false">合約與計費!$D$4</f>
        <v>0.296</v>
      </c>
      <c r="S1180" s="104" t="n">
        <f aca="false">ROUND(P1180*R1180,0)</f>
        <v>153</v>
      </c>
      <c r="T1180" s="105"/>
      <c r="U1180" s="100"/>
      <c r="V1180" s="100"/>
      <c r="W1180" s="106"/>
      <c r="X1180" s="100"/>
      <c r="Y1180" s="100"/>
      <c r="Z1180" s="107"/>
      <c r="AA1180" s="108"/>
      <c r="AB1180" s="109"/>
      <c r="AC1180" s="110"/>
      <c r="AD1180" s="42" t="n">
        <v>0.0453</v>
      </c>
      <c r="AE1180" s="43" t="n">
        <v>0.1</v>
      </c>
    </row>
    <row r="1181" customFormat="false" ht="16.5" hidden="false" customHeight="true" outlineLevel="0" collapsed="false">
      <c r="A1181" s="97" t="n">
        <f aca="false">ROW(A1178)</f>
        <v>1178</v>
      </c>
      <c r="B1181" s="97" t="s">
        <v>466</v>
      </c>
      <c r="C1181" s="100" t="n">
        <v>1</v>
      </c>
      <c r="D1181" s="85"/>
      <c r="E1181" s="234" t="s">
        <v>3089</v>
      </c>
      <c r="F1181" s="99" t="s">
        <v>3085</v>
      </c>
      <c r="G1181" s="100" t="s">
        <v>2515</v>
      </c>
      <c r="H1181" s="100" t="s">
        <v>3002</v>
      </c>
      <c r="I1181" s="175" t="s">
        <v>97</v>
      </c>
      <c r="J1181" s="98" t="s">
        <v>527</v>
      </c>
      <c r="K1181" s="101" t="s">
        <v>3090</v>
      </c>
      <c r="L1181" s="102" t="n">
        <v>45772</v>
      </c>
      <c r="M1181" s="100" t="n">
        <v>3010</v>
      </c>
      <c r="N1181" s="100" t="n">
        <v>3629</v>
      </c>
      <c r="O1181" s="100" t="n">
        <v>619</v>
      </c>
      <c r="P1181" s="100" t="n">
        <v>600</v>
      </c>
      <c r="Q1181" s="100"/>
      <c r="R1181" s="103" t="n">
        <f aca="false">合約與計費!$D$4</f>
        <v>0.296</v>
      </c>
      <c r="S1181" s="104" t="n">
        <f aca="false">ROUND(P1181*R1181,0)</f>
        <v>178</v>
      </c>
      <c r="T1181" s="105"/>
      <c r="U1181" s="100"/>
      <c r="V1181" s="100"/>
      <c r="W1181" s="106"/>
      <c r="X1181" s="100"/>
      <c r="Y1181" s="100"/>
      <c r="Z1181" s="107"/>
      <c r="AA1181" s="108"/>
      <c r="AB1181" s="109"/>
      <c r="AC1181" s="110"/>
      <c r="AD1181" s="42" t="s">
        <v>2175</v>
      </c>
      <c r="AE1181" s="43"/>
    </row>
    <row r="1182" customFormat="false" ht="16.5" hidden="false" customHeight="true" outlineLevel="0" collapsed="false">
      <c r="A1182" s="111" t="n">
        <f aca="false">ROW(A1179)</f>
        <v>1179</v>
      </c>
      <c r="B1182" s="111" t="s">
        <v>469</v>
      </c>
      <c r="C1182" s="114" t="n">
        <v>1</v>
      </c>
      <c r="D1182" s="85"/>
      <c r="E1182" s="235" t="s">
        <v>3091</v>
      </c>
      <c r="F1182" s="113" t="s">
        <v>3085</v>
      </c>
      <c r="G1182" s="114" t="s">
        <v>2515</v>
      </c>
      <c r="H1182" s="114" t="s">
        <v>3002</v>
      </c>
      <c r="I1182" s="173" t="s">
        <v>97</v>
      </c>
      <c r="J1182" s="98" t="s">
        <v>527</v>
      </c>
      <c r="K1182" s="101" t="s">
        <v>3092</v>
      </c>
      <c r="L1182" s="102" t="n">
        <v>45772</v>
      </c>
      <c r="M1182" s="100" t="n">
        <v>5555</v>
      </c>
      <c r="N1182" s="100" t="n">
        <v>6746</v>
      </c>
      <c r="O1182" s="100" t="n">
        <v>1191</v>
      </c>
      <c r="P1182" s="100" t="n">
        <v>1155</v>
      </c>
      <c r="Q1182" s="100" t="n">
        <f aca="false">ROUND(SUM(P1179:P1182),2)</f>
        <v>2287</v>
      </c>
      <c r="R1182" s="103" t="n">
        <f aca="false">合約與計費!$D$4</f>
        <v>0.296</v>
      </c>
      <c r="S1182" s="104" t="n">
        <f aca="false">ROUND(P1182*R1182,0)</f>
        <v>342</v>
      </c>
      <c r="T1182" s="105" t="n">
        <f aca="false">ROUND(SUM(S1179:S1182),2)</f>
        <v>678</v>
      </c>
      <c r="U1182" s="100"/>
      <c r="V1182" s="100"/>
      <c r="W1182" s="106"/>
      <c r="X1182" s="100"/>
      <c r="Y1182" s="100" t="n">
        <f aca="false">ROUND(SUM(X1179:X1182),2)</f>
        <v>17</v>
      </c>
      <c r="Z1182" s="107"/>
      <c r="AA1182" s="108"/>
      <c r="AB1182" s="109" t="n">
        <f aca="false">ROUND(SUM(AA1179:AA1182),2)</f>
        <v>48</v>
      </c>
      <c r="AC1182" s="110"/>
      <c r="AD1182" s="42"/>
      <c r="AE1182" s="43"/>
    </row>
    <row r="1183" customFormat="false" ht="16.5" hidden="false" customHeight="true" outlineLevel="0" collapsed="false">
      <c r="A1183" s="84" t="n">
        <f aca="false">ROW(A1180)</f>
        <v>1180</v>
      </c>
      <c r="B1183" s="84" t="s">
        <v>455</v>
      </c>
      <c r="C1183" s="32" t="n">
        <v>1</v>
      </c>
      <c r="D1183" s="85" t="n">
        <v>298</v>
      </c>
      <c r="E1183" s="233" t="s">
        <v>3093</v>
      </c>
      <c r="F1183" s="87" t="s">
        <v>3094</v>
      </c>
      <c r="G1183" s="32" t="s">
        <v>2515</v>
      </c>
      <c r="H1183" s="32" t="s">
        <v>3002</v>
      </c>
      <c r="I1183" s="172" t="s">
        <v>295</v>
      </c>
      <c r="J1183" s="86" t="s">
        <v>460</v>
      </c>
      <c r="K1183" s="88" t="s">
        <v>3095</v>
      </c>
      <c r="L1183" s="89" t="n">
        <v>45775</v>
      </c>
      <c r="M1183" s="32" t="n">
        <v>22</v>
      </c>
      <c r="N1183" s="32" t="n">
        <v>25</v>
      </c>
      <c r="O1183" s="32" t="n">
        <v>3</v>
      </c>
      <c r="P1183" s="32" t="n">
        <v>3</v>
      </c>
      <c r="Q1183" s="32"/>
      <c r="R1183" s="90" t="n">
        <f aca="false">合約與計費!$D$4</f>
        <v>0.296</v>
      </c>
      <c r="S1183" s="91" t="n">
        <f aca="false">ROUND(P1183*R1183,0)</f>
        <v>1</v>
      </c>
      <c r="T1183" s="92"/>
      <c r="U1183" s="32" t="n">
        <v>23</v>
      </c>
      <c r="V1183" s="32" t="n">
        <v>26</v>
      </c>
      <c r="W1183" s="32" t="n">
        <v>3</v>
      </c>
      <c r="X1183" s="32" t="n">
        <v>3</v>
      </c>
      <c r="Y1183" s="32"/>
      <c r="Z1183" s="93" t="n">
        <f aca="false">合約與計費!$E$4</f>
        <v>2.8</v>
      </c>
      <c r="AA1183" s="94" t="n">
        <f aca="false">ROUND(X1183*Z1183,0)</f>
        <v>8</v>
      </c>
      <c r="AB1183" s="95"/>
      <c r="AC1183" s="96"/>
      <c r="AD1183" s="42"/>
      <c r="AE1183" s="43"/>
    </row>
    <row r="1184" customFormat="false" ht="16.5" hidden="false" customHeight="true" outlineLevel="0" collapsed="false">
      <c r="A1184" s="97" t="n">
        <f aca="false">ROW(A1181)</f>
        <v>1181</v>
      </c>
      <c r="B1184" s="97" t="s">
        <v>462</v>
      </c>
      <c r="C1184" s="100" t="n">
        <v>1</v>
      </c>
      <c r="D1184" s="85"/>
      <c r="E1184" s="234" t="s">
        <v>3096</v>
      </c>
      <c r="F1184" s="99" t="s">
        <v>3094</v>
      </c>
      <c r="G1184" s="100" t="s">
        <v>2515</v>
      </c>
      <c r="H1184" s="100" t="s">
        <v>3002</v>
      </c>
      <c r="I1184" s="175" t="s">
        <v>295</v>
      </c>
      <c r="J1184" s="98" t="s">
        <v>464</v>
      </c>
      <c r="K1184" s="101" t="s">
        <v>3097</v>
      </c>
      <c r="L1184" s="102" t="n">
        <v>45775</v>
      </c>
      <c r="M1184" s="100" t="n">
        <v>157</v>
      </c>
      <c r="N1184" s="100" t="n">
        <v>182</v>
      </c>
      <c r="O1184" s="100" t="n">
        <v>25</v>
      </c>
      <c r="P1184" s="100" t="n">
        <v>24</v>
      </c>
      <c r="Q1184" s="100"/>
      <c r="R1184" s="103" t="n">
        <f aca="false">合約與計費!$D$4</f>
        <v>0.296</v>
      </c>
      <c r="S1184" s="104" t="n">
        <f aca="false">ROUND(P1184*R1184,0)</f>
        <v>7</v>
      </c>
      <c r="T1184" s="105"/>
      <c r="U1184" s="100"/>
      <c r="V1184" s="100"/>
      <c r="W1184" s="106"/>
      <c r="X1184" s="100"/>
      <c r="Y1184" s="100"/>
      <c r="Z1184" s="107"/>
      <c r="AA1184" s="108"/>
      <c r="AB1184" s="109"/>
      <c r="AC1184" s="110"/>
      <c r="AD1184" s="42" t="n">
        <v>0.0417</v>
      </c>
      <c r="AE1184" s="43" t="n">
        <v>0.9</v>
      </c>
    </row>
    <row r="1185" customFormat="false" ht="16.5" hidden="false" customHeight="true" outlineLevel="0" collapsed="false">
      <c r="A1185" s="97" t="n">
        <f aca="false">ROW(A1182)</f>
        <v>1182</v>
      </c>
      <c r="B1185" s="97" t="s">
        <v>466</v>
      </c>
      <c r="C1185" s="100" t="n">
        <v>1</v>
      </c>
      <c r="D1185" s="85"/>
      <c r="E1185" s="234" t="s">
        <v>3098</v>
      </c>
      <c r="F1185" s="99" t="s">
        <v>3094</v>
      </c>
      <c r="G1185" s="100" t="s">
        <v>2515</v>
      </c>
      <c r="H1185" s="100" t="s">
        <v>3002</v>
      </c>
      <c r="I1185" s="175" t="s">
        <v>295</v>
      </c>
      <c r="J1185" s="98" t="s">
        <v>527</v>
      </c>
      <c r="K1185" s="101" t="s">
        <v>3099</v>
      </c>
      <c r="L1185" s="102" t="n">
        <v>45775</v>
      </c>
      <c r="M1185" s="100" t="n">
        <v>433</v>
      </c>
      <c r="N1185" s="100" t="n">
        <v>491</v>
      </c>
      <c r="O1185" s="100" t="n">
        <v>58</v>
      </c>
      <c r="P1185" s="100" t="n">
        <v>56</v>
      </c>
      <c r="Q1185" s="100"/>
      <c r="R1185" s="103" t="n">
        <f aca="false">合約與計費!$D$4</f>
        <v>0.296</v>
      </c>
      <c r="S1185" s="104" t="n">
        <f aca="false">ROUND(P1185*R1185,0)</f>
        <v>17</v>
      </c>
      <c r="T1185" s="105"/>
      <c r="U1185" s="100"/>
      <c r="V1185" s="100"/>
      <c r="W1185" s="106"/>
      <c r="X1185" s="100"/>
      <c r="Y1185" s="100"/>
      <c r="Z1185" s="107"/>
      <c r="AA1185" s="108"/>
      <c r="AB1185" s="109"/>
      <c r="AC1185" s="110"/>
      <c r="AD1185" s="42"/>
      <c r="AE1185" s="43"/>
    </row>
    <row r="1186" customFormat="false" ht="16.5" hidden="false" customHeight="true" outlineLevel="0" collapsed="false">
      <c r="A1186" s="97" t="n">
        <f aca="false">ROW(A1183)</f>
        <v>1183</v>
      </c>
      <c r="B1186" s="97" t="s">
        <v>469</v>
      </c>
      <c r="C1186" s="100" t="n">
        <v>1</v>
      </c>
      <c r="D1186" s="85"/>
      <c r="E1186" s="234" t="s">
        <v>3100</v>
      </c>
      <c r="F1186" s="99" t="s">
        <v>3094</v>
      </c>
      <c r="G1186" s="100" t="s">
        <v>2515</v>
      </c>
      <c r="H1186" s="100" t="s">
        <v>3002</v>
      </c>
      <c r="I1186" s="175" t="s">
        <v>295</v>
      </c>
      <c r="J1186" s="98" t="s">
        <v>527</v>
      </c>
      <c r="K1186" s="101" t="s">
        <v>3101</v>
      </c>
      <c r="L1186" s="102" t="n">
        <v>45775</v>
      </c>
      <c r="M1186" s="100" t="n">
        <v>4650</v>
      </c>
      <c r="N1186" s="100" t="n">
        <v>5568</v>
      </c>
      <c r="O1186" s="100" t="n">
        <v>918</v>
      </c>
      <c r="P1186" s="100" t="n">
        <v>890</v>
      </c>
      <c r="Q1186" s="100"/>
      <c r="R1186" s="103" t="n">
        <f aca="false">合約與計費!$D$4</f>
        <v>0.296</v>
      </c>
      <c r="S1186" s="104" t="n">
        <f aca="false">ROUND(P1186*R1186,0)</f>
        <v>263</v>
      </c>
      <c r="T1186" s="105"/>
      <c r="U1186" s="100"/>
      <c r="V1186" s="100"/>
      <c r="W1186" s="106"/>
      <c r="X1186" s="100"/>
      <c r="Y1186" s="100"/>
      <c r="Z1186" s="107"/>
      <c r="AA1186" s="108"/>
      <c r="AB1186" s="109"/>
      <c r="AC1186" s="110"/>
      <c r="AD1186" s="42"/>
      <c r="AE1186" s="43"/>
    </row>
    <row r="1187" customFormat="false" ht="16.5" hidden="false" customHeight="true" outlineLevel="0" collapsed="false">
      <c r="A1187" s="111" t="n">
        <f aca="false">ROW(A1184)</f>
        <v>1184</v>
      </c>
      <c r="B1187" s="111" t="s">
        <v>473</v>
      </c>
      <c r="C1187" s="114" t="n">
        <v>1</v>
      </c>
      <c r="D1187" s="85"/>
      <c r="E1187" s="235" t="s">
        <v>3102</v>
      </c>
      <c r="F1187" s="113" t="s">
        <v>3094</v>
      </c>
      <c r="G1187" s="114" t="s">
        <v>2515</v>
      </c>
      <c r="H1187" s="114" t="s">
        <v>3002</v>
      </c>
      <c r="I1187" s="173" t="s">
        <v>295</v>
      </c>
      <c r="J1187" s="98" t="s">
        <v>527</v>
      </c>
      <c r="K1187" s="101" t="s">
        <v>3103</v>
      </c>
      <c r="L1187" s="102" t="n">
        <v>45775</v>
      </c>
      <c r="M1187" s="100" t="n">
        <v>3902</v>
      </c>
      <c r="N1187" s="100" t="n">
        <v>4375</v>
      </c>
      <c r="O1187" s="100" t="n">
        <v>473</v>
      </c>
      <c r="P1187" s="100" t="n">
        <v>459</v>
      </c>
      <c r="Q1187" s="100" t="n">
        <f aca="false">ROUND(SUM(P1183:P1187),2)</f>
        <v>1432</v>
      </c>
      <c r="R1187" s="103" t="n">
        <f aca="false">合約與計費!$D$4</f>
        <v>0.296</v>
      </c>
      <c r="S1187" s="104" t="n">
        <f aca="false">ROUND(P1187*R1187,0)</f>
        <v>136</v>
      </c>
      <c r="T1187" s="105" t="n">
        <f aca="false">ROUND(SUM(S1183:S1187),2)</f>
        <v>424</v>
      </c>
      <c r="U1187" s="100"/>
      <c r="V1187" s="100"/>
      <c r="W1187" s="106"/>
      <c r="X1187" s="100"/>
      <c r="Y1187" s="100" t="n">
        <f aca="false">ROUND(SUM(X1183:X1187),2)</f>
        <v>3</v>
      </c>
      <c r="Z1187" s="107"/>
      <c r="AA1187" s="108"/>
      <c r="AB1187" s="109" t="n">
        <f aca="false">ROUND(SUM(AA1183:AA1187),2)</f>
        <v>8</v>
      </c>
      <c r="AC1187" s="110"/>
      <c r="AD1187" s="42"/>
      <c r="AE1187" s="43"/>
    </row>
    <row r="1188" customFormat="false" ht="16.5" hidden="false" customHeight="true" outlineLevel="0" collapsed="false">
      <c r="A1188" s="84" t="n">
        <f aca="false">ROW(A1185)</f>
        <v>1185</v>
      </c>
      <c r="B1188" s="84" t="s">
        <v>455</v>
      </c>
      <c r="C1188" s="32" t="n">
        <v>1</v>
      </c>
      <c r="D1188" s="85" t="n">
        <v>353</v>
      </c>
      <c r="E1188" s="86" t="s">
        <v>3104</v>
      </c>
      <c r="F1188" s="87" t="s">
        <v>3105</v>
      </c>
      <c r="G1188" s="32" t="s">
        <v>2515</v>
      </c>
      <c r="H1188" s="32" t="s">
        <v>3002</v>
      </c>
      <c r="I1188" s="172" t="s">
        <v>6</v>
      </c>
      <c r="J1188" s="86" t="s">
        <v>460</v>
      </c>
      <c r="K1188" s="88" t="s">
        <v>3106</v>
      </c>
      <c r="L1188" s="89" t="n">
        <v>45772</v>
      </c>
      <c r="M1188" s="32" t="n">
        <v>13</v>
      </c>
      <c r="N1188" s="32" t="n">
        <v>18</v>
      </c>
      <c r="O1188" s="32" t="n">
        <v>5</v>
      </c>
      <c r="P1188" s="32" t="n">
        <v>5</v>
      </c>
      <c r="Q1188" s="32"/>
      <c r="R1188" s="90" t="n">
        <f aca="false">合約與計費!$D$4</f>
        <v>0.296</v>
      </c>
      <c r="S1188" s="91" t="n">
        <f aca="false">ROUND(P1188*R1188,0)</f>
        <v>1</v>
      </c>
      <c r="T1188" s="92"/>
      <c r="U1188" s="32" t="n">
        <v>46</v>
      </c>
      <c r="V1188" s="32" t="n">
        <v>53</v>
      </c>
      <c r="W1188" s="32" t="n">
        <v>7</v>
      </c>
      <c r="X1188" s="32" t="n">
        <v>7</v>
      </c>
      <c r="Y1188" s="32"/>
      <c r="Z1188" s="93" t="n">
        <f aca="false">合約與計費!$E$4</f>
        <v>2.8</v>
      </c>
      <c r="AA1188" s="94" t="n">
        <f aca="false">ROUND(X1188*Z1188,0)</f>
        <v>20</v>
      </c>
      <c r="AB1188" s="95"/>
      <c r="AC1188" s="96"/>
      <c r="AD1188" s="42"/>
      <c r="AE1188" s="43"/>
    </row>
    <row r="1189" customFormat="false" ht="16.5" hidden="false" customHeight="true" outlineLevel="0" collapsed="false">
      <c r="A1189" s="97" t="n">
        <f aca="false">ROW(A1186)</f>
        <v>1186</v>
      </c>
      <c r="B1189" s="97" t="s">
        <v>462</v>
      </c>
      <c r="C1189" s="100" t="n">
        <v>1</v>
      </c>
      <c r="D1189" s="85"/>
      <c r="E1189" s="98" t="s">
        <v>3107</v>
      </c>
      <c r="F1189" s="99" t="s">
        <v>3105</v>
      </c>
      <c r="G1189" s="100" t="s">
        <v>2515</v>
      </c>
      <c r="H1189" s="100" t="s">
        <v>3002</v>
      </c>
      <c r="I1189" s="175" t="s">
        <v>6</v>
      </c>
      <c r="J1189" s="98" t="s">
        <v>464</v>
      </c>
      <c r="K1189" s="101" t="s">
        <v>3108</v>
      </c>
      <c r="L1189" s="102" t="n">
        <v>45772</v>
      </c>
      <c r="M1189" s="100" t="n">
        <v>948</v>
      </c>
      <c r="N1189" s="100" t="n">
        <v>1121</v>
      </c>
      <c r="O1189" s="100" t="n">
        <v>173</v>
      </c>
      <c r="P1189" s="100" t="n">
        <v>168</v>
      </c>
      <c r="Q1189" s="100"/>
      <c r="R1189" s="103" t="n">
        <f aca="false">合約與計費!$D$4</f>
        <v>0.296</v>
      </c>
      <c r="S1189" s="104" t="n">
        <f aca="false">ROUND(P1189*R1189,0)</f>
        <v>50</v>
      </c>
      <c r="T1189" s="105"/>
      <c r="U1189" s="100"/>
      <c r="V1189" s="100"/>
      <c r="W1189" s="106"/>
      <c r="X1189" s="100"/>
      <c r="Y1189" s="100"/>
      <c r="Z1189" s="107"/>
      <c r="AA1189" s="108"/>
      <c r="AB1189" s="109"/>
      <c r="AC1189" s="110"/>
      <c r="AD1189" s="42" t="n">
        <v>0.0606</v>
      </c>
      <c r="AE1189" s="43" t="n">
        <v>0.5</v>
      </c>
    </row>
    <row r="1190" customFormat="false" ht="16.5" hidden="false" customHeight="true" outlineLevel="0" collapsed="false">
      <c r="A1190" s="97" t="n">
        <f aca="false">ROW(A1187)</f>
        <v>1187</v>
      </c>
      <c r="B1190" s="97" t="s">
        <v>466</v>
      </c>
      <c r="C1190" s="100" t="n">
        <v>1</v>
      </c>
      <c r="D1190" s="85"/>
      <c r="E1190" s="98" t="s">
        <v>3109</v>
      </c>
      <c r="F1190" s="99" t="s">
        <v>3105</v>
      </c>
      <c r="G1190" s="100" t="s">
        <v>2515</v>
      </c>
      <c r="H1190" s="100" t="s">
        <v>3002</v>
      </c>
      <c r="I1190" s="175" t="s">
        <v>6</v>
      </c>
      <c r="J1190" s="98" t="s">
        <v>527</v>
      </c>
      <c r="K1190" s="101" t="s">
        <v>3110</v>
      </c>
      <c r="L1190" s="102" t="n">
        <v>45772</v>
      </c>
      <c r="M1190" s="100" t="n">
        <v>1341</v>
      </c>
      <c r="N1190" s="100" t="n">
        <v>1540</v>
      </c>
      <c r="O1190" s="100" t="n">
        <v>199</v>
      </c>
      <c r="P1190" s="100" t="n">
        <v>193</v>
      </c>
      <c r="Q1190" s="100"/>
      <c r="R1190" s="103" t="n">
        <f aca="false">合約與計費!$D$4</f>
        <v>0.296</v>
      </c>
      <c r="S1190" s="104" t="n">
        <f aca="false">ROUND(P1190*R1190,0)</f>
        <v>57</v>
      </c>
      <c r="T1190" s="105"/>
      <c r="U1190" s="100"/>
      <c r="V1190" s="100"/>
      <c r="W1190" s="106"/>
      <c r="X1190" s="100"/>
      <c r="Y1190" s="100"/>
      <c r="Z1190" s="107"/>
      <c r="AA1190" s="108"/>
      <c r="AB1190" s="109"/>
      <c r="AC1190" s="110"/>
      <c r="AD1190" s="42"/>
      <c r="AE1190" s="43"/>
    </row>
    <row r="1191" customFormat="false" ht="16.5" hidden="false" customHeight="true" outlineLevel="0" collapsed="false">
      <c r="A1191" s="97" t="n">
        <f aca="false">ROW(A1188)</f>
        <v>1188</v>
      </c>
      <c r="B1191" s="97" t="s">
        <v>469</v>
      </c>
      <c r="C1191" s="100" t="n">
        <v>1</v>
      </c>
      <c r="D1191" s="85"/>
      <c r="E1191" s="98" t="s">
        <v>3111</v>
      </c>
      <c r="F1191" s="99" t="s">
        <v>3105</v>
      </c>
      <c r="G1191" s="100" t="s">
        <v>2515</v>
      </c>
      <c r="H1191" s="100" t="s">
        <v>3002</v>
      </c>
      <c r="I1191" s="175" t="s">
        <v>6</v>
      </c>
      <c r="J1191" s="98" t="s">
        <v>527</v>
      </c>
      <c r="K1191" s="101" t="s">
        <v>3112</v>
      </c>
      <c r="L1191" s="102" t="n">
        <v>45772</v>
      </c>
      <c r="M1191" s="100" t="n">
        <v>102</v>
      </c>
      <c r="N1191" s="100" t="n">
        <v>134</v>
      </c>
      <c r="O1191" s="100" t="n">
        <v>32</v>
      </c>
      <c r="P1191" s="100" t="n">
        <v>31</v>
      </c>
      <c r="Q1191" s="100"/>
      <c r="R1191" s="103" t="n">
        <f aca="false">合約與計費!$D$4</f>
        <v>0.296</v>
      </c>
      <c r="S1191" s="104" t="n">
        <f aca="false">ROUND(P1191*R1191,0)</f>
        <v>9</v>
      </c>
      <c r="T1191" s="105"/>
      <c r="U1191" s="100"/>
      <c r="V1191" s="100"/>
      <c r="W1191" s="106"/>
      <c r="X1191" s="100"/>
      <c r="Y1191" s="100"/>
      <c r="Z1191" s="107"/>
      <c r="AA1191" s="108"/>
      <c r="AB1191" s="109"/>
      <c r="AC1191" s="110"/>
      <c r="AD1191" s="42"/>
      <c r="AE1191" s="43"/>
    </row>
    <row r="1192" customFormat="false" ht="16.5" hidden="false" customHeight="true" outlineLevel="0" collapsed="false">
      <c r="A1192" s="97" t="n">
        <f aca="false">ROW(A1189)</f>
        <v>1189</v>
      </c>
      <c r="B1192" s="97" t="s">
        <v>473</v>
      </c>
      <c r="C1192" s="100" t="n">
        <v>1</v>
      </c>
      <c r="D1192" s="85"/>
      <c r="E1192" s="98" t="s">
        <v>3113</v>
      </c>
      <c r="F1192" s="99" t="s">
        <v>3105</v>
      </c>
      <c r="G1192" s="100" t="s">
        <v>2515</v>
      </c>
      <c r="H1192" s="100" t="s">
        <v>3002</v>
      </c>
      <c r="I1192" s="175" t="s">
        <v>6</v>
      </c>
      <c r="J1192" s="98" t="s">
        <v>527</v>
      </c>
      <c r="K1192" s="101" t="s">
        <v>3114</v>
      </c>
      <c r="L1192" s="102" t="n">
        <v>45772</v>
      </c>
      <c r="M1192" s="100" t="n">
        <v>10266</v>
      </c>
      <c r="N1192" s="100" t="n">
        <v>12198</v>
      </c>
      <c r="O1192" s="100" t="n">
        <v>1932</v>
      </c>
      <c r="P1192" s="100" t="n">
        <v>1874</v>
      </c>
      <c r="Q1192" s="100"/>
      <c r="R1192" s="103" t="n">
        <f aca="false">合約與計費!$D$4</f>
        <v>0.296</v>
      </c>
      <c r="S1192" s="104" t="n">
        <f aca="false">ROUND(P1192*R1192,0)</f>
        <v>555</v>
      </c>
      <c r="T1192" s="105"/>
      <c r="U1192" s="100"/>
      <c r="V1192" s="100"/>
      <c r="W1192" s="106"/>
      <c r="X1192" s="100"/>
      <c r="Y1192" s="100"/>
      <c r="Z1192" s="107"/>
      <c r="AA1192" s="108"/>
      <c r="AB1192" s="109"/>
      <c r="AC1192" s="110"/>
      <c r="AD1192" s="42"/>
      <c r="AE1192" s="43"/>
    </row>
    <row r="1193" customFormat="false" ht="16.5" hidden="false" customHeight="true" outlineLevel="0" collapsed="false">
      <c r="A1193" s="111" t="n">
        <f aca="false">ROW(A1190)</f>
        <v>1190</v>
      </c>
      <c r="B1193" s="111" t="s">
        <v>476</v>
      </c>
      <c r="C1193" s="114" t="n">
        <v>1</v>
      </c>
      <c r="D1193" s="85"/>
      <c r="E1193" s="112" t="s">
        <v>3115</v>
      </c>
      <c r="F1193" s="113" t="s">
        <v>3105</v>
      </c>
      <c r="G1193" s="114" t="s">
        <v>2515</v>
      </c>
      <c r="H1193" s="114" t="s">
        <v>3002</v>
      </c>
      <c r="I1193" s="173" t="s">
        <v>6</v>
      </c>
      <c r="J1193" s="112" t="s">
        <v>527</v>
      </c>
      <c r="K1193" s="115" t="s">
        <v>3116</v>
      </c>
      <c r="L1193" s="116" t="n">
        <v>45772</v>
      </c>
      <c r="M1193" s="114" t="n">
        <v>8301</v>
      </c>
      <c r="N1193" s="114" t="n">
        <v>9961</v>
      </c>
      <c r="O1193" s="114" t="n">
        <v>1660</v>
      </c>
      <c r="P1193" s="114" t="n">
        <v>1610</v>
      </c>
      <c r="Q1193" s="114" t="n">
        <f aca="false">ROUND(SUM(P1188:P1193),2)</f>
        <v>3881</v>
      </c>
      <c r="R1193" s="117" t="n">
        <f aca="false">合約與計費!$D$4</f>
        <v>0.296</v>
      </c>
      <c r="S1193" s="118" t="n">
        <f aca="false">ROUND(P1193*R1193,0)</f>
        <v>477</v>
      </c>
      <c r="T1193" s="119" t="n">
        <f aca="false">ROUND(SUM(S1188:S1193),2)</f>
        <v>1149</v>
      </c>
      <c r="U1193" s="114"/>
      <c r="V1193" s="114"/>
      <c r="W1193" s="120"/>
      <c r="X1193" s="114"/>
      <c r="Y1193" s="114" t="n">
        <f aca="false">ROUND(SUM(X1188:X1193),2)</f>
        <v>7</v>
      </c>
      <c r="Z1193" s="121"/>
      <c r="AA1193" s="122"/>
      <c r="AB1193" s="123" t="n">
        <f aca="false">ROUND(SUM(AA1188:AA1193),2)</f>
        <v>20</v>
      </c>
      <c r="AC1193" s="124"/>
      <c r="AD1193" s="42"/>
      <c r="AE1193" s="43"/>
    </row>
    <row r="1194" customFormat="false" ht="16.5" hidden="false" customHeight="true" outlineLevel="0" collapsed="false">
      <c r="A1194" s="84" t="n">
        <f aca="false">ROW(A1191)</f>
        <v>1191</v>
      </c>
      <c r="B1194" s="84" t="s">
        <v>455</v>
      </c>
      <c r="C1194" s="32" t="n">
        <v>1</v>
      </c>
      <c r="D1194" s="85" t="n">
        <v>401</v>
      </c>
      <c r="E1194" s="86" t="s">
        <v>3117</v>
      </c>
      <c r="F1194" s="87" t="s">
        <v>3118</v>
      </c>
      <c r="G1194" s="32" t="s">
        <v>2515</v>
      </c>
      <c r="H1194" s="32" t="s">
        <v>3002</v>
      </c>
      <c r="I1194" s="172" t="s">
        <v>373</v>
      </c>
      <c r="J1194" s="86" t="s">
        <v>460</v>
      </c>
      <c r="K1194" s="88" t="s">
        <v>3119</v>
      </c>
      <c r="L1194" s="89" t="n">
        <v>45736</v>
      </c>
      <c r="M1194" s="32" t="n">
        <v>332</v>
      </c>
      <c r="N1194" s="32" t="n">
        <v>387</v>
      </c>
      <c r="O1194" s="32" t="n">
        <v>55</v>
      </c>
      <c r="P1194" s="32" t="n">
        <v>53</v>
      </c>
      <c r="Q1194" s="32"/>
      <c r="R1194" s="90" t="n">
        <f aca="false">合約與計費!$D$4</f>
        <v>0.296</v>
      </c>
      <c r="S1194" s="91" t="n">
        <f aca="false">ROUND(P1194*R1194,0)</f>
        <v>16</v>
      </c>
      <c r="T1194" s="92"/>
      <c r="U1194" s="32" t="n">
        <v>601</v>
      </c>
      <c r="V1194" s="32" t="n">
        <v>843</v>
      </c>
      <c r="W1194" s="32" t="n">
        <v>242</v>
      </c>
      <c r="X1194" s="32" t="n">
        <v>235</v>
      </c>
      <c r="Y1194" s="32"/>
      <c r="Z1194" s="93" t="n">
        <f aca="false">合約與計費!$E$4</f>
        <v>2.8</v>
      </c>
      <c r="AA1194" s="94" t="n">
        <f aca="false">ROUND(X1194*Z1194,0)</f>
        <v>658</v>
      </c>
      <c r="AB1194" s="95"/>
      <c r="AC1194" s="96"/>
      <c r="AD1194" s="42"/>
      <c r="AE1194" s="43"/>
    </row>
    <row r="1195" customFormat="false" ht="16.5" hidden="false" customHeight="true" outlineLevel="0" collapsed="false">
      <c r="A1195" s="97" t="n">
        <f aca="false">ROW(A1192)</f>
        <v>1192</v>
      </c>
      <c r="B1195" s="97" t="s">
        <v>462</v>
      </c>
      <c r="C1195" s="100" t="n">
        <v>1</v>
      </c>
      <c r="D1195" s="85"/>
      <c r="E1195" s="98" t="s">
        <v>3120</v>
      </c>
      <c r="F1195" s="99" t="s">
        <v>3118</v>
      </c>
      <c r="G1195" s="100" t="s">
        <v>2515</v>
      </c>
      <c r="H1195" s="100" t="s">
        <v>3002</v>
      </c>
      <c r="I1195" s="175" t="s">
        <v>373</v>
      </c>
      <c r="J1195" s="98" t="s">
        <v>464</v>
      </c>
      <c r="K1195" s="101" t="s">
        <v>3121</v>
      </c>
      <c r="L1195" s="102" t="n">
        <v>45736</v>
      </c>
      <c r="M1195" s="100" t="n">
        <v>7343</v>
      </c>
      <c r="N1195" s="100" t="n">
        <v>8603</v>
      </c>
      <c r="O1195" s="100" t="n">
        <v>1260</v>
      </c>
      <c r="P1195" s="100" t="n">
        <v>1222</v>
      </c>
      <c r="Q1195" s="100"/>
      <c r="R1195" s="103" t="n">
        <f aca="false">合約與計費!$D$4</f>
        <v>0.296</v>
      </c>
      <c r="S1195" s="104" t="n">
        <f aca="false">ROUND(P1195*R1195,0)</f>
        <v>362</v>
      </c>
      <c r="T1195" s="105"/>
      <c r="U1195" s="100"/>
      <c r="V1195" s="100"/>
      <c r="W1195" s="106"/>
      <c r="X1195" s="100"/>
      <c r="Y1195" s="100"/>
      <c r="Z1195" s="107"/>
      <c r="AA1195" s="108"/>
      <c r="AB1195" s="109"/>
      <c r="AC1195" s="110"/>
      <c r="AD1195" s="42" t="n">
        <v>0.0532</v>
      </c>
      <c r="AE1195" s="43" t="n">
        <v>0.6</v>
      </c>
    </row>
    <row r="1196" customFormat="false" ht="16.5" hidden="false" customHeight="true" outlineLevel="0" collapsed="false">
      <c r="A1196" s="97" t="n">
        <f aca="false">ROW(A1193)</f>
        <v>1193</v>
      </c>
      <c r="B1196" s="97" t="s">
        <v>466</v>
      </c>
      <c r="C1196" s="100" t="n">
        <v>1</v>
      </c>
      <c r="D1196" s="85"/>
      <c r="E1196" s="98" t="s">
        <v>3122</v>
      </c>
      <c r="F1196" s="99" t="s">
        <v>3118</v>
      </c>
      <c r="G1196" s="100" t="s">
        <v>2515</v>
      </c>
      <c r="H1196" s="100" t="s">
        <v>3002</v>
      </c>
      <c r="I1196" s="175" t="s">
        <v>373</v>
      </c>
      <c r="J1196" s="98" t="s">
        <v>527</v>
      </c>
      <c r="K1196" s="101" t="s">
        <v>3123</v>
      </c>
      <c r="L1196" s="102" t="n">
        <v>45736</v>
      </c>
      <c r="M1196" s="100" t="n">
        <v>2844</v>
      </c>
      <c r="N1196" s="100" t="n">
        <v>2845</v>
      </c>
      <c r="O1196" s="100" t="n">
        <v>1</v>
      </c>
      <c r="P1196" s="100" t="n">
        <v>1</v>
      </c>
      <c r="Q1196" s="100"/>
      <c r="R1196" s="103" t="n">
        <f aca="false">合約與計費!$D$4</f>
        <v>0.296</v>
      </c>
      <c r="S1196" s="104" t="n">
        <f aca="false">ROUND(P1196*R1196,0)</f>
        <v>0</v>
      </c>
      <c r="T1196" s="105"/>
      <c r="U1196" s="100"/>
      <c r="V1196" s="100"/>
      <c r="W1196" s="106"/>
      <c r="X1196" s="100"/>
      <c r="Y1196" s="100"/>
      <c r="Z1196" s="107"/>
      <c r="AA1196" s="108"/>
      <c r="AB1196" s="109"/>
      <c r="AC1196" s="110"/>
      <c r="AD1196" s="42"/>
      <c r="AE1196" s="43"/>
    </row>
    <row r="1197" customFormat="false" ht="16.5" hidden="false" customHeight="true" outlineLevel="0" collapsed="false">
      <c r="A1197" s="97" t="n">
        <f aca="false">ROW(A1194)</f>
        <v>1194</v>
      </c>
      <c r="B1197" s="97" t="s">
        <v>469</v>
      </c>
      <c r="C1197" s="100" t="n">
        <v>1</v>
      </c>
      <c r="D1197" s="85"/>
      <c r="E1197" s="98" t="s">
        <v>3124</v>
      </c>
      <c r="F1197" s="99" t="s">
        <v>3118</v>
      </c>
      <c r="G1197" s="100" t="s">
        <v>2515</v>
      </c>
      <c r="H1197" s="100" t="s">
        <v>3002</v>
      </c>
      <c r="I1197" s="175" t="s">
        <v>373</v>
      </c>
      <c r="J1197" s="98" t="s">
        <v>527</v>
      </c>
      <c r="K1197" s="101" t="s">
        <v>3125</v>
      </c>
      <c r="L1197" s="102" t="n">
        <v>45736</v>
      </c>
      <c r="M1197" s="100" t="n">
        <v>8402</v>
      </c>
      <c r="N1197" s="100" t="n">
        <v>10348</v>
      </c>
      <c r="O1197" s="100" t="n">
        <v>1946</v>
      </c>
      <c r="P1197" s="100" t="n">
        <v>1888</v>
      </c>
      <c r="Q1197" s="100"/>
      <c r="R1197" s="103" t="n">
        <f aca="false">合約與計費!$D$4</f>
        <v>0.296</v>
      </c>
      <c r="S1197" s="104" t="n">
        <f aca="false">ROUND(P1197*R1197,0)</f>
        <v>559</v>
      </c>
      <c r="T1197" s="105"/>
      <c r="U1197" s="100"/>
      <c r="V1197" s="100"/>
      <c r="W1197" s="106"/>
      <c r="X1197" s="100"/>
      <c r="Y1197" s="100"/>
      <c r="Z1197" s="107"/>
      <c r="AA1197" s="108"/>
      <c r="AB1197" s="109"/>
      <c r="AC1197" s="110"/>
      <c r="AD1197" s="42"/>
      <c r="AE1197" s="43"/>
    </row>
    <row r="1198" customFormat="false" ht="16.5" hidden="false" customHeight="true" outlineLevel="0" collapsed="false">
      <c r="A1198" s="97" t="n">
        <f aca="false">ROW(A1195)</f>
        <v>1195</v>
      </c>
      <c r="B1198" s="97" t="s">
        <v>473</v>
      </c>
      <c r="C1198" s="100" t="n">
        <v>1</v>
      </c>
      <c r="D1198" s="85"/>
      <c r="E1198" s="98" t="s">
        <v>3126</v>
      </c>
      <c r="F1198" s="99" t="s">
        <v>3118</v>
      </c>
      <c r="G1198" s="100" t="s">
        <v>2515</v>
      </c>
      <c r="H1198" s="100" t="s">
        <v>3002</v>
      </c>
      <c r="I1198" s="175" t="s">
        <v>373</v>
      </c>
      <c r="J1198" s="98" t="s">
        <v>527</v>
      </c>
      <c r="K1198" s="101" t="s">
        <v>3127</v>
      </c>
      <c r="L1198" s="102" t="n">
        <v>45736</v>
      </c>
      <c r="M1198" s="100" t="n">
        <v>12558</v>
      </c>
      <c r="N1198" s="100" t="n">
        <v>15499</v>
      </c>
      <c r="O1198" s="100" t="n">
        <v>2941</v>
      </c>
      <c r="P1198" s="100" t="n">
        <v>2853</v>
      </c>
      <c r="Q1198" s="100"/>
      <c r="R1198" s="103" t="n">
        <f aca="false">合約與計費!$D$4</f>
        <v>0.296</v>
      </c>
      <c r="S1198" s="104" t="n">
        <f aca="false">ROUND(P1198*R1198,0)</f>
        <v>844</v>
      </c>
      <c r="T1198" s="105"/>
      <c r="U1198" s="100"/>
      <c r="V1198" s="100"/>
      <c r="W1198" s="106"/>
      <c r="X1198" s="100"/>
      <c r="Y1198" s="100"/>
      <c r="Z1198" s="107"/>
      <c r="AA1198" s="108"/>
      <c r="AB1198" s="109"/>
      <c r="AC1198" s="110"/>
      <c r="AD1198" s="42"/>
      <c r="AE1198" s="43"/>
    </row>
    <row r="1199" customFormat="false" ht="16.5" hidden="false" customHeight="true" outlineLevel="0" collapsed="false">
      <c r="A1199" s="97" t="n">
        <f aca="false">ROW(A1196)</f>
        <v>1196</v>
      </c>
      <c r="B1199" s="97" t="s">
        <v>476</v>
      </c>
      <c r="C1199" s="100" t="n">
        <v>1</v>
      </c>
      <c r="D1199" s="85"/>
      <c r="E1199" s="98" t="s">
        <v>3128</v>
      </c>
      <c r="F1199" s="99" t="s">
        <v>3118</v>
      </c>
      <c r="G1199" s="100" t="s">
        <v>2515</v>
      </c>
      <c r="H1199" s="100" t="s">
        <v>3002</v>
      </c>
      <c r="I1199" s="175" t="s">
        <v>373</v>
      </c>
      <c r="J1199" s="98" t="s">
        <v>527</v>
      </c>
      <c r="K1199" s="101" t="s">
        <v>3129</v>
      </c>
      <c r="L1199" s="102" t="n">
        <v>45736</v>
      </c>
      <c r="M1199" s="100" t="n">
        <v>12679</v>
      </c>
      <c r="N1199" s="100" t="n">
        <v>15804</v>
      </c>
      <c r="O1199" s="100" t="n">
        <v>3125</v>
      </c>
      <c r="P1199" s="100" t="n">
        <v>3031</v>
      </c>
      <c r="Q1199" s="100"/>
      <c r="R1199" s="103" t="n">
        <f aca="false">合約與計費!$D$4</f>
        <v>0.296</v>
      </c>
      <c r="S1199" s="104" t="n">
        <f aca="false">ROUND(P1199*R1199,0)</f>
        <v>897</v>
      </c>
      <c r="T1199" s="105"/>
      <c r="U1199" s="100"/>
      <c r="V1199" s="100"/>
      <c r="W1199" s="106"/>
      <c r="X1199" s="100"/>
      <c r="Y1199" s="100"/>
      <c r="Z1199" s="107"/>
      <c r="AA1199" s="108"/>
      <c r="AB1199" s="109"/>
      <c r="AC1199" s="110"/>
      <c r="AD1199" s="42"/>
      <c r="AE1199" s="43"/>
    </row>
    <row r="1200" customFormat="false" ht="16.5" hidden="false" customHeight="true" outlineLevel="0" collapsed="false">
      <c r="A1200" s="97" t="n">
        <f aca="false">ROW(A1197)</f>
        <v>1197</v>
      </c>
      <c r="B1200" s="97" t="s">
        <v>479</v>
      </c>
      <c r="C1200" s="100" t="n">
        <v>1</v>
      </c>
      <c r="D1200" s="85"/>
      <c r="E1200" s="98" t="s">
        <v>3130</v>
      </c>
      <c r="F1200" s="99" t="s">
        <v>3118</v>
      </c>
      <c r="G1200" s="100" t="s">
        <v>2515</v>
      </c>
      <c r="H1200" s="100" t="s">
        <v>3002</v>
      </c>
      <c r="I1200" s="175" t="s">
        <v>373</v>
      </c>
      <c r="J1200" s="98" t="s">
        <v>527</v>
      </c>
      <c r="K1200" s="101" t="s">
        <v>3131</v>
      </c>
      <c r="L1200" s="102" t="n">
        <v>45736</v>
      </c>
      <c r="M1200" s="100" t="n">
        <v>11284</v>
      </c>
      <c r="N1200" s="100" t="n">
        <v>13360</v>
      </c>
      <c r="O1200" s="100" t="n">
        <v>2076</v>
      </c>
      <c r="P1200" s="100" t="n">
        <v>2014</v>
      </c>
      <c r="Q1200" s="100"/>
      <c r="R1200" s="103" t="n">
        <f aca="false">合約與計費!$D$4</f>
        <v>0.296</v>
      </c>
      <c r="S1200" s="104" t="n">
        <f aca="false">ROUND(P1200*R1200,0)</f>
        <v>596</v>
      </c>
      <c r="T1200" s="105"/>
      <c r="U1200" s="100"/>
      <c r="V1200" s="100"/>
      <c r="W1200" s="106"/>
      <c r="X1200" s="100"/>
      <c r="Y1200" s="100"/>
      <c r="Z1200" s="107"/>
      <c r="AA1200" s="108"/>
      <c r="AB1200" s="109"/>
      <c r="AC1200" s="110"/>
      <c r="AD1200" s="42"/>
      <c r="AE1200" s="43"/>
    </row>
    <row r="1201" customFormat="false" ht="16.5" hidden="false" customHeight="true" outlineLevel="0" collapsed="false">
      <c r="A1201" s="97" t="n">
        <f aca="false">ROW(A1198)</f>
        <v>1198</v>
      </c>
      <c r="B1201" s="97" t="s">
        <v>482</v>
      </c>
      <c r="C1201" s="100" t="n">
        <v>1</v>
      </c>
      <c r="D1201" s="85"/>
      <c r="E1201" s="98" t="s">
        <v>3132</v>
      </c>
      <c r="F1201" s="99" t="s">
        <v>3118</v>
      </c>
      <c r="G1201" s="100" t="s">
        <v>2515</v>
      </c>
      <c r="H1201" s="100" t="s">
        <v>3002</v>
      </c>
      <c r="I1201" s="175" t="s">
        <v>373</v>
      </c>
      <c r="J1201" s="98" t="s">
        <v>527</v>
      </c>
      <c r="K1201" s="101" t="s">
        <v>3133</v>
      </c>
      <c r="L1201" s="102" t="n">
        <v>45736</v>
      </c>
      <c r="M1201" s="100" t="n">
        <v>1993</v>
      </c>
      <c r="N1201" s="100" t="n">
        <v>2280</v>
      </c>
      <c r="O1201" s="100" t="n">
        <v>287</v>
      </c>
      <c r="P1201" s="100" t="n">
        <v>278</v>
      </c>
      <c r="Q1201" s="100"/>
      <c r="R1201" s="103" t="n">
        <f aca="false">合約與計費!$D$4</f>
        <v>0.296</v>
      </c>
      <c r="S1201" s="104" t="n">
        <f aca="false">ROUND(P1201*R1201,0)</f>
        <v>82</v>
      </c>
      <c r="T1201" s="105"/>
      <c r="U1201" s="100"/>
      <c r="V1201" s="100"/>
      <c r="W1201" s="106"/>
      <c r="X1201" s="100"/>
      <c r="Y1201" s="100"/>
      <c r="Z1201" s="107"/>
      <c r="AA1201" s="108"/>
      <c r="AB1201" s="109"/>
      <c r="AC1201" s="110"/>
      <c r="AD1201" s="42"/>
      <c r="AE1201" s="43"/>
    </row>
    <row r="1202" customFormat="false" ht="16.5" hidden="false" customHeight="true" outlineLevel="0" collapsed="false">
      <c r="A1202" s="97" t="n">
        <f aca="false">ROW(A1199)</f>
        <v>1199</v>
      </c>
      <c r="B1202" s="97" t="s">
        <v>485</v>
      </c>
      <c r="C1202" s="100" t="n">
        <v>1</v>
      </c>
      <c r="D1202" s="85"/>
      <c r="E1202" s="98" t="s">
        <v>3134</v>
      </c>
      <c r="F1202" s="99" t="s">
        <v>3118</v>
      </c>
      <c r="G1202" s="100" t="s">
        <v>2515</v>
      </c>
      <c r="H1202" s="100" t="s">
        <v>3002</v>
      </c>
      <c r="I1202" s="175" t="s">
        <v>373</v>
      </c>
      <c r="J1202" s="98" t="s">
        <v>527</v>
      </c>
      <c r="K1202" s="101" t="s">
        <v>3135</v>
      </c>
      <c r="L1202" s="102" t="n">
        <v>45736</v>
      </c>
      <c r="M1202" s="100" t="n">
        <v>5413</v>
      </c>
      <c r="N1202" s="100" t="n">
        <v>6001</v>
      </c>
      <c r="O1202" s="100" t="n">
        <v>588</v>
      </c>
      <c r="P1202" s="100" t="n">
        <v>570</v>
      </c>
      <c r="Q1202" s="100"/>
      <c r="R1202" s="103" t="n">
        <f aca="false">合約與計費!$D$4</f>
        <v>0.296</v>
      </c>
      <c r="S1202" s="104" t="n">
        <f aca="false">ROUND(P1202*R1202,0)</f>
        <v>169</v>
      </c>
      <c r="T1202" s="105"/>
      <c r="U1202" s="100"/>
      <c r="V1202" s="100"/>
      <c r="W1202" s="106"/>
      <c r="X1202" s="100"/>
      <c r="Y1202" s="100"/>
      <c r="Z1202" s="107"/>
      <c r="AA1202" s="108"/>
      <c r="AB1202" s="109"/>
      <c r="AC1202" s="110"/>
      <c r="AD1202" s="42"/>
      <c r="AE1202" s="43"/>
    </row>
    <row r="1203" customFormat="false" ht="16.5" hidden="false" customHeight="true" outlineLevel="0" collapsed="false">
      <c r="A1203" s="97" t="n">
        <f aca="false">ROW(A1200)</f>
        <v>1200</v>
      </c>
      <c r="B1203" s="97" t="n">
        <v>10</v>
      </c>
      <c r="C1203" s="100" t="n">
        <v>1</v>
      </c>
      <c r="D1203" s="85"/>
      <c r="E1203" s="98" t="s">
        <v>3136</v>
      </c>
      <c r="F1203" s="99" t="s">
        <v>3118</v>
      </c>
      <c r="G1203" s="100" t="s">
        <v>2515</v>
      </c>
      <c r="H1203" s="100" t="s">
        <v>3002</v>
      </c>
      <c r="I1203" s="175" t="s">
        <v>373</v>
      </c>
      <c r="J1203" s="98" t="s">
        <v>527</v>
      </c>
      <c r="K1203" s="101" t="s">
        <v>3137</v>
      </c>
      <c r="L1203" s="102" t="n">
        <v>45736</v>
      </c>
      <c r="M1203" s="100" t="n">
        <v>9758</v>
      </c>
      <c r="N1203" s="100" t="n">
        <v>11944</v>
      </c>
      <c r="O1203" s="100" t="n">
        <v>2186</v>
      </c>
      <c r="P1203" s="100" t="n">
        <v>2120</v>
      </c>
      <c r="Q1203" s="100"/>
      <c r="R1203" s="103" t="n">
        <f aca="false">合約與計費!$D$4</f>
        <v>0.296</v>
      </c>
      <c r="S1203" s="104" t="n">
        <f aca="false">ROUND(P1203*R1203,0)</f>
        <v>628</v>
      </c>
      <c r="T1203" s="105"/>
      <c r="U1203" s="100"/>
      <c r="V1203" s="100"/>
      <c r="W1203" s="106"/>
      <c r="X1203" s="100"/>
      <c r="Y1203" s="100"/>
      <c r="Z1203" s="107"/>
      <c r="AA1203" s="108"/>
      <c r="AB1203" s="109"/>
      <c r="AC1203" s="110"/>
      <c r="AD1203" s="42"/>
      <c r="AE1203" s="43"/>
    </row>
    <row r="1204" customFormat="false" ht="16.5" hidden="false" customHeight="true" outlineLevel="0" collapsed="false">
      <c r="A1204" s="97" t="n">
        <f aca="false">ROW(A1201)</f>
        <v>1201</v>
      </c>
      <c r="B1204" s="97" t="n">
        <v>11</v>
      </c>
      <c r="C1204" s="100" t="n">
        <v>1</v>
      </c>
      <c r="D1204" s="85"/>
      <c r="E1204" s="98" t="s">
        <v>3138</v>
      </c>
      <c r="F1204" s="99" t="s">
        <v>3118</v>
      </c>
      <c r="G1204" s="100" t="s">
        <v>2515</v>
      </c>
      <c r="H1204" s="100" t="s">
        <v>3002</v>
      </c>
      <c r="I1204" s="175" t="s">
        <v>373</v>
      </c>
      <c r="J1204" s="98" t="s">
        <v>527</v>
      </c>
      <c r="K1204" s="101" t="s">
        <v>3139</v>
      </c>
      <c r="L1204" s="102" t="n">
        <v>45736</v>
      </c>
      <c r="M1204" s="100" t="n">
        <v>1456</v>
      </c>
      <c r="N1204" s="100" t="n">
        <v>1791</v>
      </c>
      <c r="O1204" s="100" t="n">
        <v>335</v>
      </c>
      <c r="P1204" s="100" t="n">
        <v>325</v>
      </c>
      <c r="Q1204" s="100"/>
      <c r="R1204" s="103" t="n">
        <f aca="false">合約與計費!$D$4</f>
        <v>0.296</v>
      </c>
      <c r="S1204" s="104" t="n">
        <f aca="false">ROUND(P1204*R1204,0)</f>
        <v>96</v>
      </c>
      <c r="T1204" s="105"/>
      <c r="U1204" s="100"/>
      <c r="V1204" s="100"/>
      <c r="W1204" s="106"/>
      <c r="X1204" s="100"/>
      <c r="Y1204" s="100"/>
      <c r="Z1204" s="107"/>
      <c r="AA1204" s="108"/>
      <c r="AB1204" s="109"/>
      <c r="AC1204" s="110"/>
      <c r="AD1204" s="42"/>
      <c r="AE1204" s="43"/>
    </row>
    <row r="1205" customFormat="false" ht="16.5" hidden="false" customHeight="true" outlineLevel="0" collapsed="false">
      <c r="A1205" s="111" t="n">
        <f aca="false">ROW(A1202)</f>
        <v>1202</v>
      </c>
      <c r="B1205" s="111" t="n">
        <v>12</v>
      </c>
      <c r="C1205" s="114" t="n">
        <v>1</v>
      </c>
      <c r="D1205" s="85"/>
      <c r="E1205" s="112" t="s">
        <v>3140</v>
      </c>
      <c r="F1205" s="113" t="s">
        <v>3118</v>
      </c>
      <c r="G1205" s="114" t="s">
        <v>2515</v>
      </c>
      <c r="H1205" s="114" t="s">
        <v>3002</v>
      </c>
      <c r="I1205" s="173" t="s">
        <v>373</v>
      </c>
      <c r="J1205" s="112" t="s">
        <v>527</v>
      </c>
      <c r="K1205" s="115" t="s">
        <v>3141</v>
      </c>
      <c r="L1205" s="116" t="n">
        <v>45736</v>
      </c>
      <c r="M1205" s="114" t="n">
        <v>10585</v>
      </c>
      <c r="N1205" s="114" t="n">
        <v>12489</v>
      </c>
      <c r="O1205" s="114" t="n">
        <v>1904</v>
      </c>
      <c r="P1205" s="114" t="n">
        <v>1847</v>
      </c>
      <c r="Q1205" s="114" t="n">
        <f aca="false">ROUND(SUM(P1194:P1205),2)</f>
        <v>16202</v>
      </c>
      <c r="R1205" s="117" t="n">
        <f aca="false">合約與計費!$D$4</f>
        <v>0.296</v>
      </c>
      <c r="S1205" s="118" t="n">
        <f aca="false">ROUND(P1205*R1205,0)</f>
        <v>547</v>
      </c>
      <c r="T1205" s="119" t="n">
        <f aca="false">ROUND(SUM(S1194:S1205),2)</f>
        <v>4796</v>
      </c>
      <c r="U1205" s="114"/>
      <c r="V1205" s="114"/>
      <c r="W1205" s="120"/>
      <c r="X1205" s="114"/>
      <c r="Y1205" s="114" t="n">
        <f aca="false">ROUND(SUM(X1194:X1205),2)</f>
        <v>235</v>
      </c>
      <c r="Z1205" s="121"/>
      <c r="AA1205" s="122"/>
      <c r="AB1205" s="123" t="n">
        <f aca="false">ROUND(SUM(AA1194:AA1205),2)</f>
        <v>658</v>
      </c>
      <c r="AC1205" s="124"/>
      <c r="AD1205" s="42"/>
      <c r="AE1205" s="43"/>
    </row>
    <row r="1206" customFormat="false" ht="16.5" hidden="false" customHeight="true" outlineLevel="0" collapsed="false">
      <c r="A1206" s="84" t="n">
        <f aca="false">ROW(A1203)</f>
        <v>1203</v>
      </c>
      <c r="B1206" s="84" t="s">
        <v>455</v>
      </c>
      <c r="C1206" s="32" t="n">
        <v>1</v>
      </c>
      <c r="D1206" s="85" t="n">
        <v>128</v>
      </c>
      <c r="E1206" s="86" t="s">
        <v>3142</v>
      </c>
      <c r="F1206" s="87" t="s">
        <v>3143</v>
      </c>
      <c r="G1206" s="32" t="s">
        <v>2515</v>
      </c>
      <c r="H1206" s="32" t="s">
        <v>3144</v>
      </c>
      <c r="I1206" s="32" t="s">
        <v>42</v>
      </c>
      <c r="J1206" s="86" t="s">
        <v>460</v>
      </c>
      <c r="K1206" s="88" t="s">
        <v>3145</v>
      </c>
      <c r="L1206" s="89" t="n">
        <v>45722</v>
      </c>
      <c r="M1206" s="32" t="n">
        <v>1441</v>
      </c>
      <c r="N1206" s="32" t="n">
        <v>1713</v>
      </c>
      <c r="O1206" s="32" t="n">
        <v>272</v>
      </c>
      <c r="P1206" s="32" t="n">
        <v>264</v>
      </c>
      <c r="Q1206" s="32"/>
      <c r="R1206" s="90" t="n">
        <f aca="false">合約與計費!$D$4</f>
        <v>0.296</v>
      </c>
      <c r="S1206" s="91" t="n">
        <f aca="false">ROUND(P1206*R1206,0)</f>
        <v>78</v>
      </c>
      <c r="T1206" s="92"/>
      <c r="U1206" s="32" t="n">
        <v>993</v>
      </c>
      <c r="V1206" s="32" t="n">
        <v>1182</v>
      </c>
      <c r="W1206" s="32" t="n">
        <v>189</v>
      </c>
      <c r="X1206" s="32" t="n">
        <v>183</v>
      </c>
      <c r="Y1206" s="32"/>
      <c r="Z1206" s="93" t="n">
        <f aca="false">合約與計費!$E$4</f>
        <v>2.8</v>
      </c>
      <c r="AA1206" s="94" t="n">
        <f aca="false">ROUND(X1206*Z1206,0)</f>
        <v>512</v>
      </c>
      <c r="AB1206" s="95"/>
      <c r="AC1206" s="96"/>
      <c r="AD1206" s="42"/>
      <c r="AE1206" s="43"/>
    </row>
    <row r="1207" customFormat="false" ht="16.5" hidden="false" customHeight="true" outlineLevel="0" collapsed="false">
      <c r="A1207" s="97" t="n">
        <f aca="false">ROW(A1204)</f>
        <v>1204</v>
      </c>
      <c r="B1207" s="97" t="s">
        <v>462</v>
      </c>
      <c r="C1207" s="100" t="n">
        <v>1</v>
      </c>
      <c r="D1207" s="85"/>
      <c r="E1207" s="98" t="s">
        <v>3146</v>
      </c>
      <c r="F1207" s="99" t="s">
        <v>3143</v>
      </c>
      <c r="G1207" s="100" t="s">
        <v>2515</v>
      </c>
      <c r="H1207" s="100" t="s">
        <v>3144</v>
      </c>
      <c r="I1207" s="100" t="s">
        <v>42</v>
      </c>
      <c r="J1207" s="98" t="s">
        <v>527</v>
      </c>
      <c r="K1207" s="101" t="s">
        <v>3147</v>
      </c>
      <c r="L1207" s="102" t="n">
        <v>45722</v>
      </c>
      <c r="M1207" s="100" t="n">
        <v>8138</v>
      </c>
      <c r="N1207" s="100" t="n">
        <v>9576</v>
      </c>
      <c r="O1207" s="100" t="n">
        <v>1438</v>
      </c>
      <c r="P1207" s="100" t="n">
        <v>1395</v>
      </c>
      <c r="Q1207" s="100"/>
      <c r="R1207" s="103" t="n">
        <f aca="false">合約與計費!$D$4</f>
        <v>0.296</v>
      </c>
      <c r="S1207" s="104" t="n">
        <f aca="false">ROUND(P1207*R1207,0)</f>
        <v>413</v>
      </c>
      <c r="T1207" s="105"/>
      <c r="U1207" s="100"/>
      <c r="V1207" s="100"/>
      <c r="W1207" s="106"/>
      <c r="X1207" s="100"/>
      <c r="Y1207" s="100"/>
      <c r="Z1207" s="107"/>
      <c r="AA1207" s="108"/>
      <c r="AB1207" s="109"/>
      <c r="AC1207" s="110"/>
      <c r="AD1207" s="42"/>
      <c r="AE1207" s="43"/>
    </row>
    <row r="1208" customFormat="false" ht="16.5" hidden="false" customHeight="true" outlineLevel="0" collapsed="false">
      <c r="A1208" s="111" t="n">
        <f aca="false">ROW(A1205)</f>
        <v>1205</v>
      </c>
      <c r="B1208" s="111" t="s">
        <v>466</v>
      </c>
      <c r="C1208" s="114" t="n">
        <v>1</v>
      </c>
      <c r="D1208" s="85"/>
      <c r="E1208" s="112" t="s">
        <v>3148</v>
      </c>
      <c r="F1208" s="113" t="s">
        <v>3143</v>
      </c>
      <c r="G1208" s="114" t="s">
        <v>2515</v>
      </c>
      <c r="H1208" s="114" t="s">
        <v>3144</v>
      </c>
      <c r="I1208" s="114" t="s">
        <v>42</v>
      </c>
      <c r="J1208" s="112" t="s">
        <v>527</v>
      </c>
      <c r="K1208" s="115" t="s">
        <v>3149</v>
      </c>
      <c r="L1208" s="116" t="n">
        <v>45722</v>
      </c>
      <c r="M1208" s="114" t="n">
        <v>14945</v>
      </c>
      <c r="N1208" s="114" t="n">
        <v>17204</v>
      </c>
      <c r="O1208" s="114" t="n">
        <v>2259</v>
      </c>
      <c r="P1208" s="114" t="n">
        <v>2191</v>
      </c>
      <c r="Q1208" s="114" t="n">
        <f aca="false">ROUND(SUM(P1206:P1208),2)</f>
        <v>3850</v>
      </c>
      <c r="R1208" s="117" t="n">
        <f aca="false">合約與計費!$D$4</f>
        <v>0.296</v>
      </c>
      <c r="S1208" s="118" t="n">
        <f aca="false">ROUND(P1208*R1208,0)</f>
        <v>649</v>
      </c>
      <c r="T1208" s="119" t="n">
        <f aca="false">ROUND(SUM(S1206:S1208),2)</f>
        <v>1140</v>
      </c>
      <c r="U1208" s="114"/>
      <c r="V1208" s="114"/>
      <c r="W1208" s="120"/>
      <c r="X1208" s="114"/>
      <c r="Y1208" s="114" t="n">
        <f aca="false">ROUND(SUM(X1206:X1208),2)</f>
        <v>183</v>
      </c>
      <c r="Z1208" s="121"/>
      <c r="AA1208" s="122"/>
      <c r="AB1208" s="123" t="n">
        <f aca="false">ROUND(SUM(AA1206:AA1208),2)</f>
        <v>512</v>
      </c>
      <c r="AC1208" s="124"/>
      <c r="AD1208" s="42"/>
      <c r="AE1208" s="43"/>
    </row>
    <row r="1209" customFormat="false" ht="16.5" hidden="false" customHeight="true" outlineLevel="0" collapsed="false">
      <c r="A1209" s="84" t="n">
        <f aca="false">ROW(A1206)</f>
        <v>1206</v>
      </c>
      <c r="B1209" s="84" t="s">
        <v>455</v>
      </c>
      <c r="C1209" s="32" t="n">
        <v>1</v>
      </c>
      <c r="D1209" s="85" t="n">
        <v>131</v>
      </c>
      <c r="E1209" s="86" t="s">
        <v>3150</v>
      </c>
      <c r="F1209" s="87" t="s">
        <v>3151</v>
      </c>
      <c r="G1209" s="32" t="s">
        <v>2515</v>
      </c>
      <c r="H1209" s="32" t="s">
        <v>3144</v>
      </c>
      <c r="I1209" s="32" t="s">
        <v>100</v>
      </c>
      <c r="J1209" s="86" t="s">
        <v>460</v>
      </c>
      <c r="K1209" s="88" t="s">
        <v>3152</v>
      </c>
      <c r="L1209" s="89" t="n">
        <v>45768</v>
      </c>
      <c r="M1209" s="32" t="n">
        <v>134</v>
      </c>
      <c r="N1209" s="32" t="n">
        <v>153</v>
      </c>
      <c r="O1209" s="32" t="n">
        <v>19</v>
      </c>
      <c r="P1209" s="32" t="n">
        <v>18</v>
      </c>
      <c r="Q1209" s="32"/>
      <c r="R1209" s="90" t="n">
        <f aca="false">合約與計費!$D$4</f>
        <v>0.296</v>
      </c>
      <c r="S1209" s="91" t="n">
        <f aca="false">ROUND(P1209*R1209,0)</f>
        <v>5</v>
      </c>
      <c r="T1209" s="92"/>
      <c r="U1209" s="32" t="n">
        <v>105</v>
      </c>
      <c r="V1209" s="32" t="n">
        <v>136</v>
      </c>
      <c r="W1209" s="32" t="n">
        <v>31</v>
      </c>
      <c r="X1209" s="32" t="n">
        <v>30</v>
      </c>
      <c r="Y1209" s="32"/>
      <c r="Z1209" s="93" t="n">
        <f aca="false">合約與計費!$E$4</f>
        <v>2.8</v>
      </c>
      <c r="AA1209" s="94" t="n">
        <f aca="false">ROUND(X1209*Z1209,0)</f>
        <v>84</v>
      </c>
      <c r="AB1209" s="95"/>
      <c r="AC1209" s="96"/>
      <c r="AD1209" s="42"/>
      <c r="AE1209" s="43"/>
    </row>
    <row r="1210" customFormat="false" ht="16.5" hidden="false" customHeight="true" outlineLevel="0" collapsed="false">
      <c r="A1210" s="97" t="n">
        <f aca="false">ROW(A1207)</f>
        <v>1207</v>
      </c>
      <c r="B1210" s="97" t="s">
        <v>462</v>
      </c>
      <c r="C1210" s="100" t="n">
        <v>1</v>
      </c>
      <c r="D1210" s="85"/>
      <c r="E1210" s="98" t="s">
        <v>3153</v>
      </c>
      <c r="F1210" s="99" t="s">
        <v>3151</v>
      </c>
      <c r="G1210" s="100" t="s">
        <v>2515</v>
      </c>
      <c r="H1210" s="100" t="s">
        <v>3144</v>
      </c>
      <c r="I1210" s="100" t="s">
        <v>100</v>
      </c>
      <c r="J1210" s="98" t="s">
        <v>527</v>
      </c>
      <c r="K1210" s="101" t="s">
        <v>3154</v>
      </c>
      <c r="L1210" s="102" t="n">
        <v>45768</v>
      </c>
      <c r="M1210" s="100" t="n">
        <v>95</v>
      </c>
      <c r="N1210" s="100" t="n">
        <v>96</v>
      </c>
      <c r="O1210" s="100" t="n">
        <v>1</v>
      </c>
      <c r="P1210" s="100" t="n">
        <v>1</v>
      </c>
      <c r="Q1210" s="100"/>
      <c r="R1210" s="103" t="n">
        <f aca="false">合約與計費!$D$4</f>
        <v>0.296</v>
      </c>
      <c r="S1210" s="104" t="n">
        <f aca="false">ROUND(P1210*R1210,0)</f>
        <v>0</v>
      </c>
      <c r="T1210" s="105"/>
      <c r="U1210" s="100"/>
      <c r="V1210" s="100"/>
      <c r="W1210" s="106"/>
      <c r="X1210" s="100"/>
      <c r="Y1210" s="100"/>
      <c r="Z1210" s="107"/>
      <c r="AA1210" s="108"/>
      <c r="AB1210" s="109"/>
      <c r="AC1210" s="110"/>
      <c r="AD1210" s="42"/>
      <c r="AE1210" s="43"/>
    </row>
    <row r="1211" customFormat="false" ht="16.5" hidden="false" customHeight="true" outlineLevel="0" collapsed="false">
      <c r="A1211" s="97" t="n">
        <f aca="false">ROW(A1208)</f>
        <v>1208</v>
      </c>
      <c r="B1211" s="97" t="s">
        <v>466</v>
      </c>
      <c r="C1211" s="100" t="n">
        <v>1</v>
      </c>
      <c r="D1211" s="85"/>
      <c r="E1211" s="98" t="s">
        <v>3155</v>
      </c>
      <c r="F1211" s="99" t="s">
        <v>3151</v>
      </c>
      <c r="G1211" s="100" t="s">
        <v>2515</v>
      </c>
      <c r="H1211" s="100" t="s">
        <v>3144</v>
      </c>
      <c r="I1211" s="100" t="s">
        <v>100</v>
      </c>
      <c r="J1211" s="98" t="s">
        <v>527</v>
      </c>
      <c r="K1211" s="101" t="s">
        <v>3156</v>
      </c>
      <c r="L1211" s="102" t="n">
        <v>45768</v>
      </c>
      <c r="M1211" s="100" t="n">
        <v>7361</v>
      </c>
      <c r="N1211" s="100" t="n">
        <v>8708</v>
      </c>
      <c r="O1211" s="100" t="n">
        <v>1347</v>
      </c>
      <c r="P1211" s="100" t="n">
        <v>1307</v>
      </c>
      <c r="Q1211" s="100"/>
      <c r="R1211" s="103" t="n">
        <f aca="false">合約與計費!$D$4</f>
        <v>0.296</v>
      </c>
      <c r="S1211" s="104" t="n">
        <f aca="false">ROUND(P1211*R1211,0)</f>
        <v>387</v>
      </c>
      <c r="T1211" s="105"/>
      <c r="U1211" s="100"/>
      <c r="V1211" s="100"/>
      <c r="W1211" s="106"/>
      <c r="X1211" s="100"/>
      <c r="Y1211" s="100"/>
      <c r="Z1211" s="107"/>
      <c r="AA1211" s="108"/>
      <c r="AB1211" s="109"/>
      <c r="AC1211" s="110"/>
      <c r="AD1211" s="42"/>
      <c r="AE1211" s="43"/>
    </row>
    <row r="1212" customFormat="false" ht="16.5" hidden="false" customHeight="true" outlineLevel="0" collapsed="false">
      <c r="A1212" s="97" t="n">
        <f aca="false">ROW(A1209)</f>
        <v>1209</v>
      </c>
      <c r="B1212" s="97" t="s">
        <v>469</v>
      </c>
      <c r="C1212" s="100" t="n">
        <v>1</v>
      </c>
      <c r="D1212" s="85"/>
      <c r="E1212" s="98" t="s">
        <v>3157</v>
      </c>
      <c r="F1212" s="99" t="s">
        <v>3151</v>
      </c>
      <c r="G1212" s="100" t="s">
        <v>2515</v>
      </c>
      <c r="H1212" s="100" t="s">
        <v>3144</v>
      </c>
      <c r="I1212" s="100" t="s">
        <v>100</v>
      </c>
      <c r="J1212" s="98" t="s">
        <v>527</v>
      </c>
      <c r="K1212" s="101" t="s">
        <v>3158</v>
      </c>
      <c r="L1212" s="102" t="n">
        <v>45768</v>
      </c>
      <c r="M1212" s="100" t="n">
        <v>149</v>
      </c>
      <c r="N1212" s="100" t="n">
        <v>150</v>
      </c>
      <c r="O1212" s="100" t="n">
        <v>1</v>
      </c>
      <c r="P1212" s="100" t="n">
        <v>1</v>
      </c>
      <c r="Q1212" s="100"/>
      <c r="R1212" s="103" t="n">
        <f aca="false">合約與計費!$D$4</f>
        <v>0.296</v>
      </c>
      <c r="S1212" s="104" t="n">
        <f aca="false">ROUND(P1212*R1212,0)</f>
        <v>0</v>
      </c>
      <c r="T1212" s="105"/>
      <c r="U1212" s="100"/>
      <c r="V1212" s="100"/>
      <c r="W1212" s="106"/>
      <c r="X1212" s="100"/>
      <c r="Y1212" s="100"/>
      <c r="Z1212" s="107"/>
      <c r="AA1212" s="108"/>
      <c r="AB1212" s="109"/>
      <c r="AC1212" s="110"/>
      <c r="AD1212" s="42"/>
      <c r="AE1212" s="43"/>
    </row>
    <row r="1213" customFormat="false" ht="16.5" hidden="false" customHeight="true" outlineLevel="0" collapsed="false">
      <c r="A1213" s="97" t="n">
        <f aca="false">ROW(A1210)</f>
        <v>1210</v>
      </c>
      <c r="B1213" s="97" t="s">
        <v>473</v>
      </c>
      <c r="C1213" s="100" t="n">
        <v>1</v>
      </c>
      <c r="D1213" s="85"/>
      <c r="E1213" s="98" t="s">
        <v>3159</v>
      </c>
      <c r="F1213" s="99" t="s">
        <v>3151</v>
      </c>
      <c r="G1213" s="100" t="s">
        <v>2515</v>
      </c>
      <c r="H1213" s="100" t="s">
        <v>3144</v>
      </c>
      <c r="I1213" s="100" t="s">
        <v>100</v>
      </c>
      <c r="J1213" s="98" t="s">
        <v>527</v>
      </c>
      <c r="K1213" s="101" t="s">
        <v>3160</v>
      </c>
      <c r="L1213" s="102" t="n">
        <v>45768</v>
      </c>
      <c r="M1213" s="100" t="n">
        <v>1109</v>
      </c>
      <c r="N1213" s="100" t="n">
        <v>1437</v>
      </c>
      <c r="O1213" s="100" t="n">
        <v>328</v>
      </c>
      <c r="P1213" s="100" t="n">
        <v>318</v>
      </c>
      <c r="Q1213" s="100"/>
      <c r="R1213" s="103" t="n">
        <f aca="false">合約與計費!$D$4</f>
        <v>0.296</v>
      </c>
      <c r="S1213" s="104" t="n">
        <f aca="false">ROUND(P1213*R1213,0)</f>
        <v>94</v>
      </c>
      <c r="T1213" s="105"/>
      <c r="U1213" s="100"/>
      <c r="V1213" s="100"/>
      <c r="W1213" s="106"/>
      <c r="X1213" s="100"/>
      <c r="Y1213" s="100"/>
      <c r="Z1213" s="107"/>
      <c r="AA1213" s="108"/>
      <c r="AB1213" s="109"/>
      <c r="AC1213" s="110"/>
      <c r="AD1213" s="42"/>
      <c r="AE1213" s="43"/>
    </row>
    <row r="1214" customFormat="false" ht="16.5" hidden="false" customHeight="true" outlineLevel="0" collapsed="false">
      <c r="A1214" s="97" t="n">
        <f aca="false">ROW(A1211)</f>
        <v>1211</v>
      </c>
      <c r="B1214" s="97" t="s">
        <v>476</v>
      </c>
      <c r="C1214" s="100" t="n">
        <v>1</v>
      </c>
      <c r="D1214" s="85"/>
      <c r="E1214" s="98" t="s">
        <v>3161</v>
      </c>
      <c r="F1214" s="99" t="s">
        <v>3151</v>
      </c>
      <c r="G1214" s="100" t="s">
        <v>2515</v>
      </c>
      <c r="H1214" s="100" t="s">
        <v>3144</v>
      </c>
      <c r="I1214" s="100" t="s">
        <v>100</v>
      </c>
      <c r="J1214" s="98" t="s">
        <v>527</v>
      </c>
      <c r="K1214" s="101" t="s">
        <v>3162</v>
      </c>
      <c r="L1214" s="102" t="n">
        <v>45768</v>
      </c>
      <c r="M1214" s="100" t="n">
        <v>752</v>
      </c>
      <c r="N1214" s="100" t="n">
        <v>841</v>
      </c>
      <c r="O1214" s="100" t="n">
        <v>89</v>
      </c>
      <c r="P1214" s="100" t="n">
        <v>86</v>
      </c>
      <c r="Q1214" s="100"/>
      <c r="R1214" s="103" t="n">
        <f aca="false">合約與計費!$D$4</f>
        <v>0.296</v>
      </c>
      <c r="S1214" s="104" t="n">
        <f aca="false">ROUND(P1214*R1214,0)</f>
        <v>25</v>
      </c>
      <c r="T1214" s="105"/>
      <c r="U1214" s="100"/>
      <c r="V1214" s="100"/>
      <c r="W1214" s="106"/>
      <c r="X1214" s="100"/>
      <c r="Y1214" s="100"/>
      <c r="Z1214" s="107"/>
      <c r="AA1214" s="108"/>
      <c r="AB1214" s="109"/>
      <c r="AC1214" s="110"/>
      <c r="AD1214" s="42"/>
      <c r="AE1214" s="43"/>
    </row>
    <row r="1215" customFormat="false" ht="16.5" hidden="false" customHeight="true" outlineLevel="0" collapsed="false">
      <c r="A1215" s="111" t="n">
        <f aca="false">ROW(A1212)</f>
        <v>1212</v>
      </c>
      <c r="B1215" s="111" t="s">
        <v>479</v>
      </c>
      <c r="C1215" s="114" t="n">
        <v>1</v>
      </c>
      <c r="D1215" s="85"/>
      <c r="E1215" s="112" t="s">
        <v>3163</v>
      </c>
      <c r="F1215" s="113" t="s">
        <v>3151</v>
      </c>
      <c r="G1215" s="114" t="s">
        <v>2515</v>
      </c>
      <c r="H1215" s="114" t="s">
        <v>3144</v>
      </c>
      <c r="I1215" s="114" t="s">
        <v>100</v>
      </c>
      <c r="J1215" s="112" t="s">
        <v>527</v>
      </c>
      <c r="K1215" s="115" t="s">
        <v>3164</v>
      </c>
      <c r="L1215" s="116" t="n">
        <v>45768</v>
      </c>
      <c r="M1215" s="114" t="n">
        <v>7309</v>
      </c>
      <c r="N1215" s="114" t="n">
        <v>8980</v>
      </c>
      <c r="O1215" s="114" t="n">
        <v>1671</v>
      </c>
      <c r="P1215" s="114" t="n">
        <v>1621</v>
      </c>
      <c r="Q1215" s="114" t="n">
        <f aca="false">ROUND(SUM(P1209:P1215),2)</f>
        <v>3352</v>
      </c>
      <c r="R1215" s="117" t="n">
        <f aca="false">合約與計費!$D$4</f>
        <v>0.296</v>
      </c>
      <c r="S1215" s="118" t="n">
        <f aca="false">ROUND(P1215*R1215,0)</f>
        <v>480</v>
      </c>
      <c r="T1215" s="119" t="n">
        <f aca="false">ROUND(SUM(S1209:S1215),2)</f>
        <v>991</v>
      </c>
      <c r="U1215" s="114"/>
      <c r="V1215" s="114"/>
      <c r="W1215" s="120"/>
      <c r="X1215" s="114"/>
      <c r="Y1215" s="114" t="n">
        <f aca="false">ROUND(SUM(X1209:X1215),2)</f>
        <v>30</v>
      </c>
      <c r="Z1215" s="121"/>
      <c r="AA1215" s="122"/>
      <c r="AB1215" s="123" t="n">
        <f aca="false">ROUND(SUM(AA1209:AA1215),2)</f>
        <v>84</v>
      </c>
      <c r="AC1215" s="124"/>
      <c r="AD1215" s="42"/>
      <c r="AE1215" s="43"/>
    </row>
    <row r="1216" customFormat="false" ht="16.5" hidden="false" customHeight="true" outlineLevel="0" collapsed="false">
      <c r="A1216" s="84" t="n">
        <f aca="false">ROW(A1213)</f>
        <v>1213</v>
      </c>
      <c r="B1216" s="84" t="s">
        <v>455</v>
      </c>
      <c r="C1216" s="32" t="n">
        <v>1</v>
      </c>
      <c r="D1216" s="85" t="n">
        <v>137</v>
      </c>
      <c r="E1216" s="86" t="s">
        <v>3165</v>
      </c>
      <c r="F1216" s="87" t="s">
        <v>3166</v>
      </c>
      <c r="G1216" s="32" t="s">
        <v>2515</v>
      </c>
      <c r="H1216" s="32" t="s">
        <v>3144</v>
      </c>
      <c r="I1216" s="172" t="s">
        <v>399</v>
      </c>
      <c r="J1216" s="86" t="s">
        <v>460</v>
      </c>
      <c r="K1216" s="88" t="s">
        <v>3167</v>
      </c>
      <c r="L1216" s="89" t="n">
        <v>45776</v>
      </c>
      <c r="M1216" s="32" t="n">
        <v>30</v>
      </c>
      <c r="N1216" s="32" t="n">
        <v>41</v>
      </c>
      <c r="O1216" s="32" t="n">
        <v>11</v>
      </c>
      <c r="P1216" s="32" t="n">
        <v>11</v>
      </c>
      <c r="Q1216" s="32"/>
      <c r="R1216" s="90" t="n">
        <f aca="false">合約與計費!$D$4</f>
        <v>0.296</v>
      </c>
      <c r="S1216" s="91" t="n">
        <f aca="false">ROUND(P1216*R1216,0)</f>
        <v>3</v>
      </c>
      <c r="T1216" s="92"/>
      <c r="U1216" s="32" t="n">
        <v>90</v>
      </c>
      <c r="V1216" s="32" t="n">
        <v>146</v>
      </c>
      <c r="W1216" s="32" t="n">
        <v>56</v>
      </c>
      <c r="X1216" s="32" t="n">
        <v>54</v>
      </c>
      <c r="Y1216" s="32"/>
      <c r="Z1216" s="93" t="n">
        <f aca="false">合約與計費!$E$4</f>
        <v>2.8</v>
      </c>
      <c r="AA1216" s="94" t="n">
        <f aca="false">ROUND(X1216*Z1216,0)</f>
        <v>151</v>
      </c>
      <c r="AB1216" s="95"/>
      <c r="AC1216" s="96"/>
      <c r="AD1216" s="42"/>
      <c r="AE1216" s="43"/>
    </row>
    <row r="1217" customFormat="false" ht="16.5" hidden="false" customHeight="true" outlineLevel="0" collapsed="false">
      <c r="A1217" s="97" t="n">
        <f aca="false">ROW(A1214)</f>
        <v>1214</v>
      </c>
      <c r="B1217" s="97" t="s">
        <v>462</v>
      </c>
      <c r="C1217" s="100" t="n">
        <v>1</v>
      </c>
      <c r="D1217" s="85"/>
      <c r="E1217" s="98" t="s">
        <v>3168</v>
      </c>
      <c r="F1217" s="99" t="s">
        <v>3166</v>
      </c>
      <c r="G1217" s="100" t="s">
        <v>2515</v>
      </c>
      <c r="H1217" s="100" t="s">
        <v>3144</v>
      </c>
      <c r="I1217" s="175" t="s">
        <v>399</v>
      </c>
      <c r="J1217" s="98" t="s">
        <v>464</v>
      </c>
      <c r="K1217" s="101" t="s">
        <v>3169</v>
      </c>
      <c r="L1217" s="102" t="n">
        <v>45776</v>
      </c>
      <c r="M1217" s="100" t="n">
        <v>182</v>
      </c>
      <c r="N1217" s="100" t="n">
        <v>246</v>
      </c>
      <c r="O1217" s="100" t="n">
        <v>64</v>
      </c>
      <c r="P1217" s="100" t="n">
        <v>62</v>
      </c>
      <c r="Q1217" s="100"/>
      <c r="R1217" s="103" t="n">
        <f aca="false">合約與計費!$D$4</f>
        <v>0.296</v>
      </c>
      <c r="S1217" s="104" t="n">
        <f aca="false">ROUND(P1217*R1217,0)</f>
        <v>18</v>
      </c>
      <c r="T1217" s="105"/>
      <c r="U1217" s="100"/>
      <c r="V1217" s="100"/>
      <c r="W1217" s="106"/>
      <c r="X1217" s="100"/>
      <c r="Y1217" s="100"/>
      <c r="Z1217" s="107"/>
      <c r="AA1217" s="108"/>
      <c r="AB1217" s="109"/>
      <c r="AC1217" s="110"/>
      <c r="AD1217" s="42" t="n">
        <v>0.0428</v>
      </c>
      <c r="AE1217" s="43" t="n">
        <v>0.9</v>
      </c>
    </row>
    <row r="1218" customFormat="false" ht="16.5" hidden="false" customHeight="true" outlineLevel="0" collapsed="false">
      <c r="A1218" s="97" t="n">
        <f aca="false">ROW(A1215)</f>
        <v>1215</v>
      </c>
      <c r="B1218" s="97" t="s">
        <v>466</v>
      </c>
      <c r="C1218" s="100" t="n">
        <v>1</v>
      </c>
      <c r="D1218" s="85"/>
      <c r="E1218" s="98" t="s">
        <v>3170</v>
      </c>
      <c r="F1218" s="99" t="s">
        <v>3166</v>
      </c>
      <c r="G1218" s="100" t="s">
        <v>2515</v>
      </c>
      <c r="H1218" s="100" t="s">
        <v>3144</v>
      </c>
      <c r="I1218" s="175" t="s">
        <v>399</v>
      </c>
      <c r="J1218" s="98" t="s">
        <v>527</v>
      </c>
      <c r="K1218" s="101" t="s">
        <v>3171</v>
      </c>
      <c r="L1218" s="102" t="n">
        <v>45776</v>
      </c>
      <c r="M1218" s="100" t="n">
        <v>5472</v>
      </c>
      <c r="N1218" s="100" t="n">
        <v>7231</v>
      </c>
      <c r="O1218" s="100" t="n">
        <v>1759</v>
      </c>
      <c r="P1218" s="100" t="n">
        <v>1706</v>
      </c>
      <c r="Q1218" s="100"/>
      <c r="R1218" s="103" t="n">
        <f aca="false">合約與計費!$D$4</f>
        <v>0.296</v>
      </c>
      <c r="S1218" s="104" t="n">
        <f aca="false">ROUND(P1218*R1218,0)</f>
        <v>505</v>
      </c>
      <c r="T1218" s="105"/>
      <c r="U1218" s="100"/>
      <c r="V1218" s="100"/>
      <c r="W1218" s="106"/>
      <c r="X1218" s="100"/>
      <c r="Y1218" s="100"/>
      <c r="Z1218" s="107"/>
      <c r="AA1218" s="108"/>
      <c r="AB1218" s="109"/>
      <c r="AC1218" s="110"/>
      <c r="AD1218" s="42"/>
      <c r="AE1218" s="43"/>
    </row>
    <row r="1219" customFormat="false" ht="16.5" hidden="false" customHeight="true" outlineLevel="0" collapsed="false">
      <c r="A1219" s="97" t="n">
        <f aca="false">ROW(A1216)</f>
        <v>1216</v>
      </c>
      <c r="B1219" s="97" t="s">
        <v>469</v>
      </c>
      <c r="C1219" s="100" t="n">
        <v>1</v>
      </c>
      <c r="D1219" s="85"/>
      <c r="E1219" s="98" t="s">
        <v>3172</v>
      </c>
      <c r="F1219" s="99" t="s">
        <v>3166</v>
      </c>
      <c r="G1219" s="100" t="s">
        <v>2515</v>
      </c>
      <c r="H1219" s="100" t="s">
        <v>3144</v>
      </c>
      <c r="I1219" s="175" t="s">
        <v>399</v>
      </c>
      <c r="J1219" s="98" t="s">
        <v>527</v>
      </c>
      <c r="K1219" s="101" t="s">
        <v>3173</v>
      </c>
      <c r="L1219" s="102" t="n">
        <v>45776</v>
      </c>
      <c r="M1219" s="100" t="n">
        <v>12125</v>
      </c>
      <c r="N1219" s="100" t="n">
        <v>15175</v>
      </c>
      <c r="O1219" s="100" t="n">
        <v>3050</v>
      </c>
      <c r="P1219" s="100" t="n">
        <v>2959</v>
      </c>
      <c r="Q1219" s="100"/>
      <c r="R1219" s="103" t="n">
        <f aca="false">合約與計費!$D$4</f>
        <v>0.296</v>
      </c>
      <c r="S1219" s="104" t="n">
        <f aca="false">ROUND(P1219*R1219,0)</f>
        <v>876</v>
      </c>
      <c r="T1219" s="105"/>
      <c r="U1219" s="100"/>
      <c r="V1219" s="100"/>
      <c r="W1219" s="106"/>
      <c r="X1219" s="100"/>
      <c r="Y1219" s="100"/>
      <c r="Z1219" s="107"/>
      <c r="AA1219" s="108"/>
      <c r="AB1219" s="109"/>
      <c r="AC1219" s="110"/>
      <c r="AD1219" s="42"/>
      <c r="AE1219" s="43"/>
    </row>
    <row r="1220" customFormat="false" ht="16.5" hidden="false" customHeight="true" outlineLevel="0" collapsed="false">
      <c r="A1220" s="111" t="n">
        <f aca="false">ROW(A1217)</f>
        <v>1217</v>
      </c>
      <c r="B1220" s="111" t="s">
        <v>473</v>
      </c>
      <c r="C1220" s="114" t="n">
        <v>1</v>
      </c>
      <c r="D1220" s="85"/>
      <c r="E1220" s="112" t="s">
        <v>3174</v>
      </c>
      <c r="F1220" s="113" t="s">
        <v>3166</v>
      </c>
      <c r="G1220" s="114" t="s">
        <v>2515</v>
      </c>
      <c r="H1220" s="114" t="s">
        <v>3144</v>
      </c>
      <c r="I1220" s="173" t="s">
        <v>399</v>
      </c>
      <c r="J1220" s="112" t="s">
        <v>527</v>
      </c>
      <c r="K1220" s="115" t="s">
        <v>3175</v>
      </c>
      <c r="L1220" s="116" t="n">
        <v>45776</v>
      </c>
      <c r="M1220" s="114" t="n">
        <v>574</v>
      </c>
      <c r="N1220" s="114" t="n">
        <v>708</v>
      </c>
      <c r="O1220" s="114" t="n">
        <v>134</v>
      </c>
      <c r="P1220" s="114" t="n">
        <v>130</v>
      </c>
      <c r="Q1220" s="114" t="n">
        <f aca="false">ROUND(SUM(P1216:P1220),2)</f>
        <v>4868</v>
      </c>
      <c r="R1220" s="117" t="n">
        <f aca="false">合約與計費!$D$4</f>
        <v>0.296</v>
      </c>
      <c r="S1220" s="118" t="n">
        <f aca="false">ROUND(P1220*R1220,0)</f>
        <v>38</v>
      </c>
      <c r="T1220" s="119" t="n">
        <f aca="false">ROUND(SUM(S1216:S1220),2)</f>
        <v>1440</v>
      </c>
      <c r="U1220" s="114"/>
      <c r="V1220" s="114"/>
      <c r="W1220" s="120"/>
      <c r="X1220" s="114"/>
      <c r="Y1220" s="114" t="n">
        <f aca="false">ROUND(SUM(X1216:X1220),2)</f>
        <v>54</v>
      </c>
      <c r="Z1220" s="121"/>
      <c r="AA1220" s="122"/>
      <c r="AB1220" s="123" t="n">
        <f aca="false">ROUND(SUM(AA1216:AA1220),2)</f>
        <v>151</v>
      </c>
      <c r="AC1220" s="124"/>
      <c r="AD1220" s="42"/>
      <c r="AE1220" s="43"/>
    </row>
    <row r="1221" customFormat="false" ht="16.5" hidden="false" customHeight="true" outlineLevel="0" collapsed="false">
      <c r="A1221" s="84" t="n">
        <f aca="false">ROW(A1218)</f>
        <v>1218</v>
      </c>
      <c r="B1221" s="84" t="s">
        <v>455</v>
      </c>
      <c r="C1221" s="32" t="n">
        <v>1</v>
      </c>
      <c r="D1221" s="85" t="n">
        <v>248</v>
      </c>
      <c r="E1221" s="86" t="s">
        <v>3176</v>
      </c>
      <c r="F1221" s="87" t="s">
        <v>3177</v>
      </c>
      <c r="G1221" s="32" t="s">
        <v>2515</v>
      </c>
      <c r="H1221" s="32" t="s">
        <v>3144</v>
      </c>
      <c r="I1221" s="172" t="s">
        <v>5</v>
      </c>
      <c r="J1221" s="86" t="s">
        <v>460</v>
      </c>
      <c r="K1221" s="88" t="s">
        <v>3178</v>
      </c>
      <c r="L1221" s="89" t="n">
        <v>45775</v>
      </c>
      <c r="M1221" s="32" t="n">
        <v>26</v>
      </c>
      <c r="N1221" s="32" t="n">
        <v>29</v>
      </c>
      <c r="O1221" s="32" t="n">
        <v>3</v>
      </c>
      <c r="P1221" s="32" t="n">
        <v>3</v>
      </c>
      <c r="Q1221" s="32"/>
      <c r="R1221" s="90" t="n">
        <f aca="false">合約與計費!$D$4</f>
        <v>0.296</v>
      </c>
      <c r="S1221" s="91" t="n">
        <f aca="false">ROUND(P1221*R1221,0)</f>
        <v>1</v>
      </c>
      <c r="T1221" s="92"/>
      <c r="U1221" s="32" t="n">
        <v>271</v>
      </c>
      <c r="V1221" s="32" t="n">
        <v>346</v>
      </c>
      <c r="W1221" s="32" t="n">
        <v>75</v>
      </c>
      <c r="X1221" s="32" t="n">
        <v>73</v>
      </c>
      <c r="Y1221" s="32"/>
      <c r="Z1221" s="93" t="n">
        <f aca="false">合約與計費!$E$4</f>
        <v>2.8</v>
      </c>
      <c r="AA1221" s="94" t="n">
        <f aca="false">ROUND(X1221*Z1221,0)</f>
        <v>204</v>
      </c>
      <c r="AB1221" s="95"/>
      <c r="AC1221" s="96"/>
      <c r="AD1221" s="42"/>
      <c r="AE1221" s="43"/>
    </row>
    <row r="1222" customFormat="false" ht="16.5" hidden="false" customHeight="true" outlineLevel="0" collapsed="false">
      <c r="A1222" s="97" t="n">
        <f aca="false">ROW(A1219)</f>
        <v>1219</v>
      </c>
      <c r="B1222" s="97" t="s">
        <v>462</v>
      </c>
      <c r="C1222" s="100" t="n">
        <v>1</v>
      </c>
      <c r="D1222" s="85"/>
      <c r="E1222" s="98" t="s">
        <v>3179</v>
      </c>
      <c r="F1222" s="99" t="s">
        <v>3177</v>
      </c>
      <c r="G1222" s="100" t="s">
        <v>2515</v>
      </c>
      <c r="H1222" s="100" t="s">
        <v>3144</v>
      </c>
      <c r="I1222" s="175" t="s">
        <v>5</v>
      </c>
      <c r="J1222" s="98" t="s">
        <v>464</v>
      </c>
      <c r="K1222" s="101" t="s">
        <v>3180</v>
      </c>
      <c r="L1222" s="102" t="n">
        <v>45775</v>
      </c>
      <c r="M1222" s="100" t="n">
        <v>479</v>
      </c>
      <c r="N1222" s="100" t="n">
        <v>609</v>
      </c>
      <c r="O1222" s="100" t="n">
        <v>130</v>
      </c>
      <c r="P1222" s="100" t="n">
        <v>126</v>
      </c>
      <c r="Q1222" s="100"/>
      <c r="R1222" s="103" t="n">
        <f aca="false">合約與計費!$D$4</f>
        <v>0.296</v>
      </c>
      <c r="S1222" s="104" t="n">
        <f aca="false">ROUND(P1222*R1222,0)</f>
        <v>37</v>
      </c>
      <c r="T1222" s="105"/>
      <c r="U1222" s="100"/>
      <c r="V1222" s="100"/>
      <c r="W1222" s="106"/>
      <c r="X1222" s="100"/>
      <c r="Y1222" s="100"/>
      <c r="Z1222" s="107"/>
      <c r="AA1222" s="108"/>
      <c r="AB1222" s="109"/>
      <c r="AC1222" s="110"/>
      <c r="AD1222" s="42" t="n">
        <v>0.0498</v>
      </c>
      <c r="AE1222" s="43" t="n">
        <v>0.8</v>
      </c>
    </row>
    <row r="1223" customFormat="false" ht="16.5" hidden="false" customHeight="true" outlineLevel="0" collapsed="false">
      <c r="A1223" s="97" t="n">
        <f aca="false">ROW(A1220)</f>
        <v>1220</v>
      </c>
      <c r="B1223" s="97" t="s">
        <v>466</v>
      </c>
      <c r="C1223" s="100" t="n">
        <v>1</v>
      </c>
      <c r="D1223" s="85"/>
      <c r="E1223" s="98" t="s">
        <v>3181</v>
      </c>
      <c r="F1223" s="99" t="s">
        <v>3177</v>
      </c>
      <c r="G1223" s="100" t="s">
        <v>2515</v>
      </c>
      <c r="H1223" s="100" t="s">
        <v>3144</v>
      </c>
      <c r="I1223" s="175" t="s">
        <v>5</v>
      </c>
      <c r="J1223" s="98" t="s">
        <v>527</v>
      </c>
      <c r="K1223" s="101" t="s">
        <v>3182</v>
      </c>
      <c r="L1223" s="102" t="n">
        <v>45775</v>
      </c>
      <c r="M1223" s="100" t="n">
        <v>4799</v>
      </c>
      <c r="N1223" s="100" t="n">
        <v>5581</v>
      </c>
      <c r="O1223" s="100" t="n">
        <v>782</v>
      </c>
      <c r="P1223" s="100" t="n">
        <v>759</v>
      </c>
      <c r="Q1223" s="100"/>
      <c r="R1223" s="103" t="n">
        <f aca="false">合約與計費!$D$4</f>
        <v>0.296</v>
      </c>
      <c r="S1223" s="104" t="n">
        <f aca="false">ROUND(P1223*R1223,0)</f>
        <v>225</v>
      </c>
      <c r="T1223" s="105"/>
      <c r="U1223" s="100"/>
      <c r="V1223" s="100"/>
      <c r="W1223" s="106"/>
      <c r="X1223" s="100"/>
      <c r="Y1223" s="100"/>
      <c r="Z1223" s="107"/>
      <c r="AA1223" s="108"/>
      <c r="AB1223" s="109"/>
      <c r="AC1223" s="110"/>
      <c r="AD1223" s="42"/>
      <c r="AE1223" s="43"/>
    </row>
    <row r="1224" customFormat="false" ht="16.5" hidden="false" customHeight="true" outlineLevel="0" collapsed="false">
      <c r="A1224" s="111" t="n">
        <f aca="false">ROW(A1221)</f>
        <v>1221</v>
      </c>
      <c r="B1224" s="111" t="s">
        <v>469</v>
      </c>
      <c r="C1224" s="114" t="n">
        <v>1</v>
      </c>
      <c r="D1224" s="85"/>
      <c r="E1224" s="112" t="s">
        <v>3183</v>
      </c>
      <c r="F1224" s="113" t="s">
        <v>3177</v>
      </c>
      <c r="G1224" s="114" t="s">
        <v>2515</v>
      </c>
      <c r="H1224" s="114" t="s">
        <v>3144</v>
      </c>
      <c r="I1224" s="173" t="s">
        <v>5</v>
      </c>
      <c r="J1224" s="112" t="s">
        <v>527</v>
      </c>
      <c r="K1224" s="115" t="s">
        <v>3184</v>
      </c>
      <c r="L1224" s="116" t="n">
        <v>45775</v>
      </c>
      <c r="M1224" s="114" t="n">
        <v>532</v>
      </c>
      <c r="N1224" s="114" t="n">
        <v>642</v>
      </c>
      <c r="O1224" s="114" t="n">
        <v>110</v>
      </c>
      <c r="P1224" s="114" t="n">
        <v>107</v>
      </c>
      <c r="Q1224" s="114" t="n">
        <f aca="false">ROUND(SUM(P1221:P1224),2)</f>
        <v>995</v>
      </c>
      <c r="R1224" s="117" t="n">
        <f aca="false">合約與計費!$D$4</f>
        <v>0.296</v>
      </c>
      <c r="S1224" s="118" t="n">
        <f aca="false">ROUND(P1224*R1224,0)</f>
        <v>32</v>
      </c>
      <c r="T1224" s="119" t="n">
        <f aca="false">ROUND(SUM(S1221:S1224),2)</f>
        <v>295</v>
      </c>
      <c r="U1224" s="114"/>
      <c r="V1224" s="114"/>
      <c r="W1224" s="120"/>
      <c r="X1224" s="114"/>
      <c r="Y1224" s="114" t="n">
        <f aca="false">ROUND(SUM(X1221:X1224),2)</f>
        <v>73</v>
      </c>
      <c r="Z1224" s="121"/>
      <c r="AA1224" s="122"/>
      <c r="AB1224" s="123" t="n">
        <f aca="false">ROUND(SUM(AA1221:AA1224),2)</f>
        <v>204</v>
      </c>
      <c r="AC1224" s="124"/>
      <c r="AD1224" s="42"/>
      <c r="AE1224" s="43"/>
    </row>
    <row r="1225" customFormat="false" ht="16.5" hidden="false" customHeight="true" outlineLevel="0" collapsed="false">
      <c r="A1225" s="84" t="n">
        <f aca="false">ROW(A1222)</f>
        <v>1222</v>
      </c>
      <c r="B1225" s="84" t="s">
        <v>455</v>
      </c>
      <c r="C1225" s="32" t="n">
        <v>1</v>
      </c>
      <c r="D1225" s="85" t="n">
        <v>249</v>
      </c>
      <c r="E1225" s="86" t="s">
        <v>3185</v>
      </c>
      <c r="F1225" s="87" t="s">
        <v>3186</v>
      </c>
      <c r="G1225" s="32" t="s">
        <v>2515</v>
      </c>
      <c r="H1225" s="32" t="s">
        <v>3144</v>
      </c>
      <c r="I1225" s="172" t="s">
        <v>226</v>
      </c>
      <c r="J1225" s="86" t="s">
        <v>460</v>
      </c>
      <c r="K1225" s="88" t="s">
        <v>3187</v>
      </c>
      <c r="L1225" s="89" t="n">
        <v>45749</v>
      </c>
      <c r="M1225" s="32" t="n">
        <v>176</v>
      </c>
      <c r="N1225" s="32" t="n">
        <v>196</v>
      </c>
      <c r="O1225" s="32" t="n">
        <v>20</v>
      </c>
      <c r="P1225" s="32" t="n">
        <v>19</v>
      </c>
      <c r="Q1225" s="32"/>
      <c r="R1225" s="90" t="n">
        <f aca="false">合約與計費!$D$4</f>
        <v>0.296</v>
      </c>
      <c r="S1225" s="91" t="n">
        <f aca="false">ROUND(P1225*R1225,0)</f>
        <v>6</v>
      </c>
      <c r="T1225" s="92"/>
      <c r="U1225" s="32" t="n">
        <v>271</v>
      </c>
      <c r="V1225" s="32" t="n">
        <v>308</v>
      </c>
      <c r="W1225" s="32" t="n">
        <v>37</v>
      </c>
      <c r="X1225" s="32" t="n">
        <v>36</v>
      </c>
      <c r="Y1225" s="32"/>
      <c r="Z1225" s="93" t="n">
        <f aca="false">合約與計費!$E$4</f>
        <v>2.8</v>
      </c>
      <c r="AA1225" s="94" t="n">
        <f aca="false">ROUND(X1225*Z1225,0)</f>
        <v>101</v>
      </c>
      <c r="AB1225" s="95"/>
      <c r="AC1225" s="96"/>
      <c r="AD1225" s="42"/>
      <c r="AE1225" s="43"/>
    </row>
    <row r="1226" customFormat="false" ht="16.5" hidden="false" customHeight="true" outlineLevel="0" collapsed="false">
      <c r="A1226" s="97" t="n">
        <f aca="false">ROW(A1223)</f>
        <v>1223</v>
      </c>
      <c r="B1226" s="97" t="s">
        <v>462</v>
      </c>
      <c r="C1226" s="100" t="n">
        <v>1</v>
      </c>
      <c r="D1226" s="85"/>
      <c r="E1226" s="98" t="s">
        <v>3188</v>
      </c>
      <c r="F1226" s="99" t="s">
        <v>3186</v>
      </c>
      <c r="G1226" s="100" t="s">
        <v>2515</v>
      </c>
      <c r="H1226" s="100" t="s">
        <v>3144</v>
      </c>
      <c r="I1226" s="175" t="s">
        <v>226</v>
      </c>
      <c r="J1226" s="98" t="s">
        <v>464</v>
      </c>
      <c r="K1226" s="101" t="s">
        <v>3189</v>
      </c>
      <c r="L1226" s="102" t="n">
        <v>45749</v>
      </c>
      <c r="M1226" s="100" t="n">
        <v>639</v>
      </c>
      <c r="N1226" s="100" t="n">
        <v>811</v>
      </c>
      <c r="O1226" s="100" t="n">
        <v>172</v>
      </c>
      <c r="P1226" s="100" t="n">
        <v>167</v>
      </c>
      <c r="Q1226" s="100"/>
      <c r="R1226" s="103" t="n">
        <f aca="false">合約與計費!$D$4</f>
        <v>0.296</v>
      </c>
      <c r="S1226" s="104" t="n">
        <f aca="false">ROUND(P1226*R1226,0)</f>
        <v>49</v>
      </c>
      <c r="T1226" s="105"/>
      <c r="U1226" s="100"/>
      <c r="V1226" s="100"/>
      <c r="W1226" s="106"/>
      <c r="X1226" s="100"/>
      <c r="Y1226" s="100"/>
      <c r="Z1226" s="107"/>
      <c r="AA1226" s="108"/>
      <c r="AB1226" s="109"/>
      <c r="AC1226" s="110"/>
      <c r="AD1226" s="42" t="n">
        <v>0.0703</v>
      </c>
      <c r="AE1226" s="43" t="n">
        <v>0.6</v>
      </c>
    </row>
    <row r="1227" customFormat="false" ht="16.5" hidden="false" customHeight="true" outlineLevel="0" collapsed="false">
      <c r="A1227" s="97" t="n">
        <f aca="false">ROW(A1224)</f>
        <v>1224</v>
      </c>
      <c r="B1227" s="97" t="s">
        <v>466</v>
      </c>
      <c r="C1227" s="100" t="n">
        <v>1</v>
      </c>
      <c r="D1227" s="85"/>
      <c r="E1227" s="98" t="s">
        <v>3190</v>
      </c>
      <c r="F1227" s="99" t="s">
        <v>3186</v>
      </c>
      <c r="G1227" s="100" t="s">
        <v>2515</v>
      </c>
      <c r="H1227" s="100" t="s">
        <v>3144</v>
      </c>
      <c r="I1227" s="175" t="s">
        <v>226</v>
      </c>
      <c r="J1227" s="98" t="s">
        <v>527</v>
      </c>
      <c r="K1227" s="101" t="s">
        <v>3191</v>
      </c>
      <c r="L1227" s="102" t="n">
        <v>45749</v>
      </c>
      <c r="M1227" s="100" t="n">
        <v>11118</v>
      </c>
      <c r="N1227" s="100" t="n">
        <v>12972</v>
      </c>
      <c r="O1227" s="100" t="n">
        <v>1854</v>
      </c>
      <c r="P1227" s="100" t="n">
        <v>1798</v>
      </c>
      <c r="Q1227" s="100"/>
      <c r="R1227" s="103" t="n">
        <f aca="false">合約與計費!$D$4</f>
        <v>0.296</v>
      </c>
      <c r="S1227" s="104" t="n">
        <f aca="false">ROUND(P1227*R1227,0)</f>
        <v>532</v>
      </c>
      <c r="T1227" s="105"/>
      <c r="U1227" s="100"/>
      <c r="V1227" s="100"/>
      <c r="W1227" s="106"/>
      <c r="X1227" s="100"/>
      <c r="Y1227" s="100"/>
      <c r="Z1227" s="107"/>
      <c r="AA1227" s="108"/>
      <c r="AB1227" s="109"/>
      <c r="AC1227" s="110"/>
      <c r="AD1227" s="42"/>
      <c r="AE1227" s="43"/>
    </row>
    <row r="1228" customFormat="false" ht="16.5" hidden="false" customHeight="true" outlineLevel="0" collapsed="false">
      <c r="A1228" s="97" t="n">
        <f aca="false">ROW(A1225)</f>
        <v>1225</v>
      </c>
      <c r="B1228" s="97" t="s">
        <v>469</v>
      </c>
      <c r="C1228" s="100" t="n">
        <v>1</v>
      </c>
      <c r="D1228" s="85"/>
      <c r="E1228" s="98" t="s">
        <v>3192</v>
      </c>
      <c r="F1228" s="99" t="s">
        <v>3186</v>
      </c>
      <c r="G1228" s="100" t="s">
        <v>2515</v>
      </c>
      <c r="H1228" s="100" t="s">
        <v>3144</v>
      </c>
      <c r="I1228" s="175" t="s">
        <v>226</v>
      </c>
      <c r="J1228" s="98" t="s">
        <v>527</v>
      </c>
      <c r="K1228" s="101" t="s">
        <v>3193</v>
      </c>
      <c r="L1228" s="102" t="n">
        <v>45749</v>
      </c>
      <c r="M1228" s="100" t="n">
        <v>3246</v>
      </c>
      <c r="N1228" s="100" t="n">
        <v>3679</v>
      </c>
      <c r="O1228" s="100" t="n">
        <v>433</v>
      </c>
      <c r="P1228" s="100" t="n">
        <v>420</v>
      </c>
      <c r="Q1228" s="100"/>
      <c r="R1228" s="103" t="n">
        <f aca="false">合約與計費!$D$4</f>
        <v>0.296</v>
      </c>
      <c r="S1228" s="104" t="n">
        <f aca="false">ROUND(P1228*R1228,0)</f>
        <v>124</v>
      </c>
      <c r="T1228" s="105"/>
      <c r="U1228" s="100"/>
      <c r="V1228" s="100"/>
      <c r="W1228" s="106"/>
      <c r="X1228" s="100"/>
      <c r="Y1228" s="100"/>
      <c r="Z1228" s="107"/>
      <c r="AA1228" s="108"/>
      <c r="AB1228" s="109"/>
      <c r="AC1228" s="110"/>
      <c r="AD1228" s="42"/>
      <c r="AE1228" s="43"/>
    </row>
    <row r="1229" customFormat="false" ht="16.5" hidden="false" customHeight="true" outlineLevel="0" collapsed="false">
      <c r="A1229" s="111" t="n">
        <f aca="false">ROW(A1226)</f>
        <v>1226</v>
      </c>
      <c r="B1229" s="111" t="s">
        <v>473</v>
      </c>
      <c r="C1229" s="114" t="n">
        <v>1</v>
      </c>
      <c r="D1229" s="85"/>
      <c r="E1229" s="112" t="s">
        <v>3194</v>
      </c>
      <c r="F1229" s="113" t="s">
        <v>3186</v>
      </c>
      <c r="G1229" s="114" t="s">
        <v>2515</v>
      </c>
      <c r="H1229" s="114" t="s">
        <v>3144</v>
      </c>
      <c r="I1229" s="173" t="s">
        <v>226</v>
      </c>
      <c r="J1229" s="98" t="s">
        <v>527</v>
      </c>
      <c r="K1229" s="101" t="s">
        <v>3195</v>
      </c>
      <c r="L1229" s="102" t="n">
        <v>45749</v>
      </c>
      <c r="M1229" s="100" t="n">
        <v>9090</v>
      </c>
      <c r="N1229" s="100" t="n">
        <v>10444</v>
      </c>
      <c r="O1229" s="100" t="n">
        <v>1354</v>
      </c>
      <c r="P1229" s="100" t="n">
        <v>1313</v>
      </c>
      <c r="Q1229" s="100" t="n">
        <f aca="false">ROUND(SUM(P1225:P1229),2)</f>
        <v>3717</v>
      </c>
      <c r="R1229" s="103" t="n">
        <f aca="false">合約與計費!$D$4</f>
        <v>0.296</v>
      </c>
      <c r="S1229" s="104" t="n">
        <f aca="false">ROUND(P1229*R1229,0)</f>
        <v>389</v>
      </c>
      <c r="T1229" s="105" t="n">
        <f aca="false">ROUND(SUM(S1225:S1229),2)</f>
        <v>1100</v>
      </c>
      <c r="U1229" s="100"/>
      <c r="V1229" s="100"/>
      <c r="W1229" s="106"/>
      <c r="X1229" s="100"/>
      <c r="Y1229" s="100" t="n">
        <f aca="false">ROUND(SUM(X1225:X1229),2)</f>
        <v>36</v>
      </c>
      <c r="Z1229" s="107"/>
      <c r="AA1229" s="108"/>
      <c r="AB1229" s="109" t="n">
        <f aca="false">ROUND(SUM(AA1225:AA1229),2)</f>
        <v>101</v>
      </c>
      <c r="AC1229" s="110"/>
      <c r="AD1229" s="42"/>
      <c r="AE1229" s="43"/>
    </row>
    <row r="1230" customFormat="false" ht="16.5" hidden="false" customHeight="true" outlineLevel="0" collapsed="false">
      <c r="A1230" s="84" t="n">
        <f aca="false">ROW(A1227)</f>
        <v>1227</v>
      </c>
      <c r="B1230" s="84" t="s">
        <v>455</v>
      </c>
      <c r="C1230" s="32" t="n">
        <v>1</v>
      </c>
      <c r="D1230" s="85" t="n">
        <v>252</v>
      </c>
      <c r="E1230" s="233" t="s">
        <v>3196</v>
      </c>
      <c r="F1230" s="87" t="s">
        <v>3197</v>
      </c>
      <c r="G1230" s="32" t="s">
        <v>2515</v>
      </c>
      <c r="H1230" s="32" t="s">
        <v>3144</v>
      </c>
      <c r="I1230" s="172" t="s">
        <v>360</v>
      </c>
      <c r="J1230" s="86" t="s">
        <v>460</v>
      </c>
      <c r="K1230" s="88" t="s">
        <v>3198</v>
      </c>
      <c r="L1230" s="89" t="n">
        <v>45771</v>
      </c>
      <c r="M1230" s="32" t="n">
        <v>143</v>
      </c>
      <c r="N1230" s="32" t="n">
        <v>157</v>
      </c>
      <c r="O1230" s="32" t="n">
        <v>14</v>
      </c>
      <c r="P1230" s="32" t="n">
        <v>14</v>
      </c>
      <c r="Q1230" s="32"/>
      <c r="R1230" s="90" t="n">
        <f aca="false">合約與計費!$D$4</f>
        <v>0.296</v>
      </c>
      <c r="S1230" s="91" t="n">
        <f aca="false">ROUND(P1230*R1230,0)</f>
        <v>4</v>
      </c>
      <c r="T1230" s="92"/>
      <c r="U1230" s="32" t="n">
        <v>325</v>
      </c>
      <c r="V1230" s="32" t="n">
        <v>417</v>
      </c>
      <c r="W1230" s="32" t="n">
        <v>92</v>
      </c>
      <c r="X1230" s="32" t="n">
        <v>89</v>
      </c>
      <c r="Y1230" s="32"/>
      <c r="Z1230" s="93" t="n">
        <f aca="false">合約與計費!$E$4</f>
        <v>2.8</v>
      </c>
      <c r="AA1230" s="94" t="n">
        <f aca="false">ROUND(X1230*Z1230,0)</f>
        <v>249</v>
      </c>
      <c r="AB1230" s="95"/>
      <c r="AC1230" s="96"/>
      <c r="AD1230" s="42"/>
      <c r="AE1230" s="43"/>
    </row>
    <row r="1231" customFormat="false" ht="16.5" hidden="false" customHeight="true" outlineLevel="0" collapsed="false">
      <c r="A1231" s="97" t="n">
        <f aca="false">ROW(A1228)</f>
        <v>1228</v>
      </c>
      <c r="B1231" s="97" t="s">
        <v>462</v>
      </c>
      <c r="C1231" s="100" t="n">
        <v>1</v>
      </c>
      <c r="D1231" s="85"/>
      <c r="E1231" s="234" t="s">
        <v>3199</v>
      </c>
      <c r="F1231" s="99" t="s">
        <v>3197</v>
      </c>
      <c r="G1231" s="100" t="s">
        <v>2515</v>
      </c>
      <c r="H1231" s="100" t="s">
        <v>3144</v>
      </c>
      <c r="I1231" s="175" t="s">
        <v>360</v>
      </c>
      <c r="J1231" s="98" t="s">
        <v>464</v>
      </c>
      <c r="K1231" s="101" t="s">
        <v>3200</v>
      </c>
      <c r="L1231" s="102" t="n">
        <v>45771</v>
      </c>
      <c r="M1231" s="100" t="n">
        <v>640</v>
      </c>
      <c r="N1231" s="100" t="n">
        <v>751</v>
      </c>
      <c r="O1231" s="100" t="n">
        <v>111</v>
      </c>
      <c r="P1231" s="100" t="n">
        <v>108</v>
      </c>
      <c r="Q1231" s="100"/>
      <c r="R1231" s="103" t="n">
        <f aca="false">合約與計費!$D$4</f>
        <v>0.296</v>
      </c>
      <c r="S1231" s="104" t="n">
        <f aca="false">ROUND(P1231*R1231,0)</f>
        <v>32</v>
      </c>
      <c r="T1231" s="105"/>
      <c r="U1231" s="100"/>
      <c r="V1231" s="100"/>
      <c r="W1231" s="106"/>
      <c r="X1231" s="100"/>
      <c r="Y1231" s="100"/>
      <c r="Z1231" s="107"/>
      <c r="AA1231" s="108"/>
      <c r="AB1231" s="109"/>
      <c r="AC1231" s="110"/>
      <c r="AD1231" s="42" t="n">
        <v>0.0527</v>
      </c>
      <c r="AE1231" s="43" t="n">
        <v>0.7</v>
      </c>
    </row>
    <row r="1232" customFormat="false" ht="16.5" hidden="false" customHeight="true" outlineLevel="0" collapsed="false">
      <c r="A1232" s="97" t="n">
        <f aca="false">ROW(A1229)</f>
        <v>1229</v>
      </c>
      <c r="B1232" s="97" t="s">
        <v>466</v>
      </c>
      <c r="C1232" s="100" t="n">
        <v>1</v>
      </c>
      <c r="D1232" s="85"/>
      <c r="E1232" s="234" t="s">
        <v>3201</v>
      </c>
      <c r="F1232" s="99" t="s">
        <v>3197</v>
      </c>
      <c r="G1232" s="100" t="s">
        <v>2515</v>
      </c>
      <c r="H1232" s="100" t="s">
        <v>3144</v>
      </c>
      <c r="I1232" s="175" t="s">
        <v>360</v>
      </c>
      <c r="J1232" s="98" t="s">
        <v>527</v>
      </c>
      <c r="K1232" s="101" t="s">
        <v>3202</v>
      </c>
      <c r="L1232" s="102" t="n">
        <v>45771</v>
      </c>
      <c r="M1232" s="100" t="n">
        <v>4532</v>
      </c>
      <c r="N1232" s="100" t="n">
        <v>5192</v>
      </c>
      <c r="O1232" s="100" t="n">
        <v>660</v>
      </c>
      <c r="P1232" s="100" t="n">
        <v>640</v>
      </c>
      <c r="Q1232" s="100"/>
      <c r="R1232" s="103" t="n">
        <f aca="false">合約與計費!$D$4</f>
        <v>0.296</v>
      </c>
      <c r="S1232" s="104" t="n">
        <f aca="false">ROUND(P1232*R1232,0)</f>
        <v>189</v>
      </c>
      <c r="T1232" s="105"/>
      <c r="U1232" s="100"/>
      <c r="V1232" s="100"/>
      <c r="W1232" s="106"/>
      <c r="X1232" s="100"/>
      <c r="Y1232" s="100"/>
      <c r="Z1232" s="107"/>
      <c r="AA1232" s="108"/>
      <c r="AB1232" s="109"/>
      <c r="AC1232" s="110"/>
      <c r="AD1232" s="42"/>
      <c r="AE1232" s="43"/>
    </row>
    <row r="1233" customFormat="false" ht="16.5" hidden="false" customHeight="true" outlineLevel="0" collapsed="false">
      <c r="A1233" s="97" t="n">
        <f aca="false">ROW(A1230)</f>
        <v>1230</v>
      </c>
      <c r="B1233" s="97" t="s">
        <v>469</v>
      </c>
      <c r="C1233" s="100" t="n">
        <v>1</v>
      </c>
      <c r="D1233" s="85"/>
      <c r="E1233" s="234" t="s">
        <v>3203</v>
      </c>
      <c r="F1233" s="99" t="s">
        <v>3197</v>
      </c>
      <c r="G1233" s="100" t="s">
        <v>2515</v>
      </c>
      <c r="H1233" s="100" t="s">
        <v>3144</v>
      </c>
      <c r="I1233" s="175" t="s">
        <v>360</v>
      </c>
      <c r="J1233" s="98" t="s">
        <v>527</v>
      </c>
      <c r="K1233" s="101" t="s">
        <v>3204</v>
      </c>
      <c r="L1233" s="102" t="n">
        <v>45771</v>
      </c>
      <c r="M1233" s="100" t="n">
        <v>4849</v>
      </c>
      <c r="N1233" s="100" t="n">
        <v>5716</v>
      </c>
      <c r="O1233" s="100" t="n">
        <v>867</v>
      </c>
      <c r="P1233" s="100" t="n">
        <v>841</v>
      </c>
      <c r="Q1233" s="100"/>
      <c r="R1233" s="103" t="n">
        <f aca="false">合約與計費!$D$4</f>
        <v>0.296</v>
      </c>
      <c r="S1233" s="104" t="n">
        <f aca="false">ROUND(P1233*R1233,0)</f>
        <v>249</v>
      </c>
      <c r="T1233" s="105"/>
      <c r="U1233" s="100"/>
      <c r="V1233" s="100"/>
      <c r="W1233" s="106"/>
      <c r="X1233" s="100"/>
      <c r="Y1233" s="100"/>
      <c r="Z1233" s="107"/>
      <c r="AA1233" s="108"/>
      <c r="AB1233" s="109"/>
      <c r="AC1233" s="110"/>
      <c r="AD1233" s="42"/>
      <c r="AE1233" s="43"/>
    </row>
    <row r="1234" customFormat="false" ht="16.5" hidden="false" customHeight="true" outlineLevel="0" collapsed="false">
      <c r="A1234" s="111" t="n">
        <f aca="false">ROW(A1231)</f>
        <v>1231</v>
      </c>
      <c r="B1234" s="111" t="s">
        <v>473</v>
      </c>
      <c r="C1234" s="114" t="n">
        <v>1</v>
      </c>
      <c r="D1234" s="85"/>
      <c r="E1234" s="235" t="s">
        <v>3205</v>
      </c>
      <c r="F1234" s="113" t="s">
        <v>3197</v>
      </c>
      <c r="G1234" s="114" t="s">
        <v>2515</v>
      </c>
      <c r="H1234" s="114" t="s">
        <v>3144</v>
      </c>
      <c r="I1234" s="173" t="s">
        <v>360</v>
      </c>
      <c r="J1234" s="112" t="s">
        <v>527</v>
      </c>
      <c r="K1234" s="115" t="s">
        <v>3206</v>
      </c>
      <c r="L1234" s="116" t="n">
        <v>45771</v>
      </c>
      <c r="M1234" s="114" t="n">
        <v>3147</v>
      </c>
      <c r="N1234" s="114" t="n">
        <v>3746</v>
      </c>
      <c r="O1234" s="114" t="n">
        <v>599</v>
      </c>
      <c r="P1234" s="114" t="n">
        <v>581</v>
      </c>
      <c r="Q1234" s="114" t="n">
        <f aca="false">ROUND(SUM(P1230:P1234),2)</f>
        <v>2184</v>
      </c>
      <c r="R1234" s="117" t="n">
        <f aca="false">合約與計費!$D$4</f>
        <v>0.296</v>
      </c>
      <c r="S1234" s="118" t="n">
        <f aca="false">ROUND(P1234*R1234,0)</f>
        <v>172</v>
      </c>
      <c r="T1234" s="119" t="n">
        <f aca="false">ROUND(SUM(S1230:S1234),2)</f>
        <v>646</v>
      </c>
      <c r="U1234" s="114"/>
      <c r="V1234" s="114"/>
      <c r="W1234" s="120"/>
      <c r="X1234" s="114"/>
      <c r="Y1234" s="114" t="n">
        <f aca="false">ROUND(SUM(X1230:X1234),2)</f>
        <v>89</v>
      </c>
      <c r="Z1234" s="121"/>
      <c r="AA1234" s="122"/>
      <c r="AB1234" s="123" t="n">
        <f aca="false">ROUND(SUM(AA1230:AA1234),2)</f>
        <v>249</v>
      </c>
      <c r="AC1234" s="124"/>
      <c r="AD1234" s="42"/>
      <c r="AE1234" s="43"/>
    </row>
    <row r="1235" customFormat="false" ht="16.5" hidden="false" customHeight="true" outlineLevel="0" collapsed="false">
      <c r="A1235" s="84" t="n">
        <f aca="false">ROW(A1232)</f>
        <v>1232</v>
      </c>
      <c r="B1235" s="84" t="s">
        <v>455</v>
      </c>
      <c r="C1235" s="32" t="n">
        <v>1</v>
      </c>
      <c r="D1235" s="85" t="n">
        <v>299</v>
      </c>
      <c r="E1235" s="233" t="s">
        <v>3207</v>
      </c>
      <c r="F1235" s="87" t="s">
        <v>3208</v>
      </c>
      <c r="G1235" s="32" t="s">
        <v>2515</v>
      </c>
      <c r="H1235" s="32" t="s">
        <v>3144</v>
      </c>
      <c r="I1235" s="172" t="s">
        <v>361</v>
      </c>
      <c r="J1235" s="86" t="s">
        <v>460</v>
      </c>
      <c r="K1235" s="88" t="s">
        <v>3209</v>
      </c>
      <c r="L1235" s="89" t="n">
        <v>45747</v>
      </c>
      <c r="M1235" s="32" t="n">
        <v>51</v>
      </c>
      <c r="N1235" s="32" t="n">
        <v>59</v>
      </c>
      <c r="O1235" s="32" t="n">
        <v>8</v>
      </c>
      <c r="P1235" s="32" t="n">
        <v>8</v>
      </c>
      <c r="Q1235" s="32"/>
      <c r="R1235" s="90" t="n">
        <f aca="false">合約與計費!$D$4</f>
        <v>0.296</v>
      </c>
      <c r="S1235" s="91" t="n">
        <f aca="false">ROUND(P1235*R1235,0)</f>
        <v>2</v>
      </c>
      <c r="T1235" s="92"/>
      <c r="U1235" s="32" t="n">
        <v>226</v>
      </c>
      <c r="V1235" s="32" t="n">
        <v>271</v>
      </c>
      <c r="W1235" s="32" t="n">
        <v>45</v>
      </c>
      <c r="X1235" s="32" t="n">
        <v>44</v>
      </c>
      <c r="Y1235" s="32"/>
      <c r="Z1235" s="93" t="n">
        <f aca="false">合約與計費!$E$4</f>
        <v>2.8</v>
      </c>
      <c r="AA1235" s="94" t="n">
        <f aca="false">ROUND(X1235*Z1235,0)</f>
        <v>123</v>
      </c>
      <c r="AB1235" s="95"/>
      <c r="AC1235" s="96"/>
      <c r="AD1235" s="42"/>
      <c r="AE1235" s="43"/>
    </row>
    <row r="1236" customFormat="false" ht="16.5" hidden="false" customHeight="true" outlineLevel="0" collapsed="false">
      <c r="A1236" s="97" t="n">
        <f aca="false">ROW(A1233)</f>
        <v>1233</v>
      </c>
      <c r="B1236" s="97" t="s">
        <v>462</v>
      </c>
      <c r="C1236" s="100" t="n">
        <v>1</v>
      </c>
      <c r="D1236" s="85"/>
      <c r="E1236" s="234" t="s">
        <v>3210</v>
      </c>
      <c r="F1236" s="99" t="s">
        <v>3208</v>
      </c>
      <c r="G1236" s="100" t="s">
        <v>2515</v>
      </c>
      <c r="H1236" s="100" t="s">
        <v>3144</v>
      </c>
      <c r="I1236" s="175" t="s">
        <v>361</v>
      </c>
      <c r="J1236" s="98" t="s">
        <v>464</v>
      </c>
      <c r="K1236" s="101" t="s">
        <v>3211</v>
      </c>
      <c r="L1236" s="102" t="n">
        <v>45747</v>
      </c>
      <c r="M1236" s="100" t="n">
        <v>2542</v>
      </c>
      <c r="N1236" s="100" t="n">
        <v>2862</v>
      </c>
      <c r="O1236" s="100" t="n">
        <v>320</v>
      </c>
      <c r="P1236" s="100" t="n">
        <v>310</v>
      </c>
      <c r="Q1236" s="100"/>
      <c r="R1236" s="103" t="n">
        <f aca="false">合約與計費!$D$4</f>
        <v>0.296</v>
      </c>
      <c r="S1236" s="104" t="n">
        <f aca="false">ROUND(P1236*R1236,0)</f>
        <v>92</v>
      </c>
      <c r="T1236" s="105"/>
      <c r="U1236" s="100"/>
      <c r="V1236" s="100"/>
      <c r="W1236" s="106"/>
      <c r="X1236" s="100"/>
      <c r="Y1236" s="100"/>
      <c r="Z1236" s="107"/>
      <c r="AA1236" s="108"/>
      <c r="AB1236" s="109"/>
      <c r="AC1236" s="110"/>
      <c r="AD1236" s="42" t="n">
        <v>0.0618</v>
      </c>
      <c r="AE1236" s="43" t="n">
        <v>1</v>
      </c>
    </row>
    <row r="1237" customFormat="false" ht="16.5" hidden="false" customHeight="true" outlineLevel="0" collapsed="false">
      <c r="A1237" s="97" t="n">
        <f aca="false">ROW(A1234)</f>
        <v>1234</v>
      </c>
      <c r="B1237" s="97" t="s">
        <v>466</v>
      </c>
      <c r="C1237" s="100" t="n">
        <v>1</v>
      </c>
      <c r="D1237" s="85"/>
      <c r="E1237" s="234" t="s">
        <v>3212</v>
      </c>
      <c r="F1237" s="99" t="s">
        <v>3208</v>
      </c>
      <c r="G1237" s="100" t="s">
        <v>2515</v>
      </c>
      <c r="H1237" s="100" t="s">
        <v>3144</v>
      </c>
      <c r="I1237" s="175" t="s">
        <v>361</v>
      </c>
      <c r="J1237" s="98" t="s">
        <v>527</v>
      </c>
      <c r="K1237" s="101" t="s">
        <v>3213</v>
      </c>
      <c r="L1237" s="102" t="n">
        <v>45747</v>
      </c>
      <c r="M1237" s="100" t="n">
        <v>7866</v>
      </c>
      <c r="N1237" s="100" t="n">
        <v>9060</v>
      </c>
      <c r="O1237" s="100" t="n">
        <v>1194</v>
      </c>
      <c r="P1237" s="100" t="n">
        <v>1158</v>
      </c>
      <c r="Q1237" s="100"/>
      <c r="R1237" s="103" t="n">
        <f aca="false">合約與計費!$D$4</f>
        <v>0.296</v>
      </c>
      <c r="S1237" s="104" t="n">
        <f aca="false">ROUND(P1237*R1237,0)</f>
        <v>343</v>
      </c>
      <c r="T1237" s="105"/>
      <c r="U1237" s="100"/>
      <c r="V1237" s="100"/>
      <c r="W1237" s="106"/>
      <c r="X1237" s="100"/>
      <c r="Y1237" s="100"/>
      <c r="Z1237" s="107"/>
      <c r="AA1237" s="108"/>
      <c r="AB1237" s="109"/>
      <c r="AC1237" s="110"/>
      <c r="AD1237" s="42"/>
      <c r="AE1237" s="43"/>
    </row>
    <row r="1238" customFormat="false" ht="16.5" hidden="false" customHeight="true" outlineLevel="0" collapsed="false">
      <c r="A1238" s="97" t="n">
        <f aca="false">ROW(A1235)</f>
        <v>1235</v>
      </c>
      <c r="B1238" s="97" t="s">
        <v>469</v>
      </c>
      <c r="C1238" s="100" t="n">
        <v>1</v>
      </c>
      <c r="D1238" s="85"/>
      <c r="E1238" s="234" t="s">
        <v>3214</v>
      </c>
      <c r="F1238" s="99" t="s">
        <v>3208</v>
      </c>
      <c r="G1238" s="100" t="s">
        <v>2515</v>
      </c>
      <c r="H1238" s="100" t="s">
        <v>3144</v>
      </c>
      <c r="I1238" s="175" t="s">
        <v>361</v>
      </c>
      <c r="J1238" s="98" t="s">
        <v>527</v>
      </c>
      <c r="K1238" s="101" t="s">
        <v>3215</v>
      </c>
      <c r="L1238" s="102" t="n">
        <v>45747</v>
      </c>
      <c r="M1238" s="100" t="n">
        <v>3292</v>
      </c>
      <c r="N1238" s="100" t="n">
        <v>3855</v>
      </c>
      <c r="O1238" s="100" t="n">
        <v>563</v>
      </c>
      <c r="P1238" s="100" t="n">
        <v>546</v>
      </c>
      <c r="Q1238" s="100"/>
      <c r="R1238" s="103" t="n">
        <f aca="false">合約與計費!$D$4</f>
        <v>0.296</v>
      </c>
      <c r="S1238" s="104" t="n">
        <f aca="false">ROUND(P1238*R1238,0)</f>
        <v>162</v>
      </c>
      <c r="T1238" s="105"/>
      <c r="U1238" s="100"/>
      <c r="V1238" s="100"/>
      <c r="W1238" s="106"/>
      <c r="X1238" s="100"/>
      <c r="Y1238" s="100"/>
      <c r="Z1238" s="107"/>
      <c r="AA1238" s="108"/>
      <c r="AB1238" s="109"/>
      <c r="AC1238" s="110"/>
      <c r="AD1238" s="42"/>
      <c r="AE1238" s="43"/>
    </row>
    <row r="1239" customFormat="false" ht="16.5" hidden="false" customHeight="true" outlineLevel="0" collapsed="false">
      <c r="A1239" s="97" t="n">
        <f aca="false">ROW(A1236)</f>
        <v>1236</v>
      </c>
      <c r="B1239" s="97" t="s">
        <v>473</v>
      </c>
      <c r="C1239" s="100" t="n">
        <v>1</v>
      </c>
      <c r="D1239" s="85"/>
      <c r="E1239" s="234" t="s">
        <v>3216</v>
      </c>
      <c r="F1239" s="99" t="s">
        <v>3208</v>
      </c>
      <c r="G1239" s="100" t="s">
        <v>2515</v>
      </c>
      <c r="H1239" s="100" t="s">
        <v>3144</v>
      </c>
      <c r="I1239" s="175" t="s">
        <v>361</v>
      </c>
      <c r="J1239" s="98" t="s">
        <v>527</v>
      </c>
      <c r="K1239" s="101" t="s">
        <v>3217</v>
      </c>
      <c r="L1239" s="102" t="n">
        <v>45747</v>
      </c>
      <c r="M1239" s="100" t="n">
        <v>15723</v>
      </c>
      <c r="N1239" s="100" t="n">
        <v>18811</v>
      </c>
      <c r="O1239" s="100" t="n">
        <v>3088</v>
      </c>
      <c r="P1239" s="100" t="n">
        <v>2995</v>
      </c>
      <c r="Q1239" s="100"/>
      <c r="R1239" s="103" t="n">
        <f aca="false">合約與計費!$D$4</f>
        <v>0.296</v>
      </c>
      <c r="S1239" s="104" t="n">
        <f aca="false">ROUND(P1239*R1239,0)</f>
        <v>887</v>
      </c>
      <c r="T1239" s="105"/>
      <c r="U1239" s="100"/>
      <c r="V1239" s="100"/>
      <c r="W1239" s="106"/>
      <c r="X1239" s="100"/>
      <c r="Y1239" s="100"/>
      <c r="Z1239" s="107"/>
      <c r="AA1239" s="108"/>
      <c r="AB1239" s="109"/>
      <c r="AC1239" s="110"/>
      <c r="AD1239" s="42"/>
      <c r="AE1239" s="43"/>
    </row>
    <row r="1240" customFormat="false" ht="16.5" hidden="false" customHeight="true" outlineLevel="0" collapsed="false">
      <c r="A1240" s="111" t="n">
        <f aca="false">ROW(A1237)</f>
        <v>1237</v>
      </c>
      <c r="B1240" s="111" t="s">
        <v>476</v>
      </c>
      <c r="C1240" s="114" t="n">
        <v>1</v>
      </c>
      <c r="D1240" s="85"/>
      <c r="E1240" s="235" t="s">
        <v>3218</v>
      </c>
      <c r="F1240" s="113" t="s">
        <v>3208</v>
      </c>
      <c r="G1240" s="114" t="s">
        <v>2515</v>
      </c>
      <c r="H1240" s="114" t="s">
        <v>3144</v>
      </c>
      <c r="I1240" s="173" t="s">
        <v>361</v>
      </c>
      <c r="J1240" s="98" t="s">
        <v>527</v>
      </c>
      <c r="K1240" s="101" t="s">
        <v>3219</v>
      </c>
      <c r="L1240" s="102" t="n">
        <v>45747</v>
      </c>
      <c r="M1240" s="100" t="n">
        <v>13414</v>
      </c>
      <c r="N1240" s="100" t="n">
        <v>15865</v>
      </c>
      <c r="O1240" s="100" t="n">
        <v>2451</v>
      </c>
      <c r="P1240" s="100" t="n">
        <v>2377</v>
      </c>
      <c r="Q1240" s="100" t="n">
        <f aca="false">ROUND(SUM(P1235:P1240),2)</f>
        <v>7394</v>
      </c>
      <c r="R1240" s="103" t="n">
        <f aca="false">合約與計費!$D$4</f>
        <v>0.296</v>
      </c>
      <c r="S1240" s="104" t="n">
        <f aca="false">ROUND(P1240*R1240,0)</f>
        <v>704</v>
      </c>
      <c r="T1240" s="105" t="n">
        <f aca="false">ROUND(SUM(S1235:S1240),2)</f>
        <v>2190</v>
      </c>
      <c r="U1240" s="100"/>
      <c r="V1240" s="100"/>
      <c r="W1240" s="106"/>
      <c r="X1240" s="100"/>
      <c r="Y1240" s="114" t="n">
        <f aca="false">ROUND(SUM(X1235:X1240),2)</f>
        <v>44</v>
      </c>
      <c r="Z1240" s="121"/>
      <c r="AA1240" s="122"/>
      <c r="AB1240" s="123" t="n">
        <f aca="false">ROUND(SUM(AA1235:AA1240),2)</f>
        <v>123</v>
      </c>
      <c r="AC1240" s="110"/>
      <c r="AD1240" s="42"/>
      <c r="AE1240" s="43"/>
    </row>
    <row r="1241" customFormat="false" ht="16.5" hidden="false" customHeight="true" outlineLevel="0" collapsed="false">
      <c r="A1241" s="84" t="n">
        <f aca="false">ROW(A1238)</f>
        <v>1238</v>
      </c>
      <c r="B1241" s="84" t="s">
        <v>455</v>
      </c>
      <c r="C1241" s="32" t="n">
        <v>1</v>
      </c>
      <c r="D1241" s="85" t="n">
        <v>350</v>
      </c>
      <c r="E1241" s="86" t="s">
        <v>3220</v>
      </c>
      <c r="F1241" s="87" t="s">
        <v>3221</v>
      </c>
      <c r="G1241" s="32" t="s">
        <v>2515</v>
      </c>
      <c r="H1241" s="32" t="s">
        <v>3144</v>
      </c>
      <c r="I1241" s="172" t="s">
        <v>157</v>
      </c>
      <c r="J1241" s="86" t="s">
        <v>460</v>
      </c>
      <c r="K1241" s="88" t="s">
        <v>3222</v>
      </c>
      <c r="L1241" s="89" t="n">
        <v>45771</v>
      </c>
      <c r="M1241" s="32" t="n">
        <v>287</v>
      </c>
      <c r="N1241" s="32" t="n">
        <v>354</v>
      </c>
      <c r="O1241" s="32" t="n">
        <v>67</v>
      </c>
      <c r="P1241" s="32" t="n">
        <v>65</v>
      </c>
      <c r="Q1241" s="32"/>
      <c r="R1241" s="90" t="n">
        <f aca="false">合約與計費!$D$4</f>
        <v>0.296</v>
      </c>
      <c r="S1241" s="91" t="n">
        <f aca="false">ROUND(P1241*R1241,0)</f>
        <v>19</v>
      </c>
      <c r="T1241" s="92"/>
      <c r="U1241" s="32" t="n">
        <v>317</v>
      </c>
      <c r="V1241" s="32" t="n">
        <v>407</v>
      </c>
      <c r="W1241" s="32" t="n">
        <v>90</v>
      </c>
      <c r="X1241" s="32" t="n">
        <v>87</v>
      </c>
      <c r="Y1241" s="32"/>
      <c r="Z1241" s="93" t="n">
        <f aca="false">合約與計費!$E$4</f>
        <v>2.8</v>
      </c>
      <c r="AA1241" s="94" t="n">
        <f aca="false">ROUND(X1241*Z1241,0)</f>
        <v>244</v>
      </c>
      <c r="AB1241" s="95"/>
      <c r="AC1241" s="96"/>
      <c r="AD1241" s="42"/>
      <c r="AE1241" s="43"/>
    </row>
    <row r="1242" customFormat="false" ht="16.5" hidden="false" customHeight="true" outlineLevel="0" collapsed="false">
      <c r="A1242" s="97" t="n">
        <f aca="false">ROW(A1239)</f>
        <v>1239</v>
      </c>
      <c r="B1242" s="97" t="s">
        <v>462</v>
      </c>
      <c r="C1242" s="100" t="n">
        <v>1</v>
      </c>
      <c r="D1242" s="85"/>
      <c r="E1242" s="98" t="s">
        <v>3223</v>
      </c>
      <c r="F1242" s="99" t="s">
        <v>3221</v>
      </c>
      <c r="G1242" s="100" t="s">
        <v>2515</v>
      </c>
      <c r="H1242" s="100" t="s">
        <v>3144</v>
      </c>
      <c r="I1242" s="175" t="s">
        <v>157</v>
      </c>
      <c r="J1242" s="98" t="s">
        <v>464</v>
      </c>
      <c r="K1242" s="101" t="s">
        <v>3224</v>
      </c>
      <c r="L1242" s="102" t="n">
        <v>45771</v>
      </c>
      <c r="M1242" s="100" t="n">
        <v>1084</v>
      </c>
      <c r="N1242" s="100" t="n">
        <v>1270</v>
      </c>
      <c r="O1242" s="100" t="n">
        <v>186</v>
      </c>
      <c r="P1242" s="100" t="n">
        <v>180</v>
      </c>
      <c r="Q1242" s="100"/>
      <c r="R1242" s="103" t="n">
        <f aca="false">合約與計費!$D$4</f>
        <v>0.296</v>
      </c>
      <c r="S1242" s="104" t="n">
        <f aca="false">ROUND(P1242*R1242,0)</f>
        <v>53</v>
      </c>
      <c r="T1242" s="105"/>
      <c r="U1242" s="100"/>
      <c r="V1242" s="100"/>
      <c r="W1242" s="106"/>
      <c r="X1242" s="100"/>
      <c r="Y1242" s="100"/>
      <c r="Z1242" s="107"/>
      <c r="AA1242" s="108"/>
      <c r="AB1242" s="109"/>
      <c r="AC1242" s="110"/>
      <c r="AD1242" s="42" t="n">
        <v>0.0672</v>
      </c>
      <c r="AE1242" s="43" t="n">
        <v>0.3</v>
      </c>
    </row>
    <row r="1243" customFormat="false" ht="16.5" hidden="false" customHeight="true" outlineLevel="0" collapsed="false">
      <c r="A1243" s="97" t="n">
        <f aca="false">ROW(A1240)</f>
        <v>1240</v>
      </c>
      <c r="B1243" s="97" t="s">
        <v>466</v>
      </c>
      <c r="C1243" s="100" t="n">
        <v>1</v>
      </c>
      <c r="D1243" s="85"/>
      <c r="E1243" s="98" t="s">
        <v>3225</v>
      </c>
      <c r="F1243" s="99" t="s">
        <v>3221</v>
      </c>
      <c r="G1243" s="100" t="s">
        <v>2515</v>
      </c>
      <c r="H1243" s="100" t="s">
        <v>3144</v>
      </c>
      <c r="I1243" s="175" t="s">
        <v>157</v>
      </c>
      <c r="J1243" s="98" t="s">
        <v>527</v>
      </c>
      <c r="K1243" s="101" t="s">
        <v>3226</v>
      </c>
      <c r="L1243" s="102" t="n">
        <v>45771</v>
      </c>
      <c r="M1243" s="100" t="n">
        <v>6131</v>
      </c>
      <c r="N1243" s="100" t="n">
        <v>7376</v>
      </c>
      <c r="O1243" s="100" t="n">
        <v>1245</v>
      </c>
      <c r="P1243" s="100" t="n">
        <v>1208</v>
      </c>
      <c r="Q1243" s="100"/>
      <c r="R1243" s="103" t="n">
        <f aca="false">合約與計費!$D$4</f>
        <v>0.296</v>
      </c>
      <c r="S1243" s="104" t="n">
        <f aca="false">ROUND(P1243*R1243,0)</f>
        <v>358</v>
      </c>
      <c r="T1243" s="105"/>
      <c r="U1243" s="100"/>
      <c r="V1243" s="100"/>
      <c r="W1243" s="106"/>
      <c r="X1243" s="100"/>
      <c r="Y1243" s="100"/>
      <c r="Z1243" s="107"/>
      <c r="AA1243" s="108"/>
      <c r="AB1243" s="109"/>
      <c r="AC1243" s="110"/>
      <c r="AD1243" s="42"/>
      <c r="AE1243" s="43"/>
    </row>
    <row r="1244" customFormat="false" ht="16.5" hidden="false" customHeight="true" outlineLevel="0" collapsed="false">
      <c r="A1244" s="111" t="n">
        <f aca="false">ROW(A1241)</f>
        <v>1241</v>
      </c>
      <c r="B1244" s="111" t="s">
        <v>469</v>
      </c>
      <c r="C1244" s="114" t="n">
        <v>1</v>
      </c>
      <c r="D1244" s="85"/>
      <c r="E1244" s="112" t="s">
        <v>3227</v>
      </c>
      <c r="F1244" s="113" t="s">
        <v>3221</v>
      </c>
      <c r="G1244" s="114" t="s">
        <v>2515</v>
      </c>
      <c r="H1244" s="114" t="s">
        <v>3144</v>
      </c>
      <c r="I1244" s="173" t="s">
        <v>157</v>
      </c>
      <c r="J1244" s="112" t="s">
        <v>527</v>
      </c>
      <c r="K1244" s="115" t="s">
        <v>3228</v>
      </c>
      <c r="L1244" s="116" t="n">
        <v>45771</v>
      </c>
      <c r="M1244" s="114" t="n">
        <v>5628</v>
      </c>
      <c r="N1244" s="114" t="n">
        <v>6421</v>
      </c>
      <c r="O1244" s="114" t="n">
        <v>793</v>
      </c>
      <c r="P1244" s="114" t="n">
        <v>769</v>
      </c>
      <c r="Q1244" s="114" t="n">
        <f aca="false">ROUND(SUM(P1241:P1244),2)</f>
        <v>2222</v>
      </c>
      <c r="R1244" s="117" t="n">
        <f aca="false">合約與計費!$D$4</f>
        <v>0.296</v>
      </c>
      <c r="S1244" s="118" t="n">
        <f aca="false">ROUND(P1244*R1244,0)</f>
        <v>228</v>
      </c>
      <c r="T1244" s="105" t="n">
        <f aca="false">ROUND(SUM(S1241:S1244),2)</f>
        <v>658</v>
      </c>
      <c r="U1244" s="114"/>
      <c r="V1244" s="114"/>
      <c r="W1244" s="120"/>
      <c r="X1244" s="114"/>
      <c r="Y1244" s="114" t="n">
        <f aca="false">ROUND(SUM(X1241:X1244),2)</f>
        <v>87</v>
      </c>
      <c r="Z1244" s="121"/>
      <c r="AA1244" s="122"/>
      <c r="AB1244" s="123" t="n">
        <f aca="false">ROUND(SUM(AA1241:AA1244),2)</f>
        <v>244</v>
      </c>
      <c r="AC1244" s="124"/>
      <c r="AD1244" s="42"/>
      <c r="AE1244" s="43"/>
    </row>
    <row r="1245" customFormat="false" ht="16.5" hidden="false" customHeight="true" outlineLevel="0" collapsed="false">
      <c r="A1245" s="84" t="n">
        <f aca="false">ROW(A1242)</f>
        <v>1242</v>
      </c>
      <c r="B1245" s="84" t="s">
        <v>455</v>
      </c>
      <c r="C1245" s="32" t="n">
        <v>1</v>
      </c>
      <c r="D1245" s="85" t="n">
        <v>355</v>
      </c>
      <c r="E1245" s="86" t="s">
        <v>3229</v>
      </c>
      <c r="F1245" s="87" t="s">
        <v>3230</v>
      </c>
      <c r="G1245" s="32" t="s">
        <v>2515</v>
      </c>
      <c r="H1245" s="32" t="s">
        <v>3144</v>
      </c>
      <c r="I1245" s="172" t="s">
        <v>230</v>
      </c>
      <c r="J1245" s="86" t="s">
        <v>460</v>
      </c>
      <c r="K1245" s="88" t="s">
        <v>3231</v>
      </c>
      <c r="L1245" s="89" t="n">
        <v>45777</v>
      </c>
      <c r="M1245" s="32" t="n">
        <v>11</v>
      </c>
      <c r="N1245" s="32" t="n">
        <v>14</v>
      </c>
      <c r="O1245" s="32" t="n">
        <v>3</v>
      </c>
      <c r="P1245" s="32" t="n">
        <v>3</v>
      </c>
      <c r="Q1245" s="32"/>
      <c r="R1245" s="90" t="n">
        <f aca="false">合約與計費!$D$4</f>
        <v>0.296</v>
      </c>
      <c r="S1245" s="91" t="n">
        <f aca="false">ROUND(P1245*R1245,0)</f>
        <v>1</v>
      </c>
      <c r="T1245" s="92"/>
      <c r="U1245" s="32" t="n">
        <v>55</v>
      </c>
      <c r="V1245" s="32" t="n">
        <v>121</v>
      </c>
      <c r="W1245" s="32" t="n">
        <v>66</v>
      </c>
      <c r="X1245" s="32" t="n">
        <v>64</v>
      </c>
      <c r="Y1245" s="32"/>
      <c r="Z1245" s="93" t="n">
        <f aca="false">合約與計費!$E$4</f>
        <v>2.8</v>
      </c>
      <c r="AA1245" s="94" t="n">
        <f aca="false">ROUND(X1245*Z1245,0)</f>
        <v>179</v>
      </c>
      <c r="AB1245" s="95"/>
      <c r="AC1245" s="96"/>
      <c r="AD1245" s="42"/>
      <c r="AE1245" s="43"/>
    </row>
    <row r="1246" customFormat="false" ht="16.5" hidden="false" customHeight="true" outlineLevel="0" collapsed="false">
      <c r="A1246" s="97" t="n">
        <f aca="false">ROW(A1243)</f>
        <v>1243</v>
      </c>
      <c r="B1246" s="97" t="s">
        <v>462</v>
      </c>
      <c r="C1246" s="100" t="n">
        <v>1</v>
      </c>
      <c r="D1246" s="85"/>
      <c r="E1246" s="98" t="s">
        <v>3232</v>
      </c>
      <c r="F1246" s="99" t="s">
        <v>3230</v>
      </c>
      <c r="G1246" s="100" t="s">
        <v>2515</v>
      </c>
      <c r="H1246" s="100" t="s">
        <v>3144</v>
      </c>
      <c r="I1246" s="175" t="s">
        <v>230</v>
      </c>
      <c r="J1246" s="98" t="s">
        <v>464</v>
      </c>
      <c r="K1246" s="101" t="s">
        <v>3233</v>
      </c>
      <c r="L1246" s="102" t="n">
        <v>45777</v>
      </c>
      <c r="M1246" s="100" t="n">
        <v>1266</v>
      </c>
      <c r="N1246" s="100" t="n">
        <v>1546</v>
      </c>
      <c r="O1246" s="100" t="n">
        <v>280</v>
      </c>
      <c r="P1246" s="100" t="n">
        <v>272</v>
      </c>
      <c r="Q1246" s="100"/>
      <c r="R1246" s="103" t="n">
        <f aca="false">合約與計費!$D$4</f>
        <v>0.296</v>
      </c>
      <c r="S1246" s="104" t="n">
        <f aca="false">ROUND(P1246*R1246,0)</f>
        <v>81</v>
      </c>
      <c r="T1246" s="105"/>
      <c r="U1246" s="100"/>
      <c r="V1246" s="100"/>
      <c r="W1246" s="106"/>
      <c r="X1246" s="100"/>
      <c r="Y1246" s="100"/>
      <c r="Z1246" s="107"/>
      <c r="AA1246" s="108"/>
      <c r="AB1246" s="109"/>
      <c r="AC1246" s="110"/>
      <c r="AD1246" s="42" t="n">
        <v>0.0635</v>
      </c>
      <c r="AE1246" s="43" t="n">
        <v>0.2</v>
      </c>
    </row>
    <row r="1247" customFormat="false" ht="16.5" hidden="false" customHeight="true" outlineLevel="0" collapsed="false">
      <c r="A1247" s="97" t="n">
        <f aca="false">ROW(A1244)</f>
        <v>1244</v>
      </c>
      <c r="B1247" s="97" t="s">
        <v>466</v>
      </c>
      <c r="C1247" s="100" t="n">
        <v>1</v>
      </c>
      <c r="D1247" s="85"/>
      <c r="E1247" s="98" t="s">
        <v>3234</v>
      </c>
      <c r="F1247" s="99" t="s">
        <v>3230</v>
      </c>
      <c r="G1247" s="100" t="s">
        <v>2515</v>
      </c>
      <c r="H1247" s="100" t="s">
        <v>3144</v>
      </c>
      <c r="I1247" s="175" t="s">
        <v>230</v>
      </c>
      <c r="J1247" s="98" t="s">
        <v>527</v>
      </c>
      <c r="K1247" s="101" t="s">
        <v>3235</v>
      </c>
      <c r="L1247" s="102" t="n">
        <v>45777</v>
      </c>
      <c r="M1247" s="100" t="n">
        <v>8800</v>
      </c>
      <c r="N1247" s="100" t="n">
        <v>11091</v>
      </c>
      <c r="O1247" s="100" t="n">
        <v>2291</v>
      </c>
      <c r="P1247" s="100" t="n">
        <v>2222</v>
      </c>
      <c r="Q1247" s="100"/>
      <c r="R1247" s="103" t="n">
        <f aca="false">合約與計費!$D$4</f>
        <v>0.296</v>
      </c>
      <c r="S1247" s="104" t="n">
        <f aca="false">ROUND(P1247*R1247,0)</f>
        <v>658</v>
      </c>
      <c r="T1247" s="105"/>
      <c r="U1247" s="100"/>
      <c r="V1247" s="100"/>
      <c r="W1247" s="106"/>
      <c r="X1247" s="100"/>
      <c r="Y1247" s="100"/>
      <c r="Z1247" s="107"/>
      <c r="AA1247" s="108"/>
      <c r="AB1247" s="109"/>
      <c r="AC1247" s="110"/>
      <c r="AD1247" s="42"/>
      <c r="AE1247" s="43"/>
    </row>
    <row r="1248" customFormat="false" ht="16.5" hidden="false" customHeight="true" outlineLevel="0" collapsed="false">
      <c r="A1248" s="97" t="n">
        <f aca="false">ROW(A1245)</f>
        <v>1245</v>
      </c>
      <c r="B1248" s="97" t="s">
        <v>469</v>
      </c>
      <c r="C1248" s="100" t="n">
        <v>1</v>
      </c>
      <c r="D1248" s="85"/>
      <c r="E1248" s="98" t="s">
        <v>3236</v>
      </c>
      <c r="F1248" s="99" t="s">
        <v>3230</v>
      </c>
      <c r="G1248" s="100" t="s">
        <v>2515</v>
      </c>
      <c r="H1248" s="100" t="s">
        <v>3144</v>
      </c>
      <c r="I1248" s="175" t="s">
        <v>230</v>
      </c>
      <c r="J1248" s="98" t="s">
        <v>527</v>
      </c>
      <c r="K1248" s="101" t="s">
        <v>3237</v>
      </c>
      <c r="L1248" s="102" t="n">
        <v>45777</v>
      </c>
      <c r="M1248" s="100" t="n">
        <v>3476</v>
      </c>
      <c r="N1248" s="100" t="n">
        <v>3984</v>
      </c>
      <c r="O1248" s="100" t="n">
        <v>508</v>
      </c>
      <c r="P1248" s="100" t="n">
        <v>493</v>
      </c>
      <c r="Q1248" s="100"/>
      <c r="R1248" s="103" t="n">
        <f aca="false">合約與計費!$D$4</f>
        <v>0.296</v>
      </c>
      <c r="S1248" s="104" t="n">
        <f aca="false">ROUND(P1248*R1248,0)</f>
        <v>146</v>
      </c>
      <c r="T1248" s="105"/>
      <c r="U1248" s="100"/>
      <c r="V1248" s="100"/>
      <c r="W1248" s="106"/>
      <c r="X1248" s="100"/>
      <c r="Y1248" s="100"/>
      <c r="Z1248" s="107"/>
      <c r="AA1248" s="108"/>
      <c r="AB1248" s="109"/>
      <c r="AC1248" s="110"/>
      <c r="AD1248" s="42"/>
      <c r="AE1248" s="43"/>
    </row>
    <row r="1249" customFormat="false" ht="16.5" hidden="false" customHeight="true" outlineLevel="0" collapsed="false">
      <c r="A1249" s="111" t="n">
        <f aca="false">ROW(A1246)</f>
        <v>1246</v>
      </c>
      <c r="B1249" s="111" t="s">
        <v>473</v>
      </c>
      <c r="C1249" s="114" t="n">
        <v>1</v>
      </c>
      <c r="D1249" s="85"/>
      <c r="E1249" s="112" t="s">
        <v>3238</v>
      </c>
      <c r="F1249" s="113" t="s">
        <v>3230</v>
      </c>
      <c r="G1249" s="114" t="s">
        <v>2515</v>
      </c>
      <c r="H1249" s="114" t="s">
        <v>3144</v>
      </c>
      <c r="I1249" s="173" t="s">
        <v>230</v>
      </c>
      <c r="J1249" s="98" t="s">
        <v>527</v>
      </c>
      <c r="K1249" s="101" t="s">
        <v>3239</v>
      </c>
      <c r="L1249" s="102" t="n">
        <v>45777</v>
      </c>
      <c r="M1249" s="100" t="n">
        <v>6211</v>
      </c>
      <c r="N1249" s="100" t="n">
        <v>7723</v>
      </c>
      <c r="O1249" s="100" t="n">
        <v>1512</v>
      </c>
      <c r="P1249" s="100" t="n">
        <v>1467</v>
      </c>
      <c r="Q1249" s="100" t="n">
        <f aca="false">ROUND(SUM(P1245:P1249),2)</f>
        <v>4457</v>
      </c>
      <c r="R1249" s="103" t="n">
        <f aca="false">合約與計費!$D$4</f>
        <v>0.296</v>
      </c>
      <c r="S1249" s="104" t="n">
        <f aca="false">ROUND(P1249*R1249,0)</f>
        <v>434</v>
      </c>
      <c r="T1249" s="105" t="n">
        <f aca="false">ROUND(SUM(S1245:S1249),2)</f>
        <v>1320</v>
      </c>
      <c r="U1249" s="100"/>
      <c r="V1249" s="100"/>
      <c r="W1249" s="106"/>
      <c r="X1249" s="100"/>
      <c r="Y1249" s="100" t="n">
        <f aca="false">ROUND(SUM(X1245:X1249),2)</f>
        <v>64</v>
      </c>
      <c r="Z1249" s="107"/>
      <c r="AA1249" s="108"/>
      <c r="AB1249" s="109" t="n">
        <f aca="false">ROUND(SUM(AA1245:AA1249),2)</f>
        <v>179</v>
      </c>
      <c r="AC1249" s="110"/>
      <c r="AD1249" s="42"/>
      <c r="AE1249" s="43"/>
    </row>
    <row r="1250" customFormat="false" ht="16.5" hidden="false" customHeight="true" outlineLevel="0" collapsed="false">
      <c r="A1250" s="84" t="n">
        <f aca="false">ROW(A1247)</f>
        <v>1247</v>
      </c>
      <c r="B1250" s="84" t="s">
        <v>455</v>
      </c>
      <c r="C1250" s="32" t="n">
        <v>1</v>
      </c>
      <c r="D1250" s="85" t="n">
        <v>375</v>
      </c>
      <c r="E1250" s="86" t="s">
        <v>3240</v>
      </c>
      <c r="F1250" s="87" t="s">
        <v>3241</v>
      </c>
      <c r="G1250" s="32" t="s">
        <v>2515</v>
      </c>
      <c r="H1250" s="32" t="s">
        <v>3144</v>
      </c>
      <c r="I1250" s="172" t="s">
        <v>152</v>
      </c>
      <c r="J1250" s="86" t="s">
        <v>460</v>
      </c>
      <c r="K1250" s="88" t="s">
        <v>3242</v>
      </c>
      <c r="L1250" s="89" t="n">
        <v>45769</v>
      </c>
      <c r="M1250" s="32" t="n">
        <v>473</v>
      </c>
      <c r="N1250" s="32" t="n">
        <v>496</v>
      </c>
      <c r="O1250" s="32" t="n">
        <v>23</v>
      </c>
      <c r="P1250" s="32" t="n">
        <v>22</v>
      </c>
      <c r="Q1250" s="32"/>
      <c r="R1250" s="90" t="n">
        <f aca="false">合約與計費!$D$4</f>
        <v>0.296</v>
      </c>
      <c r="S1250" s="91" t="n">
        <f aca="false">ROUND(P1250*R1250,0)</f>
        <v>7</v>
      </c>
      <c r="T1250" s="92"/>
      <c r="U1250" s="32" t="n">
        <v>256</v>
      </c>
      <c r="V1250" s="32" t="n">
        <v>283</v>
      </c>
      <c r="W1250" s="32" t="n">
        <v>27</v>
      </c>
      <c r="X1250" s="32" t="n">
        <v>26</v>
      </c>
      <c r="Y1250" s="32"/>
      <c r="Z1250" s="93" t="n">
        <f aca="false">合約與計費!$E$4</f>
        <v>2.8</v>
      </c>
      <c r="AA1250" s="94" t="n">
        <f aca="false">ROUND(X1250*Z1250,0)</f>
        <v>73</v>
      </c>
      <c r="AB1250" s="95"/>
      <c r="AC1250" s="96"/>
      <c r="AD1250" s="42"/>
      <c r="AE1250" s="43"/>
    </row>
    <row r="1251" customFormat="false" ht="16.5" hidden="false" customHeight="true" outlineLevel="0" collapsed="false">
      <c r="A1251" s="97" t="n">
        <f aca="false">ROW(A1248)</f>
        <v>1248</v>
      </c>
      <c r="B1251" s="97" t="s">
        <v>462</v>
      </c>
      <c r="C1251" s="100" t="n">
        <v>1</v>
      </c>
      <c r="D1251" s="85"/>
      <c r="E1251" s="98" t="s">
        <v>3243</v>
      </c>
      <c r="F1251" s="99" t="s">
        <v>3241</v>
      </c>
      <c r="G1251" s="100" t="s">
        <v>2515</v>
      </c>
      <c r="H1251" s="100" t="s">
        <v>3144</v>
      </c>
      <c r="I1251" s="175" t="s">
        <v>152</v>
      </c>
      <c r="J1251" s="98" t="s">
        <v>464</v>
      </c>
      <c r="K1251" s="101" t="s">
        <v>3244</v>
      </c>
      <c r="L1251" s="102" t="n">
        <v>45769</v>
      </c>
      <c r="M1251" s="100" t="n">
        <v>359</v>
      </c>
      <c r="N1251" s="100" t="n">
        <v>456</v>
      </c>
      <c r="O1251" s="100" t="n">
        <v>97</v>
      </c>
      <c r="P1251" s="100" t="n">
        <v>94</v>
      </c>
      <c r="Q1251" s="100"/>
      <c r="R1251" s="103" t="n">
        <f aca="false">合約與計費!$D$4</f>
        <v>0.296</v>
      </c>
      <c r="S1251" s="104" t="n">
        <f aca="false">ROUND(P1251*R1251,0)</f>
        <v>28</v>
      </c>
      <c r="T1251" s="105"/>
      <c r="U1251" s="100"/>
      <c r="V1251" s="100"/>
      <c r="W1251" s="106"/>
      <c r="X1251" s="100"/>
      <c r="Y1251" s="100"/>
      <c r="Z1251" s="107"/>
      <c r="AA1251" s="108"/>
      <c r="AB1251" s="109"/>
      <c r="AC1251" s="110"/>
      <c r="AD1251" s="42" t="n">
        <v>0.0685</v>
      </c>
      <c r="AE1251" s="43" t="n">
        <v>0.8</v>
      </c>
    </row>
    <row r="1252" customFormat="false" ht="16.5" hidden="false" customHeight="true" outlineLevel="0" collapsed="false">
      <c r="A1252" s="97" t="n">
        <f aca="false">ROW(A1249)</f>
        <v>1249</v>
      </c>
      <c r="B1252" s="97" t="s">
        <v>466</v>
      </c>
      <c r="C1252" s="100" t="n">
        <v>1</v>
      </c>
      <c r="D1252" s="85"/>
      <c r="E1252" s="98" t="s">
        <v>3245</v>
      </c>
      <c r="F1252" s="99" t="s">
        <v>3241</v>
      </c>
      <c r="G1252" s="100" t="s">
        <v>2515</v>
      </c>
      <c r="H1252" s="100" t="s">
        <v>3144</v>
      </c>
      <c r="I1252" s="175" t="s">
        <v>152</v>
      </c>
      <c r="J1252" s="98" t="s">
        <v>527</v>
      </c>
      <c r="K1252" s="101" t="s">
        <v>3246</v>
      </c>
      <c r="L1252" s="102" t="n">
        <v>45769</v>
      </c>
      <c r="M1252" s="100" t="n">
        <v>3953</v>
      </c>
      <c r="N1252" s="100" t="n">
        <v>4421</v>
      </c>
      <c r="O1252" s="100" t="n">
        <v>468</v>
      </c>
      <c r="P1252" s="100" t="n">
        <v>454</v>
      </c>
      <c r="Q1252" s="100"/>
      <c r="R1252" s="103" t="n">
        <f aca="false">合約與計費!$D$4</f>
        <v>0.296</v>
      </c>
      <c r="S1252" s="104" t="n">
        <f aca="false">ROUND(P1252*R1252,0)</f>
        <v>134</v>
      </c>
      <c r="T1252" s="105"/>
      <c r="U1252" s="100"/>
      <c r="V1252" s="100"/>
      <c r="W1252" s="106"/>
      <c r="X1252" s="100"/>
      <c r="Y1252" s="100"/>
      <c r="Z1252" s="107"/>
      <c r="AA1252" s="108"/>
      <c r="AB1252" s="109"/>
      <c r="AC1252" s="110"/>
      <c r="AD1252" s="42"/>
      <c r="AE1252" s="43"/>
    </row>
    <row r="1253" customFormat="false" ht="16.5" hidden="false" customHeight="true" outlineLevel="0" collapsed="false">
      <c r="A1253" s="97" t="n">
        <f aca="false">ROW(A1250)</f>
        <v>1250</v>
      </c>
      <c r="B1253" s="97" t="s">
        <v>469</v>
      </c>
      <c r="C1253" s="100" t="n">
        <v>1</v>
      </c>
      <c r="D1253" s="85"/>
      <c r="E1253" s="98" t="s">
        <v>3247</v>
      </c>
      <c r="F1253" s="99" t="s">
        <v>3241</v>
      </c>
      <c r="G1253" s="100" t="s">
        <v>2515</v>
      </c>
      <c r="H1253" s="100" t="s">
        <v>3144</v>
      </c>
      <c r="I1253" s="175" t="s">
        <v>152</v>
      </c>
      <c r="J1253" s="98" t="s">
        <v>527</v>
      </c>
      <c r="K1253" s="101" t="s">
        <v>3248</v>
      </c>
      <c r="L1253" s="102" t="n">
        <v>45769</v>
      </c>
      <c r="M1253" s="100" t="n">
        <v>8260</v>
      </c>
      <c r="N1253" s="100" t="n">
        <v>10698</v>
      </c>
      <c r="O1253" s="100" t="n">
        <v>2438</v>
      </c>
      <c r="P1253" s="100" t="n">
        <v>2365</v>
      </c>
      <c r="Q1253" s="100"/>
      <c r="R1253" s="103" t="n">
        <f aca="false">合約與計費!$D$4</f>
        <v>0.296</v>
      </c>
      <c r="S1253" s="104" t="n">
        <f aca="false">ROUND(P1253*R1253,0)</f>
        <v>700</v>
      </c>
      <c r="T1253" s="105"/>
      <c r="U1253" s="100"/>
      <c r="V1253" s="100"/>
      <c r="W1253" s="106"/>
      <c r="X1253" s="100"/>
      <c r="Y1253" s="100"/>
      <c r="Z1253" s="107"/>
      <c r="AA1253" s="108"/>
      <c r="AB1253" s="109"/>
      <c r="AC1253" s="110"/>
      <c r="AD1253" s="42"/>
      <c r="AE1253" s="43"/>
    </row>
    <row r="1254" customFormat="false" ht="16.5" hidden="false" customHeight="true" outlineLevel="0" collapsed="false">
      <c r="A1254" s="111" t="n">
        <f aca="false">ROW(A1251)</f>
        <v>1251</v>
      </c>
      <c r="B1254" s="111" t="s">
        <v>473</v>
      </c>
      <c r="C1254" s="114" t="n">
        <v>1</v>
      </c>
      <c r="D1254" s="85"/>
      <c r="E1254" s="112" t="s">
        <v>3249</v>
      </c>
      <c r="F1254" s="113" t="s">
        <v>3241</v>
      </c>
      <c r="G1254" s="114" t="s">
        <v>2515</v>
      </c>
      <c r="H1254" s="114" t="s">
        <v>3144</v>
      </c>
      <c r="I1254" s="173" t="s">
        <v>152</v>
      </c>
      <c r="J1254" s="98" t="s">
        <v>527</v>
      </c>
      <c r="K1254" s="101" t="s">
        <v>3250</v>
      </c>
      <c r="L1254" s="102" t="n">
        <v>45769</v>
      </c>
      <c r="M1254" s="100" t="n">
        <v>3791</v>
      </c>
      <c r="N1254" s="100" t="n">
        <v>4417</v>
      </c>
      <c r="O1254" s="100" t="n">
        <v>626</v>
      </c>
      <c r="P1254" s="100" t="n">
        <v>607</v>
      </c>
      <c r="Q1254" s="100" t="n">
        <f aca="false">ROUND(SUM(P1250:P1254),2)</f>
        <v>3542</v>
      </c>
      <c r="R1254" s="103" t="n">
        <f aca="false">合約與計費!$D$4</f>
        <v>0.296</v>
      </c>
      <c r="S1254" s="104" t="n">
        <f aca="false">ROUND(P1254*R1254,0)</f>
        <v>180</v>
      </c>
      <c r="T1254" s="105" t="n">
        <f aca="false">ROUND(SUM(S1250:S1254),2)</f>
        <v>1049</v>
      </c>
      <c r="U1254" s="100"/>
      <c r="V1254" s="100"/>
      <c r="W1254" s="106"/>
      <c r="X1254" s="100"/>
      <c r="Y1254" s="100" t="n">
        <f aca="false">ROUND(SUM(X1250:X1254),2)</f>
        <v>26</v>
      </c>
      <c r="Z1254" s="107"/>
      <c r="AA1254" s="108"/>
      <c r="AB1254" s="109" t="n">
        <f aca="false">ROUND(SUM(AA1250:AA1254),2)</f>
        <v>73</v>
      </c>
      <c r="AC1254" s="110"/>
      <c r="AD1254" s="42"/>
      <c r="AE1254" s="43"/>
    </row>
    <row r="1255" customFormat="false" ht="16.5" hidden="false" customHeight="true" outlineLevel="0" collapsed="false">
      <c r="A1255" s="84" t="n">
        <f aca="false">ROW(A1252)</f>
        <v>1252</v>
      </c>
      <c r="B1255" s="84" t="s">
        <v>455</v>
      </c>
      <c r="C1255" s="32" t="n">
        <v>1</v>
      </c>
      <c r="D1255" s="85" t="n">
        <v>410</v>
      </c>
      <c r="E1255" s="86" t="s">
        <v>3251</v>
      </c>
      <c r="F1255" s="87" t="s">
        <v>3252</v>
      </c>
      <c r="G1255" s="32" t="s">
        <v>2515</v>
      </c>
      <c r="H1255" s="32" t="s">
        <v>3144</v>
      </c>
      <c r="I1255" s="172" t="s">
        <v>261</v>
      </c>
      <c r="J1255" s="86" t="s">
        <v>460</v>
      </c>
      <c r="K1255" s="88" t="s">
        <v>3253</v>
      </c>
      <c r="L1255" s="89" t="n">
        <v>45741</v>
      </c>
      <c r="M1255" s="32" t="n">
        <v>771</v>
      </c>
      <c r="N1255" s="32" t="n">
        <v>804</v>
      </c>
      <c r="O1255" s="32" t="n">
        <v>33</v>
      </c>
      <c r="P1255" s="32" t="n">
        <v>32</v>
      </c>
      <c r="Q1255" s="32"/>
      <c r="R1255" s="90" t="n">
        <f aca="false">合約與計費!$D$4</f>
        <v>0.296</v>
      </c>
      <c r="S1255" s="91" t="n">
        <f aca="false">ROUND(P1255*R1255,0)</f>
        <v>9</v>
      </c>
      <c r="T1255" s="92"/>
      <c r="U1255" s="32" t="n">
        <v>1751</v>
      </c>
      <c r="V1255" s="32" t="n">
        <v>2143</v>
      </c>
      <c r="W1255" s="32" t="n">
        <v>392</v>
      </c>
      <c r="X1255" s="32" t="n">
        <v>380</v>
      </c>
      <c r="Y1255" s="32"/>
      <c r="Z1255" s="93" t="n">
        <f aca="false">合約與計費!$E$4</f>
        <v>2.8</v>
      </c>
      <c r="AA1255" s="94" t="n">
        <f aca="false">ROUND(X1255*Z1255,0)</f>
        <v>1064</v>
      </c>
      <c r="AB1255" s="95"/>
      <c r="AC1255" s="96"/>
      <c r="AD1255" s="42"/>
      <c r="AE1255" s="43"/>
    </row>
    <row r="1256" customFormat="false" ht="16.5" hidden="false" customHeight="true" outlineLevel="0" collapsed="false">
      <c r="A1256" s="97" t="n">
        <f aca="false">ROW(A1253)</f>
        <v>1253</v>
      </c>
      <c r="B1256" s="97" t="s">
        <v>462</v>
      </c>
      <c r="C1256" s="100" t="n">
        <v>1</v>
      </c>
      <c r="D1256" s="85"/>
      <c r="E1256" s="98" t="s">
        <v>3254</v>
      </c>
      <c r="F1256" s="99" t="s">
        <v>3252</v>
      </c>
      <c r="G1256" s="100" t="s">
        <v>2515</v>
      </c>
      <c r="H1256" s="100" t="s">
        <v>3144</v>
      </c>
      <c r="I1256" s="175" t="s">
        <v>261</v>
      </c>
      <c r="J1256" s="98" t="s">
        <v>464</v>
      </c>
      <c r="K1256" s="101" t="s">
        <v>3255</v>
      </c>
      <c r="L1256" s="102" t="n">
        <v>45741</v>
      </c>
      <c r="M1256" s="100" t="n">
        <v>4845</v>
      </c>
      <c r="N1256" s="100" t="n">
        <v>5729</v>
      </c>
      <c r="O1256" s="100" t="n">
        <v>884</v>
      </c>
      <c r="P1256" s="100" t="n">
        <v>857</v>
      </c>
      <c r="Q1256" s="100"/>
      <c r="R1256" s="103" t="n">
        <f aca="false">合約與計費!$D$4</f>
        <v>0.296</v>
      </c>
      <c r="S1256" s="104" t="n">
        <f aca="false">ROUND(P1256*R1256,0)</f>
        <v>254</v>
      </c>
      <c r="T1256" s="105"/>
      <c r="U1256" s="100"/>
      <c r="V1256" s="100"/>
      <c r="W1256" s="106"/>
      <c r="X1256" s="100"/>
      <c r="Y1256" s="100"/>
      <c r="Z1256" s="107"/>
      <c r="AA1256" s="108"/>
      <c r="AB1256" s="109"/>
      <c r="AC1256" s="110"/>
      <c r="AD1256" s="42" t="n">
        <v>0.0528</v>
      </c>
      <c r="AE1256" s="43" t="n">
        <v>0.8</v>
      </c>
    </row>
    <row r="1257" customFormat="false" ht="16.5" hidden="false" customHeight="true" outlineLevel="0" collapsed="false">
      <c r="A1257" s="97" t="n">
        <f aca="false">ROW(A1254)</f>
        <v>1254</v>
      </c>
      <c r="B1257" s="97" t="s">
        <v>466</v>
      </c>
      <c r="C1257" s="100" t="n">
        <v>1</v>
      </c>
      <c r="D1257" s="85"/>
      <c r="E1257" s="98" t="s">
        <v>3256</v>
      </c>
      <c r="F1257" s="99" t="s">
        <v>3252</v>
      </c>
      <c r="G1257" s="100" t="s">
        <v>2515</v>
      </c>
      <c r="H1257" s="100" t="s">
        <v>3144</v>
      </c>
      <c r="I1257" s="175" t="s">
        <v>261</v>
      </c>
      <c r="J1257" s="98" t="s">
        <v>527</v>
      </c>
      <c r="K1257" s="101" t="s">
        <v>3257</v>
      </c>
      <c r="L1257" s="102" t="n">
        <v>45741</v>
      </c>
      <c r="M1257" s="100" t="n">
        <v>6087</v>
      </c>
      <c r="N1257" s="100" t="n">
        <v>7975</v>
      </c>
      <c r="O1257" s="100" t="n">
        <v>1888</v>
      </c>
      <c r="P1257" s="100" t="n">
        <v>1831</v>
      </c>
      <c r="Q1257" s="100"/>
      <c r="R1257" s="103" t="n">
        <f aca="false">合約與計費!$D$4</f>
        <v>0.296</v>
      </c>
      <c r="S1257" s="104" t="n">
        <f aca="false">ROUND(P1257*R1257,0)</f>
        <v>542</v>
      </c>
      <c r="T1257" s="105"/>
      <c r="U1257" s="100"/>
      <c r="V1257" s="100"/>
      <c r="W1257" s="106"/>
      <c r="X1257" s="100"/>
      <c r="Y1257" s="100"/>
      <c r="Z1257" s="107"/>
      <c r="AA1257" s="108"/>
      <c r="AB1257" s="109"/>
      <c r="AC1257" s="110"/>
      <c r="AD1257" s="42"/>
      <c r="AE1257" s="43"/>
    </row>
    <row r="1258" customFormat="false" ht="16.5" hidden="false" customHeight="true" outlineLevel="0" collapsed="false">
      <c r="A1258" s="97" t="n">
        <f aca="false">ROW(A1255)</f>
        <v>1255</v>
      </c>
      <c r="B1258" s="97" t="s">
        <v>469</v>
      </c>
      <c r="C1258" s="100" t="n">
        <v>1</v>
      </c>
      <c r="D1258" s="85"/>
      <c r="E1258" s="98" t="s">
        <v>3258</v>
      </c>
      <c r="F1258" s="99" t="s">
        <v>3252</v>
      </c>
      <c r="G1258" s="100" t="s">
        <v>2515</v>
      </c>
      <c r="H1258" s="100" t="s">
        <v>3144</v>
      </c>
      <c r="I1258" s="175" t="s">
        <v>261</v>
      </c>
      <c r="J1258" s="98" t="s">
        <v>527</v>
      </c>
      <c r="K1258" s="101" t="s">
        <v>3259</v>
      </c>
      <c r="L1258" s="102" t="n">
        <v>45741</v>
      </c>
      <c r="M1258" s="100" t="n">
        <v>2437</v>
      </c>
      <c r="N1258" s="100" t="n">
        <v>2869</v>
      </c>
      <c r="O1258" s="100" t="n">
        <v>432</v>
      </c>
      <c r="P1258" s="100" t="n">
        <v>419</v>
      </c>
      <c r="Q1258" s="100"/>
      <c r="R1258" s="103" t="n">
        <f aca="false">合約與計費!$D$4</f>
        <v>0.296</v>
      </c>
      <c r="S1258" s="104" t="n">
        <f aca="false">ROUND(P1258*R1258,0)</f>
        <v>124</v>
      </c>
      <c r="T1258" s="105"/>
      <c r="U1258" s="100"/>
      <c r="V1258" s="100"/>
      <c r="W1258" s="106"/>
      <c r="X1258" s="100"/>
      <c r="Y1258" s="100"/>
      <c r="Z1258" s="107"/>
      <c r="AA1258" s="108"/>
      <c r="AB1258" s="109"/>
      <c r="AC1258" s="110"/>
      <c r="AD1258" s="42"/>
      <c r="AE1258" s="43"/>
    </row>
    <row r="1259" customFormat="false" ht="16.5" hidden="false" customHeight="true" outlineLevel="0" collapsed="false">
      <c r="A1259" s="97" t="n">
        <f aca="false">ROW(A1256)</f>
        <v>1256</v>
      </c>
      <c r="B1259" s="97" t="s">
        <v>473</v>
      </c>
      <c r="C1259" s="100" t="n">
        <v>1</v>
      </c>
      <c r="D1259" s="85"/>
      <c r="E1259" s="98" t="s">
        <v>3260</v>
      </c>
      <c r="F1259" s="99" t="s">
        <v>3252</v>
      </c>
      <c r="G1259" s="100" t="s">
        <v>2515</v>
      </c>
      <c r="H1259" s="100" t="s">
        <v>3144</v>
      </c>
      <c r="I1259" s="175" t="s">
        <v>261</v>
      </c>
      <c r="J1259" s="98" t="s">
        <v>527</v>
      </c>
      <c r="K1259" s="101" t="s">
        <v>3261</v>
      </c>
      <c r="L1259" s="102" t="n">
        <v>45741</v>
      </c>
      <c r="M1259" s="100" t="n">
        <v>3590</v>
      </c>
      <c r="N1259" s="100" t="n">
        <v>4327</v>
      </c>
      <c r="O1259" s="100" t="n">
        <v>737</v>
      </c>
      <c r="P1259" s="100" t="n">
        <v>715</v>
      </c>
      <c r="Q1259" s="100"/>
      <c r="R1259" s="103" t="n">
        <f aca="false">合約與計費!$D$4</f>
        <v>0.296</v>
      </c>
      <c r="S1259" s="104" t="n">
        <f aca="false">ROUND(P1259*R1259,0)</f>
        <v>212</v>
      </c>
      <c r="T1259" s="105"/>
      <c r="U1259" s="100"/>
      <c r="V1259" s="100"/>
      <c r="W1259" s="106"/>
      <c r="X1259" s="100"/>
      <c r="Y1259" s="100"/>
      <c r="Z1259" s="107"/>
      <c r="AA1259" s="108"/>
      <c r="AB1259" s="109"/>
      <c r="AC1259" s="110"/>
      <c r="AD1259" s="42"/>
      <c r="AE1259" s="43"/>
    </row>
    <row r="1260" customFormat="false" ht="16.5" hidden="false" customHeight="true" outlineLevel="0" collapsed="false">
      <c r="A1260" s="97" t="n">
        <f aca="false">ROW(A1257)</f>
        <v>1257</v>
      </c>
      <c r="B1260" s="97" t="s">
        <v>476</v>
      </c>
      <c r="C1260" s="100" t="n">
        <v>1</v>
      </c>
      <c r="D1260" s="85"/>
      <c r="E1260" s="98" t="s">
        <v>3262</v>
      </c>
      <c r="F1260" s="99" t="s">
        <v>3252</v>
      </c>
      <c r="G1260" s="100" t="s">
        <v>2515</v>
      </c>
      <c r="H1260" s="100" t="s">
        <v>3144</v>
      </c>
      <c r="I1260" s="175" t="s">
        <v>261</v>
      </c>
      <c r="J1260" s="98" t="s">
        <v>527</v>
      </c>
      <c r="K1260" s="101" t="s">
        <v>3263</v>
      </c>
      <c r="L1260" s="102" t="n">
        <v>45741</v>
      </c>
      <c r="M1260" s="100" t="n">
        <v>7352</v>
      </c>
      <c r="N1260" s="100" t="n">
        <v>8865</v>
      </c>
      <c r="O1260" s="100" t="n">
        <v>1513</v>
      </c>
      <c r="P1260" s="100" t="n">
        <v>1468</v>
      </c>
      <c r="Q1260" s="100"/>
      <c r="R1260" s="103" t="n">
        <f aca="false">合約與計費!$D$4</f>
        <v>0.296</v>
      </c>
      <c r="S1260" s="104" t="n">
        <f aca="false">ROUND(P1260*R1260,0)</f>
        <v>435</v>
      </c>
      <c r="T1260" s="105"/>
      <c r="U1260" s="100"/>
      <c r="V1260" s="100"/>
      <c r="W1260" s="106"/>
      <c r="X1260" s="100"/>
      <c r="Y1260" s="100"/>
      <c r="Z1260" s="107"/>
      <c r="AA1260" s="108"/>
      <c r="AB1260" s="109"/>
      <c r="AC1260" s="110"/>
      <c r="AD1260" s="42"/>
      <c r="AE1260" s="43"/>
    </row>
    <row r="1261" customFormat="false" ht="16.5" hidden="false" customHeight="true" outlineLevel="0" collapsed="false">
      <c r="A1261" s="97" t="n">
        <f aca="false">ROW(A1258)</f>
        <v>1258</v>
      </c>
      <c r="B1261" s="97" t="s">
        <v>479</v>
      </c>
      <c r="C1261" s="100" t="n">
        <v>1</v>
      </c>
      <c r="D1261" s="85"/>
      <c r="E1261" s="98" t="s">
        <v>3264</v>
      </c>
      <c r="F1261" s="99" t="s">
        <v>3252</v>
      </c>
      <c r="G1261" s="100" t="s">
        <v>2515</v>
      </c>
      <c r="H1261" s="100" t="s">
        <v>3144</v>
      </c>
      <c r="I1261" s="175" t="s">
        <v>261</v>
      </c>
      <c r="J1261" s="98" t="s">
        <v>527</v>
      </c>
      <c r="K1261" s="101" t="s">
        <v>3265</v>
      </c>
      <c r="L1261" s="102" t="n">
        <v>45741</v>
      </c>
      <c r="M1261" s="100" t="n">
        <v>4028</v>
      </c>
      <c r="N1261" s="100" t="n">
        <v>4890</v>
      </c>
      <c r="O1261" s="100" t="n">
        <v>862</v>
      </c>
      <c r="P1261" s="100" t="n">
        <v>836</v>
      </c>
      <c r="Q1261" s="100"/>
      <c r="R1261" s="103" t="n">
        <f aca="false">合約與計費!$D$4</f>
        <v>0.296</v>
      </c>
      <c r="S1261" s="104" t="n">
        <f aca="false">ROUND(P1261*R1261,0)</f>
        <v>247</v>
      </c>
      <c r="T1261" s="105"/>
      <c r="U1261" s="100"/>
      <c r="V1261" s="100"/>
      <c r="W1261" s="106"/>
      <c r="X1261" s="100"/>
      <c r="Y1261" s="100"/>
      <c r="Z1261" s="107"/>
      <c r="AA1261" s="108"/>
      <c r="AB1261" s="109"/>
      <c r="AC1261" s="110"/>
      <c r="AD1261" s="42"/>
      <c r="AE1261" s="43"/>
    </row>
    <row r="1262" customFormat="false" ht="16.5" hidden="false" customHeight="true" outlineLevel="0" collapsed="false">
      <c r="A1262" s="97" t="n">
        <f aca="false">ROW(A1259)</f>
        <v>1259</v>
      </c>
      <c r="B1262" s="97" t="s">
        <v>482</v>
      </c>
      <c r="C1262" s="100" t="n">
        <v>1</v>
      </c>
      <c r="D1262" s="85"/>
      <c r="E1262" s="98" t="s">
        <v>3266</v>
      </c>
      <c r="F1262" s="99" t="s">
        <v>3252</v>
      </c>
      <c r="G1262" s="100" t="s">
        <v>2515</v>
      </c>
      <c r="H1262" s="100" t="s">
        <v>3144</v>
      </c>
      <c r="I1262" s="175" t="s">
        <v>261</v>
      </c>
      <c r="J1262" s="98" t="s">
        <v>527</v>
      </c>
      <c r="K1262" s="101" t="s">
        <v>3267</v>
      </c>
      <c r="L1262" s="102" t="n">
        <v>45741</v>
      </c>
      <c r="M1262" s="100" t="n">
        <v>5800</v>
      </c>
      <c r="N1262" s="100" t="n">
        <v>7379</v>
      </c>
      <c r="O1262" s="100" t="n">
        <v>1579</v>
      </c>
      <c r="P1262" s="100" t="n">
        <v>1532</v>
      </c>
      <c r="Q1262" s="100"/>
      <c r="R1262" s="103" t="n">
        <f aca="false">合約與計費!$D$4</f>
        <v>0.296</v>
      </c>
      <c r="S1262" s="104" t="n">
        <f aca="false">ROUND(P1262*R1262,0)</f>
        <v>453</v>
      </c>
      <c r="T1262" s="105"/>
      <c r="U1262" s="100"/>
      <c r="V1262" s="100"/>
      <c r="W1262" s="106"/>
      <c r="X1262" s="100"/>
      <c r="Y1262" s="100"/>
      <c r="Z1262" s="107"/>
      <c r="AA1262" s="108"/>
      <c r="AB1262" s="109"/>
      <c r="AC1262" s="110"/>
      <c r="AD1262" s="42"/>
      <c r="AE1262" s="43"/>
    </row>
    <row r="1263" customFormat="false" ht="16.5" hidden="false" customHeight="true" outlineLevel="0" collapsed="false">
      <c r="A1263" s="97" t="n">
        <f aca="false">ROW(A1260)</f>
        <v>1260</v>
      </c>
      <c r="B1263" s="97" t="s">
        <v>485</v>
      </c>
      <c r="C1263" s="100" t="n">
        <v>1</v>
      </c>
      <c r="D1263" s="85"/>
      <c r="E1263" s="98" t="s">
        <v>3268</v>
      </c>
      <c r="F1263" s="99" t="s">
        <v>3252</v>
      </c>
      <c r="G1263" s="100" t="s">
        <v>2515</v>
      </c>
      <c r="H1263" s="100" t="s">
        <v>3144</v>
      </c>
      <c r="I1263" s="175" t="s">
        <v>261</v>
      </c>
      <c r="J1263" s="98" t="s">
        <v>527</v>
      </c>
      <c r="K1263" s="101" t="s">
        <v>3269</v>
      </c>
      <c r="L1263" s="102" t="n">
        <v>45741</v>
      </c>
      <c r="M1263" s="100" t="n">
        <v>7834</v>
      </c>
      <c r="N1263" s="100" t="n">
        <v>9532</v>
      </c>
      <c r="O1263" s="100" t="n">
        <v>1698</v>
      </c>
      <c r="P1263" s="100" t="n">
        <v>1647</v>
      </c>
      <c r="Q1263" s="100"/>
      <c r="R1263" s="103" t="n">
        <f aca="false">合約與計費!$D$4</f>
        <v>0.296</v>
      </c>
      <c r="S1263" s="104" t="n">
        <f aca="false">ROUND(P1263*R1263,0)</f>
        <v>488</v>
      </c>
      <c r="T1263" s="105"/>
      <c r="U1263" s="100"/>
      <c r="V1263" s="100"/>
      <c r="W1263" s="106"/>
      <c r="X1263" s="100"/>
      <c r="Y1263" s="100"/>
      <c r="Z1263" s="107"/>
      <c r="AA1263" s="108"/>
      <c r="AB1263" s="109"/>
      <c r="AC1263" s="110"/>
      <c r="AD1263" s="42"/>
      <c r="AE1263" s="43"/>
    </row>
    <row r="1264" customFormat="false" ht="16.5" hidden="false" customHeight="true" outlineLevel="0" collapsed="false">
      <c r="A1264" s="97" t="n">
        <f aca="false">ROW(A1261)</f>
        <v>1261</v>
      </c>
      <c r="B1264" s="97" t="n">
        <v>10</v>
      </c>
      <c r="C1264" s="100" t="n">
        <v>1</v>
      </c>
      <c r="D1264" s="85"/>
      <c r="E1264" s="98" t="s">
        <v>3270</v>
      </c>
      <c r="F1264" s="99" t="s">
        <v>3252</v>
      </c>
      <c r="G1264" s="100" t="s">
        <v>2515</v>
      </c>
      <c r="H1264" s="100" t="s">
        <v>3144</v>
      </c>
      <c r="I1264" s="175" t="s">
        <v>261</v>
      </c>
      <c r="J1264" s="98" t="s">
        <v>527</v>
      </c>
      <c r="K1264" s="101" t="s">
        <v>3271</v>
      </c>
      <c r="L1264" s="102" t="n">
        <v>45741</v>
      </c>
      <c r="M1264" s="100" t="n">
        <v>6562</v>
      </c>
      <c r="N1264" s="100" t="n">
        <v>7605</v>
      </c>
      <c r="O1264" s="100" t="n">
        <v>1043</v>
      </c>
      <c r="P1264" s="100" t="n">
        <v>1012</v>
      </c>
      <c r="Q1264" s="100"/>
      <c r="R1264" s="103" t="n">
        <f aca="false">合約與計費!$D$4</f>
        <v>0.296</v>
      </c>
      <c r="S1264" s="104" t="n">
        <f aca="false">ROUND(P1264*R1264,0)</f>
        <v>300</v>
      </c>
      <c r="T1264" s="105"/>
      <c r="U1264" s="100"/>
      <c r="V1264" s="100"/>
      <c r="W1264" s="106"/>
      <c r="X1264" s="100"/>
      <c r="Y1264" s="100"/>
      <c r="Z1264" s="107"/>
      <c r="AA1264" s="108"/>
      <c r="AB1264" s="109"/>
      <c r="AC1264" s="110"/>
      <c r="AD1264" s="42"/>
      <c r="AE1264" s="43"/>
    </row>
    <row r="1265" customFormat="false" ht="16.5" hidden="false" customHeight="true" outlineLevel="0" collapsed="false">
      <c r="A1265" s="97" t="n">
        <f aca="false">ROW(A1262)</f>
        <v>1262</v>
      </c>
      <c r="B1265" s="97" t="n">
        <v>11</v>
      </c>
      <c r="C1265" s="100" t="n">
        <v>1</v>
      </c>
      <c r="D1265" s="85"/>
      <c r="E1265" s="98" t="s">
        <v>3272</v>
      </c>
      <c r="F1265" s="99" t="s">
        <v>3252</v>
      </c>
      <c r="G1265" s="100" t="s">
        <v>2515</v>
      </c>
      <c r="H1265" s="100" t="s">
        <v>3144</v>
      </c>
      <c r="I1265" s="175" t="s">
        <v>261</v>
      </c>
      <c r="J1265" s="98" t="s">
        <v>527</v>
      </c>
      <c r="K1265" s="101" t="s">
        <v>3273</v>
      </c>
      <c r="L1265" s="102" t="n">
        <v>45741</v>
      </c>
      <c r="M1265" s="100" t="n">
        <v>8830</v>
      </c>
      <c r="N1265" s="100" t="n">
        <v>10235</v>
      </c>
      <c r="O1265" s="100" t="n">
        <v>1405</v>
      </c>
      <c r="P1265" s="100" t="n">
        <v>1363</v>
      </c>
      <c r="Q1265" s="100"/>
      <c r="R1265" s="103" t="n">
        <f aca="false">合約與計費!$D$4</f>
        <v>0.296</v>
      </c>
      <c r="S1265" s="104" t="n">
        <f aca="false">ROUND(P1265*R1265,0)</f>
        <v>403</v>
      </c>
      <c r="T1265" s="105"/>
      <c r="U1265" s="100"/>
      <c r="V1265" s="100"/>
      <c r="W1265" s="106"/>
      <c r="X1265" s="100"/>
      <c r="Y1265" s="100"/>
      <c r="Z1265" s="107"/>
      <c r="AA1265" s="108"/>
      <c r="AB1265" s="109"/>
      <c r="AC1265" s="110"/>
      <c r="AD1265" s="42"/>
      <c r="AE1265" s="43"/>
    </row>
    <row r="1266" customFormat="false" ht="16.5" hidden="false" customHeight="true" outlineLevel="0" collapsed="false">
      <c r="A1266" s="111" t="n">
        <f aca="false">ROW(A1263)</f>
        <v>1263</v>
      </c>
      <c r="B1266" s="111" t="n">
        <v>12</v>
      </c>
      <c r="C1266" s="114" t="n">
        <v>1</v>
      </c>
      <c r="D1266" s="85"/>
      <c r="E1266" s="112" t="s">
        <v>3274</v>
      </c>
      <c r="F1266" s="113" t="s">
        <v>3252</v>
      </c>
      <c r="G1266" s="114" t="s">
        <v>2515</v>
      </c>
      <c r="H1266" s="114" t="s">
        <v>3144</v>
      </c>
      <c r="I1266" s="173" t="s">
        <v>261</v>
      </c>
      <c r="J1266" s="98" t="s">
        <v>527</v>
      </c>
      <c r="K1266" s="101" t="s">
        <v>3275</v>
      </c>
      <c r="L1266" s="102" t="n">
        <v>45741</v>
      </c>
      <c r="M1266" s="100" t="n">
        <v>9563</v>
      </c>
      <c r="N1266" s="100" t="n">
        <v>11214</v>
      </c>
      <c r="O1266" s="114" t="n">
        <v>1651</v>
      </c>
      <c r="P1266" s="114" t="n">
        <v>1601</v>
      </c>
      <c r="Q1266" s="114" t="n">
        <f aca="false">ROUND(SUM(P1255:P1266),2)</f>
        <v>13313</v>
      </c>
      <c r="R1266" s="117" t="n">
        <f aca="false">合約與計費!$D$4</f>
        <v>0.296</v>
      </c>
      <c r="S1266" s="118" t="n">
        <f aca="false">ROUND(P1266*R1266,0)</f>
        <v>474</v>
      </c>
      <c r="T1266" s="119" t="n">
        <f aca="false">ROUND(SUM(S1255:S1266),2)</f>
        <v>3941</v>
      </c>
      <c r="U1266" s="100"/>
      <c r="V1266" s="100"/>
      <c r="W1266" s="106"/>
      <c r="X1266" s="100"/>
      <c r="Y1266" s="114" t="n">
        <f aca="false">ROUND(SUM(X1255:X1266),2)</f>
        <v>380</v>
      </c>
      <c r="Z1266" s="121"/>
      <c r="AA1266" s="122"/>
      <c r="AB1266" s="123" t="n">
        <f aca="false">ROUND(SUM(AA1255:AA1266),2)</f>
        <v>1064</v>
      </c>
      <c r="AC1266" s="110"/>
      <c r="AD1266" s="42"/>
      <c r="AE1266" s="43"/>
    </row>
    <row r="1267" customFormat="false" ht="16.5" hidden="false" customHeight="true" outlineLevel="0" collapsed="false">
      <c r="A1267" s="84" t="n">
        <f aca="false">ROW(A1264)</f>
        <v>1264</v>
      </c>
      <c r="B1267" s="84" t="s">
        <v>455</v>
      </c>
      <c r="C1267" s="32" t="n">
        <v>1</v>
      </c>
      <c r="D1267" s="85" t="n">
        <v>120</v>
      </c>
      <c r="E1267" s="86" t="s">
        <v>3276</v>
      </c>
      <c r="F1267" s="87" t="s">
        <v>3277</v>
      </c>
      <c r="G1267" s="32" t="s">
        <v>3278</v>
      </c>
      <c r="H1267" s="32" t="s">
        <v>3279</v>
      </c>
      <c r="I1267" s="32" t="s">
        <v>70</v>
      </c>
      <c r="J1267" s="86" t="s">
        <v>460</v>
      </c>
      <c r="K1267" s="88" t="s">
        <v>3280</v>
      </c>
      <c r="L1267" s="89" t="n">
        <v>45758</v>
      </c>
      <c r="M1267" s="32" t="n">
        <v>630</v>
      </c>
      <c r="N1267" s="32" t="n">
        <v>765</v>
      </c>
      <c r="O1267" s="32" t="n">
        <v>135</v>
      </c>
      <c r="P1267" s="32" t="n">
        <v>131</v>
      </c>
      <c r="Q1267" s="32"/>
      <c r="R1267" s="90" t="n">
        <f aca="false">合約與計費!$D$4</f>
        <v>0.296</v>
      </c>
      <c r="S1267" s="91" t="n">
        <f aca="false">ROUND(P1267*R1267,0)</f>
        <v>39</v>
      </c>
      <c r="T1267" s="92"/>
      <c r="U1267" s="32" t="n">
        <v>123</v>
      </c>
      <c r="V1267" s="32" t="n">
        <v>180</v>
      </c>
      <c r="W1267" s="32" t="n">
        <v>57</v>
      </c>
      <c r="X1267" s="32" t="n">
        <v>55</v>
      </c>
      <c r="Y1267" s="32"/>
      <c r="Z1267" s="93" t="n">
        <f aca="false">合約與計費!$E$4</f>
        <v>2.8</v>
      </c>
      <c r="AA1267" s="94" t="n">
        <f aca="false">ROUND(X1267*Z1267,0)</f>
        <v>154</v>
      </c>
      <c r="AB1267" s="95"/>
      <c r="AC1267" s="96"/>
      <c r="AD1267" s="42"/>
      <c r="AE1267" s="43"/>
    </row>
    <row r="1268" customFormat="false" ht="16.5" hidden="false" customHeight="true" outlineLevel="0" collapsed="false">
      <c r="A1268" s="97" t="n">
        <f aca="false">ROW(A1265)</f>
        <v>1265</v>
      </c>
      <c r="B1268" s="97" t="s">
        <v>462</v>
      </c>
      <c r="C1268" s="100" t="n">
        <v>1</v>
      </c>
      <c r="D1268" s="85"/>
      <c r="E1268" s="98" t="s">
        <v>3281</v>
      </c>
      <c r="F1268" s="99" t="s">
        <v>3277</v>
      </c>
      <c r="G1268" s="100" t="s">
        <v>3278</v>
      </c>
      <c r="H1268" s="100" t="s">
        <v>3279</v>
      </c>
      <c r="I1268" s="100" t="s">
        <v>70</v>
      </c>
      <c r="J1268" s="98" t="s">
        <v>464</v>
      </c>
      <c r="K1268" s="101" t="s">
        <v>3282</v>
      </c>
      <c r="L1268" s="102" t="n">
        <v>45758</v>
      </c>
      <c r="M1268" s="100" t="n">
        <v>1877</v>
      </c>
      <c r="N1268" s="100" t="n">
        <v>2174</v>
      </c>
      <c r="O1268" s="100" t="n">
        <v>297</v>
      </c>
      <c r="P1268" s="100" t="n">
        <v>288</v>
      </c>
      <c r="Q1268" s="100"/>
      <c r="R1268" s="103" t="n">
        <f aca="false">合約與計費!$D$4</f>
        <v>0.296</v>
      </c>
      <c r="S1268" s="104" t="n">
        <f aca="false">ROUND(P1268*R1268,0)</f>
        <v>85</v>
      </c>
      <c r="T1268" s="105"/>
      <c r="U1268" s="100"/>
      <c r="V1268" s="100"/>
      <c r="W1268" s="106"/>
      <c r="X1268" s="100"/>
      <c r="Y1268" s="100"/>
      <c r="Z1268" s="107"/>
      <c r="AA1268" s="108"/>
      <c r="AB1268" s="109"/>
      <c r="AC1268" s="110"/>
      <c r="AD1268" s="42" t="n">
        <v>0.0767</v>
      </c>
      <c r="AE1268" s="43" t="n">
        <v>1</v>
      </c>
    </row>
    <row r="1269" customFormat="false" ht="16.5" hidden="false" customHeight="true" outlineLevel="0" collapsed="false">
      <c r="A1269" s="97" t="n">
        <f aca="false">ROW(A1266)</f>
        <v>1266</v>
      </c>
      <c r="B1269" s="97" t="s">
        <v>466</v>
      </c>
      <c r="C1269" s="100" t="n">
        <v>1</v>
      </c>
      <c r="D1269" s="85"/>
      <c r="E1269" s="98" t="s">
        <v>3283</v>
      </c>
      <c r="F1269" s="99" t="s">
        <v>3277</v>
      </c>
      <c r="G1269" s="100" t="s">
        <v>3278</v>
      </c>
      <c r="H1269" s="100" t="s">
        <v>3279</v>
      </c>
      <c r="I1269" s="100" t="s">
        <v>70</v>
      </c>
      <c r="J1269" s="98" t="s">
        <v>527</v>
      </c>
      <c r="K1269" s="101" t="s">
        <v>3284</v>
      </c>
      <c r="L1269" s="102" t="n">
        <v>45758</v>
      </c>
      <c r="M1269" s="100" t="n">
        <v>3714</v>
      </c>
      <c r="N1269" s="100" t="n">
        <v>4684</v>
      </c>
      <c r="O1269" s="100" t="n">
        <v>970</v>
      </c>
      <c r="P1269" s="100" t="n">
        <v>941</v>
      </c>
      <c r="Q1269" s="100"/>
      <c r="R1269" s="103" t="n">
        <f aca="false">合約與計費!$D$4</f>
        <v>0.296</v>
      </c>
      <c r="S1269" s="104" t="n">
        <f aca="false">ROUND(P1269*R1269,0)</f>
        <v>279</v>
      </c>
      <c r="T1269" s="105"/>
      <c r="U1269" s="100"/>
      <c r="V1269" s="100"/>
      <c r="W1269" s="106"/>
      <c r="X1269" s="100"/>
      <c r="Y1269" s="100"/>
      <c r="Z1269" s="107"/>
      <c r="AA1269" s="108"/>
      <c r="AB1269" s="109"/>
      <c r="AC1269" s="110"/>
      <c r="AD1269" s="42"/>
      <c r="AE1269" s="43"/>
    </row>
    <row r="1270" customFormat="false" ht="16.5" hidden="false" customHeight="true" outlineLevel="0" collapsed="false">
      <c r="A1270" s="97" t="n">
        <f aca="false">ROW(A1267)</f>
        <v>1267</v>
      </c>
      <c r="B1270" s="97" t="s">
        <v>469</v>
      </c>
      <c r="C1270" s="100" t="n">
        <v>1</v>
      </c>
      <c r="D1270" s="85"/>
      <c r="E1270" s="98" t="s">
        <v>3285</v>
      </c>
      <c r="F1270" s="99" t="s">
        <v>3277</v>
      </c>
      <c r="G1270" s="100" t="s">
        <v>3278</v>
      </c>
      <c r="H1270" s="100" t="s">
        <v>3279</v>
      </c>
      <c r="I1270" s="100" t="s">
        <v>70</v>
      </c>
      <c r="J1270" s="98" t="s">
        <v>527</v>
      </c>
      <c r="K1270" s="101" t="s">
        <v>3286</v>
      </c>
      <c r="L1270" s="102" t="n">
        <v>45758</v>
      </c>
      <c r="M1270" s="100" t="n">
        <v>7090</v>
      </c>
      <c r="N1270" s="100" t="n">
        <v>8431</v>
      </c>
      <c r="O1270" s="100" t="n">
        <v>1341</v>
      </c>
      <c r="P1270" s="100" t="n">
        <v>1301</v>
      </c>
      <c r="Q1270" s="100"/>
      <c r="R1270" s="103" t="n">
        <f aca="false">合約與計費!$D$4</f>
        <v>0.296</v>
      </c>
      <c r="S1270" s="104" t="n">
        <f aca="false">ROUND(P1270*R1270,0)</f>
        <v>385</v>
      </c>
      <c r="T1270" s="105"/>
      <c r="U1270" s="100"/>
      <c r="V1270" s="100"/>
      <c r="W1270" s="106"/>
      <c r="X1270" s="100"/>
      <c r="Y1270" s="100"/>
      <c r="Z1270" s="107"/>
      <c r="AA1270" s="108"/>
      <c r="AB1270" s="109"/>
      <c r="AC1270" s="110"/>
      <c r="AD1270" s="42"/>
      <c r="AE1270" s="43"/>
    </row>
    <row r="1271" customFormat="false" ht="16.5" hidden="false" customHeight="true" outlineLevel="0" collapsed="false">
      <c r="A1271" s="97" t="n">
        <f aca="false">ROW(A1268)</f>
        <v>1268</v>
      </c>
      <c r="B1271" s="97" t="s">
        <v>473</v>
      </c>
      <c r="C1271" s="100" t="n">
        <v>1</v>
      </c>
      <c r="D1271" s="85"/>
      <c r="E1271" s="98" t="s">
        <v>3287</v>
      </c>
      <c r="F1271" s="99" t="s">
        <v>3277</v>
      </c>
      <c r="G1271" s="100" t="s">
        <v>3278</v>
      </c>
      <c r="H1271" s="100" t="s">
        <v>3279</v>
      </c>
      <c r="I1271" s="100" t="s">
        <v>70</v>
      </c>
      <c r="J1271" s="98" t="s">
        <v>527</v>
      </c>
      <c r="K1271" s="101" t="s">
        <v>3288</v>
      </c>
      <c r="L1271" s="102" t="n">
        <v>45758</v>
      </c>
      <c r="M1271" s="100" t="n">
        <v>2000</v>
      </c>
      <c r="N1271" s="100" t="n">
        <v>2388</v>
      </c>
      <c r="O1271" s="100" t="n">
        <v>388</v>
      </c>
      <c r="P1271" s="100" t="n">
        <v>376</v>
      </c>
      <c r="Q1271" s="100"/>
      <c r="R1271" s="103" t="n">
        <f aca="false">合約與計費!$D$4</f>
        <v>0.296</v>
      </c>
      <c r="S1271" s="104" t="n">
        <f aca="false">ROUND(P1271*R1271,0)</f>
        <v>111</v>
      </c>
      <c r="T1271" s="105"/>
      <c r="U1271" s="100"/>
      <c r="V1271" s="100"/>
      <c r="W1271" s="106"/>
      <c r="X1271" s="100"/>
      <c r="Y1271" s="100"/>
      <c r="Z1271" s="107"/>
      <c r="AA1271" s="108"/>
      <c r="AB1271" s="109"/>
      <c r="AC1271" s="110"/>
      <c r="AD1271" s="42"/>
      <c r="AE1271" s="43"/>
    </row>
    <row r="1272" customFormat="false" ht="16.5" hidden="false" customHeight="true" outlineLevel="0" collapsed="false">
      <c r="A1272" s="111" t="n">
        <f aca="false">ROW(A1269)</f>
        <v>1269</v>
      </c>
      <c r="B1272" s="111" t="s">
        <v>476</v>
      </c>
      <c r="C1272" s="114" t="n">
        <v>1</v>
      </c>
      <c r="D1272" s="85"/>
      <c r="E1272" s="112" t="s">
        <v>3289</v>
      </c>
      <c r="F1272" s="113" t="s">
        <v>3277</v>
      </c>
      <c r="G1272" s="114" t="s">
        <v>3278</v>
      </c>
      <c r="H1272" s="114" t="s">
        <v>3279</v>
      </c>
      <c r="I1272" s="114" t="s">
        <v>70</v>
      </c>
      <c r="J1272" s="98" t="s">
        <v>527</v>
      </c>
      <c r="K1272" s="101" t="s">
        <v>3290</v>
      </c>
      <c r="L1272" s="102" t="n">
        <v>45758</v>
      </c>
      <c r="M1272" s="100" t="n">
        <v>12814</v>
      </c>
      <c r="N1272" s="100" t="n">
        <v>15391</v>
      </c>
      <c r="O1272" s="100" t="n">
        <v>2577</v>
      </c>
      <c r="P1272" s="100" t="n">
        <v>2500</v>
      </c>
      <c r="Q1272" s="100" t="n">
        <f aca="false">ROUND(SUM(P1267:P1272),2)</f>
        <v>5537</v>
      </c>
      <c r="R1272" s="103" t="n">
        <f aca="false">合約與計費!$D$4</f>
        <v>0.296</v>
      </c>
      <c r="S1272" s="104" t="n">
        <f aca="false">ROUND(P1272*R1272,0)</f>
        <v>740</v>
      </c>
      <c r="T1272" s="105" t="n">
        <f aca="false">ROUND(SUM(S1267:S1272),2)</f>
        <v>1639</v>
      </c>
      <c r="U1272" s="100"/>
      <c r="V1272" s="100"/>
      <c r="W1272" s="106"/>
      <c r="X1272" s="100"/>
      <c r="Y1272" s="100" t="n">
        <f aca="false">ROUND(SUM(X1267:X1272),2)</f>
        <v>55</v>
      </c>
      <c r="Z1272" s="107"/>
      <c r="AA1272" s="108"/>
      <c r="AB1272" s="109" t="n">
        <f aca="false">ROUND(SUM(AA1267:AA1272),2)</f>
        <v>154</v>
      </c>
      <c r="AC1272" s="110"/>
      <c r="AD1272" s="42"/>
      <c r="AE1272" s="43"/>
    </row>
    <row r="1273" customFormat="false" ht="16.5" hidden="false" customHeight="true" outlineLevel="0" collapsed="false">
      <c r="A1273" s="84" t="n">
        <f aca="false">ROW(A1270)</f>
        <v>1270</v>
      </c>
      <c r="B1273" s="84" t="s">
        <v>455</v>
      </c>
      <c r="C1273" s="32" t="n">
        <v>1</v>
      </c>
      <c r="D1273" s="85" t="n">
        <v>125</v>
      </c>
      <c r="E1273" s="86" t="s">
        <v>3291</v>
      </c>
      <c r="F1273" s="87" t="s">
        <v>3292</v>
      </c>
      <c r="G1273" s="32" t="s">
        <v>3278</v>
      </c>
      <c r="H1273" s="32" t="s">
        <v>3279</v>
      </c>
      <c r="I1273" s="32" t="s">
        <v>263</v>
      </c>
      <c r="J1273" s="86" t="s">
        <v>460</v>
      </c>
      <c r="K1273" s="88" t="s">
        <v>3293</v>
      </c>
      <c r="L1273" s="89" t="n">
        <v>45775</v>
      </c>
      <c r="M1273" s="32" t="n">
        <v>465</v>
      </c>
      <c r="N1273" s="32" t="n">
        <v>632</v>
      </c>
      <c r="O1273" s="32" t="n">
        <v>167</v>
      </c>
      <c r="P1273" s="32" t="n">
        <v>162</v>
      </c>
      <c r="Q1273" s="32"/>
      <c r="R1273" s="90" t="n">
        <f aca="false">合約與計費!$D$4</f>
        <v>0.296</v>
      </c>
      <c r="S1273" s="91" t="n">
        <f aca="false">ROUND(P1273*R1273,0)</f>
        <v>48</v>
      </c>
      <c r="T1273" s="92"/>
      <c r="U1273" s="32" t="n">
        <v>208</v>
      </c>
      <c r="V1273" s="32" t="n">
        <v>333</v>
      </c>
      <c r="W1273" s="32" t="n">
        <v>125</v>
      </c>
      <c r="X1273" s="32" t="n">
        <v>121</v>
      </c>
      <c r="Y1273" s="32"/>
      <c r="Z1273" s="93" t="n">
        <f aca="false">合約與計費!$E$4</f>
        <v>2.8</v>
      </c>
      <c r="AA1273" s="94" t="n">
        <f aca="false">ROUND(X1273*Z1273,0)</f>
        <v>339</v>
      </c>
      <c r="AB1273" s="95"/>
      <c r="AC1273" s="96"/>
      <c r="AD1273" s="42"/>
      <c r="AE1273" s="43"/>
    </row>
    <row r="1274" customFormat="false" ht="16.5" hidden="false" customHeight="true" outlineLevel="0" collapsed="false">
      <c r="A1274" s="97" t="n">
        <f aca="false">ROW(A1271)</f>
        <v>1271</v>
      </c>
      <c r="B1274" s="97" t="s">
        <v>462</v>
      </c>
      <c r="C1274" s="100" t="n">
        <v>1</v>
      </c>
      <c r="D1274" s="85"/>
      <c r="E1274" s="98" t="s">
        <v>3294</v>
      </c>
      <c r="F1274" s="99" t="s">
        <v>3292</v>
      </c>
      <c r="G1274" s="100" t="s">
        <v>3278</v>
      </c>
      <c r="H1274" s="100" t="s">
        <v>3279</v>
      </c>
      <c r="I1274" s="100" t="s">
        <v>263</v>
      </c>
      <c r="J1274" s="98" t="s">
        <v>464</v>
      </c>
      <c r="K1274" s="101" t="s">
        <v>3295</v>
      </c>
      <c r="L1274" s="102" t="n">
        <v>45775</v>
      </c>
      <c r="M1274" s="100" t="n">
        <v>4212</v>
      </c>
      <c r="N1274" s="100" t="n">
        <v>4883</v>
      </c>
      <c r="O1274" s="100" t="n">
        <v>671</v>
      </c>
      <c r="P1274" s="100" t="n">
        <v>651</v>
      </c>
      <c r="Q1274" s="100"/>
      <c r="R1274" s="103" t="n">
        <f aca="false">合約與計費!$D$4</f>
        <v>0.296</v>
      </c>
      <c r="S1274" s="104" t="n">
        <f aca="false">ROUND(P1274*R1274,0)</f>
        <v>193</v>
      </c>
      <c r="T1274" s="105"/>
      <c r="U1274" s="100"/>
      <c r="V1274" s="100"/>
      <c r="W1274" s="106"/>
      <c r="X1274" s="100"/>
      <c r="Y1274" s="100"/>
      <c r="Z1274" s="107"/>
      <c r="AA1274" s="108"/>
      <c r="AB1274" s="109"/>
      <c r="AC1274" s="110"/>
      <c r="AD1274" s="42" t="n">
        <v>0.0559</v>
      </c>
      <c r="AE1274" s="43" t="n">
        <v>0.9</v>
      </c>
    </row>
    <row r="1275" customFormat="false" ht="16.5" hidden="false" customHeight="true" outlineLevel="0" collapsed="false">
      <c r="A1275" s="97" t="n">
        <f aca="false">ROW(A1272)</f>
        <v>1272</v>
      </c>
      <c r="B1275" s="97" t="s">
        <v>466</v>
      </c>
      <c r="C1275" s="100" t="n">
        <v>1</v>
      </c>
      <c r="D1275" s="85"/>
      <c r="E1275" s="98" t="s">
        <v>3296</v>
      </c>
      <c r="F1275" s="99" t="s">
        <v>3292</v>
      </c>
      <c r="G1275" s="100" t="s">
        <v>3278</v>
      </c>
      <c r="H1275" s="100" t="s">
        <v>3279</v>
      </c>
      <c r="I1275" s="100" t="s">
        <v>263</v>
      </c>
      <c r="J1275" s="98" t="s">
        <v>527</v>
      </c>
      <c r="K1275" s="101" t="s">
        <v>3297</v>
      </c>
      <c r="L1275" s="102" t="n">
        <v>45775</v>
      </c>
      <c r="M1275" s="100" t="n">
        <v>6121</v>
      </c>
      <c r="N1275" s="100" t="n">
        <v>8007</v>
      </c>
      <c r="O1275" s="100" t="n">
        <v>1886</v>
      </c>
      <c r="P1275" s="100" t="n">
        <v>1829</v>
      </c>
      <c r="Q1275" s="100"/>
      <c r="R1275" s="103" t="n">
        <f aca="false">合約與計費!$D$4</f>
        <v>0.296</v>
      </c>
      <c r="S1275" s="104" t="n">
        <f aca="false">ROUND(P1275*R1275,0)</f>
        <v>541</v>
      </c>
      <c r="T1275" s="105"/>
      <c r="U1275" s="100"/>
      <c r="V1275" s="100"/>
      <c r="W1275" s="106"/>
      <c r="X1275" s="100"/>
      <c r="Y1275" s="100"/>
      <c r="Z1275" s="107"/>
      <c r="AA1275" s="108"/>
      <c r="AB1275" s="109"/>
      <c r="AC1275" s="110"/>
      <c r="AD1275" s="42"/>
      <c r="AE1275" s="43"/>
    </row>
    <row r="1276" customFormat="false" ht="16.5" hidden="false" customHeight="true" outlineLevel="0" collapsed="false">
      <c r="A1276" s="97" t="n">
        <f aca="false">ROW(A1273)</f>
        <v>1273</v>
      </c>
      <c r="B1276" s="97" t="s">
        <v>469</v>
      </c>
      <c r="C1276" s="100" t="n">
        <v>1</v>
      </c>
      <c r="D1276" s="85"/>
      <c r="E1276" s="98" t="s">
        <v>3298</v>
      </c>
      <c r="F1276" s="99" t="s">
        <v>3292</v>
      </c>
      <c r="G1276" s="100" t="s">
        <v>3278</v>
      </c>
      <c r="H1276" s="100" t="s">
        <v>3279</v>
      </c>
      <c r="I1276" s="100" t="s">
        <v>263</v>
      </c>
      <c r="J1276" s="98" t="s">
        <v>527</v>
      </c>
      <c r="K1276" s="101" t="s">
        <v>3299</v>
      </c>
      <c r="L1276" s="102" t="n">
        <v>45775</v>
      </c>
      <c r="M1276" s="100" t="n">
        <v>2816</v>
      </c>
      <c r="N1276" s="100" t="n">
        <v>3424</v>
      </c>
      <c r="O1276" s="100" t="n">
        <v>608</v>
      </c>
      <c r="P1276" s="100" t="n">
        <v>590</v>
      </c>
      <c r="Q1276" s="100"/>
      <c r="R1276" s="103" t="n">
        <f aca="false">合約與計費!$D$4</f>
        <v>0.296</v>
      </c>
      <c r="S1276" s="104" t="n">
        <f aca="false">ROUND(P1276*R1276,0)</f>
        <v>175</v>
      </c>
      <c r="T1276" s="105"/>
      <c r="U1276" s="100"/>
      <c r="V1276" s="100"/>
      <c r="W1276" s="106"/>
      <c r="X1276" s="100"/>
      <c r="Y1276" s="100"/>
      <c r="Z1276" s="107"/>
      <c r="AA1276" s="108"/>
      <c r="AB1276" s="109"/>
      <c r="AC1276" s="110"/>
      <c r="AD1276" s="42"/>
      <c r="AE1276" s="43"/>
    </row>
    <row r="1277" customFormat="false" ht="16.5" hidden="false" customHeight="true" outlineLevel="0" collapsed="false">
      <c r="A1277" s="97" t="n">
        <f aca="false">ROW(A1274)</f>
        <v>1274</v>
      </c>
      <c r="B1277" s="97" t="s">
        <v>473</v>
      </c>
      <c r="C1277" s="100" t="n">
        <v>1</v>
      </c>
      <c r="D1277" s="85"/>
      <c r="E1277" s="98" t="s">
        <v>3300</v>
      </c>
      <c r="F1277" s="99" t="s">
        <v>3292</v>
      </c>
      <c r="G1277" s="100" t="s">
        <v>3278</v>
      </c>
      <c r="H1277" s="100" t="s">
        <v>3279</v>
      </c>
      <c r="I1277" s="100" t="s">
        <v>263</v>
      </c>
      <c r="J1277" s="98" t="s">
        <v>527</v>
      </c>
      <c r="K1277" s="101" t="s">
        <v>3301</v>
      </c>
      <c r="L1277" s="102" t="n">
        <v>45775</v>
      </c>
      <c r="M1277" s="100" t="n">
        <v>3988</v>
      </c>
      <c r="N1277" s="100" t="n">
        <v>4667</v>
      </c>
      <c r="O1277" s="100" t="n">
        <v>679</v>
      </c>
      <c r="P1277" s="100" t="n">
        <v>659</v>
      </c>
      <c r="Q1277" s="100"/>
      <c r="R1277" s="103" t="n">
        <f aca="false">合約與計費!$D$4</f>
        <v>0.296</v>
      </c>
      <c r="S1277" s="104" t="n">
        <f aca="false">ROUND(P1277*R1277,0)</f>
        <v>195</v>
      </c>
      <c r="T1277" s="105"/>
      <c r="U1277" s="100"/>
      <c r="V1277" s="100"/>
      <c r="W1277" s="106"/>
      <c r="X1277" s="100"/>
      <c r="Y1277" s="100"/>
      <c r="Z1277" s="107"/>
      <c r="AA1277" s="108"/>
      <c r="AB1277" s="109"/>
      <c r="AC1277" s="110"/>
      <c r="AD1277" s="42"/>
      <c r="AE1277" s="43"/>
    </row>
    <row r="1278" customFormat="false" ht="16.5" hidden="false" customHeight="true" outlineLevel="0" collapsed="false">
      <c r="A1278" s="97" t="n">
        <f aca="false">ROW(A1275)</f>
        <v>1275</v>
      </c>
      <c r="B1278" s="97" t="s">
        <v>476</v>
      </c>
      <c r="C1278" s="100" t="n">
        <v>1</v>
      </c>
      <c r="D1278" s="85"/>
      <c r="E1278" s="98" t="s">
        <v>3302</v>
      </c>
      <c r="F1278" s="99" t="s">
        <v>3292</v>
      </c>
      <c r="G1278" s="100" t="s">
        <v>3278</v>
      </c>
      <c r="H1278" s="100" t="s">
        <v>3279</v>
      </c>
      <c r="I1278" s="100" t="s">
        <v>263</v>
      </c>
      <c r="J1278" s="98" t="s">
        <v>527</v>
      </c>
      <c r="K1278" s="101" t="s">
        <v>3303</v>
      </c>
      <c r="L1278" s="102" t="n">
        <v>45775</v>
      </c>
      <c r="M1278" s="100" t="n">
        <v>4167</v>
      </c>
      <c r="N1278" s="100" t="n">
        <v>4955</v>
      </c>
      <c r="O1278" s="100" t="n">
        <v>788</v>
      </c>
      <c r="P1278" s="100" t="n">
        <v>764</v>
      </c>
      <c r="Q1278" s="100"/>
      <c r="R1278" s="103" t="n">
        <f aca="false">合約與計費!$D$4</f>
        <v>0.296</v>
      </c>
      <c r="S1278" s="104" t="n">
        <f aca="false">ROUND(P1278*R1278,0)</f>
        <v>226</v>
      </c>
      <c r="T1278" s="105"/>
      <c r="U1278" s="100"/>
      <c r="V1278" s="100"/>
      <c r="W1278" s="106"/>
      <c r="X1278" s="100"/>
      <c r="Y1278" s="100"/>
      <c r="Z1278" s="107"/>
      <c r="AA1278" s="108"/>
      <c r="AB1278" s="109"/>
      <c r="AC1278" s="110"/>
      <c r="AD1278" s="42"/>
      <c r="AE1278" s="43"/>
    </row>
    <row r="1279" customFormat="false" ht="16.5" hidden="false" customHeight="true" outlineLevel="0" collapsed="false">
      <c r="A1279" s="97" t="n">
        <f aca="false">ROW(A1276)</f>
        <v>1276</v>
      </c>
      <c r="B1279" s="97" t="s">
        <v>479</v>
      </c>
      <c r="C1279" s="100" t="n">
        <v>1</v>
      </c>
      <c r="D1279" s="85"/>
      <c r="E1279" s="98" t="s">
        <v>3304</v>
      </c>
      <c r="F1279" s="99" t="s">
        <v>3292</v>
      </c>
      <c r="G1279" s="100" t="s">
        <v>3278</v>
      </c>
      <c r="H1279" s="100" t="s">
        <v>3279</v>
      </c>
      <c r="I1279" s="100" t="s">
        <v>263</v>
      </c>
      <c r="J1279" s="98" t="s">
        <v>527</v>
      </c>
      <c r="K1279" s="101" t="s">
        <v>3305</v>
      </c>
      <c r="L1279" s="102" t="n">
        <v>45775</v>
      </c>
      <c r="M1279" s="100" t="n">
        <v>2878</v>
      </c>
      <c r="N1279" s="100" t="n">
        <v>3662</v>
      </c>
      <c r="O1279" s="100" t="n">
        <v>784</v>
      </c>
      <c r="P1279" s="100" t="n">
        <v>760</v>
      </c>
      <c r="Q1279" s="100"/>
      <c r="R1279" s="103" t="n">
        <f aca="false">合約與計費!$D$4</f>
        <v>0.296</v>
      </c>
      <c r="S1279" s="104" t="n">
        <f aca="false">ROUND(P1279*R1279,0)</f>
        <v>225</v>
      </c>
      <c r="T1279" s="105"/>
      <c r="U1279" s="100"/>
      <c r="V1279" s="100"/>
      <c r="W1279" s="106"/>
      <c r="X1279" s="100"/>
      <c r="Y1279" s="100"/>
      <c r="Z1279" s="107"/>
      <c r="AA1279" s="108"/>
      <c r="AB1279" s="109"/>
      <c r="AC1279" s="110"/>
      <c r="AD1279" s="42"/>
      <c r="AE1279" s="43"/>
    </row>
    <row r="1280" customFormat="false" ht="16.5" hidden="false" customHeight="true" outlineLevel="0" collapsed="false">
      <c r="A1280" s="97" t="n">
        <f aca="false">ROW(A1277)</f>
        <v>1277</v>
      </c>
      <c r="B1280" s="97" t="s">
        <v>482</v>
      </c>
      <c r="C1280" s="100" t="n">
        <v>1</v>
      </c>
      <c r="D1280" s="85"/>
      <c r="E1280" s="98" t="s">
        <v>3306</v>
      </c>
      <c r="F1280" s="99" t="s">
        <v>3292</v>
      </c>
      <c r="G1280" s="100" t="s">
        <v>3278</v>
      </c>
      <c r="H1280" s="100" t="s">
        <v>3279</v>
      </c>
      <c r="I1280" s="100" t="s">
        <v>263</v>
      </c>
      <c r="J1280" s="98" t="s">
        <v>527</v>
      </c>
      <c r="K1280" s="101" t="s">
        <v>3307</v>
      </c>
      <c r="L1280" s="102" t="n">
        <v>45775</v>
      </c>
      <c r="M1280" s="100" t="n">
        <v>6152</v>
      </c>
      <c r="N1280" s="100" t="n">
        <v>7476</v>
      </c>
      <c r="O1280" s="100" t="n">
        <v>1324</v>
      </c>
      <c r="P1280" s="100" t="n">
        <v>1284</v>
      </c>
      <c r="Q1280" s="100"/>
      <c r="R1280" s="103" t="n">
        <f aca="false">合約與計費!$D$4</f>
        <v>0.296</v>
      </c>
      <c r="S1280" s="104" t="n">
        <f aca="false">ROUND(P1280*R1280,0)</f>
        <v>380</v>
      </c>
      <c r="T1280" s="105"/>
      <c r="U1280" s="100"/>
      <c r="V1280" s="100"/>
      <c r="W1280" s="106"/>
      <c r="X1280" s="100"/>
      <c r="Y1280" s="100"/>
      <c r="Z1280" s="107"/>
      <c r="AA1280" s="108"/>
      <c r="AB1280" s="109"/>
      <c r="AC1280" s="110"/>
      <c r="AD1280" s="42"/>
      <c r="AE1280" s="43"/>
    </row>
    <row r="1281" customFormat="false" ht="16.5" hidden="false" customHeight="true" outlineLevel="0" collapsed="false">
      <c r="A1281" s="111" t="n">
        <f aca="false">ROW(A1278)</f>
        <v>1278</v>
      </c>
      <c r="B1281" s="111" t="s">
        <v>485</v>
      </c>
      <c r="C1281" s="114" t="n">
        <v>1</v>
      </c>
      <c r="D1281" s="85"/>
      <c r="E1281" s="112" t="s">
        <v>3308</v>
      </c>
      <c r="F1281" s="113" t="s">
        <v>3292</v>
      </c>
      <c r="G1281" s="114" t="s">
        <v>3278</v>
      </c>
      <c r="H1281" s="114" t="s">
        <v>3279</v>
      </c>
      <c r="I1281" s="114" t="s">
        <v>263</v>
      </c>
      <c r="J1281" s="98" t="s">
        <v>527</v>
      </c>
      <c r="K1281" s="101" t="s">
        <v>3309</v>
      </c>
      <c r="L1281" s="102" t="n">
        <v>45775</v>
      </c>
      <c r="M1281" s="100" t="n">
        <v>723</v>
      </c>
      <c r="N1281" s="100" t="n">
        <v>890</v>
      </c>
      <c r="O1281" s="100" t="n">
        <v>167</v>
      </c>
      <c r="P1281" s="100" t="n">
        <v>162</v>
      </c>
      <c r="Q1281" s="100" t="n">
        <f aca="false">ROUND(SUM(P1273:P1281),2)</f>
        <v>6861</v>
      </c>
      <c r="R1281" s="103" t="n">
        <f aca="false">合約與計費!$D$4</f>
        <v>0.296</v>
      </c>
      <c r="S1281" s="104" t="n">
        <f aca="false">ROUND(P1281*R1281,0)</f>
        <v>48</v>
      </c>
      <c r="T1281" s="105" t="n">
        <f aca="false">ROUND(SUM(S1273:S1281),2)</f>
        <v>2031</v>
      </c>
      <c r="U1281" s="100"/>
      <c r="V1281" s="100"/>
      <c r="W1281" s="106"/>
      <c r="X1281" s="100"/>
      <c r="Y1281" s="100" t="n">
        <f aca="false">ROUND(SUM(X1273:X1281),2)</f>
        <v>121</v>
      </c>
      <c r="Z1281" s="107"/>
      <c r="AA1281" s="108"/>
      <c r="AB1281" s="109" t="n">
        <f aca="false">ROUND(SUM(AA1273:AA1281),2)</f>
        <v>339</v>
      </c>
      <c r="AC1281" s="110"/>
      <c r="AD1281" s="42"/>
      <c r="AE1281" s="43"/>
    </row>
    <row r="1282" customFormat="false" ht="16.5" hidden="false" customHeight="true" outlineLevel="0" collapsed="false">
      <c r="A1282" s="84" t="n">
        <f aca="false">ROW(A1279)</f>
        <v>1279</v>
      </c>
      <c r="B1282" s="84" t="s">
        <v>455</v>
      </c>
      <c r="C1282" s="32" t="n">
        <v>1</v>
      </c>
      <c r="D1282" s="85" t="n">
        <v>214</v>
      </c>
      <c r="E1282" s="86" t="s">
        <v>3310</v>
      </c>
      <c r="F1282" s="87" t="s">
        <v>3311</v>
      </c>
      <c r="G1282" s="32" t="s">
        <v>3278</v>
      </c>
      <c r="H1282" s="32" t="s">
        <v>3279</v>
      </c>
      <c r="I1282" s="32" t="s">
        <v>165</v>
      </c>
      <c r="J1282" s="86" t="s">
        <v>527</v>
      </c>
      <c r="K1282" s="225" t="s">
        <v>3312</v>
      </c>
      <c r="L1282" s="89" t="n">
        <v>45771</v>
      </c>
      <c r="M1282" s="32" t="n">
        <v>3696</v>
      </c>
      <c r="N1282" s="32" t="n">
        <v>4332</v>
      </c>
      <c r="O1282" s="32" t="n">
        <v>636</v>
      </c>
      <c r="P1282" s="32" t="n">
        <v>617</v>
      </c>
      <c r="Q1282" s="32"/>
      <c r="R1282" s="90" t="n">
        <f aca="false">合約與計費!$D$4</f>
        <v>0.296</v>
      </c>
      <c r="S1282" s="91" t="n">
        <f aca="false">ROUND(P1282*R1282,0)</f>
        <v>183</v>
      </c>
      <c r="T1282" s="92"/>
      <c r="U1282" s="32"/>
      <c r="V1282" s="32"/>
      <c r="W1282" s="226"/>
      <c r="X1282" s="32"/>
      <c r="Y1282" s="32"/>
      <c r="Z1282" s="93"/>
      <c r="AA1282" s="94"/>
      <c r="AB1282" s="95"/>
      <c r="AC1282" s="96"/>
      <c r="AD1282" s="42"/>
      <c r="AE1282" s="43"/>
    </row>
    <row r="1283" customFormat="false" ht="16.5" hidden="false" customHeight="true" outlineLevel="0" collapsed="false">
      <c r="A1283" s="97" t="n">
        <f aca="false">ROW(A1280)</f>
        <v>1280</v>
      </c>
      <c r="B1283" s="97" t="s">
        <v>462</v>
      </c>
      <c r="C1283" s="100" t="n">
        <v>1</v>
      </c>
      <c r="D1283" s="85"/>
      <c r="E1283" s="98" t="s">
        <v>3313</v>
      </c>
      <c r="F1283" s="99" t="s">
        <v>3311</v>
      </c>
      <c r="G1283" s="100" t="s">
        <v>3278</v>
      </c>
      <c r="H1283" s="100" t="s">
        <v>3279</v>
      </c>
      <c r="I1283" s="100" t="s">
        <v>165</v>
      </c>
      <c r="J1283" s="98" t="s">
        <v>527</v>
      </c>
      <c r="K1283" s="101" t="s">
        <v>3314</v>
      </c>
      <c r="L1283" s="102" t="n">
        <v>45771</v>
      </c>
      <c r="M1283" s="100" t="n">
        <v>3637</v>
      </c>
      <c r="N1283" s="100" t="n">
        <v>4367</v>
      </c>
      <c r="O1283" s="100" t="n">
        <v>730</v>
      </c>
      <c r="P1283" s="100" t="n">
        <v>708</v>
      </c>
      <c r="Q1283" s="100"/>
      <c r="R1283" s="103" t="n">
        <f aca="false">合約與計費!$D$4</f>
        <v>0.296</v>
      </c>
      <c r="S1283" s="104" t="n">
        <f aca="false">ROUND(P1283*R1283,0)</f>
        <v>210</v>
      </c>
      <c r="T1283" s="105"/>
      <c r="U1283" s="100"/>
      <c r="V1283" s="100"/>
      <c r="W1283" s="106"/>
      <c r="X1283" s="100"/>
      <c r="Y1283" s="100"/>
      <c r="Z1283" s="107"/>
      <c r="AA1283" s="108"/>
      <c r="AB1283" s="109"/>
      <c r="AC1283" s="110"/>
      <c r="AD1283" s="42"/>
      <c r="AE1283" s="43"/>
    </row>
    <row r="1284" customFormat="false" ht="16.5" hidden="false" customHeight="true" outlineLevel="0" collapsed="false">
      <c r="A1284" s="111" t="n">
        <f aca="false">ROW(A1281)</f>
        <v>1281</v>
      </c>
      <c r="B1284" s="111" t="s">
        <v>466</v>
      </c>
      <c r="C1284" s="114" t="n">
        <v>1</v>
      </c>
      <c r="D1284" s="85"/>
      <c r="E1284" s="112" t="s">
        <v>3315</v>
      </c>
      <c r="F1284" s="113" t="s">
        <v>3311</v>
      </c>
      <c r="G1284" s="114" t="s">
        <v>3278</v>
      </c>
      <c r="H1284" s="114" t="s">
        <v>3279</v>
      </c>
      <c r="I1284" s="114" t="s">
        <v>165</v>
      </c>
      <c r="J1284" s="112" t="s">
        <v>527</v>
      </c>
      <c r="K1284" s="115" t="s">
        <v>3316</v>
      </c>
      <c r="L1284" s="116" t="n">
        <v>45771</v>
      </c>
      <c r="M1284" s="114" t="n">
        <v>1955</v>
      </c>
      <c r="N1284" s="114" t="n">
        <v>2278</v>
      </c>
      <c r="O1284" s="114" t="n">
        <v>323</v>
      </c>
      <c r="P1284" s="114" t="n">
        <v>313</v>
      </c>
      <c r="Q1284" s="114" t="n">
        <f aca="false">ROUND(SUM(P1282:P1284),2)</f>
        <v>1638</v>
      </c>
      <c r="R1284" s="117" t="n">
        <f aca="false">合約與計費!$D$4</f>
        <v>0.296</v>
      </c>
      <c r="S1284" s="118" t="n">
        <f aca="false">ROUND(P1284*R1284,0)</f>
        <v>93</v>
      </c>
      <c r="T1284" s="119" t="n">
        <f aca="false">ROUND(SUM(S1282:S1284),2)</f>
        <v>486</v>
      </c>
      <c r="U1284" s="114"/>
      <c r="V1284" s="114"/>
      <c r="W1284" s="120"/>
      <c r="X1284" s="114"/>
      <c r="Y1284" s="114"/>
      <c r="Z1284" s="121"/>
      <c r="AA1284" s="122"/>
      <c r="AB1284" s="123"/>
      <c r="AC1284" s="124"/>
      <c r="AD1284" s="42"/>
      <c r="AE1284" s="43"/>
    </row>
    <row r="1285" customFormat="false" ht="16.5" hidden="false" customHeight="true" outlineLevel="0" collapsed="false">
      <c r="A1285" s="84" t="n">
        <f aca="false">ROW(A1282)</f>
        <v>1282</v>
      </c>
      <c r="B1285" s="84" t="s">
        <v>455</v>
      </c>
      <c r="C1285" s="32" t="n">
        <v>1</v>
      </c>
      <c r="D1285" s="85" t="n">
        <v>215</v>
      </c>
      <c r="E1285" s="233" t="s">
        <v>3317</v>
      </c>
      <c r="F1285" s="87" t="s">
        <v>3318</v>
      </c>
      <c r="G1285" s="32" t="s">
        <v>3278</v>
      </c>
      <c r="H1285" s="32" t="s">
        <v>3279</v>
      </c>
      <c r="I1285" s="172" t="s">
        <v>95</v>
      </c>
      <c r="J1285" s="86" t="s">
        <v>460</v>
      </c>
      <c r="K1285" s="88" t="s">
        <v>3319</v>
      </c>
      <c r="L1285" s="89" t="n">
        <v>45772</v>
      </c>
      <c r="M1285" s="32" t="n">
        <v>795</v>
      </c>
      <c r="N1285" s="32" t="n">
        <v>995</v>
      </c>
      <c r="O1285" s="32" t="n">
        <v>200</v>
      </c>
      <c r="P1285" s="32" t="n">
        <v>194</v>
      </c>
      <c r="Q1285" s="32"/>
      <c r="R1285" s="90" t="n">
        <f aca="false">合約與計費!$D$4</f>
        <v>0.296</v>
      </c>
      <c r="S1285" s="91" t="n">
        <f aca="false">ROUND(P1285*R1285,0)</f>
        <v>57</v>
      </c>
      <c r="T1285" s="92"/>
      <c r="U1285" s="32" t="n">
        <v>68</v>
      </c>
      <c r="V1285" s="32" t="n">
        <v>88</v>
      </c>
      <c r="W1285" s="32" t="n">
        <v>20</v>
      </c>
      <c r="X1285" s="32" t="n">
        <v>19</v>
      </c>
      <c r="Y1285" s="32"/>
      <c r="Z1285" s="93" t="n">
        <f aca="false">合約與計費!$E$4</f>
        <v>2.8</v>
      </c>
      <c r="AA1285" s="94" t="n">
        <f aca="false">ROUND(X1285*Z1285,0)</f>
        <v>53</v>
      </c>
      <c r="AB1285" s="95"/>
      <c r="AC1285" s="96"/>
      <c r="AD1285" s="42"/>
      <c r="AE1285" s="43"/>
    </row>
    <row r="1286" customFormat="false" ht="16.5" hidden="false" customHeight="true" outlineLevel="0" collapsed="false">
      <c r="A1286" s="97" t="n">
        <f aca="false">ROW(A1283)</f>
        <v>1283</v>
      </c>
      <c r="B1286" s="97" t="s">
        <v>462</v>
      </c>
      <c r="C1286" s="100" t="n">
        <v>1</v>
      </c>
      <c r="D1286" s="85"/>
      <c r="E1286" s="234" t="s">
        <v>3320</v>
      </c>
      <c r="F1286" s="99" t="s">
        <v>3318</v>
      </c>
      <c r="G1286" s="100" t="s">
        <v>3278</v>
      </c>
      <c r="H1286" s="100" t="s">
        <v>3279</v>
      </c>
      <c r="I1286" s="175" t="s">
        <v>95</v>
      </c>
      <c r="J1286" s="98" t="s">
        <v>464</v>
      </c>
      <c r="K1286" s="101" t="s">
        <v>3321</v>
      </c>
      <c r="L1286" s="102" t="n">
        <v>45772</v>
      </c>
      <c r="M1286" s="100" t="n">
        <v>124</v>
      </c>
      <c r="N1286" s="100" t="n">
        <v>163</v>
      </c>
      <c r="O1286" s="100" t="n">
        <v>39</v>
      </c>
      <c r="P1286" s="100" t="n">
        <v>38</v>
      </c>
      <c r="Q1286" s="100"/>
      <c r="R1286" s="103" t="n">
        <f aca="false">合約與計費!$D$4</f>
        <v>0.296</v>
      </c>
      <c r="S1286" s="104" t="n">
        <f aca="false">ROUND(P1286*R1286,0)</f>
        <v>11</v>
      </c>
      <c r="T1286" s="105"/>
      <c r="U1286" s="100"/>
      <c r="V1286" s="100"/>
      <c r="W1286" s="106"/>
      <c r="X1286" s="100"/>
      <c r="Y1286" s="100"/>
      <c r="Z1286" s="107"/>
      <c r="AA1286" s="108"/>
      <c r="AB1286" s="109"/>
      <c r="AC1286" s="110"/>
      <c r="AD1286" s="42" t="n">
        <v>0.0366</v>
      </c>
      <c r="AE1286" s="43" t="n">
        <v>1</v>
      </c>
    </row>
    <row r="1287" customFormat="false" ht="16.5" hidden="false" customHeight="true" outlineLevel="0" collapsed="false">
      <c r="A1287" s="97" t="n">
        <f aca="false">ROW(A1284)</f>
        <v>1284</v>
      </c>
      <c r="B1287" s="97" t="s">
        <v>466</v>
      </c>
      <c r="C1287" s="100" t="n">
        <v>1</v>
      </c>
      <c r="D1287" s="85"/>
      <c r="E1287" s="234" t="s">
        <v>3322</v>
      </c>
      <c r="F1287" s="99" t="s">
        <v>3318</v>
      </c>
      <c r="G1287" s="100" t="s">
        <v>3278</v>
      </c>
      <c r="H1287" s="100" t="s">
        <v>3279</v>
      </c>
      <c r="I1287" s="175" t="s">
        <v>95</v>
      </c>
      <c r="J1287" s="98" t="s">
        <v>527</v>
      </c>
      <c r="K1287" s="101" t="s">
        <v>3323</v>
      </c>
      <c r="L1287" s="102" t="n">
        <v>45772</v>
      </c>
      <c r="M1287" s="100" t="n">
        <v>3307</v>
      </c>
      <c r="N1287" s="100" t="n">
        <v>4059</v>
      </c>
      <c r="O1287" s="100" t="n">
        <v>752</v>
      </c>
      <c r="P1287" s="100" t="n">
        <v>729</v>
      </c>
      <c r="Q1287" s="100"/>
      <c r="R1287" s="103" t="n">
        <f aca="false">合約與計費!$D$4</f>
        <v>0.296</v>
      </c>
      <c r="S1287" s="104" t="n">
        <f aca="false">ROUND(P1287*R1287,0)</f>
        <v>216</v>
      </c>
      <c r="T1287" s="105" t="n">
        <f aca="false">ROUND(SUM(S1285:S1288),2)</f>
        <v>413</v>
      </c>
      <c r="U1287" s="100"/>
      <c r="V1287" s="100"/>
      <c r="W1287" s="106"/>
      <c r="X1287" s="100"/>
      <c r="Y1287" s="100" t="n">
        <f aca="false">ROUND(SUM(X1285:X1288),2)</f>
        <v>19</v>
      </c>
      <c r="Z1287" s="107"/>
      <c r="AA1287" s="108"/>
      <c r="AB1287" s="109" t="n">
        <f aca="false">ROUND(SUM(AA1285:AA1288),2)</f>
        <v>53</v>
      </c>
      <c r="AC1287" s="110"/>
      <c r="AD1287" s="42"/>
      <c r="AE1287" s="43"/>
    </row>
    <row r="1288" customFormat="false" ht="16.5" hidden="false" customHeight="true" outlineLevel="0" collapsed="false">
      <c r="A1288" s="111" t="n">
        <f aca="false">ROW(A1285)</f>
        <v>1285</v>
      </c>
      <c r="B1288" s="111" t="s">
        <v>469</v>
      </c>
      <c r="C1288" s="114" t="n">
        <v>1</v>
      </c>
      <c r="D1288" s="85"/>
      <c r="E1288" s="235" t="s">
        <v>3324</v>
      </c>
      <c r="F1288" s="113" t="s">
        <v>3318</v>
      </c>
      <c r="G1288" s="114" t="s">
        <v>3278</v>
      </c>
      <c r="H1288" s="114" t="s">
        <v>3279</v>
      </c>
      <c r="I1288" s="173" t="s">
        <v>95</v>
      </c>
      <c r="J1288" s="112" t="s">
        <v>527</v>
      </c>
      <c r="K1288" s="115" t="s">
        <v>3325</v>
      </c>
      <c r="L1288" s="116" t="n">
        <v>45772</v>
      </c>
      <c r="M1288" s="114" t="n">
        <v>2431</v>
      </c>
      <c r="N1288" s="114" t="n">
        <v>2881</v>
      </c>
      <c r="O1288" s="100" t="n">
        <v>450</v>
      </c>
      <c r="P1288" s="100" t="n">
        <v>437</v>
      </c>
      <c r="Q1288" s="100" t="n">
        <f aca="false">ROUND(SUM(P1285:P1288),2)</f>
        <v>1398</v>
      </c>
      <c r="R1288" s="117" t="n">
        <f aca="false">合約與計費!$D$4</f>
        <v>0.296</v>
      </c>
      <c r="S1288" s="118" t="n">
        <f aca="false">ROUND(P1288*R1288,0)</f>
        <v>129</v>
      </c>
      <c r="T1288" s="119"/>
      <c r="U1288" s="114"/>
      <c r="V1288" s="114"/>
      <c r="W1288" s="120"/>
      <c r="X1288" s="114"/>
      <c r="Y1288" s="114"/>
      <c r="Z1288" s="121"/>
      <c r="AA1288" s="122"/>
      <c r="AB1288" s="123"/>
      <c r="AC1288" s="124"/>
      <c r="AD1288" s="42"/>
      <c r="AE1288" s="43"/>
    </row>
    <row r="1289" customFormat="false" ht="16.5" hidden="false" customHeight="true" outlineLevel="0" collapsed="false">
      <c r="A1289" s="84" t="n">
        <f aca="false">ROW(A1286)</f>
        <v>1286</v>
      </c>
      <c r="B1289" s="84" t="s">
        <v>455</v>
      </c>
      <c r="C1289" s="32" t="n">
        <v>1</v>
      </c>
      <c r="D1289" s="85" t="n">
        <v>292</v>
      </c>
      <c r="E1289" s="86" t="s">
        <v>3326</v>
      </c>
      <c r="F1289" s="87" t="s">
        <v>3327</v>
      </c>
      <c r="G1289" s="32" t="s">
        <v>3278</v>
      </c>
      <c r="H1289" s="32" t="s">
        <v>3279</v>
      </c>
      <c r="I1289" s="172" t="s">
        <v>335</v>
      </c>
      <c r="J1289" s="86" t="s">
        <v>460</v>
      </c>
      <c r="K1289" s="88" t="s">
        <v>3328</v>
      </c>
      <c r="L1289" s="89" t="n">
        <v>45772</v>
      </c>
      <c r="M1289" s="32" t="n">
        <v>11</v>
      </c>
      <c r="N1289" s="32" t="n">
        <v>17</v>
      </c>
      <c r="O1289" s="32" t="n">
        <v>6</v>
      </c>
      <c r="P1289" s="32" t="n">
        <v>6</v>
      </c>
      <c r="Q1289" s="32"/>
      <c r="R1289" s="90" t="n">
        <f aca="false">合約與計費!$D$4</f>
        <v>0.296</v>
      </c>
      <c r="S1289" s="91" t="n">
        <f aca="false">ROUND(P1289*R1289,0)</f>
        <v>2</v>
      </c>
      <c r="T1289" s="92"/>
      <c r="U1289" s="32" t="n">
        <v>7</v>
      </c>
      <c r="V1289" s="32" t="n">
        <v>10</v>
      </c>
      <c r="W1289" s="32" t="n">
        <v>3</v>
      </c>
      <c r="X1289" s="32" t="n">
        <v>3</v>
      </c>
      <c r="Y1289" s="32"/>
      <c r="Z1289" s="93" t="n">
        <f aca="false">合約與計費!$E$4</f>
        <v>2.8</v>
      </c>
      <c r="AA1289" s="94" t="n">
        <f aca="false">ROUND(X1289*Z1289,0)</f>
        <v>8</v>
      </c>
      <c r="AB1289" s="95"/>
      <c r="AC1289" s="96"/>
      <c r="AD1289" s="42"/>
      <c r="AE1289" s="43"/>
    </row>
    <row r="1290" customFormat="false" ht="16.5" hidden="false" customHeight="true" outlineLevel="0" collapsed="false">
      <c r="A1290" s="97" t="n">
        <f aca="false">ROW(A1287)</f>
        <v>1287</v>
      </c>
      <c r="B1290" s="97" t="s">
        <v>462</v>
      </c>
      <c r="C1290" s="100" t="n">
        <v>1</v>
      </c>
      <c r="D1290" s="85"/>
      <c r="E1290" s="98" t="s">
        <v>3329</v>
      </c>
      <c r="F1290" s="99" t="s">
        <v>3327</v>
      </c>
      <c r="G1290" s="100" t="s">
        <v>3278</v>
      </c>
      <c r="H1290" s="100" t="s">
        <v>3279</v>
      </c>
      <c r="I1290" s="175" t="s">
        <v>335</v>
      </c>
      <c r="J1290" s="98" t="s">
        <v>527</v>
      </c>
      <c r="K1290" s="101" t="s">
        <v>3330</v>
      </c>
      <c r="L1290" s="102" t="n">
        <v>45772</v>
      </c>
      <c r="M1290" s="100" t="n">
        <v>2951</v>
      </c>
      <c r="N1290" s="100" t="n">
        <v>3547</v>
      </c>
      <c r="O1290" s="100" t="n">
        <v>596</v>
      </c>
      <c r="P1290" s="100" t="n">
        <v>578</v>
      </c>
      <c r="Q1290" s="100"/>
      <c r="R1290" s="103" t="n">
        <f aca="false">合約與計費!$D$4</f>
        <v>0.296</v>
      </c>
      <c r="S1290" s="104" t="n">
        <f aca="false">ROUND(P1290*R1290,0)</f>
        <v>171</v>
      </c>
      <c r="T1290" s="105"/>
      <c r="U1290" s="100"/>
      <c r="V1290" s="100"/>
      <c r="W1290" s="106"/>
      <c r="X1290" s="100"/>
      <c r="Y1290" s="100"/>
      <c r="Z1290" s="107"/>
      <c r="AA1290" s="108"/>
      <c r="AB1290" s="109"/>
      <c r="AC1290" s="110"/>
      <c r="AD1290" s="42"/>
      <c r="AE1290" s="43"/>
    </row>
    <row r="1291" customFormat="false" ht="16.5" hidden="false" customHeight="true" outlineLevel="0" collapsed="false">
      <c r="A1291" s="111" t="n">
        <f aca="false">ROW(A1288)</f>
        <v>1288</v>
      </c>
      <c r="B1291" s="111" t="s">
        <v>466</v>
      </c>
      <c r="C1291" s="114" t="n">
        <v>1</v>
      </c>
      <c r="D1291" s="85"/>
      <c r="E1291" s="112" t="s">
        <v>3331</v>
      </c>
      <c r="F1291" s="113" t="s">
        <v>3327</v>
      </c>
      <c r="G1291" s="114" t="s">
        <v>3278</v>
      </c>
      <c r="H1291" s="114" t="s">
        <v>3279</v>
      </c>
      <c r="I1291" s="173" t="s">
        <v>335</v>
      </c>
      <c r="J1291" s="112" t="s">
        <v>527</v>
      </c>
      <c r="K1291" s="115" t="s">
        <v>3332</v>
      </c>
      <c r="L1291" s="116" t="n">
        <v>45772</v>
      </c>
      <c r="M1291" s="114" t="n">
        <v>3833</v>
      </c>
      <c r="N1291" s="114" t="n">
        <v>4494</v>
      </c>
      <c r="O1291" s="114" t="n">
        <v>661</v>
      </c>
      <c r="P1291" s="114" t="n">
        <v>641</v>
      </c>
      <c r="Q1291" s="114" t="n">
        <f aca="false">ROUND(SUM(P1289:P1291),2)</f>
        <v>1225</v>
      </c>
      <c r="R1291" s="117" t="n">
        <f aca="false">合約與計費!$D$4</f>
        <v>0.296</v>
      </c>
      <c r="S1291" s="118" t="n">
        <f aca="false">ROUND(P1291*R1291,0)</f>
        <v>190</v>
      </c>
      <c r="T1291" s="119" t="n">
        <f aca="false">ROUND(SUM(S1289:S1291),2)</f>
        <v>363</v>
      </c>
      <c r="U1291" s="114"/>
      <c r="V1291" s="114"/>
      <c r="W1291" s="120"/>
      <c r="X1291" s="114"/>
      <c r="Y1291" s="114" t="n">
        <f aca="false">ROUND(SUM(X1289:X1291),2)</f>
        <v>3</v>
      </c>
      <c r="Z1291" s="121"/>
      <c r="AA1291" s="122"/>
      <c r="AB1291" s="123" t="n">
        <f aca="false">ROUND(SUM(AA1289:AA1291),2)</f>
        <v>8</v>
      </c>
      <c r="AC1291" s="124"/>
      <c r="AD1291" s="42"/>
      <c r="AE1291" s="43"/>
    </row>
    <row r="1292" customFormat="false" ht="16.5" hidden="false" customHeight="true" outlineLevel="0" collapsed="false">
      <c r="A1292" s="84" t="n">
        <f aca="false">ROW(A1289)</f>
        <v>1289</v>
      </c>
      <c r="B1292" s="84" t="s">
        <v>455</v>
      </c>
      <c r="C1292" s="32" t="n">
        <v>1</v>
      </c>
      <c r="D1292" s="85" t="n">
        <v>300</v>
      </c>
      <c r="E1292" s="233" t="s">
        <v>3333</v>
      </c>
      <c r="F1292" s="87" t="s">
        <v>3334</v>
      </c>
      <c r="G1292" s="32" t="s">
        <v>3278</v>
      </c>
      <c r="H1292" s="32" t="s">
        <v>3279</v>
      </c>
      <c r="I1292" s="172" t="s">
        <v>228</v>
      </c>
      <c r="J1292" s="86" t="s">
        <v>460</v>
      </c>
      <c r="K1292" s="88" t="s">
        <v>3335</v>
      </c>
      <c r="L1292" s="89" t="n">
        <v>45749</v>
      </c>
      <c r="M1292" s="32" t="n">
        <v>11</v>
      </c>
      <c r="N1292" s="32" t="n">
        <v>14</v>
      </c>
      <c r="O1292" s="32" t="n">
        <v>3</v>
      </c>
      <c r="P1292" s="32" t="n">
        <v>3</v>
      </c>
      <c r="Q1292" s="32"/>
      <c r="R1292" s="90" t="n">
        <f aca="false">合約與計費!$D$4</f>
        <v>0.296</v>
      </c>
      <c r="S1292" s="91" t="n">
        <f aca="false">ROUND(P1292*R1292,0)</f>
        <v>1</v>
      </c>
      <c r="T1292" s="92"/>
      <c r="U1292" s="32" t="n">
        <v>34</v>
      </c>
      <c r="V1292" s="32" t="n">
        <v>49</v>
      </c>
      <c r="W1292" s="32" t="n">
        <v>15</v>
      </c>
      <c r="X1292" s="32" t="n">
        <v>15</v>
      </c>
      <c r="Y1292" s="32"/>
      <c r="Z1292" s="93" t="n">
        <f aca="false">合約與計費!$E$4</f>
        <v>2.8</v>
      </c>
      <c r="AA1292" s="94" t="n">
        <f aca="false">ROUND(X1292*Z1292,0)</f>
        <v>42</v>
      </c>
      <c r="AB1292" s="95"/>
      <c r="AC1292" s="96"/>
      <c r="AD1292" s="42"/>
      <c r="AE1292" s="43"/>
    </row>
    <row r="1293" customFormat="false" ht="16.5" hidden="false" customHeight="true" outlineLevel="0" collapsed="false">
      <c r="A1293" s="97" t="n">
        <f aca="false">ROW(A1290)</f>
        <v>1290</v>
      </c>
      <c r="B1293" s="97" t="s">
        <v>462</v>
      </c>
      <c r="C1293" s="100" t="n">
        <v>1</v>
      </c>
      <c r="D1293" s="85"/>
      <c r="E1293" s="234" t="s">
        <v>3336</v>
      </c>
      <c r="F1293" s="99" t="s">
        <v>3334</v>
      </c>
      <c r="G1293" s="100" t="s">
        <v>3278</v>
      </c>
      <c r="H1293" s="100" t="s">
        <v>3279</v>
      </c>
      <c r="I1293" s="175" t="s">
        <v>228</v>
      </c>
      <c r="J1293" s="98" t="s">
        <v>527</v>
      </c>
      <c r="K1293" s="101" t="s">
        <v>3337</v>
      </c>
      <c r="L1293" s="102" t="n">
        <v>45749</v>
      </c>
      <c r="M1293" s="100" t="n">
        <v>4806</v>
      </c>
      <c r="N1293" s="100" t="n">
        <v>5558</v>
      </c>
      <c r="O1293" s="100" t="n">
        <v>752</v>
      </c>
      <c r="P1293" s="100" t="n">
        <v>729</v>
      </c>
      <c r="Q1293" s="100"/>
      <c r="R1293" s="103" t="n">
        <f aca="false">合約與計費!$D$4</f>
        <v>0.296</v>
      </c>
      <c r="S1293" s="104" t="n">
        <f aca="false">ROUND(P1293*R1293,0)</f>
        <v>216</v>
      </c>
      <c r="T1293" s="105"/>
      <c r="U1293" s="100"/>
      <c r="V1293" s="100"/>
      <c r="W1293" s="106"/>
      <c r="X1293" s="100"/>
      <c r="Y1293" s="100"/>
      <c r="Z1293" s="107"/>
      <c r="AA1293" s="108"/>
      <c r="AB1293" s="109"/>
      <c r="AC1293" s="110"/>
      <c r="AD1293" s="42"/>
      <c r="AE1293" s="43"/>
    </row>
    <row r="1294" customFormat="false" ht="16.5" hidden="false" customHeight="true" outlineLevel="0" collapsed="false">
      <c r="A1294" s="111" t="n">
        <f aca="false">ROW(A1291)</f>
        <v>1291</v>
      </c>
      <c r="B1294" s="111" t="s">
        <v>466</v>
      </c>
      <c r="C1294" s="114" t="n">
        <v>1</v>
      </c>
      <c r="D1294" s="85"/>
      <c r="E1294" s="235" t="s">
        <v>3338</v>
      </c>
      <c r="F1294" s="113" t="s">
        <v>3334</v>
      </c>
      <c r="G1294" s="114" t="s">
        <v>3278</v>
      </c>
      <c r="H1294" s="114" t="s">
        <v>3279</v>
      </c>
      <c r="I1294" s="173" t="s">
        <v>228</v>
      </c>
      <c r="J1294" s="112" t="s">
        <v>527</v>
      </c>
      <c r="K1294" s="115" t="s">
        <v>3339</v>
      </c>
      <c r="L1294" s="116" t="n">
        <v>45749</v>
      </c>
      <c r="M1294" s="114" t="n">
        <v>5179</v>
      </c>
      <c r="N1294" s="114" t="n">
        <v>6129</v>
      </c>
      <c r="O1294" s="114" t="n">
        <v>950</v>
      </c>
      <c r="P1294" s="114" t="n">
        <v>922</v>
      </c>
      <c r="Q1294" s="114" t="n">
        <f aca="false">ROUND(SUM(P1292:P1294),2)</f>
        <v>1654</v>
      </c>
      <c r="R1294" s="117" t="n">
        <f aca="false">合約與計費!$D$4</f>
        <v>0.296</v>
      </c>
      <c r="S1294" s="118" t="n">
        <f aca="false">ROUND(P1294*R1294,0)</f>
        <v>273</v>
      </c>
      <c r="T1294" s="119" t="n">
        <f aca="false">ROUND(SUM(S1292:S1294),2)</f>
        <v>490</v>
      </c>
      <c r="U1294" s="114"/>
      <c r="V1294" s="114"/>
      <c r="W1294" s="120"/>
      <c r="X1294" s="114"/>
      <c r="Y1294" s="114" t="n">
        <f aca="false">ROUND(SUM(X1292:X1294),2)</f>
        <v>15</v>
      </c>
      <c r="Z1294" s="121"/>
      <c r="AA1294" s="122"/>
      <c r="AB1294" s="123" t="n">
        <f aca="false">ROUND(SUM(AA1292:AA1294),2)</f>
        <v>42</v>
      </c>
      <c r="AC1294" s="124"/>
      <c r="AD1294" s="42"/>
      <c r="AE1294" s="43"/>
    </row>
    <row r="1295" customFormat="false" ht="16.5" hidden="false" customHeight="true" outlineLevel="0" collapsed="false">
      <c r="A1295" s="84" t="n">
        <f aca="false">ROW(A1292)</f>
        <v>1292</v>
      </c>
      <c r="B1295" s="84" t="s">
        <v>455</v>
      </c>
      <c r="C1295" s="32" t="n">
        <v>1</v>
      </c>
      <c r="D1295" s="85" t="n">
        <v>304</v>
      </c>
      <c r="E1295" s="233" t="s">
        <v>3340</v>
      </c>
      <c r="F1295" s="87" t="s">
        <v>3341</v>
      </c>
      <c r="G1295" s="32" t="s">
        <v>3278</v>
      </c>
      <c r="H1295" s="32" t="s">
        <v>3279</v>
      </c>
      <c r="I1295" s="172" t="s">
        <v>293</v>
      </c>
      <c r="J1295" s="86" t="s">
        <v>460</v>
      </c>
      <c r="K1295" s="88" t="s">
        <v>3342</v>
      </c>
      <c r="L1295" s="89" t="n">
        <v>45775</v>
      </c>
      <c r="M1295" s="32" t="n">
        <v>13</v>
      </c>
      <c r="N1295" s="32" t="n">
        <v>16</v>
      </c>
      <c r="O1295" s="32" t="n">
        <v>3</v>
      </c>
      <c r="P1295" s="32" t="n">
        <v>3</v>
      </c>
      <c r="Q1295" s="32"/>
      <c r="R1295" s="90" t="n">
        <f aca="false">合約與計費!$D$4</f>
        <v>0.296</v>
      </c>
      <c r="S1295" s="91" t="n">
        <f aca="false">ROUND(P1295*R1295,0)</f>
        <v>1</v>
      </c>
      <c r="T1295" s="92"/>
      <c r="U1295" s="32" t="n">
        <v>19</v>
      </c>
      <c r="V1295" s="32" t="n">
        <v>26</v>
      </c>
      <c r="W1295" s="32" t="n">
        <v>7</v>
      </c>
      <c r="X1295" s="32" t="n">
        <v>7</v>
      </c>
      <c r="Y1295" s="32"/>
      <c r="Z1295" s="93" t="n">
        <f aca="false">合約與計費!$E$4</f>
        <v>2.8</v>
      </c>
      <c r="AA1295" s="94" t="n">
        <f aca="false">ROUND(X1295*Z1295,0)</f>
        <v>20</v>
      </c>
      <c r="AB1295" s="95"/>
      <c r="AC1295" s="96"/>
      <c r="AD1295" s="42"/>
      <c r="AE1295" s="43"/>
    </row>
    <row r="1296" customFormat="false" ht="16.5" hidden="false" customHeight="true" outlineLevel="0" collapsed="false">
      <c r="A1296" s="97" t="n">
        <f aca="false">ROW(A1293)</f>
        <v>1293</v>
      </c>
      <c r="B1296" s="97" t="s">
        <v>462</v>
      </c>
      <c r="C1296" s="100" t="n">
        <v>1</v>
      </c>
      <c r="D1296" s="85"/>
      <c r="E1296" s="234" t="s">
        <v>3343</v>
      </c>
      <c r="F1296" s="99" t="s">
        <v>3341</v>
      </c>
      <c r="G1296" s="100" t="s">
        <v>3278</v>
      </c>
      <c r="H1296" s="100" t="s">
        <v>3279</v>
      </c>
      <c r="I1296" s="175" t="s">
        <v>293</v>
      </c>
      <c r="J1296" s="98" t="s">
        <v>527</v>
      </c>
      <c r="K1296" s="101" t="s">
        <v>3344</v>
      </c>
      <c r="L1296" s="102" t="n">
        <v>45775</v>
      </c>
      <c r="M1296" s="100" t="n">
        <v>2397</v>
      </c>
      <c r="N1296" s="100" t="n">
        <v>2831</v>
      </c>
      <c r="O1296" s="100" t="n">
        <v>434</v>
      </c>
      <c r="P1296" s="100" t="n">
        <v>421</v>
      </c>
      <c r="Q1296" s="100"/>
      <c r="R1296" s="103" t="n">
        <f aca="false">合約與計費!$D$4</f>
        <v>0.296</v>
      </c>
      <c r="S1296" s="104" t="n">
        <f aca="false">ROUND(P1296*R1296,0)</f>
        <v>125</v>
      </c>
      <c r="T1296" s="105"/>
      <c r="U1296" s="100"/>
      <c r="V1296" s="100"/>
      <c r="W1296" s="106"/>
      <c r="X1296" s="100"/>
      <c r="Y1296" s="100"/>
      <c r="Z1296" s="107"/>
      <c r="AA1296" s="108"/>
      <c r="AB1296" s="109"/>
      <c r="AC1296" s="110"/>
      <c r="AD1296" s="42"/>
      <c r="AE1296" s="43"/>
    </row>
    <row r="1297" customFormat="false" ht="16.5" hidden="false" customHeight="true" outlineLevel="0" collapsed="false">
      <c r="A1297" s="97" t="n">
        <f aca="false">ROW(A1294)</f>
        <v>1294</v>
      </c>
      <c r="B1297" s="97" t="s">
        <v>466</v>
      </c>
      <c r="C1297" s="100" t="n">
        <v>1</v>
      </c>
      <c r="D1297" s="85"/>
      <c r="E1297" s="234" t="s">
        <v>3345</v>
      </c>
      <c r="F1297" s="99" t="s">
        <v>3341</v>
      </c>
      <c r="G1297" s="100" t="s">
        <v>3278</v>
      </c>
      <c r="H1297" s="100" t="s">
        <v>3279</v>
      </c>
      <c r="I1297" s="175" t="s">
        <v>293</v>
      </c>
      <c r="J1297" s="98" t="s">
        <v>527</v>
      </c>
      <c r="K1297" s="101" t="s">
        <v>3346</v>
      </c>
      <c r="L1297" s="102" t="n">
        <v>45775</v>
      </c>
      <c r="M1297" s="100" t="n">
        <v>2399</v>
      </c>
      <c r="N1297" s="100" t="n">
        <v>3037</v>
      </c>
      <c r="O1297" s="100" t="n">
        <v>638</v>
      </c>
      <c r="P1297" s="100" t="n">
        <v>619</v>
      </c>
      <c r="Q1297" s="100"/>
      <c r="R1297" s="103" t="n">
        <f aca="false">合約與計費!$D$4</f>
        <v>0.296</v>
      </c>
      <c r="S1297" s="104" t="n">
        <f aca="false">ROUND(P1297*R1297,0)</f>
        <v>183</v>
      </c>
      <c r="T1297" s="105"/>
      <c r="U1297" s="100"/>
      <c r="V1297" s="100"/>
      <c r="W1297" s="106"/>
      <c r="X1297" s="100"/>
      <c r="Y1297" s="100"/>
      <c r="Z1297" s="107"/>
      <c r="AA1297" s="108"/>
      <c r="AB1297" s="109"/>
      <c r="AC1297" s="110"/>
      <c r="AD1297" s="42"/>
      <c r="AE1297" s="43"/>
    </row>
    <row r="1298" customFormat="false" ht="16.5" hidden="false" customHeight="true" outlineLevel="0" collapsed="false">
      <c r="A1298" s="111" t="n">
        <f aca="false">ROW(A1295)</f>
        <v>1295</v>
      </c>
      <c r="B1298" s="111" t="s">
        <v>469</v>
      </c>
      <c r="C1298" s="114" t="n">
        <v>1</v>
      </c>
      <c r="D1298" s="85"/>
      <c r="E1298" s="235" t="s">
        <v>3347</v>
      </c>
      <c r="F1298" s="113" t="s">
        <v>3341</v>
      </c>
      <c r="G1298" s="114" t="s">
        <v>3278</v>
      </c>
      <c r="H1298" s="114" t="s">
        <v>3279</v>
      </c>
      <c r="I1298" s="173" t="s">
        <v>293</v>
      </c>
      <c r="J1298" s="112" t="s">
        <v>527</v>
      </c>
      <c r="K1298" s="115" t="s">
        <v>3348</v>
      </c>
      <c r="L1298" s="116" t="n">
        <v>45775</v>
      </c>
      <c r="M1298" s="114" t="n">
        <v>2472</v>
      </c>
      <c r="N1298" s="114" t="n">
        <v>2954</v>
      </c>
      <c r="O1298" s="114" t="n">
        <v>482</v>
      </c>
      <c r="P1298" s="114" t="n">
        <v>468</v>
      </c>
      <c r="Q1298" s="114" t="n">
        <f aca="false">ROUND(SUM(P1295:P1298),2)</f>
        <v>1511</v>
      </c>
      <c r="R1298" s="117" t="n">
        <f aca="false">合約與計費!$D$4</f>
        <v>0.296</v>
      </c>
      <c r="S1298" s="118" t="n">
        <f aca="false">ROUND(P1298*R1298,0)</f>
        <v>139</v>
      </c>
      <c r="T1298" s="119" t="n">
        <f aca="false">ROUND(SUM(S1295:S1298),2)</f>
        <v>448</v>
      </c>
      <c r="U1298" s="114"/>
      <c r="V1298" s="114"/>
      <c r="W1298" s="120"/>
      <c r="X1298" s="114"/>
      <c r="Y1298" s="114" t="n">
        <f aca="false">ROUND(SUM(X1295:X1298),2)</f>
        <v>7</v>
      </c>
      <c r="Z1298" s="121"/>
      <c r="AA1298" s="122"/>
      <c r="AB1298" s="123" t="n">
        <f aca="false">ROUND(SUM(AA1295:AA1298),2)</f>
        <v>20</v>
      </c>
      <c r="AC1298" s="124"/>
      <c r="AD1298" s="42"/>
      <c r="AE1298" s="43"/>
    </row>
    <row r="1299" customFormat="false" ht="16.5" hidden="false" customHeight="true" outlineLevel="0" collapsed="false">
      <c r="A1299" s="84" t="n">
        <f aca="false">ROW(A1296)</f>
        <v>1296</v>
      </c>
      <c r="B1299" s="84" t="s">
        <v>455</v>
      </c>
      <c r="C1299" s="32" t="n">
        <v>1</v>
      </c>
      <c r="D1299" s="85" t="n">
        <v>311</v>
      </c>
      <c r="E1299" s="86" t="s">
        <v>3349</v>
      </c>
      <c r="F1299" s="87" t="s">
        <v>3350</v>
      </c>
      <c r="G1299" s="32" t="s">
        <v>3278</v>
      </c>
      <c r="H1299" s="32" t="s">
        <v>3279</v>
      </c>
      <c r="I1299" s="32" t="s">
        <v>61</v>
      </c>
      <c r="J1299" s="86" t="s">
        <v>460</v>
      </c>
      <c r="K1299" s="225" t="s">
        <v>3351</v>
      </c>
      <c r="L1299" s="89" t="n">
        <v>45771</v>
      </c>
      <c r="M1299" s="32" t="n">
        <v>15</v>
      </c>
      <c r="N1299" s="32" t="n">
        <v>19</v>
      </c>
      <c r="O1299" s="32" t="n">
        <v>4</v>
      </c>
      <c r="P1299" s="32" t="n">
        <v>4</v>
      </c>
      <c r="Q1299" s="32"/>
      <c r="R1299" s="90" t="n">
        <f aca="false">合約與計費!$D$4</f>
        <v>0.296</v>
      </c>
      <c r="S1299" s="91" t="n">
        <f aca="false">ROUND(P1299*R1299,0)</f>
        <v>1</v>
      </c>
      <c r="T1299" s="92"/>
      <c r="U1299" s="32" t="n">
        <v>39</v>
      </c>
      <c r="V1299" s="32" t="n">
        <v>55</v>
      </c>
      <c r="W1299" s="32" t="n">
        <v>16</v>
      </c>
      <c r="X1299" s="32" t="n">
        <v>16</v>
      </c>
      <c r="Y1299" s="32"/>
      <c r="Z1299" s="93" t="n">
        <f aca="false">合約與計費!$E$4</f>
        <v>2.8</v>
      </c>
      <c r="AA1299" s="94" t="n">
        <f aca="false">ROUND(X1299*Z1299,0)</f>
        <v>45</v>
      </c>
      <c r="AB1299" s="95"/>
      <c r="AC1299" s="96"/>
      <c r="AD1299" s="42"/>
      <c r="AE1299" s="43"/>
    </row>
    <row r="1300" customFormat="false" ht="16.5" hidden="false" customHeight="true" outlineLevel="0" collapsed="false">
      <c r="A1300" s="97" t="n">
        <f aca="false">ROW(A1297)</f>
        <v>1297</v>
      </c>
      <c r="B1300" s="97" t="s">
        <v>462</v>
      </c>
      <c r="C1300" s="100" t="n">
        <v>1</v>
      </c>
      <c r="D1300" s="85"/>
      <c r="E1300" s="98" t="s">
        <v>3352</v>
      </c>
      <c r="F1300" s="99" t="s">
        <v>3350</v>
      </c>
      <c r="G1300" s="100" t="s">
        <v>3278</v>
      </c>
      <c r="H1300" s="100" t="s">
        <v>3279</v>
      </c>
      <c r="I1300" s="100" t="s">
        <v>61</v>
      </c>
      <c r="J1300" s="98" t="s">
        <v>464</v>
      </c>
      <c r="K1300" s="101" t="s">
        <v>3353</v>
      </c>
      <c r="L1300" s="102" t="n">
        <v>45771</v>
      </c>
      <c r="M1300" s="100" t="n">
        <v>541</v>
      </c>
      <c r="N1300" s="100" t="n">
        <v>683</v>
      </c>
      <c r="O1300" s="100" t="n">
        <v>142</v>
      </c>
      <c r="P1300" s="100" t="n">
        <v>138</v>
      </c>
      <c r="Q1300" s="100"/>
      <c r="R1300" s="103" t="n">
        <f aca="false">合約與計費!$D$4</f>
        <v>0.296</v>
      </c>
      <c r="S1300" s="104" t="n">
        <f aca="false">ROUND(P1300*R1300,0)</f>
        <v>41</v>
      </c>
      <c r="T1300" s="105"/>
      <c r="U1300" s="100"/>
      <c r="V1300" s="100"/>
      <c r="W1300" s="106"/>
      <c r="X1300" s="100"/>
      <c r="Y1300" s="100"/>
      <c r="Z1300" s="107"/>
      <c r="AA1300" s="108"/>
      <c r="AB1300" s="109"/>
      <c r="AC1300" s="110"/>
      <c r="AD1300" s="42"/>
      <c r="AE1300" s="43"/>
    </row>
    <row r="1301" customFormat="false" ht="16.5" hidden="false" customHeight="true" outlineLevel="0" collapsed="false">
      <c r="A1301" s="97" t="n">
        <f aca="false">ROW(A1298)</f>
        <v>1298</v>
      </c>
      <c r="B1301" s="97" t="s">
        <v>466</v>
      </c>
      <c r="C1301" s="100" t="n">
        <v>1</v>
      </c>
      <c r="D1301" s="85"/>
      <c r="E1301" s="98" t="s">
        <v>3354</v>
      </c>
      <c r="F1301" s="99" t="s">
        <v>3350</v>
      </c>
      <c r="G1301" s="100" t="s">
        <v>3278</v>
      </c>
      <c r="H1301" s="100" t="s">
        <v>3279</v>
      </c>
      <c r="I1301" s="100" t="s">
        <v>61</v>
      </c>
      <c r="J1301" s="98" t="s">
        <v>527</v>
      </c>
      <c r="K1301" s="101" t="s">
        <v>3355</v>
      </c>
      <c r="L1301" s="102" t="n">
        <v>45771</v>
      </c>
      <c r="M1301" s="100" t="n">
        <v>433</v>
      </c>
      <c r="N1301" s="100" t="n">
        <v>576</v>
      </c>
      <c r="O1301" s="100" t="n">
        <v>143</v>
      </c>
      <c r="P1301" s="100" t="n">
        <v>139</v>
      </c>
      <c r="Q1301" s="100"/>
      <c r="R1301" s="103" t="n">
        <f aca="false">合約與計費!$D$4</f>
        <v>0.296</v>
      </c>
      <c r="S1301" s="104" t="n">
        <f aca="false">ROUND(P1301*R1301,0)</f>
        <v>41</v>
      </c>
      <c r="T1301" s="105"/>
      <c r="U1301" s="100"/>
      <c r="V1301" s="100"/>
      <c r="W1301" s="106"/>
      <c r="X1301" s="100"/>
      <c r="Y1301" s="100"/>
      <c r="Z1301" s="107"/>
      <c r="AA1301" s="108"/>
      <c r="AB1301" s="109"/>
      <c r="AC1301" s="110"/>
      <c r="AD1301" s="42"/>
      <c r="AE1301" s="43"/>
    </row>
    <row r="1302" customFormat="false" ht="16.5" hidden="false" customHeight="true" outlineLevel="0" collapsed="false">
      <c r="A1302" s="97" t="n">
        <f aca="false">ROW(A1299)</f>
        <v>1299</v>
      </c>
      <c r="B1302" s="97" t="s">
        <v>469</v>
      </c>
      <c r="C1302" s="100" t="n">
        <v>1</v>
      </c>
      <c r="D1302" s="85"/>
      <c r="E1302" s="98" t="s">
        <v>3356</v>
      </c>
      <c r="F1302" s="99" t="s">
        <v>3350</v>
      </c>
      <c r="G1302" s="100" t="s">
        <v>3278</v>
      </c>
      <c r="H1302" s="100" t="s">
        <v>3279</v>
      </c>
      <c r="I1302" s="100" t="s">
        <v>61</v>
      </c>
      <c r="J1302" s="98" t="s">
        <v>527</v>
      </c>
      <c r="K1302" s="101" t="s">
        <v>3357</v>
      </c>
      <c r="L1302" s="102" t="n">
        <v>45771</v>
      </c>
      <c r="M1302" s="100" t="n">
        <v>5058</v>
      </c>
      <c r="N1302" s="100" t="n">
        <v>6220</v>
      </c>
      <c r="O1302" s="100" t="n">
        <v>1162</v>
      </c>
      <c r="P1302" s="100" t="n">
        <v>1127</v>
      </c>
      <c r="Q1302" s="100"/>
      <c r="R1302" s="103" t="n">
        <f aca="false">合約與計費!$D$4</f>
        <v>0.296</v>
      </c>
      <c r="S1302" s="104" t="n">
        <f aca="false">ROUND(P1302*R1302,0)</f>
        <v>334</v>
      </c>
      <c r="T1302" s="105"/>
      <c r="U1302" s="100"/>
      <c r="V1302" s="100"/>
      <c r="W1302" s="106"/>
      <c r="X1302" s="100"/>
      <c r="Y1302" s="100"/>
      <c r="Z1302" s="107"/>
      <c r="AA1302" s="108"/>
      <c r="AB1302" s="109"/>
      <c r="AC1302" s="110"/>
      <c r="AD1302" s="42"/>
      <c r="AE1302" s="43"/>
    </row>
    <row r="1303" customFormat="false" ht="16.5" hidden="false" customHeight="true" outlineLevel="0" collapsed="false">
      <c r="A1303" s="97" t="n">
        <f aca="false">ROW(A1300)</f>
        <v>1300</v>
      </c>
      <c r="B1303" s="97" t="s">
        <v>473</v>
      </c>
      <c r="C1303" s="100" t="n">
        <v>1</v>
      </c>
      <c r="D1303" s="85"/>
      <c r="E1303" s="98" t="s">
        <v>3358</v>
      </c>
      <c r="F1303" s="99" t="s">
        <v>3350</v>
      </c>
      <c r="G1303" s="100" t="s">
        <v>3278</v>
      </c>
      <c r="H1303" s="100" t="s">
        <v>3279</v>
      </c>
      <c r="I1303" s="100" t="s">
        <v>61</v>
      </c>
      <c r="J1303" s="98" t="s">
        <v>527</v>
      </c>
      <c r="K1303" s="171" t="s">
        <v>3359</v>
      </c>
      <c r="L1303" s="102" t="n">
        <v>45771</v>
      </c>
      <c r="M1303" s="100" t="n">
        <v>1584</v>
      </c>
      <c r="N1303" s="100" t="n">
        <v>1924</v>
      </c>
      <c r="O1303" s="100" t="n">
        <v>340</v>
      </c>
      <c r="P1303" s="100" t="n">
        <v>330</v>
      </c>
      <c r="Q1303" s="100"/>
      <c r="R1303" s="103" t="n">
        <f aca="false">合約與計費!$D$4</f>
        <v>0.296</v>
      </c>
      <c r="S1303" s="104" t="n">
        <f aca="false">ROUND(P1303*R1303,0)</f>
        <v>98</v>
      </c>
      <c r="T1303" s="105"/>
      <c r="U1303" s="100"/>
      <c r="V1303" s="100"/>
      <c r="W1303" s="106"/>
      <c r="X1303" s="100"/>
      <c r="Y1303" s="100"/>
      <c r="Z1303" s="107"/>
      <c r="AA1303" s="108"/>
      <c r="AB1303" s="109"/>
      <c r="AC1303" s="110"/>
      <c r="AD1303" s="42"/>
      <c r="AE1303" s="43"/>
    </row>
    <row r="1304" customFormat="false" ht="16.5" hidden="false" customHeight="true" outlineLevel="0" collapsed="false">
      <c r="A1304" s="111" t="n">
        <f aca="false">ROW(A1301)</f>
        <v>1301</v>
      </c>
      <c r="B1304" s="111" t="s">
        <v>476</v>
      </c>
      <c r="C1304" s="114" t="n">
        <v>1</v>
      </c>
      <c r="D1304" s="85"/>
      <c r="E1304" s="112" t="s">
        <v>3360</v>
      </c>
      <c r="F1304" s="113" t="s">
        <v>3350</v>
      </c>
      <c r="G1304" s="114" t="s">
        <v>3278</v>
      </c>
      <c r="H1304" s="114" t="s">
        <v>3279</v>
      </c>
      <c r="I1304" s="114" t="s">
        <v>61</v>
      </c>
      <c r="J1304" s="112" t="s">
        <v>527</v>
      </c>
      <c r="K1304" s="115" t="s">
        <v>3361</v>
      </c>
      <c r="L1304" s="116" t="n">
        <v>45771</v>
      </c>
      <c r="M1304" s="114" t="n">
        <v>2776</v>
      </c>
      <c r="N1304" s="114" t="n">
        <v>3503</v>
      </c>
      <c r="O1304" s="114" t="n">
        <v>727</v>
      </c>
      <c r="P1304" s="114" t="n">
        <v>705</v>
      </c>
      <c r="Q1304" s="114" t="n">
        <f aca="false">ROUND(SUM(P1299:P1304),2)</f>
        <v>2443</v>
      </c>
      <c r="R1304" s="117" t="n">
        <f aca="false">合約與計費!$D$4</f>
        <v>0.296</v>
      </c>
      <c r="S1304" s="118" t="n">
        <f aca="false">ROUND(P1304*R1304,0)</f>
        <v>209</v>
      </c>
      <c r="T1304" s="119" t="n">
        <f aca="false">ROUND(SUM(S1299:S1304),2)</f>
        <v>724</v>
      </c>
      <c r="U1304" s="114"/>
      <c r="V1304" s="114"/>
      <c r="W1304" s="120"/>
      <c r="X1304" s="114"/>
      <c r="Y1304" s="114" t="n">
        <f aca="false">ROUND(SUM(X1299:X1304),2)</f>
        <v>16</v>
      </c>
      <c r="Z1304" s="121"/>
      <c r="AA1304" s="122"/>
      <c r="AB1304" s="123" t="n">
        <f aca="false">ROUND(SUM(AA1299:AA1304),2)</f>
        <v>45</v>
      </c>
      <c r="AC1304" s="124"/>
      <c r="AD1304" s="42"/>
      <c r="AE1304" s="43"/>
    </row>
    <row r="1305" customFormat="false" ht="16.5" hidden="false" customHeight="true" outlineLevel="0" collapsed="false">
      <c r="A1305" s="84" t="n">
        <f aca="false">ROW(A1302)</f>
        <v>1302</v>
      </c>
      <c r="B1305" s="84" t="s">
        <v>455</v>
      </c>
      <c r="C1305" s="32" t="n">
        <v>1</v>
      </c>
      <c r="D1305" s="85" t="n">
        <v>371</v>
      </c>
      <c r="E1305" s="86" t="s">
        <v>3362</v>
      </c>
      <c r="F1305" s="87" t="s">
        <v>3363</v>
      </c>
      <c r="G1305" s="32" t="s">
        <v>3278</v>
      </c>
      <c r="H1305" s="32" t="s">
        <v>3279</v>
      </c>
      <c r="I1305" s="172" t="s">
        <v>316</v>
      </c>
      <c r="J1305" s="86" t="s">
        <v>460</v>
      </c>
      <c r="K1305" s="88" t="s">
        <v>3364</v>
      </c>
      <c r="L1305" s="89" t="n">
        <v>45743</v>
      </c>
      <c r="M1305" s="32" t="n">
        <v>209</v>
      </c>
      <c r="N1305" s="32" t="n">
        <v>321</v>
      </c>
      <c r="O1305" s="32" t="n">
        <v>112</v>
      </c>
      <c r="P1305" s="32" t="n">
        <v>109</v>
      </c>
      <c r="Q1305" s="32"/>
      <c r="R1305" s="90" t="n">
        <f aca="false">合約與計費!$D$4</f>
        <v>0.296</v>
      </c>
      <c r="S1305" s="91" t="n">
        <f aca="false">ROUND(P1305*R1305,0)</f>
        <v>32</v>
      </c>
      <c r="T1305" s="92"/>
      <c r="U1305" s="32" t="n">
        <v>48</v>
      </c>
      <c r="V1305" s="32" t="n">
        <v>52</v>
      </c>
      <c r="W1305" s="32" t="n">
        <v>4</v>
      </c>
      <c r="X1305" s="32" t="n">
        <v>4</v>
      </c>
      <c r="Y1305" s="32"/>
      <c r="Z1305" s="93" t="n">
        <f aca="false">合約與計費!$E$4</f>
        <v>2.8</v>
      </c>
      <c r="AA1305" s="94" t="n">
        <f aca="false">ROUND(X1305*Z1305,0)</f>
        <v>11</v>
      </c>
      <c r="AB1305" s="95"/>
      <c r="AC1305" s="96"/>
      <c r="AD1305" s="42"/>
      <c r="AE1305" s="43"/>
    </row>
    <row r="1306" customFormat="false" ht="16.5" hidden="false" customHeight="true" outlineLevel="0" collapsed="false">
      <c r="A1306" s="97" t="n">
        <f aca="false">ROW(A1303)</f>
        <v>1303</v>
      </c>
      <c r="B1306" s="97" t="s">
        <v>462</v>
      </c>
      <c r="C1306" s="100" t="n">
        <v>1</v>
      </c>
      <c r="D1306" s="85"/>
      <c r="E1306" s="98" t="s">
        <v>3365</v>
      </c>
      <c r="F1306" s="99" t="s">
        <v>3363</v>
      </c>
      <c r="G1306" s="100" t="s">
        <v>3278</v>
      </c>
      <c r="H1306" s="100" t="s">
        <v>3279</v>
      </c>
      <c r="I1306" s="175" t="s">
        <v>316</v>
      </c>
      <c r="J1306" s="98" t="s">
        <v>464</v>
      </c>
      <c r="K1306" s="101" t="s">
        <v>3366</v>
      </c>
      <c r="L1306" s="102" t="n">
        <v>45743</v>
      </c>
      <c r="M1306" s="100" t="n">
        <v>257</v>
      </c>
      <c r="N1306" s="100" t="n">
        <v>311</v>
      </c>
      <c r="O1306" s="100" t="n">
        <v>54</v>
      </c>
      <c r="P1306" s="100" t="n">
        <v>52</v>
      </c>
      <c r="Q1306" s="100"/>
      <c r="R1306" s="103" t="n">
        <f aca="false">合約與計費!$D$4</f>
        <v>0.296</v>
      </c>
      <c r="S1306" s="104" t="n">
        <f aca="false">ROUND(P1306*R1306,0)</f>
        <v>15</v>
      </c>
      <c r="T1306" s="105"/>
      <c r="U1306" s="100"/>
      <c r="V1306" s="100"/>
      <c r="W1306" s="106"/>
      <c r="X1306" s="100"/>
      <c r="Y1306" s="100"/>
      <c r="Z1306" s="107"/>
      <c r="AA1306" s="108"/>
      <c r="AB1306" s="109"/>
      <c r="AC1306" s="110"/>
      <c r="AD1306" s="42" t="n">
        <v>0.0451</v>
      </c>
      <c r="AE1306" s="43" t="n">
        <v>0.9</v>
      </c>
    </row>
    <row r="1307" customFormat="false" ht="16.5" hidden="false" customHeight="true" outlineLevel="0" collapsed="false">
      <c r="A1307" s="97" t="n">
        <f aca="false">ROW(A1304)</f>
        <v>1304</v>
      </c>
      <c r="B1307" s="97" t="s">
        <v>466</v>
      </c>
      <c r="C1307" s="100" t="n">
        <v>1</v>
      </c>
      <c r="D1307" s="85"/>
      <c r="E1307" s="98" t="s">
        <v>3367</v>
      </c>
      <c r="F1307" s="99" t="s">
        <v>3363</v>
      </c>
      <c r="G1307" s="100" t="s">
        <v>3278</v>
      </c>
      <c r="H1307" s="100" t="s">
        <v>3279</v>
      </c>
      <c r="I1307" s="175" t="s">
        <v>316</v>
      </c>
      <c r="J1307" s="98" t="s">
        <v>527</v>
      </c>
      <c r="K1307" s="101" t="s">
        <v>3368</v>
      </c>
      <c r="L1307" s="102" t="n">
        <v>45743</v>
      </c>
      <c r="M1307" s="100" t="n">
        <v>835</v>
      </c>
      <c r="N1307" s="100" t="n">
        <v>917</v>
      </c>
      <c r="O1307" s="100" t="n">
        <v>82</v>
      </c>
      <c r="P1307" s="100" t="n">
        <v>80</v>
      </c>
      <c r="Q1307" s="100"/>
      <c r="R1307" s="103" t="n">
        <f aca="false">合約與計費!$D$4</f>
        <v>0.296</v>
      </c>
      <c r="S1307" s="104" t="n">
        <f aca="false">ROUND(P1307*R1307,0)</f>
        <v>24</v>
      </c>
      <c r="T1307" s="105"/>
      <c r="U1307" s="100"/>
      <c r="V1307" s="100"/>
      <c r="W1307" s="106"/>
      <c r="X1307" s="100"/>
      <c r="Y1307" s="100"/>
      <c r="Z1307" s="107"/>
      <c r="AA1307" s="108"/>
      <c r="AB1307" s="109"/>
      <c r="AC1307" s="110"/>
      <c r="AD1307" s="42"/>
      <c r="AE1307" s="43"/>
    </row>
    <row r="1308" customFormat="false" ht="16.5" hidden="false" customHeight="true" outlineLevel="0" collapsed="false">
      <c r="A1308" s="111" t="n">
        <f aca="false">ROW(A1305)</f>
        <v>1305</v>
      </c>
      <c r="B1308" s="111" t="s">
        <v>469</v>
      </c>
      <c r="C1308" s="114" t="n">
        <v>1</v>
      </c>
      <c r="D1308" s="85"/>
      <c r="E1308" s="112" t="s">
        <v>3369</v>
      </c>
      <c r="F1308" s="113" t="s">
        <v>3363</v>
      </c>
      <c r="G1308" s="114" t="s">
        <v>3278</v>
      </c>
      <c r="H1308" s="114" t="s">
        <v>3279</v>
      </c>
      <c r="I1308" s="173" t="s">
        <v>316</v>
      </c>
      <c r="J1308" s="112" t="s">
        <v>527</v>
      </c>
      <c r="K1308" s="115" t="s">
        <v>3370</v>
      </c>
      <c r="L1308" s="116" t="n">
        <v>45743</v>
      </c>
      <c r="M1308" s="114" t="n">
        <v>4725</v>
      </c>
      <c r="N1308" s="114" t="n">
        <v>5363</v>
      </c>
      <c r="O1308" s="114" t="n">
        <v>638</v>
      </c>
      <c r="P1308" s="114" t="n">
        <v>619</v>
      </c>
      <c r="Q1308" s="114" t="n">
        <f aca="false">ROUND(SUM(P1305:P1308),2)</f>
        <v>860</v>
      </c>
      <c r="R1308" s="117" t="n">
        <f aca="false">合約與計費!$D$4</f>
        <v>0.296</v>
      </c>
      <c r="S1308" s="118" t="n">
        <f aca="false">ROUND(P1308*R1308,0)</f>
        <v>183</v>
      </c>
      <c r="T1308" s="119" t="n">
        <f aca="false">ROUND(SUM(S1305:S1308),2)</f>
        <v>254</v>
      </c>
      <c r="U1308" s="114"/>
      <c r="V1308" s="114"/>
      <c r="W1308" s="120"/>
      <c r="X1308" s="114"/>
      <c r="Y1308" s="114" t="n">
        <f aca="false">ROUND(SUM(X1305:X1308),2)</f>
        <v>4</v>
      </c>
      <c r="Z1308" s="121"/>
      <c r="AA1308" s="122"/>
      <c r="AB1308" s="123" t="n">
        <f aca="false">ROUND(SUM(AA1305:AA1308),2)</f>
        <v>11</v>
      </c>
      <c r="AC1308" s="124"/>
      <c r="AD1308" s="42"/>
      <c r="AE1308" s="43"/>
    </row>
    <row r="1309" customFormat="false" ht="16.5" hidden="false" customHeight="true" outlineLevel="0" collapsed="false">
      <c r="A1309" s="84" t="n">
        <f aca="false">ROW(A1306)</f>
        <v>1306</v>
      </c>
      <c r="B1309" s="84" t="s">
        <v>455</v>
      </c>
      <c r="C1309" s="32" t="n">
        <v>1</v>
      </c>
      <c r="D1309" s="85" t="n">
        <v>378</v>
      </c>
      <c r="E1309" s="86" t="s">
        <v>3371</v>
      </c>
      <c r="F1309" s="87" t="s">
        <v>3372</v>
      </c>
      <c r="G1309" s="32" t="s">
        <v>3278</v>
      </c>
      <c r="H1309" s="32" t="s">
        <v>3279</v>
      </c>
      <c r="I1309" s="172" t="s">
        <v>244</v>
      </c>
      <c r="J1309" s="86" t="s">
        <v>460</v>
      </c>
      <c r="K1309" s="88" t="s">
        <v>3373</v>
      </c>
      <c r="L1309" s="89" t="n">
        <v>45757</v>
      </c>
      <c r="M1309" s="32" t="n">
        <v>141</v>
      </c>
      <c r="N1309" s="32" t="n">
        <v>145</v>
      </c>
      <c r="O1309" s="32" t="n">
        <v>4</v>
      </c>
      <c r="P1309" s="32" t="n">
        <v>4</v>
      </c>
      <c r="Q1309" s="32"/>
      <c r="R1309" s="90" t="n">
        <f aca="false">合約與計費!$D$4</f>
        <v>0.296</v>
      </c>
      <c r="S1309" s="91" t="n">
        <f aca="false">ROUND(P1309*R1309,0)</f>
        <v>1</v>
      </c>
      <c r="T1309" s="92"/>
      <c r="U1309" s="32" t="n">
        <v>166</v>
      </c>
      <c r="V1309" s="32" t="n">
        <v>200</v>
      </c>
      <c r="W1309" s="32" t="n">
        <v>34</v>
      </c>
      <c r="X1309" s="32" t="n">
        <v>33</v>
      </c>
      <c r="Y1309" s="32"/>
      <c r="Z1309" s="93" t="n">
        <f aca="false">合約與計費!$E$4</f>
        <v>2.8</v>
      </c>
      <c r="AA1309" s="94" t="n">
        <f aca="false">ROUND(X1309*Z1309,0)</f>
        <v>92</v>
      </c>
      <c r="AB1309" s="95"/>
      <c r="AC1309" s="96"/>
      <c r="AD1309" s="42"/>
      <c r="AE1309" s="43"/>
    </row>
    <row r="1310" customFormat="false" ht="16.5" hidden="false" customHeight="true" outlineLevel="0" collapsed="false">
      <c r="A1310" s="97" t="n">
        <f aca="false">ROW(A1307)</f>
        <v>1307</v>
      </c>
      <c r="B1310" s="97" t="s">
        <v>462</v>
      </c>
      <c r="C1310" s="100" t="n">
        <v>1</v>
      </c>
      <c r="D1310" s="85"/>
      <c r="E1310" s="98" t="s">
        <v>3374</v>
      </c>
      <c r="F1310" s="99" t="s">
        <v>3372</v>
      </c>
      <c r="G1310" s="100" t="s">
        <v>3278</v>
      </c>
      <c r="H1310" s="100" t="s">
        <v>3279</v>
      </c>
      <c r="I1310" s="175" t="s">
        <v>244</v>
      </c>
      <c r="J1310" s="98" t="s">
        <v>527</v>
      </c>
      <c r="K1310" s="101" t="s">
        <v>3375</v>
      </c>
      <c r="L1310" s="102" t="n">
        <v>45757</v>
      </c>
      <c r="M1310" s="100" t="n">
        <v>1984</v>
      </c>
      <c r="N1310" s="100" t="n">
        <v>2520</v>
      </c>
      <c r="O1310" s="100" t="n">
        <v>536</v>
      </c>
      <c r="P1310" s="100" t="n">
        <v>520</v>
      </c>
      <c r="Q1310" s="100"/>
      <c r="R1310" s="103" t="n">
        <f aca="false">合約與計費!$D$4</f>
        <v>0.296</v>
      </c>
      <c r="S1310" s="104" t="n">
        <f aca="false">ROUND(P1310*R1310,0)</f>
        <v>154</v>
      </c>
      <c r="T1310" s="105"/>
      <c r="U1310" s="100"/>
      <c r="V1310" s="100"/>
      <c r="W1310" s="106"/>
      <c r="X1310" s="100"/>
      <c r="Y1310" s="100"/>
      <c r="Z1310" s="107"/>
      <c r="AA1310" s="108"/>
      <c r="AB1310" s="109"/>
      <c r="AC1310" s="110"/>
      <c r="AD1310" s="42"/>
      <c r="AE1310" s="43"/>
    </row>
    <row r="1311" customFormat="false" ht="16.5" hidden="false" customHeight="true" outlineLevel="0" collapsed="false">
      <c r="A1311" s="97" t="n">
        <f aca="false">ROW(A1308)</f>
        <v>1308</v>
      </c>
      <c r="B1311" s="97" t="s">
        <v>466</v>
      </c>
      <c r="C1311" s="100" t="n">
        <v>1</v>
      </c>
      <c r="D1311" s="85"/>
      <c r="E1311" s="98" t="s">
        <v>3376</v>
      </c>
      <c r="F1311" s="99" t="s">
        <v>3372</v>
      </c>
      <c r="G1311" s="100" t="s">
        <v>3278</v>
      </c>
      <c r="H1311" s="100" t="s">
        <v>3279</v>
      </c>
      <c r="I1311" s="175" t="s">
        <v>244</v>
      </c>
      <c r="J1311" s="98" t="s">
        <v>527</v>
      </c>
      <c r="K1311" s="101" t="s">
        <v>3377</v>
      </c>
      <c r="L1311" s="102" t="n">
        <v>45757</v>
      </c>
      <c r="M1311" s="100" t="n">
        <v>2277</v>
      </c>
      <c r="N1311" s="100" t="n">
        <v>2837</v>
      </c>
      <c r="O1311" s="100" t="n">
        <v>560</v>
      </c>
      <c r="P1311" s="100" t="n">
        <v>543</v>
      </c>
      <c r="Q1311" s="100"/>
      <c r="R1311" s="103" t="n">
        <f aca="false">合約與計費!$D$4</f>
        <v>0.296</v>
      </c>
      <c r="S1311" s="104" t="n">
        <f aca="false">ROUND(P1311*R1311,0)</f>
        <v>161</v>
      </c>
      <c r="T1311" s="105"/>
      <c r="U1311" s="100"/>
      <c r="V1311" s="100"/>
      <c r="W1311" s="106"/>
      <c r="X1311" s="100"/>
      <c r="Y1311" s="100"/>
      <c r="Z1311" s="107"/>
      <c r="AA1311" s="108"/>
      <c r="AB1311" s="109"/>
      <c r="AC1311" s="110"/>
      <c r="AD1311" s="42"/>
      <c r="AE1311" s="43"/>
    </row>
    <row r="1312" customFormat="false" ht="16.5" hidden="false" customHeight="true" outlineLevel="0" collapsed="false">
      <c r="A1312" s="111" t="n">
        <f aca="false">ROW(A1309)</f>
        <v>1309</v>
      </c>
      <c r="B1312" s="111" t="s">
        <v>469</v>
      </c>
      <c r="C1312" s="114" t="n">
        <v>1</v>
      </c>
      <c r="D1312" s="85"/>
      <c r="E1312" s="112" t="s">
        <v>3378</v>
      </c>
      <c r="F1312" s="113" t="s">
        <v>3372</v>
      </c>
      <c r="G1312" s="114" t="s">
        <v>3278</v>
      </c>
      <c r="H1312" s="114" t="s">
        <v>3279</v>
      </c>
      <c r="I1312" s="173" t="s">
        <v>244</v>
      </c>
      <c r="J1312" s="112" t="s">
        <v>527</v>
      </c>
      <c r="K1312" s="115" t="s">
        <v>3379</v>
      </c>
      <c r="L1312" s="116" t="n">
        <v>45757</v>
      </c>
      <c r="M1312" s="114" t="n">
        <v>3891</v>
      </c>
      <c r="N1312" s="114" t="n">
        <v>5089</v>
      </c>
      <c r="O1312" s="114" t="n">
        <v>1198</v>
      </c>
      <c r="P1312" s="114" t="n">
        <v>1162</v>
      </c>
      <c r="Q1312" s="114" t="n">
        <f aca="false">ROUND(SUM(P1309:P1312),2)</f>
        <v>2229</v>
      </c>
      <c r="R1312" s="117" t="n">
        <f aca="false">合約與計費!$D$4</f>
        <v>0.296</v>
      </c>
      <c r="S1312" s="118" t="n">
        <f aca="false">ROUND(P1312*R1312,0)</f>
        <v>344</v>
      </c>
      <c r="T1312" s="119" t="n">
        <f aca="false">ROUND(SUM(S1309:S1312),2)</f>
        <v>660</v>
      </c>
      <c r="U1312" s="114"/>
      <c r="V1312" s="114"/>
      <c r="W1312" s="120"/>
      <c r="X1312" s="114"/>
      <c r="Y1312" s="114" t="n">
        <f aca="false">ROUND(SUM(X1309:X1312),2)</f>
        <v>33</v>
      </c>
      <c r="Z1312" s="121"/>
      <c r="AA1312" s="122"/>
      <c r="AB1312" s="123" t="n">
        <f aca="false">ROUND(SUM(AA1309:AA1312),2)</f>
        <v>92</v>
      </c>
      <c r="AC1312" s="124"/>
      <c r="AD1312" s="42"/>
      <c r="AE1312" s="43"/>
    </row>
    <row r="1313" customFormat="false" ht="16.5" hidden="false" customHeight="true" outlineLevel="0" collapsed="false">
      <c r="A1313" s="84" t="n">
        <f aca="false">ROW(A1310)</f>
        <v>1310</v>
      </c>
      <c r="B1313" s="84" t="s">
        <v>455</v>
      </c>
      <c r="C1313" s="32" t="n">
        <v>1</v>
      </c>
      <c r="D1313" s="85" t="n">
        <v>381</v>
      </c>
      <c r="E1313" s="86" t="s">
        <v>3380</v>
      </c>
      <c r="F1313" s="87" t="s">
        <v>3381</v>
      </c>
      <c r="G1313" s="32" t="s">
        <v>3278</v>
      </c>
      <c r="H1313" s="32" t="s">
        <v>3279</v>
      </c>
      <c r="I1313" s="172" t="s">
        <v>240</v>
      </c>
      <c r="J1313" s="86" t="s">
        <v>460</v>
      </c>
      <c r="K1313" s="88" t="s">
        <v>3382</v>
      </c>
      <c r="L1313" s="89" t="n">
        <v>45748</v>
      </c>
      <c r="M1313" s="32" t="n">
        <v>1446</v>
      </c>
      <c r="N1313" s="32" t="n">
        <v>1740</v>
      </c>
      <c r="O1313" s="32" t="n">
        <v>294</v>
      </c>
      <c r="P1313" s="32" t="n">
        <v>285</v>
      </c>
      <c r="Q1313" s="32"/>
      <c r="R1313" s="90" t="n">
        <f aca="false">合約與計費!$D$4</f>
        <v>0.296</v>
      </c>
      <c r="S1313" s="91" t="n">
        <f aca="false">ROUND(P1313*R1313,0)</f>
        <v>84</v>
      </c>
      <c r="T1313" s="92"/>
      <c r="U1313" s="32" t="n">
        <v>87</v>
      </c>
      <c r="V1313" s="32" t="n">
        <v>110</v>
      </c>
      <c r="W1313" s="32" t="n">
        <v>23</v>
      </c>
      <c r="X1313" s="32" t="n">
        <v>22</v>
      </c>
      <c r="Y1313" s="32"/>
      <c r="Z1313" s="93" t="n">
        <f aca="false">合約與計費!$E$4</f>
        <v>2.8</v>
      </c>
      <c r="AA1313" s="94" t="n">
        <f aca="false">ROUND(X1313*Z1313,0)</f>
        <v>62</v>
      </c>
      <c r="AB1313" s="95"/>
      <c r="AC1313" s="96"/>
      <c r="AD1313" s="42"/>
      <c r="AE1313" s="43"/>
    </row>
    <row r="1314" customFormat="false" ht="16.5" hidden="false" customHeight="true" outlineLevel="0" collapsed="false">
      <c r="A1314" s="97" t="n">
        <f aca="false">ROW(A1311)</f>
        <v>1311</v>
      </c>
      <c r="B1314" s="97" t="s">
        <v>462</v>
      </c>
      <c r="C1314" s="100" t="n">
        <v>1</v>
      </c>
      <c r="D1314" s="85"/>
      <c r="E1314" s="98" t="s">
        <v>3383</v>
      </c>
      <c r="F1314" s="99" t="s">
        <v>3381</v>
      </c>
      <c r="G1314" s="100" t="s">
        <v>3278</v>
      </c>
      <c r="H1314" s="100" t="s">
        <v>3279</v>
      </c>
      <c r="I1314" s="175" t="s">
        <v>240</v>
      </c>
      <c r="J1314" s="98" t="s">
        <v>464</v>
      </c>
      <c r="K1314" s="101" t="s">
        <v>3384</v>
      </c>
      <c r="L1314" s="102" t="n">
        <v>45748</v>
      </c>
      <c r="M1314" s="100" t="n">
        <v>2364</v>
      </c>
      <c r="N1314" s="100" t="n">
        <v>2725</v>
      </c>
      <c r="O1314" s="100" t="n">
        <v>361</v>
      </c>
      <c r="P1314" s="100" t="n">
        <v>350</v>
      </c>
      <c r="Q1314" s="100"/>
      <c r="R1314" s="103" t="n">
        <f aca="false">合約與計費!$D$4</f>
        <v>0.296</v>
      </c>
      <c r="S1314" s="104" t="n">
        <f aca="false">ROUND(P1314*R1314,0)</f>
        <v>104</v>
      </c>
      <c r="T1314" s="105"/>
      <c r="U1314" s="100"/>
      <c r="V1314" s="100"/>
      <c r="W1314" s="106"/>
      <c r="X1314" s="100"/>
      <c r="Y1314" s="100"/>
      <c r="Z1314" s="107"/>
      <c r="AA1314" s="108"/>
      <c r="AB1314" s="109"/>
      <c r="AC1314" s="110"/>
      <c r="AD1314" s="42" t="n">
        <v>0.0601</v>
      </c>
      <c r="AE1314" s="43" t="n">
        <v>1</v>
      </c>
    </row>
    <row r="1315" customFormat="false" ht="16.5" hidden="false" customHeight="true" outlineLevel="0" collapsed="false">
      <c r="A1315" s="97" t="n">
        <f aca="false">ROW(A1312)</f>
        <v>1312</v>
      </c>
      <c r="B1315" s="97" t="s">
        <v>466</v>
      </c>
      <c r="C1315" s="100" t="n">
        <v>1</v>
      </c>
      <c r="D1315" s="85"/>
      <c r="E1315" s="98" t="s">
        <v>3385</v>
      </c>
      <c r="F1315" s="99" t="s">
        <v>3381</v>
      </c>
      <c r="G1315" s="100" t="s">
        <v>3278</v>
      </c>
      <c r="H1315" s="100" t="s">
        <v>3279</v>
      </c>
      <c r="I1315" s="175" t="s">
        <v>240</v>
      </c>
      <c r="J1315" s="98" t="s">
        <v>527</v>
      </c>
      <c r="K1315" s="101" t="s">
        <v>3386</v>
      </c>
      <c r="L1315" s="102" t="n">
        <v>45748</v>
      </c>
      <c r="M1315" s="100" t="n">
        <v>2917</v>
      </c>
      <c r="N1315" s="100" t="n">
        <v>3101</v>
      </c>
      <c r="O1315" s="100" t="n">
        <v>184</v>
      </c>
      <c r="P1315" s="100" t="n">
        <v>178</v>
      </c>
      <c r="Q1315" s="100"/>
      <c r="R1315" s="103" t="n">
        <f aca="false">合約與計費!$D$4</f>
        <v>0.296</v>
      </c>
      <c r="S1315" s="104" t="n">
        <f aca="false">ROUND(P1315*R1315,0)</f>
        <v>53</v>
      </c>
      <c r="T1315" s="105"/>
      <c r="U1315" s="100"/>
      <c r="V1315" s="100"/>
      <c r="W1315" s="106"/>
      <c r="X1315" s="100"/>
      <c r="Y1315" s="100"/>
      <c r="Z1315" s="107"/>
      <c r="AA1315" s="108"/>
      <c r="AB1315" s="109"/>
      <c r="AC1315" s="110"/>
      <c r="AD1315" s="42"/>
      <c r="AE1315" s="43"/>
    </row>
    <row r="1316" customFormat="false" ht="16.5" hidden="false" customHeight="true" outlineLevel="0" collapsed="false">
      <c r="A1316" s="97" t="n">
        <f aca="false">ROW(A1313)</f>
        <v>1313</v>
      </c>
      <c r="B1316" s="97" t="s">
        <v>469</v>
      </c>
      <c r="C1316" s="100" t="n">
        <v>1</v>
      </c>
      <c r="D1316" s="85"/>
      <c r="E1316" s="98" t="s">
        <v>3387</v>
      </c>
      <c r="F1316" s="99" t="s">
        <v>3381</v>
      </c>
      <c r="G1316" s="100" t="s">
        <v>3278</v>
      </c>
      <c r="H1316" s="100" t="s">
        <v>3279</v>
      </c>
      <c r="I1316" s="175" t="s">
        <v>240</v>
      </c>
      <c r="J1316" s="98" t="s">
        <v>527</v>
      </c>
      <c r="K1316" s="101" t="s">
        <v>3388</v>
      </c>
      <c r="L1316" s="102" t="n">
        <v>45748</v>
      </c>
      <c r="M1316" s="100" t="n">
        <v>4030</v>
      </c>
      <c r="N1316" s="100" t="n">
        <v>4571</v>
      </c>
      <c r="O1316" s="100" t="n">
        <v>541</v>
      </c>
      <c r="P1316" s="100" t="n">
        <v>525</v>
      </c>
      <c r="Q1316" s="100"/>
      <c r="R1316" s="103" t="n">
        <f aca="false">合約與計費!$D$4</f>
        <v>0.296</v>
      </c>
      <c r="S1316" s="104" t="n">
        <f aca="false">ROUND(P1316*R1316,0)</f>
        <v>155</v>
      </c>
      <c r="T1316" s="105"/>
      <c r="U1316" s="100"/>
      <c r="V1316" s="100"/>
      <c r="W1316" s="106"/>
      <c r="X1316" s="100"/>
      <c r="Y1316" s="100"/>
      <c r="Z1316" s="107"/>
      <c r="AA1316" s="108"/>
      <c r="AB1316" s="109"/>
      <c r="AC1316" s="110"/>
      <c r="AD1316" s="42"/>
      <c r="AE1316" s="43"/>
    </row>
    <row r="1317" customFormat="false" ht="16.5" hidden="false" customHeight="true" outlineLevel="0" collapsed="false">
      <c r="A1317" s="97" t="n">
        <f aca="false">ROW(A1314)</f>
        <v>1314</v>
      </c>
      <c r="B1317" s="97" t="s">
        <v>473</v>
      </c>
      <c r="C1317" s="100" t="n">
        <v>1</v>
      </c>
      <c r="D1317" s="85"/>
      <c r="E1317" s="98" t="s">
        <v>3389</v>
      </c>
      <c r="F1317" s="99" t="s">
        <v>3381</v>
      </c>
      <c r="G1317" s="100" t="s">
        <v>3278</v>
      </c>
      <c r="H1317" s="100" t="s">
        <v>3279</v>
      </c>
      <c r="I1317" s="175" t="s">
        <v>240</v>
      </c>
      <c r="J1317" s="98" t="s">
        <v>527</v>
      </c>
      <c r="K1317" s="101" t="s">
        <v>3390</v>
      </c>
      <c r="L1317" s="102" t="n">
        <v>45748</v>
      </c>
      <c r="M1317" s="100" t="n">
        <v>4427</v>
      </c>
      <c r="N1317" s="100" t="n">
        <v>4962</v>
      </c>
      <c r="O1317" s="100" t="n">
        <v>535</v>
      </c>
      <c r="P1317" s="100" t="n">
        <v>519</v>
      </c>
      <c r="Q1317" s="100"/>
      <c r="R1317" s="103" t="n">
        <f aca="false">合約與計費!$D$4</f>
        <v>0.296</v>
      </c>
      <c r="S1317" s="104" t="n">
        <f aca="false">ROUND(P1317*R1317,0)</f>
        <v>154</v>
      </c>
      <c r="T1317" s="105"/>
      <c r="U1317" s="100"/>
      <c r="V1317" s="100"/>
      <c r="W1317" s="106"/>
      <c r="X1317" s="100"/>
      <c r="Y1317" s="100"/>
      <c r="Z1317" s="107"/>
      <c r="AA1317" s="108"/>
      <c r="AB1317" s="109"/>
      <c r="AC1317" s="110"/>
      <c r="AD1317" s="42"/>
      <c r="AE1317" s="43"/>
    </row>
    <row r="1318" customFormat="false" ht="16.5" hidden="false" customHeight="true" outlineLevel="0" collapsed="false">
      <c r="A1318" s="97" t="n">
        <f aca="false">ROW(A1315)</f>
        <v>1315</v>
      </c>
      <c r="B1318" s="97" t="s">
        <v>476</v>
      </c>
      <c r="C1318" s="100" t="n">
        <v>1</v>
      </c>
      <c r="D1318" s="85"/>
      <c r="E1318" s="98" t="s">
        <v>3391</v>
      </c>
      <c r="F1318" s="99" t="s">
        <v>3381</v>
      </c>
      <c r="G1318" s="100" t="s">
        <v>3278</v>
      </c>
      <c r="H1318" s="100" t="s">
        <v>3279</v>
      </c>
      <c r="I1318" s="175" t="s">
        <v>240</v>
      </c>
      <c r="J1318" s="98" t="s">
        <v>527</v>
      </c>
      <c r="K1318" s="101" t="s">
        <v>3392</v>
      </c>
      <c r="L1318" s="102" t="n">
        <v>45748</v>
      </c>
      <c r="M1318" s="100" t="n">
        <v>2811</v>
      </c>
      <c r="N1318" s="100" t="n">
        <v>3481</v>
      </c>
      <c r="O1318" s="100" t="n">
        <v>670</v>
      </c>
      <c r="P1318" s="100" t="n">
        <v>650</v>
      </c>
      <c r="Q1318" s="100"/>
      <c r="R1318" s="103" t="n">
        <f aca="false">合約與計費!$D$4</f>
        <v>0.296</v>
      </c>
      <c r="S1318" s="104" t="n">
        <f aca="false">ROUND(P1318*R1318,0)</f>
        <v>192</v>
      </c>
      <c r="T1318" s="105"/>
      <c r="U1318" s="100"/>
      <c r="V1318" s="100"/>
      <c r="W1318" s="106"/>
      <c r="X1318" s="100"/>
      <c r="Y1318" s="100"/>
      <c r="Z1318" s="107"/>
      <c r="AA1318" s="108"/>
      <c r="AB1318" s="109"/>
      <c r="AC1318" s="110"/>
      <c r="AD1318" s="42"/>
      <c r="AE1318" s="43"/>
    </row>
    <row r="1319" customFormat="false" ht="16.5" hidden="false" customHeight="true" outlineLevel="0" collapsed="false">
      <c r="A1319" s="97" t="n">
        <f aca="false">ROW(A1316)</f>
        <v>1316</v>
      </c>
      <c r="B1319" s="97" t="s">
        <v>479</v>
      </c>
      <c r="C1319" s="100" t="n">
        <v>1</v>
      </c>
      <c r="D1319" s="85"/>
      <c r="E1319" s="98" t="s">
        <v>3393</v>
      </c>
      <c r="F1319" s="99" t="s">
        <v>3381</v>
      </c>
      <c r="G1319" s="100" t="s">
        <v>3278</v>
      </c>
      <c r="H1319" s="100" t="s">
        <v>3279</v>
      </c>
      <c r="I1319" s="175" t="s">
        <v>240</v>
      </c>
      <c r="J1319" s="98" t="s">
        <v>527</v>
      </c>
      <c r="K1319" s="101" t="s">
        <v>3394</v>
      </c>
      <c r="L1319" s="102" t="n">
        <v>45748</v>
      </c>
      <c r="M1319" s="100" t="n">
        <v>2158</v>
      </c>
      <c r="N1319" s="100" t="n">
        <v>2627</v>
      </c>
      <c r="O1319" s="100" t="n">
        <v>469</v>
      </c>
      <c r="P1319" s="100" t="n">
        <v>455</v>
      </c>
      <c r="Q1319" s="100"/>
      <c r="R1319" s="103" t="n">
        <f aca="false">合約與計費!$D$4</f>
        <v>0.296</v>
      </c>
      <c r="S1319" s="104" t="n">
        <f aca="false">ROUND(P1319*R1319,0)</f>
        <v>135</v>
      </c>
      <c r="T1319" s="105"/>
      <c r="U1319" s="100"/>
      <c r="V1319" s="100"/>
      <c r="W1319" s="106"/>
      <c r="X1319" s="100"/>
      <c r="Y1319" s="100"/>
      <c r="Z1319" s="107"/>
      <c r="AA1319" s="108"/>
      <c r="AB1319" s="109"/>
      <c r="AC1319" s="110"/>
      <c r="AD1319" s="42"/>
      <c r="AE1319" s="43"/>
    </row>
    <row r="1320" customFormat="false" ht="16.5" hidden="false" customHeight="true" outlineLevel="0" collapsed="false">
      <c r="A1320" s="111" t="n">
        <f aca="false">ROW(A1317)</f>
        <v>1317</v>
      </c>
      <c r="B1320" s="111" t="s">
        <v>482</v>
      </c>
      <c r="C1320" s="114" t="n">
        <v>1</v>
      </c>
      <c r="D1320" s="85"/>
      <c r="E1320" s="112" t="s">
        <v>3395</v>
      </c>
      <c r="F1320" s="113" t="s">
        <v>3381</v>
      </c>
      <c r="G1320" s="114" t="s">
        <v>3278</v>
      </c>
      <c r="H1320" s="114" t="s">
        <v>3279</v>
      </c>
      <c r="I1320" s="173" t="s">
        <v>240</v>
      </c>
      <c r="J1320" s="112" t="s">
        <v>527</v>
      </c>
      <c r="K1320" s="115" t="s">
        <v>3396</v>
      </c>
      <c r="L1320" s="116" t="n">
        <v>45748</v>
      </c>
      <c r="M1320" s="114" t="n">
        <v>4865</v>
      </c>
      <c r="N1320" s="114" t="n">
        <v>6435</v>
      </c>
      <c r="O1320" s="114" t="n">
        <v>1570</v>
      </c>
      <c r="P1320" s="114" t="n">
        <v>1523</v>
      </c>
      <c r="Q1320" s="114" t="n">
        <f aca="false">ROUND(SUM(P1313:P1320),2)</f>
        <v>4485</v>
      </c>
      <c r="R1320" s="117" t="n">
        <f aca="false">合約與計費!$D$4</f>
        <v>0.296</v>
      </c>
      <c r="S1320" s="118" t="n">
        <f aca="false">ROUND(P1320*R1320,0)</f>
        <v>451</v>
      </c>
      <c r="T1320" s="119" t="n">
        <f aca="false">ROUND(SUM(S1313:S1320),2)</f>
        <v>1328</v>
      </c>
      <c r="U1320" s="114"/>
      <c r="V1320" s="114"/>
      <c r="W1320" s="120"/>
      <c r="X1320" s="114"/>
      <c r="Y1320" s="114" t="n">
        <f aca="false">ROUND(SUM(X1313:X1320),2)</f>
        <v>22</v>
      </c>
      <c r="Z1320" s="121"/>
      <c r="AA1320" s="122"/>
      <c r="AB1320" s="123" t="n">
        <f aca="false">ROUND(SUM(AA1313:AA1320),2)</f>
        <v>62</v>
      </c>
      <c r="AC1320" s="124"/>
      <c r="AD1320" s="42"/>
      <c r="AE1320" s="43"/>
    </row>
    <row r="1321" customFormat="false" ht="16.5" hidden="false" customHeight="true" outlineLevel="0" collapsed="false">
      <c r="A1321" s="84" t="n">
        <f aca="false">ROW(A1318)</f>
        <v>1318</v>
      </c>
      <c r="B1321" s="84" t="s">
        <v>455</v>
      </c>
      <c r="C1321" s="32" t="n">
        <v>1</v>
      </c>
      <c r="D1321" s="85" t="n">
        <v>387</v>
      </c>
      <c r="E1321" s="86" t="s">
        <v>3397</v>
      </c>
      <c r="F1321" s="87" t="s">
        <v>3398</v>
      </c>
      <c r="G1321" s="32" t="s">
        <v>3278</v>
      </c>
      <c r="H1321" s="32" t="s">
        <v>3279</v>
      </c>
      <c r="I1321" s="172" t="s">
        <v>315</v>
      </c>
      <c r="J1321" s="86" t="s">
        <v>527</v>
      </c>
      <c r="K1321" s="225" t="s">
        <v>3399</v>
      </c>
      <c r="L1321" s="89" t="n">
        <v>45772</v>
      </c>
      <c r="M1321" s="32" t="n">
        <v>4343</v>
      </c>
      <c r="N1321" s="32" t="n">
        <v>5234</v>
      </c>
      <c r="O1321" s="32" t="n">
        <v>891</v>
      </c>
      <c r="P1321" s="32" t="n">
        <v>864</v>
      </c>
      <c r="Q1321" s="32"/>
      <c r="R1321" s="90" t="n">
        <f aca="false">合約與計費!$D$4</f>
        <v>0.296</v>
      </c>
      <c r="S1321" s="91" t="n">
        <f aca="false">ROUND(P1321*R1321,0)</f>
        <v>256</v>
      </c>
      <c r="T1321" s="92"/>
      <c r="U1321" s="32"/>
      <c r="V1321" s="32"/>
      <c r="W1321" s="226"/>
      <c r="X1321" s="32"/>
      <c r="Y1321" s="32"/>
      <c r="Z1321" s="93"/>
      <c r="AA1321" s="94"/>
      <c r="AB1321" s="95"/>
      <c r="AC1321" s="96"/>
      <c r="AD1321" s="42"/>
      <c r="AE1321" s="43"/>
    </row>
    <row r="1322" customFormat="false" ht="16.5" hidden="false" customHeight="true" outlineLevel="0" collapsed="false">
      <c r="A1322" s="111" t="n">
        <f aca="false">ROW(A1319)</f>
        <v>1319</v>
      </c>
      <c r="B1322" s="111" t="s">
        <v>462</v>
      </c>
      <c r="C1322" s="114" t="n">
        <v>1</v>
      </c>
      <c r="D1322" s="85"/>
      <c r="E1322" s="112" t="s">
        <v>3400</v>
      </c>
      <c r="F1322" s="113" t="s">
        <v>3398</v>
      </c>
      <c r="G1322" s="114" t="s">
        <v>3278</v>
      </c>
      <c r="H1322" s="114" t="s">
        <v>3279</v>
      </c>
      <c r="I1322" s="173" t="s">
        <v>315</v>
      </c>
      <c r="J1322" s="112" t="s">
        <v>527</v>
      </c>
      <c r="K1322" s="115" t="s">
        <v>3401</v>
      </c>
      <c r="L1322" s="116" t="n">
        <v>45772</v>
      </c>
      <c r="M1322" s="114" t="n">
        <v>2405</v>
      </c>
      <c r="N1322" s="114" t="n">
        <v>2861</v>
      </c>
      <c r="O1322" s="114" t="n">
        <v>456</v>
      </c>
      <c r="P1322" s="114" t="n">
        <v>442</v>
      </c>
      <c r="Q1322" s="114" t="n">
        <f aca="false">ROUND(SUM(P1321:P1322),2)</f>
        <v>1306</v>
      </c>
      <c r="R1322" s="117" t="n">
        <f aca="false">合約與計費!$D$4</f>
        <v>0.296</v>
      </c>
      <c r="S1322" s="118" t="n">
        <f aca="false">ROUND(P1322*R1322,0)</f>
        <v>131</v>
      </c>
      <c r="T1322" s="119" t="n">
        <f aca="false">ROUND(SUM(S1321:S1322),2)</f>
        <v>387</v>
      </c>
      <c r="U1322" s="114"/>
      <c r="V1322" s="114"/>
      <c r="W1322" s="120"/>
      <c r="X1322" s="114"/>
      <c r="Y1322" s="114"/>
      <c r="Z1322" s="121"/>
      <c r="AA1322" s="122"/>
      <c r="AB1322" s="123"/>
      <c r="AC1322" s="124"/>
      <c r="AD1322" s="42"/>
      <c r="AE1322" s="43"/>
    </row>
    <row r="1323" customFormat="false" ht="16.5" hidden="false" customHeight="true" outlineLevel="0" collapsed="false">
      <c r="A1323" s="85" t="n">
        <f aca="false">ROW(A1320)</f>
        <v>1320</v>
      </c>
      <c r="B1323" s="85" t="s">
        <v>455</v>
      </c>
      <c r="C1323" s="216" t="n">
        <v>1</v>
      </c>
      <c r="D1323" s="85" t="n">
        <v>388</v>
      </c>
      <c r="E1323" s="214" t="s">
        <v>3402</v>
      </c>
      <c r="F1323" s="215" t="s">
        <v>3403</v>
      </c>
      <c r="G1323" s="216" t="s">
        <v>3278</v>
      </c>
      <c r="H1323" s="216" t="s">
        <v>3279</v>
      </c>
      <c r="I1323" s="246" t="s">
        <v>91</v>
      </c>
      <c r="J1323" s="214" t="s">
        <v>527</v>
      </c>
      <c r="K1323" s="232" t="s">
        <v>3404</v>
      </c>
      <c r="L1323" s="218" t="n">
        <v>45757</v>
      </c>
      <c r="M1323" s="216" t="n">
        <v>4284</v>
      </c>
      <c r="N1323" s="216" t="n">
        <v>4959</v>
      </c>
      <c r="O1323" s="114" t="n">
        <v>675</v>
      </c>
      <c r="P1323" s="114" t="n">
        <v>655</v>
      </c>
      <c r="Q1323" s="114" t="n">
        <f aca="false">ROUND(SUM(P1323),2)</f>
        <v>655</v>
      </c>
      <c r="R1323" s="219" t="n">
        <f aca="false">合約與計費!$D$4</f>
        <v>0.296</v>
      </c>
      <c r="S1323" s="220" t="n">
        <f aca="false">ROUND(P1323*R1323,0)</f>
        <v>194</v>
      </c>
      <c r="T1323" s="119" t="n">
        <f aca="false">ROUND(SUM(S1323),2)</f>
        <v>194</v>
      </c>
      <c r="U1323" s="216"/>
      <c r="V1323" s="216"/>
      <c r="W1323" s="247"/>
      <c r="X1323" s="216"/>
      <c r="Y1323" s="216"/>
      <c r="Z1323" s="221"/>
      <c r="AA1323" s="94"/>
      <c r="AB1323" s="223"/>
      <c r="AC1323" s="224"/>
      <c r="AD1323" s="42"/>
      <c r="AE1323" s="43"/>
    </row>
    <row r="1324" customFormat="false" ht="16.5" hidden="false" customHeight="true" outlineLevel="0" collapsed="false">
      <c r="A1324" s="84" t="n">
        <f aca="false">ROW(A1321)</f>
        <v>1321</v>
      </c>
      <c r="B1324" s="84" t="s">
        <v>455</v>
      </c>
      <c r="C1324" s="32" t="n">
        <v>1</v>
      </c>
      <c r="D1324" s="85" t="n">
        <v>402</v>
      </c>
      <c r="E1324" s="86" t="s">
        <v>3405</v>
      </c>
      <c r="F1324" s="87" t="s">
        <v>3406</v>
      </c>
      <c r="G1324" s="32" t="s">
        <v>3278</v>
      </c>
      <c r="H1324" s="32" t="s">
        <v>3279</v>
      </c>
      <c r="I1324" s="32" t="s">
        <v>262</v>
      </c>
      <c r="J1324" s="86" t="s">
        <v>460</v>
      </c>
      <c r="K1324" s="225" t="s">
        <v>3407</v>
      </c>
      <c r="L1324" s="89" t="n">
        <v>45757</v>
      </c>
      <c r="M1324" s="32" t="n">
        <v>1092</v>
      </c>
      <c r="N1324" s="32" t="n">
        <v>1221</v>
      </c>
      <c r="O1324" s="32" t="n">
        <v>129</v>
      </c>
      <c r="P1324" s="32" t="n">
        <v>125</v>
      </c>
      <c r="Q1324" s="32"/>
      <c r="R1324" s="90" t="n">
        <f aca="false">合約與計費!$D$4</f>
        <v>0.296</v>
      </c>
      <c r="S1324" s="91" t="n">
        <f aca="false">ROUND(P1324*R1324,0)</f>
        <v>37</v>
      </c>
      <c r="T1324" s="92"/>
      <c r="U1324" s="32" t="n">
        <v>130</v>
      </c>
      <c r="V1324" s="32" t="n">
        <v>172</v>
      </c>
      <c r="W1324" s="32" t="n">
        <v>42</v>
      </c>
      <c r="X1324" s="32" t="n">
        <v>41</v>
      </c>
      <c r="Y1324" s="32"/>
      <c r="Z1324" s="93" t="n">
        <f aca="false">合約與計費!$E$4</f>
        <v>2.8</v>
      </c>
      <c r="AA1324" s="94" t="n">
        <f aca="false">ROUND(X1324*Z1324,0)</f>
        <v>115</v>
      </c>
      <c r="AB1324" s="95"/>
      <c r="AC1324" s="96"/>
      <c r="AD1324" s="42"/>
      <c r="AE1324" s="43"/>
    </row>
    <row r="1325" customFormat="false" ht="16.5" hidden="false" customHeight="true" outlineLevel="0" collapsed="false">
      <c r="A1325" s="97" t="n">
        <f aca="false">ROW(A1322)</f>
        <v>1322</v>
      </c>
      <c r="B1325" s="97" t="s">
        <v>462</v>
      </c>
      <c r="C1325" s="100" t="n">
        <v>1</v>
      </c>
      <c r="D1325" s="85"/>
      <c r="E1325" s="98" t="s">
        <v>3408</v>
      </c>
      <c r="F1325" s="99" t="s">
        <v>3406</v>
      </c>
      <c r="G1325" s="100" t="s">
        <v>3278</v>
      </c>
      <c r="H1325" s="100" t="s">
        <v>3279</v>
      </c>
      <c r="I1325" s="100" t="s">
        <v>262</v>
      </c>
      <c r="J1325" s="98" t="s">
        <v>464</v>
      </c>
      <c r="K1325" s="101" t="s">
        <v>3409</v>
      </c>
      <c r="L1325" s="102" t="n">
        <v>45757</v>
      </c>
      <c r="M1325" s="100" t="n">
        <v>1137</v>
      </c>
      <c r="N1325" s="100" t="n">
        <v>1362</v>
      </c>
      <c r="O1325" s="100" t="n">
        <v>225</v>
      </c>
      <c r="P1325" s="100" t="n">
        <v>218</v>
      </c>
      <c r="Q1325" s="100"/>
      <c r="R1325" s="103" t="n">
        <f aca="false">合約與計費!$D$4</f>
        <v>0.296</v>
      </c>
      <c r="S1325" s="104" t="n">
        <f aca="false">ROUND(P1325*R1325,0)</f>
        <v>65</v>
      </c>
      <c r="T1325" s="105"/>
      <c r="U1325" s="100"/>
      <c r="V1325" s="100"/>
      <c r="W1325" s="106"/>
      <c r="X1325" s="100"/>
      <c r="Y1325" s="100"/>
      <c r="Z1325" s="107"/>
      <c r="AA1325" s="108"/>
      <c r="AB1325" s="109"/>
      <c r="AC1325" s="110"/>
      <c r="AD1325" s="42" t="n">
        <v>0.0544</v>
      </c>
      <c r="AE1325" s="43" t="n">
        <v>0.5</v>
      </c>
    </row>
    <row r="1326" customFormat="false" ht="16.5" hidden="false" customHeight="true" outlineLevel="0" collapsed="false">
      <c r="A1326" s="97" t="n">
        <f aca="false">ROW(A1323)</f>
        <v>1323</v>
      </c>
      <c r="B1326" s="97" t="s">
        <v>476</v>
      </c>
      <c r="C1326" s="100" t="n">
        <v>1</v>
      </c>
      <c r="D1326" s="85"/>
      <c r="E1326" s="98" t="s">
        <v>3410</v>
      </c>
      <c r="F1326" s="99" t="s">
        <v>3406</v>
      </c>
      <c r="G1326" s="100" t="s">
        <v>3278</v>
      </c>
      <c r="H1326" s="100" t="s">
        <v>3279</v>
      </c>
      <c r="I1326" s="100" t="s">
        <v>262</v>
      </c>
      <c r="J1326" s="98" t="s">
        <v>527</v>
      </c>
      <c r="K1326" s="101" t="s">
        <v>3411</v>
      </c>
      <c r="L1326" s="102" t="n">
        <v>45933</v>
      </c>
      <c r="M1326" s="100" t="n">
        <v>0</v>
      </c>
      <c r="N1326" s="100" t="n">
        <v>155</v>
      </c>
      <c r="O1326" s="100" t="n">
        <v>155</v>
      </c>
      <c r="P1326" s="100" t="n">
        <v>150</v>
      </c>
      <c r="Q1326" s="100"/>
      <c r="R1326" s="103" t="n">
        <f aca="false">合約與計費!$D$4</f>
        <v>0.296</v>
      </c>
      <c r="S1326" s="104" t="n">
        <f aca="false">ROUND(P1326*R1326,0)</f>
        <v>44</v>
      </c>
      <c r="T1326" s="105"/>
      <c r="U1326" s="100"/>
      <c r="V1326" s="100"/>
      <c r="W1326" s="106"/>
      <c r="X1326" s="100"/>
      <c r="Y1326" s="100"/>
      <c r="Z1326" s="107"/>
      <c r="AA1326" s="108"/>
      <c r="AB1326" s="109"/>
      <c r="AC1326" s="110"/>
      <c r="AD1326" s="42"/>
      <c r="AE1326" s="43"/>
    </row>
    <row r="1327" customFormat="false" ht="16.5" hidden="false" customHeight="true" outlineLevel="0" collapsed="false">
      <c r="A1327" s="97" t="n">
        <f aca="false">ROW(A1324)</f>
        <v>1324</v>
      </c>
      <c r="B1327" s="97" t="s">
        <v>466</v>
      </c>
      <c r="C1327" s="100" t="n">
        <v>1</v>
      </c>
      <c r="D1327" s="85"/>
      <c r="E1327" s="98" t="s">
        <v>3412</v>
      </c>
      <c r="F1327" s="99" t="s">
        <v>3406</v>
      </c>
      <c r="G1327" s="100" t="s">
        <v>3278</v>
      </c>
      <c r="H1327" s="100" t="s">
        <v>3279</v>
      </c>
      <c r="I1327" s="100" t="s">
        <v>262</v>
      </c>
      <c r="J1327" s="98" t="s">
        <v>527</v>
      </c>
      <c r="K1327" s="101" t="s">
        <v>3413</v>
      </c>
      <c r="L1327" s="102" t="n">
        <v>45757</v>
      </c>
      <c r="M1327" s="100" t="n">
        <v>1101</v>
      </c>
      <c r="N1327" s="100" t="n">
        <v>1958</v>
      </c>
      <c r="O1327" s="100" t="n">
        <v>857</v>
      </c>
      <c r="P1327" s="100" t="n">
        <v>831</v>
      </c>
      <c r="Q1327" s="100"/>
      <c r="R1327" s="103" t="n">
        <f aca="false">合約與計費!$D$4</f>
        <v>0.296</v>
      </c>
      <c r="S1327" s="104" t="n">
        <f aca="false">ROUND(P1327*R1327,0)</f>
        <v>246</v>
      </c>
      <c r="T1327" s="105"/>
      <c r="U1327" s="100"/>
      <c r="V1327" s="100"/>
      <c r="W1327" s="106"/>
      <c r="X1327" s="100"/>
      <c r="Y1327" s="100"/>
      <c r="Z1327" s="107"/>
      <c r="AA1327" s="108"/>
      <c r="AB1327" s="109"/>
      <c r="AC1327" s="110"/>
      <c r="AD1327" s="42"/>
      <c r="AE1327" s="43"/>
    </row>
    <row r="1328" customFormat="false" ht="16.5" hidden="false" customHeight="true" outlineLevel="0" collapsed="false">
      <c r="A1328" s="97" t="n">
        <f aca="false">ROW(A1325)</f>
        <v>1325</v>
      </c>
      <c r="B1328" s="97" t="s">
        <v>469</v>
      </c>
      <c r="C1328" s="100" t="n">
        <v>1</v>
      </c>
      <c r="D1328" s="85"/>
      <c r="E1328" s="98" t="s">
        <v>3414</v>
      </c>
      <c r="F1328" s="99" t="s">
        <v>3406</v>
      </c>
      <c r="G1328" s="100" t="s">
        <v>3278</v>
      </c>
      <c r="H1328" s="100" t="s">
        <v>3279</v>
      </c>
      <c r="I1328" s="100" t="s">
        <v>262</v>
      </c>
      <c r="J1328" s="98" t="s">
        <v>527</v>
      </c>
      <c r="K1328" s="101" t="s">
        <v>3415</v>
      </c>
      <c r="L1328" s="102" t="n">
        <v>45757</v>
      </c>
      <c r="M1328" s="100" t="n">
        <v>10380</v>
      </c>
      <c r="N1328" s="100" t="n">
        <v>12191</v>
      </c>
      <c r="O1328" s="100" t="n">
        <v>1811</v>
      </c>
      <c r="P1328" s="100" t="n">
        <v>1757</v>
      </c>
      <c r="Q1328" s="100"/>
      <c r="R1328" s="103" t="n">
        <f aca="false">合約與計費!$D$4</f>
        <v>0.296</v>
      </c>
      <c r="S1328" s="104" t="n">
        <f aca="false">ROUND(P1328*R1328,0)</f>
        <v>520</v>
      </c>
      <c r="T1328" s="105"/>
      <c r="U1328" s="100"/>
      <c r="V1328" s="100"/>
      <c r="W1328" s="106"/>
      <c r="X1328" s="100"/>
      <c r="Y1328" s="100"/>
      <c r="Z1328" s="107"/>
      <c r="AA1328" s="108"/>
      <c r="AB1328" s="109"/>
      <c r="AC1328" s="110"/>
      <c r="AD1328" s="42"/>
      <c r="AE1328" s="43"/>
    </row>
    <row r="1329" customFormat="false" ht="16.5" hidden="false" customHeight="true" outlineLevel="0" collapsed="false">
      <c r="A1329" s="111" t="n">
        <f aca="false">ROW(A1326)</f>
        <v>1326</v>
      </c>
      <c r="B1329" s="111" t="s">
        <v>473</v>
      </c>
      <c r="C1329" s="114" t="n">
        <v>1</v>
      </c>
      <c r="D1329" s="85"/>
      <c r="E1329" s="112" t="s">
        <v>3416</v>
      </c>
      <c r="F1329" s="113" t="s">
        <v>3406</v>
      </c>
      <c r="G1329" s="114" t="s">
        <v>3278</v>
      </c>
      <c r="H1329" s="114" t="s">
        <v>3279</v>
      </c>
      <c r="I1329" s="114" t="s">
        <v>262</v>
      </c>
      <c r="J1329" s="112" t="s">
        <v>527</v>
      </c>
      <c r="K1329" s="236" t="s">
        <v>3417</v>
      </c>
      <c r="L1329" s="116" t="n">
        <v>45757</v>
      </c>
      <c r="M1329" s="114" t="n">
        <v>7782</v>
      </c>
      <c r="N1329" s="114" t="n">
        <v>8956</v>
      </c>
      <c r="O1329" s="114" t="n">
        <v>1174</v>
      </c>
      <c r="P1329" s="114" t="n">
        <v>1139</v>
      </c>
      <c r="Q1329" s="114" t="n">
        <f aca="false">ROUND(SUM(P1324:P1329),2)</f>
        <v>4220</v>
      </c>
      <c r="R1329" s="117" t="n">
        <f aca="false">合約與計費!$D$4</f>
        <v>0.296</v>
      </c>
      <c r="S1329" s="118" t="n">
        <f aca="false">ROUND(P1329*R1329,0)</f>
        <v>337</v>
      </c>
      <c r="T1329" s="119" t="n">
        <f aca="false">ROUND(SUM(S1324:S1329),2)</f>
        <v>1249</v>
      </c>
      <c r="U1329" s="114"/>
      <c r="V1329" s="114"/>
      <c r="W1329" s="120"/>
      <c r="X1329" s="114"/>
      <c r="Y1329" s="114" t="n">
        <f aca="false">ROUND(SUM(X1324:X1329),2)</f>
        <v>41</v>
      </c>
      <c r="Z1329" s="121"/>
      <c r="AA1329" s="122"/>
      <c r="AB1329" s="123" t="n">
        <f aca="false">ROUND(SUM(AA1324:AA1329),2)</f>
        <v>115</v>
      </c>
      <c r="AC1329" s="124"/>
      <c r="AD1329" s="42"/>
      <c r="AE1329" s="43"/>
    </row>
    <row r="1330" customFormat="false" ht="16.5" hidden="false" customHeight="true" outlineLevel="0" collapsed="false">
      <c r="A1330" s="84" t="n">
        <f aca="false">ROW(A1327)</f>
        <v>1327</v>
      </c>
      <c r="B1330" s="84" t="s">
        <v>455</v>
      </c>
      <c r="C1330" s="32" t="n">
        <v>1</v>
      </c>
      <c r="D1330" s="85" t="n">
        <v>413</v>
      </c>
      <c r="E1330" s="86" t="s">
        <v>3418</v>
      </c>
      <c r="F1330" s="87" t="s">
        <v>3419</v>
      </c>
      <c r="G1330" s="32" t="s">
        <v>3278</v>
      </c>
      <c r="H1330" s="32" t="s">
        <v>3279</v>
      </c>
      <c r="I1330" s="172" t="s">
        <v>178</v>
      </c>
      <c r="J1330" s="86" t="s">
        <v>460</v>
      </c>
      <c r="K1330" s="88" t="s">
        <v>3420</v>
      </c>
      <c r="L1330" s="89" t="n">
        <v>45743</v>
      </c>
      <c r="M1330" s="32" t="n">
        <v>446</v>
      </c>
      <c r="N1330" s="32" t="n">
        <v>567</v>
      </c>
      <c r="O1330" s="32" t="n">
        <v>121</v>
      </c>
      <c r="P1330" s="32" t="n">
        <v>117</v>
      </c>
      <c r="Q1330" s="32"/>
      <c r="R1330" s="90" t="n">
        <f aca="false">合約與計費!$D$4</f>
        <v>0.296</v>
      </c>
      <c r="S1330" s="91" t="n">
        <f aca="false">ROUND(P1330*R1330,0)</f>
        <v>35</v>
      </c>
      <c r="T1330" s="92"/>
      <c r="U1330" s="32" t="n">
        <v>216</v>
      </c>
      <c r="V1330" s="32" t="n">
        <v>293</v>
      </c>
      <c r="W1330" s="32" t="n">
        <v>77</v>
      </c>
      <c r="X1330" s="32" t="n">
        <v>75</v>
      </c>
      <c r="Y1330" s="32"/>
      <c r="Z1330" s="93" t="n">
        <f aca="false">合約與計費!$E$4</f>
        <v>2.8</v>
      </c>
      <c r="AA1330" s="94" t="n">
        <f aca="false">ROUND(X1330*Z1330,0)</f>
        <v>210</v>
      </c>
      <c r="AB1330" s="95"/>
      <c r="AC1330" s="96"/>
      <c r="AD1330" s="42"/>
      <c r="AE1330" s="43"/>
    </row>
    <row r="1331" customFormat="false" ht="16.5" hidden="false" customHeight="true" outlineLevel="0" collapsed="false">
      <c r="A1331" s="111" t="n">
        <f aca="false">ROW(A1328)</f>
        <v>1328</v>
      </c>
      <c r="B1331" s="111" t="s">
        <v>462</v>
      </c>
      <c r="C1331" s="114" t="n">
        <v>1</v>
      </c>
      <c r="D1331" s="85"/>
      <c r="E1331" s="112" t="s">
        <v>3421</v>
      </c>
      <c r="F1331" s="113" t="s">
        <v>3419</v>
      </c>
      <c r="G1331" s="114" t="s">
        <v>3278</v>
      </c>
      <c r="H1331" s="114" t="s">
        <v>3279</v>
      </c>
      <c r="I1331" s="173" t="s">
        <v>178</v>
      </c>
      <c r="J1331" s="112" t="s">
        <v>464</v>
      </c>
      <c r="K1331" s="115" t="s">
        <v>3422</v>
      </c>
      <c r="L1331" s="116" t="n">
        <v>45743</v>
      </c>
      <c r="M1331" s="114" t="n">
        <v>938</v>
      </c>
      <c r="N1331" s="114" t="n">
        <v>1147</v>
      </c>
      <c r="O1331" s="114" t="n">
        <v>209</v>
      </c>
      <c r="P1331" s="114" t="n">
        <v>203</v>
      </c>
      <c r="Q1331" s="114" t="n">
        <f aca="false">ROUND(SUM(P1330:P1331),2)</f>
        <v>320</v>
      </c>
      <c r="R1331" s="117" t="n">
        <f aca="false">合約與計費!$D$4</f>
        <v>0.296</v>
      </c>
      <c r="S1331" s="118" t="n">
        <f aca="false">ROUND(P1331*R1331,0)</f>
        <v>60</v>
      </c>
      <c r="T1331" s="119" t="n">
        <f aca="false">ROUND(SUM(S1330:S1331),2)</f>
        <v>95</v>
      </c>
      <c r="U1331" s="114"/>
      <c r="V1331" s="114"/>
      <c r="W1331" s="120"/>
      <c r="X1331" s="114"/>
      <c r="Y1331" s="114" t="n">
        <f aca="false">ROUND(SUM(X1330:X1331),2)</f>
        <v>75</v>
      </c>
      <c r="Z1331" s="121"/>
      <c r="AA1331" s="122"/>
      <c r="AB1331" s="123" t="n">
        <f aca="false">ROUND(SUM(AA1330:AA1331),2)</f>
        <v>210</v>
      </c>
      <c r="AC1331" s="124"/>
      <c r="AD1331" s="42" t="n">
        <v>0.0599</v>
      </c>
      <c r="AE1331" s="43" t="n">
        <v>0.4</v>
      </c>
    </row>
    <row r="1332" customFormat="false" ht="16.5" hidden="false" customHeight="true" outlineLevel="0" collapsed="false">
      <c r="A1332" s="84" t="n">
        <f aca="false">ROW(A1329)</f>
        <v>1329</v>
      </c>
      <c r="B1332" s="84" t="s">
        <v>455</v>
      </c>
      <c r="C1332" s="32" t="n">
        <v>1</v>
      </c>
      <c r="D1332" s="85" t="n">
        <v>414</v>
      </c>
      <c r="E1332" s="86" t="s">
        <v>3423</v>
      </c>
      <c r="F1332" s="87" t="s">
        <v>3424</v>
      </c>
      <c r="G1332" s="32" t="s">
        <v>3278</v>
      </c>
      <c r="H1332" s="32" t="s">
        <v>3279</v>
      </c>
      <c r="I1332" s="172" t="s">
        <v>282</v>
      </c>
      <c r="J1332" s="86" t="s">
        <v>460</v>
      </c>
      <c r="K1332" s="88" t="s">
        <v>3425</v>
      </c>
      <c r="L1332" s="89" t="n">
        <v>45777</v>
      </c>
      <c r="M1332" s="32" t="n">
        <v>566</v>
      </c>
      <c r="N1332" s="32" t="n">
        <v>810</v>
      </c>
      <c r="O1332" s="32" t="n">
        <v>244</v>
      </c>
      <c r="P1332" s="32" t="n">
        <v>237</v>
      </c>
      <c r="Q1332" s="32"/>
      <c r="R1332" s="90" t="n">
        <f aca="false">合約與計費!$D$4</f>
        <v>0.296</v>
      </c>
      <c r="S1332" s="91" t="n">
        <f aca="false">ROUND(P1332*R1332,0)</f>
        <v>70</v>
      </c>
      <c r="T1332" s="92"/>
      <c r="U1332" s="32" t="n">
        <v>168</v>
      </c>
      <c r="V1332" s="32" t="n">
        <v>249</v>
      </c>
      <c r="W1332" s="32" t="n">
        <v>81</v>
      </c>
      <c r="X1332" s="32" t="n">
        <v>79</v>
      </c>
      <c r="Y1332" s="32"/>
      <c r="Z1332" s="93" t="n">
        <f aca="false">合約與計費!$E$4</f>
        <v>2.8</v>
      </c>
      <c r="AA1332" s="94" t="n">
        <f aca="false">ROUND(X1332*Z1332,0)</f>
        <v>221</v>
      </c>
      <c r="AB1332" s="95"/>
      <c r="AC1332" s="96"/>
      <c r="AD1332" s="42"/>
      <c r="AE1332" s="43"/>
    </row>
    <row r="1333" customFormat="false" ht="16.5" hidden="false" customHeight="true" outlineLevel="0" collapsed="false">
      <c r="A1333" s="111" t="n">
        <f aca="false">ROW(A1330)</f>
        <v>1330</v>
      </c>
      <c r="B1333" s="111" t="s">
        <v>462</v>
      </c>
      <c r="C1333" s="114" t="n">
        <v>1</v>
      </c>
      <c r="D1333" s="85"/>
      <c r="E1333" s="112" t="s">
        <v>3426</v>
      </c>
      <c r="F1333" s="113" t="s">
        <v>3424</v>
      </c>
      <c r="G1333" s="114" t="s">
        <v>3278</v>
      </c>
      <c r="H1333" s="114" t="s">
        <v>3279</v>
      </c>
      <c r="I1333" s="173" t="s">
        <v>282</v>
      </c>
      <c r="J1333" s="112" t="s">
        <v>464</v>
      </c>
      <c r="K1333" s="115" t="s">
        <v>3427</v>
      </c>
      <c r="L1333" s="116" t="n">
        <v>45777</v>
      </c>
      <c r="M1333" s="114" t="n">
        <v>1770</v>
      </c>
      <c r="N1333" s="114" t="n">
        <v>2254</v>
      </c>
      <c r="O1333" s="114" t="n">
        <v>484</v>
      </c>
      <c r="P1333" s="114" t="n">
        <v>469</v>
      </c>
      <c r="Q1333" s="114" t="n">
        <f aca="false">ROUND(SUM(P1332:P1333),2)</f>
        <v>706</v>
      </c>
      <c r="R1333" s="117" t="n">
        <f aca="false">合約與計費!$D$4</f>
        <v>0.296</v>
      </c>
      <c r="S1333" s="118" t="n">
        <f aca="false">ROUND(P1333*R1333,0)</f>
        <v>139</v>
      </c>
      <c r="T1333" s="119" t="n">
        <f aca="false">ROUND(SUM(S1332:S1333),2)</f>
        <v>209</v>
      </c>
      <c r="U1333" s="114"/>
      <c r="V1333" s="114"/>
      <c r="W1333" s="120"/>
      <c r="X1333" s="114"/>
      <c r="Y1333" s="114" t="n">
        <f aca="false">ROUND(SUM(X1332:X1333),2)</f>
        <v>79</v>
      </c>
      <c r="Z1333" s="121"/>
      <c r="AA1333" s="122"/>
      <c r="AB1333" s="123" t="n">
        <f aca="false">ROUND(SUM(AA1332:AA1333),2)</f>
        <v>221</v>
      </c>
      <c r="AC1333" s="124"/>
      <c r="AD1333" s="42" t="n">
        <v>0.0781</v>
      </c>
      <c r="AE1333" s="43" t="n">
        <v>1</v>
      </c>
    </row>
    <row r="1334" customFormat="false" ht="16.5" hidden="false" customHeight="true" outlineLevel="0" collapsed="false">
      <c r="A1334" s="85" t="n">
        <f aca="false">ROW(A1331)</f>
        <v>1331</v>
      </c>
      <c r="B1334" s="85" t="s">
        <v>455</v>
      </c>
      <c r="C1334" s="216" t="n">
        <v>1</v>
      </c>
      <c r="D1334" s="85" t="n">
        <v>420</v>
      </c>
      <c r="E1334" s="214" t="s">
        <v>3428</v>
      </c>
      <c r="F1334" s="215" t="s">
        <v>3429</v>
      </c>
      <c r="G1334" s="216" t="s">
        <v>3278</v>
      </c>
      <c r="H1334" s="216" t="s">
        <v>3279</v>
      </c>
      <c r="I1334" s="216" t="s">
        <v>3430</v>
      </c>
      <c r="J1334" s="214" t="s">
        <v>464</v>
      </c>
      <c r="K1334" s="232" t="s">
        <v>3431</v>
      </c>
      <c r="L1334" s="218" t="n">
        <v>45679</v>
      </c>
      <c r="M1334" s="216" t="n">
        <v>325</v>
      </c>
      <c r="N1334" s="216" t="n">
        <v>357</v>
      </c>
      <c r="O1334" s="114" t="n">
        <v>32</v>
      </c>
      <c r="P1334" s="114" t="n">
        <v>31</v>
      </c>
      <c r="Q1334" s="114" t="n">
        <f aca="false">ROUND(SUM(P1334),2)</f>
        <v>31</v>
      </c>
      <c r="R1334" s="219" t="n">
        <f aca="false">合約與計費!$D$4</f>
        <v>0.296</v>
      </c>
      <c r="S1334" s="220" t="n">
        <f aca="false">ROUND(P1334*R1334,0)</f>
        <v>9</v>
      </c>
      <c r="T1334" s="119" t="n">
        <f aca="false">ROUND(SUM(S1334),2)</f>
        <v>9</v>
      </c>
      <c r="U1334" s="216"/>
      <c r="V1334" s="216"/>
      <c r="W1334" s="247"/>
      <c r="X1334" s="216"/>
      <c r="Y1334" s="216"/>
      <c r="Z1334" s="221"/>
      <c r="AA1334" s="94"/>
      <c r="AB1334" s="223"/>
      <c r="AC1334" s="224"/>
      <c r="AD1334" s="42" t="n">
        <v>0.0248</v>
      </c>
      <c r="AE1334" s="43" t="n">
        <v>0.9</v>
      </c>
    </row>
    <row r="1335" customFormat="false" ht="16.5" hidden="false" customHeight="true" outlineLevel="0" collapsed="false">
      <c r="A1335" s="84" t="n">
        <f aca="false">ROW(A1332)</f>
        <v>1332</v>
      </c>
      <c r="B1335" s="84" t="s">
        <v>455</v>
      </c>
      <c r="C1335" s="32" t="n">
        <v>1</v>
      </c>
      <c r="D1335" s="85" t="n">
        <v>130</v>
      </c>
      <c r="E1335" s="86" t="s">
        <v>3432</v>
      </c>
      <c r="F1335" s="87" t="s">
        <v>3433</v>
      </c>
      <c r="G1335" s="32" t="s">
        <v>3278</v>
      </c>
      <c r="H1335" s="32" t="s">
        <v>3434</v>
      </c>
      <c r="I1335" s="32" t="s">
        <v>90</v>
      </c>
      <c r="J1335" s="86" t="s">
        <v>460</v>
      </c>
      <c r="K1335" s="88" t="s">
        <v>3435</v>
      </c>
      <c r="L1335" s="89" t="n">
        <v>45754</v>
      </c>
      <c r="M1335" s="32" t="n">
        <v>61</v>
      </c>
      <c r="N1335" s="32" t="n">
        <v>69</v>
      </c>
      <c r="O1335" s="32" t="n">
        <v>8</v>
      </c>
      <c r="P1335" s="32" t="n">
        <v>8</v>
      </c>
      <c r="Q1335" s="32"/>
      <c r="R1335" s="90" t="n">
        <f aca="false">合約與計費!$D$4</f>
        <v>0.296</v>
      </c>
      <c r="S1335" s="91" t="n">
        <f aca="false">ROUND(P1335*R1335,0)</f>
        <v>2</v>
      </c>
      <c r="T1335" s="92"/>
      <c r="U1335" s="32" t="n">
        <v>128</v>
      </c>
      <c r="V1335" s="32" t="n">
        <v>154</v>
      </c>
      <c r="W1335" s="32" t="n">
        <v>26</v>
      </c>
      <c r="X1335" s="32" t="n">
        <v>25</v>
      </c>
      <c r="Y1335" s="32"/>
      <c r="Z1335" s="93" t="n">
        <f aca="false">合約與計費!$E$4</f>
        <v>2.8</v>
      </c>
      <c r="AA1335" s="94" t="n">
        <f aca="false">ROUND(X1335*Z1335,0)</f>
        <v>70</v>
      </c>
      <c r="AB1335" s="95"/>
      <c r="AC1335" s="96"/>
      <c r="AD1335" s="42"/>
      <c r="AE1335" s="43"/>
    </row>
    <row r="1336" customFormat="false" ht="16.5" hidden="false" customHeight="true" outlineLevel="0" collapsed="false">
      <c r="A1336" s="97" t="n">
        <f aca="false">ROW(A1333)</f>
        <v>1333</v>
      </c>
      <c r="B1336" s="97" t="s">
        <v>462</v>
      </c>
      <c r="C1336" s="100" t="n">
        <v>1</v>
      </c>
      <c r="D1336" s="85"/>
      <c r="E1336" s="98" t="s">
        <v>3436</v>
      </c>
      <c r="F1336" s="99" t="s">
        <v>3433</v>
      </c>
      <c r="G1336" s="100" t="s">
        <v>3278</v>
      </c>
      <c r="H1336" s="100" t="s">
        <v>3434</v>
      </c>
      <c r="I1336" s="100" t="s">
        <v>90</v>
      </c>
      <c r="J1336" s="98" t="s">
        <v>527</v>
      </c>
      <c r="K1336" s="101" t="s">
        <v>3437</v>
      </c>
      <c r="L1336" s="102" t="n">
        <v>45754</v>
      </c>
      <c r="M1336" s="100" t="n">
        <v>3766</v>
      </c>
      <c r="N1336" s="100" t="n">
        <v>4654</v>
      </c>
      <c r="O1336" s="100" t="n">
        <v>888</v>
      </c>
      <c r="P1336" s="100" t="n">
        <v>861</v>
      </c>
      <c r="Q1336" s="100"/>
      <c r="R1336" s="103" t="n">
        <f aca="false">合約與計費!$D$4</f>
        <v>0.296</v>
      </c>
      <c r="S1336" s="104" t="n">
        <f aca="false">ROUND(P1336*R1336,0)</f>
        <v>255</v>
      </c>
      <c r="T1336" s="105"/>
      <c r="U1336" s="100"/>
      <c r="V1336" s="100"/>
      <c r="W1336" s="106"/>
      <c r="X1336" s="100"/>
      <c r="Y1336" s="100"/>
      <c r="Z1336" s="107"/>
      <c r="AA1336" s="108"/>
      <c r="AB1336" s="109"/>
      <c r="AC1336" s="110"/>
      <c r="AD1336" s="42"/>
      <c r="AE1336" s="43"/>
    </row>
    <row r="1337" customFormat="false" ht="16.5" hidden="false" customHeight="true" outlineLevel="0" collapsed="false">
      <c r="A1337" s="97" t="n">
        <f aca="false">ROW(A1334)</f>
        <v>1334</v>
      </c>
      <c r="B1337" s="97" t="s">
        <v>466</v>
      </c>
      <c r="C1337" s="100" t="n">
        <v>1</v>
      </c>
      <c r="D1337" s="85"/>
      <c r="E1337" s="98" t="s">
        <v>3438</v>
      </c>
      <c r="F1337" s="99" t="s">
        <v>3433</v>
      </c>
      <c r="G1337" s="100" t="s">
        <v>3278</v>
      </c>
      <c r="H1337" s="100" t="s">
        <v>3434</v>
      </c>
      <c r="I1337" s="100" t="s">
        <v>90</v>
      </c>
      <c r="J1337" s="98" t="s">
        <v>527</v>
      </c>
      <c r="K1337" s="101" t="s">
        <v>3439</v>
      </c>
      <c r="L1337" s="102" t="n">
        <v>45754</v>
      </c>
      <c r="M1337" s="100" t="n">
        <v>2922</v>
      </c>
      <c r="N1337" s="100" t="n">
        <v>3473</v>
      </c>
      <c r="O1337" s="100" t="n">
        <v>551</v>
      </c>
      <c r="P1337" s="100" t="n">
        <v>534</v>
      </c>
      <c r="Q1337" s="100"/>
      <c r="R1337" s="103" t="n">
        <f aca="false">合約與計費!$D$4</f>
        <v>0.296</v>
      </c>
      <c r="S1337" s="104" t="n">
        <f aca="false">ROUND(P1337*R1337,0)</f>
        <v>158</v>
      </c>
      <c r="T1337" s="105"/>
      <c r="U1337" s="100"/>
      <c r="V1337" s="100"/>
      <c r="W1337" s="106"/>
      <c r="X1337" s="100"/>
      <c r="Y1337" s="100"/>
      <c r="Z1337" s="107"/>
      <c r="AA1337" s="108"/>
      <c r="AB1337" s="109"/>
      <c r="AC1337" s="110"/>
      <c r="AD1337" s="42"/>
      <c r="AE1337" s="43"/>
    </row>
    <row r="1338" customFormat="false" ht="16.5" hidden="false" customHeight="true" outlineLevel="0" collapsed="false">
      <c r="A1338" s="97" t="n">
        <f aca="false">ROW(A1335)</f>
        <v>1335</v>
      </c>
      <c r="B1338" s="97" t="s">
        <v>469</v>
      </c>
      <c r="C1338" s="100" t="n">
        <v>1</v>
      </c>
      <c r="D1338" s="85"/>
      <c r="E1338" s="98" t="s">
        <v>3440</v>
      </c>
      <c r="F1338" s="99" t="s">
        <v>3433</v>
      </c>
      <c r="G1338" s="100" t="s">
        <v>3278</v>
      </c>
      <c r="H1338" s="100" t="s">
        <v>3434</v>
      </c>
      <c r="I1338" s="100" t="s">
        <v>90</v>
      </c>
      <c r="J1338" s="98" t="s">
        <v>527</v>
      </c>
      <c r="K1338" s="101" t="s">
        <v>3441</v>
      </c>
      <c r="L1338" s="102" t="n">
        <v>45754</v>
      </c>
      <c r="M1338" s="100" t="n">
        <v>6689</v>
      </c>
      <c r="N1338" s="100" t="n">
        <v>7694</v>
      </c>
      <c r="O1338" s="100" t="n">
        <v>1005</v>
      </c>
      <c r="P1338" s="100" t="n">
        <v>975</v>
      </c>
      <c r="Q1338" s="100"/>
      <c r="R1338" s="103" t="n">
        <f aca="false">合約與計費!$D$4</f>
        <v>0.296</v>
      </c>
      <c r="S1338" s="104" t="n">
        <f aca="false">ROUND(P1338*R1338,0)</f>
        <v>289</v>
      </c>
      <c r="T1338" s="105"/>
      <c r="U1338" s="100"/>
      <c r="V1338" s="100"/>
      <c r="W1338" s="106"/>
      <c r="X1338" s="100"/>
      <c r="Y1338" s="100"/>
      <c r="Z1338" s="107"/>
      <c r="AA1338" s="108"/>
      <c r="AB1338" s="109"/>
      <c r="AC1338" s="110"/>
      <c r="AD1338" s="42"/>
      <c r="AE1338" s="43"/>
    </row>
    <row r="1339" customFormat="false" ht="16.5" hidden="false" customHeight="true" outlineLevel="0" collapsed="false">
      <c r="A1339" s="97" t="n">
        <f aca="false">ROW(A1336)</f>
        <v>1336</v>
      </c>
      <c r="B1339" s="97" t="s">
        <v>473</v>
      </c>
      <c r="C1339" s="100" t="n">
        <v>1</v>
      </c>
      <c r="D1339" s="85"/>
      <c r="E1339" s="98" t="s">
        <v>3442</v>
      </c>
      <c r="F1339" s="99" t="s">
        <v>3433</v>
      </c>
      <c r="G1339" s="100" t="s">
        <v>3278</v>
      </c>
      <c r="H1339" s="100" t="s">
        <v>3434</v>
      </c>
      <c r="I1339" s="100" t="s">
        <v>90</v>
      </c>
      <c r="J1339" s="98" t="s">
        <v>527</v>
      </c>
      <c r="K1339" s="101" t="s">
        <v>3443</v>
      </c>
      <c r="L1339" s="102" t="n">
        <v>45754</v>
      </c>
      <c r="M1339" s="100" t="n">
        <v>2542</v>
      </c>
      <c r="N1339" s="100" t="n">
        <v>3158</v>
      </c>
      <c r="O1339" s="100" t="n">
        <v>616</v>
      </c>
      <c r="P1339" s="100" t="n">
        <v>598</v>
      </c>
      <c r="Q1339" s="100"/>
      <c r="R1339" s="103" t="n">
        <f aca="false">合約與計費!$D$4</f>
        <v>0.296</v>
      </c>
      <c r="S1339" s="104" t="n">
        <f aca="false">ROUND(P1339*R1339,0)</f>
        <v>177</v>
      </c>
      <c r="T1339" s="105"/>
      <c r="U1339" s="100"/>
      <c r="V1339" s="100"/>
      <c r="W1339" s="106"/>
      <c r="X1339" s="100"/>
      <c r="Y1339" s="100"/>
      <c r="Z1339" s="107"/>
      <c r="AA1339" s="108"/>
      <c r="AB1339" s="109"/>
      <c r="AC1339" s="110"/>
      <c r="AD1339" s="42"/>
      <c r="AE1339" s="43"/>
    </row>
    <row r="1340" customFormat="false" ht="16.5" hidden="false" customHeight="true" outlineLevel="0" collapsed="false">
      <c r="A1340" s="111" t="n">
        <f aca="false">ROW(A1337)</f>
        <v>1337</v>
      </c>
      <c r="B1340" s="111" t="s">
        <v>476</v>
      </c>
      <c r="C1340" s="114" t="n">
        <v>1</v>
      </c>
      <c r="D1340" s="85"/>
      <c r="E1340" s="112" t="s">
        <v>3444</v>
      </c>
      <c r="F1340" s="113" t="s">
        <v>3433</v>
      </c>
      <c r="G1340" s="114" t="s">
        <v>3278</v>
      </c>
      <c r="H1340" s="114" t="s">
        <v>3434</v>
      </c>
      <c r="I1340" s="114" t="s">
        <v>90</v>
      </c>
      <c r="J1340" s="112" t="s">
        <v>527</v>
      </c>
      <c r="K1340" s="115" t="s">
        <v>3445</v>
      </c>
      <c r="L1340" s="116" t="n">
        <v>45754</v>
      </c>
      <c r="M1340" s="114" t="n">
        <v>2449</v>
      </c>
      <c r="N1340" s="114" t="n">
        <v>2968</v>
      </c>
      <c r="O1340" s="114" t="n">
        <v>519</v>
      </c>
      <c r="P1340" s="114" t="n">
        <v>503</v>
      </c>
      <c r="Q1340" s="114" t="n">
        <f aca="false">ROUND(SUM(P1335:P1340),2)</f>
        <v>3479</v>
      </c>
      <c r="R1340" s="117" t="n">
        <f aca="false">合約與計費!$D$4</f>
        <v>0.296</v>
      </c>
      <c r="S1340" s="118" t="n">
        <f aca="false">ROUND(P1340*R1340,0)</f>
        <v>149</v>
      </c>
      <c r="T1340" s="119" t="n">
        <f aca="false">ROUND(SUM(S1335:S1340),2)</f>
        <v>1030</v>
      </c>
      <c r="U1340" s="114"/>
      <c r="V1340" s="114"/>
      <c r="W1340" s="120"/>
      <c r="X1340" s="114"/>
      <c r="Y1340" s="114" t="n">
        <f aca="false">ROUND(SUM(X1335:X1340),2)</f>
        <v>25</v>
      </c>
      <c r="Z1340" s="121"/>
      <c r="AA1340" s="122"/>
      <c r="AB1340" s="123" t="n">
        <f aca="false">ROUND(SUM(AA1335:AA1340),2)</f>
        <v>70</v>
      </c>
      <c r="AC1340" s="124"/>
      <c r="AD1340" s="42"/>
      <c r="AE1340" s="43"/>
    </row>
    <row r="1341" customFormat="false" ht="16.5" hidden="false" customHeight="true" outlineLevel="0" collapsed="false">
      <c r="A1341" s="84" t="n">
        <f aca="false">ROW(A1338)</f>
        <v>1338</v>
      </c>
      <c r="B1341" s="84" t="s">
        <v>455</v>
      </c>
      <c r="C1341" s="32" t="n">
        <v>1</v>
      </c>
      <c r="D1341" s="85" t="n">
        <v>133</v>
      </c>
      <c r="E1341" s="86" t="s">
        <v>3446</v>
      </c>
      <c r="F1341" s="87" t="s">
        <v>3447</v>
      </c>
      <c r="G1341" s="32" t="s">
        <v>3278</v>
      </c>
      <c r="H1341" s="32" t="s">
        <v>3434</v>
      </c>
      <c r="I1341" s="32" t="s">
        <v>232</v>
      </c>
      <c r="J1341" s="86" t="s">
        <v>460</v>
      </c>
      <c r="K1341" s="88" t="s">
        <v>3448</v>
      </c>
      <c r="L1341" s="89" t="n">
        <v>45742</v>
      </c>
      <c r="M1341" s="32" t="n">
        <v>96</v>
      </c>
      <c r="N1341" s="32" t="n">
        <v>116</v>
      </c>
      <c r="O1341" s="32" t="n">
        <v>20</v>
      </c>
      <c r="P1341" s="32" t="n">
        <v>19</v>
      </c>
      <c r="Q1341" s="32"/>
      <c r="R1341" s="90" t="n">
        <f aca="false">合約與計費!$D$4</f>
        <v>0.296</v>
      </c>
      <c r="S1341" s="91" t="n">
        <f aca="false">ROUND(P1341*R1341,0)</f>
        <v>6</v>
      </c>
      <c r="T1341" s="92"/>
      <c r="U1341" s="32" t="n">
        <v>77</v>
      </c>
      <c r="V1341" s="32" t="n">
        <v>102</v>
      </c>
      <c r="W1341" s="32" t="n">
        <v>25</v>
      </c>
      <c r="X1341" s="32" t="n">
        <v>24</v>
      </c>
      <c r="Y1341" s="32"/>
      <c r="Z1341" s="93" t="n">
        <f aca="false">合約與計費!$E$4</f>
        <v>2.8</v>
      </c>
      <c r="AA1341" s="94" t="n">
        <f aca="false">ROUND(X1341*Z1341,0)</f>
        <v>67</v>
      </c>
      <c r="AB1341" s="95"/>
      <c r="AC1341" s="96"/>
      <c r="AD1341" s="42"/>
      <c r="AE1341" s="43"/>
    </row>
    <row r="1342" customFormat="false" ht="16.5" hidden="false" customHeight="true" outlineLevel="0" collapsed="false">
      <c r="A1342" s="97" t="n">
        <f aca="false">ROW(A1339)</f>
        <v>1339</v>
      </c>
      <c r="B1342" s="97" t="s">
        <v>462</v>
      </c>
      <c r="C1342" s="100" t="n">
        <v>1</v>
      </c>
      <c r="D1342" s="85"/>
      <c r="E1342" s="98" t="s">
        <v>3449</v>
      </c>
      <c r="F1342" s="99" t="s">
        <v>3447</v>
      </c>
      <c r="G1342" s="100" t="s">
        <v>3278</v>
      </c>
      <c r="H1342" s="100" t="s">
        <v>3434</v>
      </c>
      <c r="I1342" s="100" t="s">
        <v>232</v>
      </c>
      <c r="J1342" s="98" t="s">
        <v>527</v>
      </c>
      <c r="K1342" s="101" t="s">
        <v>3450</v>
      </c>
      <c r="L1342" s="102" t="n">
        <v>45742</v>
      </c>
      <c r="M1342" s="100" t="n">
        <v>2937</v>
      </c>
      <c r="N1342" s="100" t="n">
        <v>3687</v>
      </c>
      <c r="O1342" s="100" t="n">
        <v>750</v>
      </c>
      <c r="P1342" s="100" t="n">
        <v>728</v>
      </c>
      <c r="Q1342" s="100"/>
      <c r="R1342" s="103" t="n">
        <f aca="false">合約與計費!$D$4</f>
        <v>0.296</v>
      </c>
      <c r="S1342" s="104" t="n">
        <f aca="false">ROUND(P1342*R1342,0)</f>
        <v>215</v>
      </c>
      <c r="T1342" s="105"/>
      <c r="U1342" s="100"/>
      <c r="V1342" s="100"/>
      <c r="W1342" s="106"/>
      <c r="X1342" s="100"/>
      <c r="Y1342" s="100"/>
      <c r="Z1342" s="107"/>
      <c r="AA1342" s="108"/>
      <c r="AB1342" s="109"/>
      <c r="AC1342" s="110"/>
      <c r="AD1342" s="42"/>
      <c r="AE1342" s="43"/>
    </row>
    <row r="1343" customFormat="false" ht="16.5" hidden="false" customHeight="true" outlineLevel="0" collapsed="false">
      <c r="A1343" s="97" t="n">
        <f aca="false">ROW(A1340)</f>
        <v>1340</v>
      </c>
      <c r="B1343" s="97" t="s">
        <v>466</v>
      </c>
      <c r="C1343" s="100" t="n">
        <v>1</v>
      </c>
      <c r="D1343" s="85"/>
      <c r="E1343" s="98" t="s">
        <v>3451</v>
      </c>
      <c r="F1343" s="99" t="s">
        <v>3447</v>
      </c>
      <c r="G1343" s="100" t="s">
        <v>3278</v>
      </c>
      <c r="H1343" s="100" t="s">
        <v>3434</v>
      </c>
      <c r="I1343" s="100" t="s">
        <v>232</v>
      </c>
      <c r="J1343" s="98" t="s">
        <v>527</v>
      </c>
      <c r="K1343" s="101" t="s">
        <v>3452</v>
      </c>
      <c r="L1343" s="102" t="n">
        <v>45742</v>
      </c>
      <c r="M1343" s="100" t="n">
        <v>644</v>
      </c>
      <c r="N1343" s="100" t="n">
        <v>772</v>
      </c>
      <c r="O1343" s="100" t="n">
        <v>128</v>
      </c>
      <c r="P1343" s="100" t="n">
        <v>124</v>
      </c>
      <c r="Q1343" s="100"/>
      <c r="R1343" s="103" t="n">
        <f aca="false">合約與計費!$D$4</f>
        <v>0.296</v>
      </c>
      <c r="S1343" s="104" t="n">
        <f aca="false">ROUND(P1343*R1343,0)</f>
        <v>37</v>
      </c>
      <c r="T1343" s="105"/>
      <c r="U1343" s="100"/>
      <c r="V1343" s="100"/>
      <c r="W1343" s="106"/>
      <c r="X1343" s="100"/>
      <c r="Y1343" s="100"/>
      <c r="Z1343" s="107"/>
      <c r="AA1343" s="108"/>
      <c r="AB1343" s="109"/>
      <c r="AC1343" s="110"/>
      <c r="AD1343" s="42"/>
      <c r="AE1343" s="43"/>
    </row>
    <row r="1344" customFormat="false" ht="16.5" hidden="false" customHeight="true" outlineLevel="0" collapsed="false">
      <c r="A1344" s="97" t="n">
        <f aca="false">ROW(A1341)</f>
        <v>1341</v>
      </c>
      <c r="B1344" s="97" t="s">
        <v>469</v>
      </c>
      <c r="C1344" s="100" t="n">
        <v>1</v>
      </c>
      <c r="D1344" s="85"/>
      <c r="E1344" s="98" t="s">
        <v>3453</v>
      </c>
      <c r="F1344" s="99" t="s">
        <v>3447</v>
      </c>
      <c r="G1344" s="100" t="s">
        <v>3278</v>
      </c>
      <c r="H1344" s="100" t="s">
        <v>3434</v>
      </c>
      <c r="I1344" s="100" t="s">
        <v>232</v>
      </c>
      <c r="J1344" s="98" t="s">
        <v>527</v>
      </c>
      <c r="K1344" s="101" t="s">
        <v>3454</v>
      </c>
      <c r="L1344" s="102" t="n">
        <v>45742</v>
      </c>
      <c r="M1344" s="100" t="n">
        <v>1462</v>
      </c>
      <c r="N1344" s="100" t="n">
        <v>1757</v>
      </c>
      <c r="O1344" s="100" t="n">
        <v>295</v>
      </c>
      <c r="P1344" s="100" t="n">
        <v>286</v>
      </c>
      <c r="Q1344" s="100"/>
      <c r="R1344" s="103" t="n">
        <f aca="false">合約與計費!$D$4</f>
        <v>0.296</v>
      </c>
      <c r="S1344" s="104" t="n">
        <f aca="false">ROUND(P1344*R1344,0)</f>
        <v>85</v>
      </c>
      <c r="T1344" s="105"/>
      <c r="U1344" s="100"/>
      <c r="V1344" s="100"/>
      <c r="W1344" s="106"/>
      <c r="X1344" s="100"/>
      <c r="Y1344" s="100"/>
      <c r="Z1344" s="107"/>
      <c r="AA1344" s="108"/>
      <c r="AB1344" s="109"/>
      <c r="AC1344" s="110"/>
      <c r="AD1344" s="42"/>
      <c r="AE1344" s="43"/>
    </row>
    <row r="1345" customFormat="false" ht="16.5" hidden="false" customHeight="true" outlineLevel="0" collapsed="false">
      <c r="A1345" s="111" t="n">
        <f aca="false">ROW(A1342)</f>
        <v>1342</v>
      </c>
      <c r="B1345" s="111" t="s">
        <v>473</v>
      </c>
      <c r="C1345" s="114" t="n">
        <v>1</v>
      </c>
      <c r="D1345" s="85"/>
      <c r="E1345" s="112" t="s">
        <v>3455</v>
      </c>
      <c r="F1345" s="113" t="s">
        <v>3447</v>
      </c>
      <c r="G1345" s="114" t="s">
        <v>3278</v>
      </c>
      <c r="H1345" s="114" t="s">
        <v>3434</v>
      </c>
      <c r="I1345" s="114" t="s">
        <v>232</v>
      </c>
      <c r="J1345" s="112" t="s">
        <v>527</v>
      </c>
      <c r="K1345" s="115" t="s">
        <v>3456</v>
      </c>
      <c r="L1345" s="116" t="n">
        <v>45742</v>
      </c>
      <c r="M1345" s="114" t="n">
        <v>8342</v>
      </c>
      <c r="N1345" s="114" t="n">
        <v>10145</v>
      </c>
      <c r="O1345" s="114" t="n">
        <v>1803</v>
      </c>
      <c r="P1345" s="114" t="n">
        <v>1749</v>
      </c>
      <c r="Q1345" s="114" t="n">
        <f aca="false">ROUND(SUM(P1341:P1345),2)</f>
        <v>2906</v>
      </c>
      <c r="R1345" s="117" t="n">
        <f aca="false">合約與計費!$D$4</f>
        <v>0.296</v>
      </c>
      <c r="S1345" s="118" t="n">
        <f aca="false">ROUND(P1345*R1345,0)</f>
        <v>518</v>
      </c>
      <c r="T1345" s="119" t="n">
        <f aca="false">ROUND(SUM(S1341:S1345),2)</f>
        <v>861</v>
      </c>
      <c r="U1345" s="114"/>
      <c r="V1345" s="114"/>
      <c r="W1345" s="120"/>
      <c r="X1345" s="114"/>
      <c r="Y1345" s="114" t="n">
        <f aca="false">ROUND(SUM(X1341:X1345),2)</f>
        <v>24</v>
      </c>
      <c r="Z1345" s="121"/>
      <c r="AA1345" s="122"/>
      <c r="AB1345" s="123" t="n">
        <f aca="false">ROUND(SUM(AA1341:AA1345),2)</f>
        <v>67</v>
      </c>
      <c r="AC1345" s="124"/>
      <c r="AD1345" s="42"/>
      <c r="AE1345" s="43"/>
    </row>
    <row r="1346" customFormat="false" ht="16.5" hidden="false" customHeight="true" outlineLevel="0" collapsed="false">
      <c r="A1346" s="84" t="n">
        <f aca="false">ROW(A1343)</f>
        <v>1343</v>
      </c>
      <c r="B1346" s="84" t="s">
        <v>455</v>
      </c>
      <c r="C1346" s="32" t="n">
        <v>1</v>
      </c>
      <c r="D1346" s="85" t="n">
        <v>135</v>
      </c>
      <c r="E1346" s="86" t="s">
        <v>3457</v>
      </c>
      <c r="F1346" s="87" t="s">
        <v>3458</v>
      </c>
      <c r="G1346" s="32" t="s">
        <v>3278</v>
      </c>
      <c r="H1346" s="32" t="s">
        <v>3434</v>
      </c>
      <c r="I1346" s="172" t="s">
        <v>337</v>
      </c>
      <c r="J1346" s="86" t="s">
        <v>460</v>
      </c>
      <c r="K1346" s="88" t="s">
        <v>3459</v>
      </c>
      <c r="L1346" s="89" t="n">
        <v>45782</v>
      </c>
      <c r="M1346" s="32" t="n">
        <v>26</v>
      </c>
      <c r="N1346" s="32" t="n">
        <v>29</v>
      </c>
      <c r="O1346" s="32" t="n">
        <v>3</v>
      </c>
      <c r="P1346" s="32" t="n">
        <v>3</v>
      </c>
      <c r="Q1346" s="32"/>
      <c r="R1346" s="90" t="n">
        <f aca="false">合約與計費!$D$4</f>
        <v>0.296</v>
      </c>
      <c r="S1346" s="91" t="n">
        <f aca="false">ROUND(P1346*R1346,0)</f>
        <v>1</v>
      </c>
      <c r="T1346" s="92"/>
      <c r="U1346" s="32" t="n">
        <v>75</v>
      </c>
      <c r="V1346" s="32" t="n">
        <v>103</v>
      </c>
      <c r="W1346" s="32" t="n">
        <v>28</v>
      </c>
      <c r="X1346" s="32" t="n">
        <v>27</v>
      </c>
      <c r="Y1346" s="32"/>
      <c r="Z1346" s="93" t="n">
        <f aca="false">合約與計費!$E$4</f>
        <v>2.8</v>
      </c>
      <c r="AA1346" s="94" t="n">
        <f aca="false">ROUND(X1346*Z1346,0)</f>
        <v>76</v>
      </c>
      <c r="AB1346" s="95"/>
      <c r="AC1346" s="96"/>
      <c r="AD1346" s="42"/>
      <c r="AE1346" s="43"/>
    </row>
    <row r="1347" customFormat="false" ht="16.5" hidden="false" customHeight="true" outlineLevel="0" collapsed="false">
      <c r="A1347" s="97" t="n">
        <f aca="false">ROW(A1344)</f>
        <v>1344</v>
      </c>
      <c r="B1347" s="97" t="s">
        <v>462</v>
      </c>
      <c r="C1347" s="100" t="n">
        <v>1</v>
      </c>
      <c r="D1347" s="85"/>
      <c r="E1347" s="98" t="s">
        <v>3460</v>
      </c>
      <c r="F1347" s="99" t="s">
        <v>3458</v>
      </c>
      <c r="G1347" s="100" t="s">
        <v>3278</v>
      </c>
      <c r="H1347" s="100" t="s">
        <v>3434</v>
      </c>
      <c r="I1347" s="175" t="s">
        <v>337</v>
      </c>
      <c r="J1347" s="98" t="s">
        <v>464</v>
      </c>
      <c r="K1347" s="101" t="s">
        <v>3461</v>
      </c>
      <c r="L1347" s="102" t="n">
        <v>45782</v>
      </c>
      <c r="M1347" s="100" t="n">
        <v>856</v>
      </c>
      <c r="N1347" s="100" t="n">
        <v>1366</v>
      </c>
      <c r="O1347" s="100" t="n">
        <v>510</v>
      </c>
      <c r="P1347" s="100" t="n">
        <v>495</v>
      </c>
      <c r="Q1347" s="100"/>
      <c r="R1347" s="103" t="n">
        <f aca="false">合約與計費!$D$4</f>
        <v>0.296</v>
      </c>
      <c r="S1347" s="104" t="n">
        <f aca="false">ROUND(P1347*R1347,0)</f>
        <v>147</v>
      </c>
      <c r="T1347" s="105"/>
      <c r="U1347" s="100"/>
      <c r="V1347" s="100"/>
      <c r="W1347" s="106"/>
      <c r="X1347" s="100"/>
      <c r="Y1347" s="100"/>
      <c r="Z1347" s="107"/>
      <c r="AA1347" s="108"/>
      <c r="AB1347" s="109"/>
      <c r="AC1347" s="110"/>
      <c r="AD1347" s="42" t="n">
        <v>0.0632</v>
      </c>
      <c r="AE1347" s="43" t="n">
        <v>0.3</v>
      </c>
    </row>
    <row r="1348" customFormat="false" ht="16.5" hidden="false" customHeight="true" outlineLevel="0" collapsed="false">
      <c r="A1348" s="97" t="n">
        <f aca="false">ROW(A1345)</f>
        <v>1345</v>
      </c>
      <c r="B1348" s="97" t="s">
        <v>466</v>
      </c>
      <c r="C1348" s="100" t="n">
        <v>1</v>
      </c>
      <c r="D1348" s="85"/>
      <c r="E1348" s="98" t="s">
        <v>3462</v>
      </c>
      <c r="F1348" s="99" t="s">
        <v>3458</v>
      </c>
      <c r="G1348" s="100" t="s">
        <v>3278</v>
      </c>
      <c r="H1348" s="100" t="s">
        <v>3434</v>
      </c>
      <c r="I1348" s="175" t="s">
        <v>337</v>
      </c>
      <c r="J1348" s="98" t="s">
        <v>527</v>
      </c>
      <c r="K1348" s="101" t="s">
        <v>3463</v>
      </c>
      <c r="L1348" s="102" t="n">
        <v>45782</v>
      </c>
      <c r="M1348" s="100" t="n">
        <v>4075</v>
      </c>
      <c r="N1348" s="100" t="n">
        <v>5264</v>
      </c>
      <c r="O1348" s="100" t="n">
        <v>1189</v>
      </c>
      <c r="P1348" s="100" t="n">
        <v>1153</v>
      </c>
      <c r="Q1348" s="100"/>
      <c r="R1348" s="103" t="n">
        <f aca="false">合約與計費!$D$4</f>
        <v>0.296</v>
      </c>
      <c r="S1348" s="104" t="n">
        <f aca="false">ROUND(P1348*R1348,0)</f>
        <v>341</v>
      </c>
      <c r="T1348" s="105"/>
      <c r="U1348" s="100"/>
      <c r="V1348" s="100"/>
      <c r="W1348" s="106"/>
      <c r="X1348" s="100"/>
      <c r="Y1348" s="100"/>
      <c r="Z1348" s="107"/>
      <c r="AA1348" s="108"/>
      <c r="AB1348" s="109"/>
      <c r="AC1348" s="110"/>
      <c r="AD1348" s="42"/>
      <c r="AE1348" s="43"/>
    </row>
    <row r="1349" customFormat="false" ht="16.5" hidden="false" customHeight="true" outlineLevel="0" collapsed="false">
      <c r="A1349" s="97" t="n">
        <f aca="false">ROW(A1346)</f>
        <v>1346</v>
      </c>
      <c r="B1349" s="97" t="s">
        <v>469</v>
      </c>
      <c r="C1349" s="100" t="n">
        <v>1</v>
      </c>
      <c r="D1349" s="85"/>
      <c r="E1349" s="98" t="s">
        <v>3464</v>
      </c>
      <c r="F1349" s="99" t="s">
        <v>3458</v>
      </c>
      <c r="G1349" s="100" t="s">
        <v>3278</v>
      </c>
      <c r="H1349" s="100" t="s">
        <v>3434</v>
      </c>
      <c r="I1349" s="175" t="s">
        <v>337</v>
      </c>
      <c r="J1349" s="98" t="s">
        <v>527</v>
      </c>
      <c r="K1349" s="101" t="s">
        <v>3465</v>
      </c>
      <c r="L1349" s="102" t="n">
        <v>45782</v>
      </c>
      <c r="M1349" s="100" t="n">
        <v>1010</v>
      </c>
      <c r="N1349" s="100" t="n">
        <v>1207</v>
      </c>
      <c r="O1349" s="100" t="n">
        <v>197</v>
      </c>
      <c r="P1349" s="100" t="n">
        <v>191</v>
      </c>
      <c r="Q1349" s="100"/>
      <c r="R1349" s="103" t="n">
        <f aca="false">合約與計費!$D$4</f>
        <v>0.296</v>
      </c>
      <c r="S1349" s="104" t="n">
        <f aca="false">ROUND(P1349*R1349,0)</f>
        <v>57</v>
      </c>
      <c r="T1349" s="105"/>
      <c r="U1349" s="100"/>
      <c r="V1349" s="100"/>
      <c r="W1349" s="106"/>
      <c r="X1349" s="100"/>
      <c r="Y1349" s="100"/>
      <c r="Z1349" s="107"/>
      <c r="AA1349" s="108"/>
      <c r="AB1349" s="109"/>
      <c r="AC1349" s="110"/>
      <c r="AD1349" s="42"/>
      <c r="AE1349" s="43"/>
    </row>
    <row r="1350" customFormat="false" ht="16.5" hidden="false" customHeight="true" outlineLevel="0" collapsed="false">
      <c r="A1350" s="111" t="n">
        <f aca="false">ROW(A1347)</f>
        <v>1347</v>
      </c>
      <c r="B1350" s="111" t="s">
        <v>473</v>
      </c>
      <c r="C1350" s="114" t="n">
        <v>1</v>
      </c>
      <c r="D1350" s="85"/>
      <c r="E1350" s="112" t="s">
        <v>3466</v>
      </c>
      <c r="F1350" s="113" t="s">
        <v>3458</v>
      </c>
      <c r="G1350" s="114" t="s">
        <v>3278</v>
      </c>
      <c r="H1350" s="114" t="s">
        <v>3434</v>
      </c>
      <c r="I1350" s="173" t="s">
        <v>337</v>
      </c>
      <c r="J1350" s="112" t="s">
        <v>527</v>
      </c>
      <c r="K1350" s="115" t="s">
        <v>3467</v>
      </c>
      <c r="L1350" s="116" t="n">
        <v>45782</v>
      </c>
      <c r="M1350" s="114" t="n">
        <v>7140</v>
      </c>
      <c r="N1350" s="114" t="n">
        <v>9687</v>
      </c>
      <c r="O1350" s="114" t="n">
        <v>2547</v>
      </c>
      <c r="P1350" s="114" t="n">
        <v>2471</v>
      </c>
      <c r="Q1350" s="114" t="n">
        <f aca="false">ROUND(SUM(P1346:P1350),2)</f>
        <v>4313</v>
      </c>
      <c r="R1350" s="117" t="n">
        <f aca="false">合約與計費!$D$4</f>
        <v>0.296</v>
      </c>
      <c r="S1350" s="118" t="n">
        <f aca="false">ROUND(P1350*R1350,0)</f>
        <v>731</v>
      </c>
      <c r="T1350" s="119" t="n">
        <f aca="false">ROUND(SUM(S1346:S1350),2)</f>
        <v>1277</v>
      </c>
      <c r="U1350" s="114"/>
      <c r="V1350" s="114"/>
      <c r="W1350" s="120"/>
      <c r="X1350" s="114"/>
      <c r="Y1350" s="114" t="n">
        <f aca="false">ROUND(SUM(X1346:X1350),2)</f>
        <v>27</v>
      </c>
      <c r="Z1350" s="121"/>
      <c r="AA1350" s="122"/>
      <c r="AB1350" s="123" t="n">
        <f aca="false">ROUND(SUM(AA1346:AA1350),2)</f>
        <v>76</v>
      </c>
      <c r="AC1350" s="124"/>
      <c r="AD1350" s="42"/>
      <c r="AE1350" s="43"/>
    </row>
    <row r="1351" customFormat="false" ht="16.5" hidden="false" customHeight="true" outlineLevel="0" collapsed="false">
      <c r="A1351" s="84" t="n">
        <f aca="false">ROW(A1348)</f>
        <v>1348</v>
      </c>
      <c r="B1351" s="84" t="s">
        <v>455</v>
      </c>
      <c r="C1351" s="32" t="n">
        <v>1</v>
      </c>
      <c r="D1351" s="85" t="n">
        <v>191</v>
      </c>
      <c r="E1351" s="86" t="s">
        <v>3468</v>
      </c>
      <c r="F1351" s="87" t="s">
        <v>3469</v>
      </c>
      <c r="G1351" s="32" t="s">
        <v>3278</v>
      </c>
      <c r="H1351" s="32" t="s">
        <v>3434</v>
      </c>
      <c r="I1351" s="32" t="s">
        <v>219</v>
      </c>
      <c r="J1351" s="86" t="s">
        <v>460</v>
      </c>
      <c r="K1351" s="88" t="s">
        <v>3470</v>
      </c>
      <c r="L1351" s="89" t="n">
        <v>45770</v>
      </c>
      <c r="M1351" s="32" t="n">
        <v>301</v>
      </c>
      <c r="N1351" s="32" t="n">
        <v>391</v>
      </c>
      <c r="O1351" s="32" t="n">
        <v>90</v>
      </c>
      <c r="P1351" s="32" t="n">
        <v>87</v>
      </c>
      <c r="Q1351" s="32"/>
      <c r="R1351" s="90" t="n">
        <f aca="false">合約與計費!$D$4</f>
        <v>0.296</v>
      </c>
      <c r="S1351" s="91" t="n">
        <f aca="false">ROUND(P1351*R1351,0)</f>
        <v>26</v>
      </c>
      <c r="T1351" s="92"/>
      <c r="U1351" s="32" t="n">
        <v>32</v>
      </c>
      <c r="V1351" s="32" t="n">
        <v>45</v>
      </c>
      <c r="W1351" s="32" t="n">
        <v>13</v>
      </c>
      <c r="X1351" s="32" t="n">
        <v>13</v>
      </c>
      <c r="Y1351" s="32"/>
      <c r="Z1351" s="93" t="n">
        <f aca="false">合約與計費!$E$4</f>
        <v>2.8</v>
      </c>
      <c r="AA1351" s="94" t="n">
        <f aca="false">ROUND(X1351*Z1351,0)</f>
        <v>36</v>
      </c>
      <c r="AB1351" s="95"/>
      <c r="AC1351" s="96"/>
      <c r="AD1351" s="42"/>
      <c r="AE1351" s="43"/>
    </row>
    <row r="1352" customFormat="false" ht="16.5" hidden="false" customHeight="true" outlineLevel="0" collapsed="false">
      <c r="A1352" s="97" t="n">
        <f aca="false">ROW(A1349)</f>
        <v>1349</v>
      </c>
      <c r="B1352" s="97" t="s">
        <v>462</v>
      </c>
      <c r="C1352" s="100" t="n">
        <v>1</v>
      </c>
      <c r="D1352" s="85"/>
      <c r="E1352" s="98" t="s">
        <v>3471</v>
      </c>
      <c r="F1352" s="99" t="s">
        <v>3469</v>
      </c>
      <c r="G1352" s="100" t="s">
        <v>3278</v>
      </c>
      <c r="H1352" s="100" t="s">
        <v>3434</v>
      </c>
      <c r="I1352" s="175" t="s">
        <v>219</v>
      </c>
      <c r="J1352" s="98" t="s">
        <v>527</v>
      </c>
      <c r="K1352" s="101" t="s">
        <v>3472</v>
      </c>
      <c r="L1352" s="102" t="n">
        <v>45770</v>
      </c>
      <c r="M1352" s="100" t="n">
        <v>1819</v>
      </c>
      <c r="N1352" s="100" t="n">
        <v>2291</v>
      </c>
      <c r="O1352" s="100" t="n">
        <v>472</v>
      </c>
      <c r="P1352" s="100" t="n">
        <v>458</v>
      </c>
      <c r="Q1352" s="100"/>
      <c r="R1352" s="103" t="n">
        <f aca="false">合約與計費!$D$4</f>
        <v>0.296</v>
      </c>
      <c r="S1352" s="104" t="n">
        <f aca="false">ROUND(P1352*R1352,0)</f>
        <v>136</v>
      </c>
      <c r="T1352" s="105"/>
      <c r="U1352" s="100"/>
      <c r="V1352" s="100"/>
      <c r="W1352" s="106"/>
      <c r="X1352" s="100"/>
      <c r="Y1352" s="100"/>
      <c r="Z1352" s="107"/>
      <c r="AA1352" s="108"/>
      <c r="AB1352" s="109"/>
      <c r="AC1352" s="110"/>
      <c r="AD1352" s="42"/>
      <c r="AE1352" s="43"/>
    </row>
    <row r="1353" customFormat="false" ht="16.5" hidden="false" customHeight="true" outlineLevel="0" collapsed="false">
      <c r="A1353" s="97" t="n">
        <f aca="false">ROW(A1350)</f>
        <v>1350</v>
      </c>
      <c r="B1353" s="97" t="s">
        <v>466</v>
      </c>
      <c r="C1353" s="100" t="n">
        <v>1</v>
      </c>
      <c r="D1353" s="85"/>
      <c r="E1353" s="98" t="s">
        <v>3473</v>
      </c>
      <c r="F1353" s="99" t="s">
        <v>3469</v>
      </c>
      <c r="G1353" s="100" t="s">
        <v>3278</v>
      </c>
      <c r="H1353" s="100" t="s">
        <v>3434</v>
      </c>
      <c r="I1353" s="175" t="s">
        <v>219</v>
      </c>
      <c r="J1353" s="98" t="s">
        <v>527</v>
      </c>
      <c r="K1353" s="101" t="s">
        <v>3474</v>
      </c>
      <c r="L1353" s="102" t="n">
        <v>45770</v>
      </c>
      <c r="M1353" s="100" t="n">
        <v>2504</v>
      </c>
      <c r="N1353" s="100" t="n">
        <v>3056</v>
      </c>
      <c r="O1353" s="100" t="n">
        <v>552</v>
      </c>
      <c r="P1353" s="100" t="n">
        <v>535</v>
      </c>
      <c r="Q1353" s="100"/>
      <c r="R1353" s="103" t="n">
        <f aca="false">合約與計費!$D$4</f>
        <v>0.296</v>
      </c>
      <c r="S1353" s="104" t="n">
        <f aca="false">ROUND(P1353*R1353,0)</f>
        <v>158</v>
      </c>
      <c r="T1353" s="105"/>
      <c r="U1353" s="100"/>
      <c r="V1353" s="100"/>
      <c r="W1353" s="106"/>
      <c r="X1353" s="100"/>
      <c r="Y1353" s="100"/>
      <c r="Z1353" s="107"/>
      <c r="AA1353" s="108"/>
      <c r="AB1353" s="109"/>
      <c r="AC1353" s="110"/>
      <c r="AD1353" s="42"/>
      <c r="AE1353" s="43"/>
    </row>
    <row r="1354" customFormat="false" ht="16.5" hidden="false" customHeight="true" outlineLevel="0" collapsed="false">
      <c r="A1354" s="111" t="n">
        <f aca="false">ROW(A1351)</f>
        <v>1351</v>
      </c>
      <c r="B1354" s="111" t="s">
        <v>469</v>
      </c>
      <c r="C1354" s="114" t="n">
        <v>1</v>
      </c>
      <c r="D1354" s="85"/>
      <c r="E1354" s="112" t="s">
        <v>3475</v>
      </c>
      <c r="F1354" s="113" t="s">
        <v>3469</v>
      </c>
      <c r="G1354" s="114" t="s">
        <v>3278</v>
      </c>
      <c r="H1354" s="114" t="s">
        <v>3434</v>
      </c>
      <c r="I1354" s="173" t="s">
        <v>219</v>
      </c>
      <c r="J1354" s="112" t="s">
        <v>527</v>
      </c>
      <c r="K1354" s="115" t="s">
        <v>3476</v>
      </c>
      <c r="L1354" s="116" t="n">
        <v>45770</v>
      </c>
      <c r="M1354" s="114" t="n">
        <v>612</v>
      </c>
      <c r="N1354" s="114" t="n">
        <v>619</v>
      </c>
      <c r="O1354" s="114" t="n">
        <v>7</v>
      </c>
      <c r="P1354" s="114" t="n">
        <v>7</v>
      </c>
      <c r="Q1354" s="114" t="n">
        <f aca="false">ROUND(SUM(P1351:P1354),2)</f>
        <v>1087</v>
      </c>
      <c r="R1354" s="117" t="n">
        <f aca="false">合約與計費!$D$4</f>
        <v>0.296</v>
      </c>
      <c r="S1354" s="118" t="n">
        <f aca="false">ROUND(P1354*R1354,0)</f>
        <v>2</v>
      </c>
      <c r="T1354" s="119" t="n">
        <f aca="false">ROUND(SUM(S1351:S1354),2)</f>
        <v>322</v>
      </c>
      <c r="U1354" s="114"/>
      <c r="V1354" s="114"/>
      <c r="W1354" s="120"/>
      <c r="X1354" s="114"/>
      <c r="Y1354" s="114" t="n">
        <f aca="false">ROUND(SUM(X1351:X1354),2)</f>
        <v>13</v>
      </c>
      <c r="Z1354" s="121"/>
      <c r="AA1354" s="122"/>
      <c r="AB1354" s="123" t="n">
        <f aca="false">ROUND(SUM(AA1351:AA1354),2)</f>
        <v>36</v>
      </c>
      <c r="AC1354" s="124"/>
      <c r="AD1354" s="42"/>
      <c r="AE1354" s="43"/>
    </row>
    <row r="1355" customFormat="false" ht="16.5" hidden="false" customHeight="true" outlineLevel="0" collapsed="false">
      <c r="A1355" s="84" t="n">
        <f aca="false">ROW(A1352)</f>
        <v>1352</v>
      </c>
      <c r="B1355" s="84" t="s">
        <v>455</v>
      </c>
      <c r="C1355" s="32" t="n">
        <v>1</v>
      </c>
      <c r="D1355" s="85" t="n">
        <v>192</v>
      </c>
      <c r="E1355" s="86" t="s">
        <v>3477</v>
      </c>
      <c r="F1355" s="87" t="s">
        <v>3478</v>
      </c>
      <c r="G1355" s="32" t="s">
        <v>3278</v>
      </c>
      <c r="H1355" s="32" t="s">
        <v>3434</v>
      </c>
      <c r="I1355" s="32" t="s">
        <v>43</v>
      </c>
      <c r="J1355" s="86" t="s">
        <v>460</v>
      </c>
      <c r="K1355" s="88" t="s">
        <v>3479</v>
      </c>
      <c r="L1355" s="89" t="n">
        <v>45770</v>
      </c>
      <c r="M1355" s="32" t="n">
        <v>446</v>
      </c>
      <c r="N1355" s="32" t="n">
        <v>507</v>
      </c>
      <c r="O1355" s="32" t="n">
        <v>61</v>
      </c>
      <c r="P1355" s="32" t="n">
        <v>59</v>
      </c>
      <c r="Q1355" s="32"/>
      <c r="R1355" s="90" t="n">
        <f aca="false">合約與計費!$D$4</f>
        <v>0.296</v>
      </c>
      <c r="S1355" s="91" t="n">
        <f aca="false">ROUND(P1355*R1355,0)</f>
        <v>17</v>
      </c>
      <c r="T1355" s="92"/>
      <c r="U1355" s="32" t="n">
        <v>66</v>
      </c>
      <c r="V1355" s="32" t="n">
        <v>72</v>
      </c>
      <c r="W1355" s="32" t="n">
        <v>6</v>
      </c>
      <c r="X1355" s="32" t="n">
        <v>6</v>
      </c>
      <c r="Y1355" s="32"/>
      <c r="Z1355" s="93" t="n">
        <f aca="false">合約與計費!$E$4</f>
        <v>2.8</v>
      </c>
      <c r="AA1355" s="94" t="n">
        <f aca="false">ROUND(X1355*Z1355,0)</f>
        <v>17</v>
      </c>
      <c r="AB1355" s="95"/>
      <c r="AC1355" s="96"/>
      <c r="AD1355" s="42"/>
      <c r="AE1355" s="43"/>
    </row>
    <row r="1356" customFormat="false" ht="16.5" hidden="false" customHeight="true" outlineLevel="0" collapsed="false">
      <c r="A1356" s="97" t="n">
        <f aca="false">ROW(A1353)</f>
        <v>1353</v>
      </c>
      <c r="B1356" s="97" t="s">
        <v>462</v>
      </c>
      <c r="C1356" s="100" t="n">
        <v>1</v>
      </c>
      <c r="D1356" s="85"/>
      <c r="E1356" s="98" t="s">
        <v>3480</v>
      </c>
      <c r="F1356" s="99" t="s">
        <v>3478</v>
      </c>
      <c r="G1356" s="100" t="s">
        <v>3278</v>
      </c>
      <c r="H1356" s="100" t="s">
        <v>3434</v>
      </c>
      <c r="I1356" s="100" t="s">
        <v>43</v>
      </c>
      <c r="J1356" s="98" t="s">
        <v>464</v>
      </c>
      <c r="K1356" s="101" t="s">
        <v>3481</v>
      </c>
      <c r="L1356" s="102" t="n">
        <v>45770</v>
      </c>
      <c r="M1356" s="100" t="n">
        <v>642</v>
      </c>
      <c r="N1356" s="100" t="n">
        <v>847</v>
      </c>
      <c r="O1356" s="100" t="n">
        <v>205</v>
      </c>
      <c r="P1356" s="100" t="n">
        <v>199</v>
      </c>
      <c r="Q1356" s="100"/>
      <c r="R1356" s="103" t="n">
        <f aca="false">合約與計費!$D$4</f>
        <v>0.296</v>
      </c>
      <c r="S1356" s="104" t="n">
        <f aca="false">ROUND(P1356*R1356,0)</f>
        <v>59</v>
      </c>
      <c r="T1356" s="105"/>
      <c r="U1356" s="100"/>
      <c r="V1356" s="100"/>
      <c r="W1356" s="106"/>
      <c r="X1356" s="100"/>
      <c r="Y1356" s="100"/>
      <c r="Z1356" s="107"/>
      <c r="AA1356" s="108"/>
      <c r="AB1356" s="109"/>
      <c r="AC1356" s="110"/>
      <c r="AD1356" s="42" t="n">
        <v>0.0508</v>
      </c>
      <c r="AE1356" s="43" t="n">
        <v>0.7</v>
      </c>
    </row>
    <row r="1357" customFormat="false" ht="16.5" hidden="false" customHeight="true" outlineLevel="0" collapsed="false">
      <c r="A1357" s="97" t="n">
        <f aca="false">ROW(A1354)</f>
        <v>1354</v>
      </c>
      <c r="B1357" s="97" t="s">
        <v>466</v>
      </c>
      <c r="C1357" s="100" t="n">
        <v>1</v>
      </c>
      <c r="D1357" s="85"/>
      <c r="E1357" s="98" t="s">
        <v>3482</v>
      </c>
      <c r="F1357" s="99" t="s">
        <v>3478</v>
      </c>
      <c r="G1357" s="100" t="s">
        <v>3278</v>
      </c>
      <c r="H1357" s="100" t="s">
        <v>3434</v>
      </c>
      <c r="I1357" s="100" t="s">
        <v>43</v>
      </c>
      <c r="J1357" s="98" t="s">
        <v>527</v>
      </c>
      <c r="K1357" s="101" t="s">
        <v>3483</v>
      </c>
      <c r="L1357" s="102" t="n">
        <v>45770</v>
      </c>
      <c r="M1357" s="100" t="n">
        <v>1301</v>
      </c>
      <c r="N1357" s="100" t="n">
        <v>1563</v>
      </c>
      <c r="O1357" s="100" t="n">
        <v>262</v>
      </c>
      <c r="P1357" s="100" t="n">
        <v>254</v>
      </c>
      <c r="Q1357" s="100"/>
      <c r="R1357" s="103" t="n">
        <f aca="false">合約與計費!$D$4</f>
        <v>0.296</v>
      </c>
      <c r="S1357" s="104" t="n">
        <f aca="false">ROUND(P1357*R1357,0)</f>
        <v>75</v>
      </c>
      <c r="T1357" s="105"/>
      <c r="U1357" s="100"/>
      <c r="V1357" s="100"/>
      <c r="W1357" s="106"/>
      <c r="X1357" s="100"/>
      <c r="Y1357" s="100"/>
      <c r="Z1357" s="107"/>
      <c r="AA1357" s="108"/>
      <c r="AB1357" s="109"/>
      <c r="AC1357" s="110"/>
      <c r="AD1357" s="42"/>
      <c r="AE1357" s="43"/>
    </row>
    <row r="1358" customFormat="false" ht="16.5" hidden="false" customHeight="true" outlineLevel="0" collapsed="false">
      <c r="A1358" s="111" t="n">
        <f aca="false">ROW(A1355)</f>
        <v>1355</v>
      </c>
      <c r="B1358" s="111" t="s">
        <v>469</v>
      </c>
      <c r="C1358" s="114" t="n">
        <v>1</v>
      </c>
      <c r="D1358" s="85"/>
      <c r="E1358" s="112" t="s">
        <v>3484</v>
      </c>
      <c r="F1358" s="113" t="s">
        <v>3478</v>
      </c>
      <c r="G1358" s="114" t="s">
        <v>3278</v>
      </c>
      <c r="H1358" s="114" t="s">
        <v>3434</v>
      </c>
      <c r="I1358" s="114" t="s">
        <v>43</v>
      </c>
      <c r="J1358" s="112" t="s">
        <v>527</v>
      </c>
      <c r="K1358" s="115" t="s">
        <v>3485</v>
      </c>
      <c r="L1358" s="116" t="n">
        <v>45770</v>
      </c>
      <c r="M1358" s="114" t="n">
        <v>3219</v>
      </c>
      <c r="N1358" s="114" t="n">
        <v>4016</v>
      </c>
      <c r="O1358" s="114" t="n">
        <v>797</v>
      </c>
      <c r="P1358" s="114" t="n">
        <v>773</v>
      </c>
      <c r="Q1358" s="114" t="n">
        <f aca="false">ROUND(SUM(P1355:P1358),2)</f>
        <v>1285</v>
      </c>
      <c r="R1358" s="117" t="n">
        <f aca="false">合約與計費!$D$4</f>
        <v>0.296</v>
      </c>
      <c r="S1358" s="118" t="n">
        <f aca="false">ROUND(P1358*R1358,0)</f>
        <v>229</v>
      </c>
      <c r="T1358" s="119" t="n">
        <f aca="false">ROUND(SUM(S1355:S1358),2)</f>
        <v>380</v>
      </c>
      <c r="U1358" s="114"/>
      <c r="V1358" s="114"/>
      <c r="W1358" s="120"/>
      <c r="X1358" s="114"/>
      <c r="Y1358" s="114" t="n">
        <f aca="false">ROUND(SUM(X1355:X1358),2)</f>
        <v>6</v>
      </c>
      <c r="Z1358" s="121"/>
      <c r="AA1358" s="122"/>
      <c r="AB1358" s="123" t="n">
        <f aca="false">ROUND(SUM(AA1355:AA1358),2)</f>
        <v>17</v>
      </c>
      <c r="AC1358" s="124"/>
      <c r="AD1358" s="42"/>
      <c r="AE1358" s="43"/>
    </row>
    <row r="1359" customFormat="false" ht="16.5" hidden="false" customHeight="true" outlineLevel="0" collapsed="false">
      <c r="A1359" s="84" t="n">
        <f aca="false">ROW(A1356)</f>
        <v>1356</v>
      </c>
      <c r="B1359" s="84" t="s">
        <v>455</v>
      </c>
      <c r="C1359" s="32" t="n">
        <v>1</v>
      </c>
      <c r="D1359" s="85" t="n">
        <v>193</v>
      </c>
      <c r="E1359" s="86" t="s">
        <v>3486</v>
      </c>
      <c r="F1359" s="87" t="s">
        <v>3487</v>
      </c>
      <c r="G1359" s="32" t="s">
        <v>3278</v>
      </c>
      <c r="H1359" s="32" t="s">
        <v>3434</v>
      </c>
      <c r="I1359" s="32" t="s">
        <v>300</v>
      </c>
      <c r="J1359" s="86" t="s">
        <v>460</v>
      </c>
      <c r="K1359" s="88" t="s">
        <v>3488</v>
      </c>
      <c r="L1359" s="89" t="n">
        <v>45730</v>
      </c>
      <c r="M1359" s="32" t="n">
        <v>1288</v>
      </c>
      <c r="N1359" s="32" t="n">
        <v>1425</v>
      </c>
      <c r="O1359" s="32" t="n">
        <v>137</v>
      </c>
      <c r="P1359" s="32" t="n">
        <v>133</v>
      </c>
      <c r="Q1359" s="32"/>
      <c r="R1359" s="90" t="n">
        <f aca="false">合約與計費!$D$4</f>
        <v>0.296</v>
      </c>
      <c r="S1359" s="91" t="n">
        <f aca="false">ROUND(P1359*R1359,0)</f>
        <v>39</v>
      </c>
      <c r="T1359" s="92"/>
      <c r="U1359" s="32" t="n">
        <v>203</v>
      </c>
      <c r="V1359" s="32" t="n">
        <v>229</v>
      </c>
      <c r="W1359" s="32" t="n">
        <v>26</v>
      </c>
      <c r="X1359" s="32" t="n">
        <v>25</v>
      </c>
      <c r="Y1359" s="32"/>
      <c r="Z1359" s="93" t="n">
        <f aca="false">合約與計費!$E$4</f>
        <v>2.8</v>
      </c>
      <c r="AA1359" s="94" t="n">
        <f aca="false">ROUND(X1359*Z1359,0)</f>
        <v>70</v>
      </c>
      <c r="AB1359" s="95"/>
      <c r="AC1359" s="96"/>
      <c r="AD1359" s="42"/>
      <c r="AE1359" s="43"/>
    </row>
    <row r="1360" customFormat="false" ht="16.5" hidden="false" customHeight="true" outlineLevel="0" collapsed="false">
      <c r="A1360" s="97" t="n">
        <f aca="false">ROW(A1357)</f>
        <v>1357</v>
      </c>
      <c r="B1360" s="97" t="s">
        <v>462</v>
      </c>
      <c r="C1360" s="100" t="n">
        <v>1</v>
      </c>
      <c r="D1360" s="85"/>
      <c r="E1360" s="98" t="s">
        <v>3489</v>
      </c>
      <c r="F1360" s="99" t="s">
        <v>3487</v>
      </c>
      <c r="G1360" s="100" t="s">
        <v>3278</v>
      </c>
      <c r="H1360" s="100" t="s">
        <v>3434</v>
      </c>
      <c r="I1360" s="100" t="s">
        <v>300</v>
      </c>
      <c r="J1360" s="98" t="s">
        <v>464</v>
      </c>
      <c r="K1360" s="101" t="s">
        <v>3490</v>
      </c>
      <c r="L1360" s="102" t="n">
        <v>45736</v>
      </c>
      <c r="M1360" s="100" t="n">
        <v>1280</v>
      </c>
      <c r="N1360" s="100" t="n">
        <v>1535</v>
      </c>
      <c r="O1360" s="100" t="n">
        <v>255</v>
      </c>
      <c r="P1360" s="100" t="n">
        <v>247</v>
      </c>
      <c r="Q1360" s="100"/>
      <c r="R1360" s="103" t="n">
        <f aca="false">合約與計費!$D$4</f>
        <v>0.296</v>
      </c>
      <c r="S1360" s="104" t="n">
        <f aca="false">ROUND(P1360*R1360,0)</f>
        <v>73</v>
      </c>
      <c r="T1360" s="105"/>
      <c r="U1360" s="100"/>
      <c r="V1360" s="100"/>
      <c r="W1360" s="106"/>
      <c r="X1360" s="100"/>
      <c r="Y1360" s="100"/>
      <c r="Z1360" s="107"/>
      <c r="AA1360" s="108"/>
      <c r="AB1360" s="109"/>
      <c r="AC1360" s="110"/>
      <c r="AD1360" s="42" t="n">
        <v>0.0665</v>
      </c>
      <c r="AE1360" s="43" t="n">
        <v>0.3</v>
      </c>
    </row>
    <row r="1361" customFormat="false" ht="16.5" hidden="false" customHeight="true" outlineLevel="0" collapsed="false">
      <c r="A1361" s="97" t="n">
        <f aca="false">ROW(A1358)</f>
        <v>1358</v>
      </c>
      <c r="B1361" s="97" t="s">
        <v>466</v>
      </c>
      <c r="C1361" s="100" t="n">
        <v>1</v>
      </c>
      <c r="D1361" s="85"/>
      <c r="E1361" s="98" t="s">
        <v>3491</v>
      </c>
      <c r="F1361" s="99" t="s">
        <v>3487</v>
      </c>
      <c r="G1361" s="100" t="s">
        <v>3278</v>
      </c>
      <c r="H1361" s="100" t="s">
        <v>3434</v>
      </c>
      <c r="I1361" s="100" t="s">
        <v>300</v>
      </c>
      <c r="J1361" s="98" t="s">
        <v>527</v>
      </c>
      <c r="K1361" s="101" t="s">
        <v>3492</v>
      </c>
      <c r="L1361" s="102" t="n">
        <v>45730</v>
      </c>
      <c r="M1361" s="100" t="n">
        <v>10405</v>
      </c>
      <c r="N1361" s="100" t="n">
        <v>11808</v>
      </c>
      <c r="O1361" s="100" t="n">
        <v>1403</v>
      </c>
      <c r="P1361" s="100" t="n">
        <v>1361</v>
      </c>
      <c r="Q1361" s="100"/>
      <c r="R1361" s="103" t="n">
        <f aca="false">合約與計費!$D$4</f>
        <v>0.296</v>
      </c>
      <c r="S1361" s="104" t="n">
        <f aca="false">ROUND(P1361*R1361,0)</f>
        <v>403</v>
      </c>
      <c r="T1361" s="105"/>
      <c r="U1361" s="100"/>
      <c r="V1361" s="100"/>
      <c r="W1361" s="106"/>
      <c r="X1361" s="100"/>
      <c r="Y1361" s="100"/>
      <c r="Z1361" s="107"/>
      <c r="AA1361" s="108"/>
      <c r="AB1361" s="109"/>
      <c r="AC1361" s="110"/>
      <c r="AD1361" s="42"/>
      <c r="AE1361" s="43"/>
    </row>
    <row r="1362" customFormat="false" ht="16.5" hidden="false" customHeight="true" outlineLevel="0" collapsed="false">
      <c r="A1362" s="111" t="n">
        <f aca="false">ROW(A1359)</f>
        <v>1359</v>
      </c>
      <c r="B1362" s="111" t="s">
        <v>469</v>
      </c>
      <c r="C1362" s="114" t="n">
        <v>1</v>
      </c>
      <c r="D1362" s="85"/>
      <c r="E1362" s="112" t="s">
        <v>3493</v>
      </c>
      <c r="F1362" s="113" t="s">
        <v>3487</v>
      </c>
      <c r="G1362" s="114" t="s">
        <v>3278</v>
      </c>
      <c r="H1362" s="114" t="s">
        <v>3434</v>
      </c>
      <c r="I1362" s="114" t="s">
        <v>300</v>
      </c>
      <c r="J1362" s="112" t="s">
        <v>527</v>
      </c>
      <c r="K1362" s="115" t="s">
        <v>3494</v>
      </c>
      <c r="L1362" s="116" t="n">
        <v>45730</v>
      </c>
      <c r="M1362" s="114" t="n">
        <v>5070</v>
      </c>
      <c r="N1362" s="114" t="n">
        <v>6020</v>
      </c>
      <c r="O1362" s="114" t="n">
        <v>950</v>
      </c>
      <c r="P1362" s="114" t="n">
        <v>922</v>
      </c>
      <c r="Q1362" s="114" t="n">
        <f aca="false">ROUND(SUM(P1359:P1362),2)</f>
        <v>2663</v>
      </c>
      <c r="R1362" s="117" t="n">
        <f aca="false">合約與計費!$D$4</f>
        <v>0.296</v>
      </c>
      <c r="S1362" s="118" t="n">
        <f aca="false">ROUND(P1362*R1362,0)</f>
        <v>273</v>
      </c>
      <c r="T1362" s="119" t="n">
        <f aca="false">ROUND(SUM(S1359:S1362),2)</f>
        <v>788</v>
      </c>
      <c r="U1362" s="114"/>
      <c r="V1362" s="114"/>
      <c r="W1362" s="120"/>
      <c r="X1362" s="114"/>
      <c r="Y1362" s="114" t="n">
        <f aca="false">ROUND(SUM(X1359:X1362),2)</f>
        <v>25</v>
      </c>
      <c r="Z1362" s="121"/>
      <c r="AA1362" s="122"/>
      <c r="AB1362" s="123" t="n">
        <f aca="false">ROUND(SUM(AA1359:AA1362),2)</f>
        <v>70</v>
      </c>
      <c r="AC1362" s="124"/>
      <c r="AD1362" s="42"/>
      <c r="AE1362" s="43"/>
    </row>
    <row r="1363" customFormat="false" ht="16.5" hidden="false" customHeight="true" outlineLevel="0" collapsed="false">
      <c r="A1363" s="84" t="n">
        <f aca="false">ROW(A1360)</f>
        <v>1360</v>
      </c>
      <c r="B1363" s="84" t="s">
        <v>455</v>
      </c>
      <c r="C1363" s="32" t="n">
        <v>1</v>
      </c>
      <c r="D1363" s="85" t="n">
        <v>194</v>
      </c>
      <c r="E1363" s="86" t="s">
        <v>3495</v>
      </c>
      <c r="F1363" s="87" t="s">
        <v>3496</v>
      </c>
      <c r="G1363" s="32" t="s">
        <v>3278</v>
      </c>
      <c r="H1363" s="32" t="s">
        <v>3434</v>
      </c>
      <c r="I1363" s="32" t="s">
        <v>330</v>
      </c>
      <c r="J1363" s="86" t="s">
        <v>460</v>
      </c>
      <c r="K1363" s="88" t="s">
        <v>3497</v>
      </c>
      <c r="L1363" s="89" t="n">
        <v>45782</v>
      </c>
      <c r="M1363" s="32" t="n">
        <v>582</v>
      </c>
      <c r="N1363" s="32" t="n">
        <v>633</v>
      </c>
      <c r="O1363" s="32" t="n">
        <v>51</v>
      </c>
      <c r="P1363" s="32" t="n">
        <v>49</v>
      </c>
      <c r="Q1363" s="32"/>
      <c r="R1363" s="90" t="n">
        <f aca="false">合約與計費!$D$4</f>
        <v>0.296</v>
      </c>
      <c r="S1363" s="91" t="n">
        <f aca="false">ROUND(P1363*R1363,0)</f>
        <v>15</v>
      </c>
      <c r="T1363" s="92"/>
      <c r="U1363" s="32" t="n">
        <v>52</v>
      </c>
      <c r="V1363" s="32" t="n">
        <v>74</v>
      </c>
      <c r="W1363" s="32" t="n">
        <v>22</v>
      </c>
      <c r="X1363" s="32" t="n">
        <v>21</v>
      </c>
      <c r="Y1363" s="32"/>
      <c r="Z1363" s="93" t="n">
        <f aca="false">合約與計費!$E$4</f>
        <v>2.8</v>
      </c>
      <c r="AA1363" s="94" t="n">
        <f aca="false">ROUND(X1363*Z1363,0)</f>
        <v>59</v>
      </c>
      <c r="AB1363" s="95"/>
      <c r="AC1363" s="96"/>
      <c r="AD1363" s="42"/>
      <c r="AE1363" s="43"/>
    </row>
    <row r="1364" customFormat="false" ht="16.5" hidden="false" customHeight="true" outlineLevel="0" collapsed="false">
      <c r="A1364" s="97" t="n">
        <f aca="false">ROW(A1361)</f>
        <v>1361</v>
      </c>
      <c r="B1364" s="97" t="s">
        <v>462</v>
      </c>
      <c r="C1364" s="100" t="n">
        <v>1</v>
      </c>
      <c r="D1364" s="85"/>
      <c r="E1364" s="98" t="s">
        <v>3498</v>
      </c>
      <c r="F1364" s="99" t="s">
        <v>3496</v>
      </c>
      <c r="G1364" s="100" t="s">
        <v>3278</v>
      </c>
      <c r="H1364" s="100" t="s">
        <v>3434</v>
      </c>
      <c r="I1364" s="100" t="s">
        <v>330</v>
      </c>
      <c r="J1364" s="98" t="s">
        <v>464</v>
      </c>
      <c r="K1364" s="101" t="s">
        <v>3499</v>
      </c>
      <c r="L1364" s="102" t="n">
        <v>45782</v>
      </c>
      <c r="M1364" s="100" t="n">
        <v>896</v>
      </c>
      <c r="N1364" s="100" t="n">
        <v>1057</v>
      </c>
      <c r="O1364" s="100" t="n">
        <v>161</v>
      </c>
      <c r="P1364" s="100" t="n">
        <v>156</v>
      </c>
      <c r="Q1364" s="100"/>
      <c r="R1364" s="103" t="n">
        <f aca="false">合約與計費!$D$4</f>
        <v>0.296</v>
      </c>
      <c r="S1364" s="104" t="n">
        <f aca="false">ROUND(P1364*R1364,0)</f>
        <v>46</v>
      </c>
      <c r="T1364" s="105"/>
      <c r="U1364" s="100"/>
      <c r="V1364" s="100"/>
      <c r="W1364" s="106"/>
      <c r="X1364" s="100"/>
      <c r="Y1364" s="100"/>
      <c r="Z1364" s="107"/>
      <c r="AA1364" s="108"/>
      <c r="AB1364" s="109"/>
      <c r="AC1364" s="110"/>
      <c r="AD1364" s="42" t="n">
        <v>0.0482</v>
      </c>
      <c r="AE1364" s="43" t="n">
        <v>0.7</v>
      </c>
    </row>
    <row r="1365" customFormat="false" ht="16.5" hidden="false" customHeight="true" outlineLevel="0" collapsed="false">
      <c r="A1365" s="97" t="n">
        <f aca="false">ROW(A1362)</f>
        <v>1362</v>
      </c>
      <c r="B1365" s="97" t="s">
        <v>466</v>
      </c>
      <c r="C1365" s="100" t="n">
        <v>1</v>
      </c>
      <c r="D1365" s="85"/>
      <c r="E1365" s="98" t="s">
        <v>3500</v>
      </c>
      <c r="F1365" s="99" t="s">
        <v>3496</v>
      </c>
      <c r="G1365" s="100" t="s">
        <v>3278</v>
      </c>
      <c r="H1365" s="100" t="s">
        <v>3434</v>
      </c>
      <c r="I1365" s="100" t="s">
        <v>330</v>
      </c>
      <c r="J1365" s="98" t="s">
        <v>527</v>
      </c>
      <c r="K1365" s="101" t="s">
        <v>3501</v>
      </c>
      <c r="L1365" s="102" t="n">
        <v>45782</v>
      </c>
      <c r="M1365" s="100" t="n">
        <v>3772</v>
      </c>
      <c r="N1365" s="100" t="n">
        <v>4803</v>
      </c>
      <c r="O1365" s="100" t="n">
        <v>1031</v>
      </c>
      <c r="P1365" s="100" t="n">
        <v>1000</v>
      </c>
      <c r="Q1365" s="100"/>
      <c r="R1365" s="103" t="n">
        <f aca="false">合約與計費!$D$4</f>
        <v>0.296</v>
      </c>
      <c r="S1365" s="104" t="n">
        <f aca="false">ROUND(P1365*R1365,0)</f>
        <v>296</v>
      </c>
      <c r="T1365" s="105"/>
      <c r="U1365" s="100"/>
      <c r="V1365" s="100"/>
      <c r="W1365" s="106"/>
      <c r="X1365" s="100"/>
      <c r="Y1365" s="100"/>
      <c r="Z1365" s="107"/>
      <c r="AA1365" s="108"/>
      <c r="AB1365" s="109"/>
      <c r="AC1365" s="110"/>
      <c r="AD1365" s="42"/>
      <c r="AE1365" s="43"/>
    </row>
    <row r="1366" customFormat="false" ht="16.5" hidden="false" customHeight="true" outlineLevel="0" collapsed="false">
      <c r="A1366" s="111" t="n">
        <f aca="false">ROW(A1363)</f>
        <v>1363</v>
      </c>
      <c r="B1366" s="111" t="s">
        <v>469</v>
      </c>
      <c r="C1366" s="114" t="n">
        <v>1</v>
      </c>
      <c r="D1366" s="85"/>
      <c r="E1366" s="112" t="s">
        <v>3502</v>
      </c>
      <c r="F1366" s="113" t="s">
        <v>3496</v>
      </c>
      <c r="G1366" s="114" t="s">
        <v>3278</v>
      </c>
      <c r="H1366" s="114" t="s">
        <v>3434</v>
      </c>
      <c r="I1366" s="114" t="s">
        <v>330</v>
      </c>
      <c r="J1366" s="112" t="s">
        <v>527</v>
      </c>
      <c r="K1366" s="115" t="s">
        <v>3503</v>
      </c>
      <c r="L1366" s="116" t="n">
        <v>45782</v>
      </c>
      <c r="M1366" s="114" t="n">
        <v>1615</v>
      </c>
      <c r="N1366" s="114" t="n">
        <v>1979</v>
      </c>
      <c r="O1366" s="114" t="n">
        <v>364</v>
      </c>
      <c r="P1366" s="114" t="n">
        <v>353</v>
      </c>
      <c r="Q1366" s="114" t="n">
        <f aca="false">ROUND(SUM(P1363:P1366),2)</f>
        <v>1558</v>
      </c>
      <c r="R1366" s="117" t="n">
        <f aca="false">合約與計費!$D$4</f>
        <v>0.296</v>
      </c>
      <c r="S1366" s="118" t="n">
        <f aca="false">ROUND(P1366*R1366,0)</f>
        <v>104</v>
      </c>
      <c r="T1366" s="119" t="n">
        <f aca="false">ROUND(SUM(S1363:S1366),2)</f>
        <v>461</v>
      </c>
      <c r="U1366" s="114"/>
      <c r="V1366" s="114"/>
      <c r="W1366" s="120"/>
      <c r="X1366" s="114"/>
      <c r="Y1366" s="114" t="n">
        <f aca="false">ROUND(SUM(X1363:X1366),2)</f>
        <v>21</v>
      </c>
      <c r="Z1366" s="121"/>
      <c r="AA1366" s="122"/>
      <c r="AB1366" s="123" t="n">
        <f aca="false">ROUND(SUM(AA1363:AA1366),2)</f>
        <v>59</v>
      </c>
      <c r="AC1366" s="124"/>
      <c r="AD1366" s="42"/>
      <c r="AE1366" s="43"/>
    </row>
    <row r="1367" customFormat="false" ht="16.5" hidden="false" customHeight="true" outlineLevel="0" collapsed="false">
      <c r="A1367" s="84" t="n">
        <f aca="false">ROW(A1364)</f>
        <v>1364</v>
      </c>
      <c r="B1367" s="84" t="s">
        <v>455</v>
      </c>
      <c r="C1367" s="32" t="n">
        <v>1</v>
      </c>
      <c r="D1367" s="85" t="n">
        <v>257</v>
      </c>
      <c r="E1367" s="86" t="s">
        <v>3504</v>
      </c>
      <c r="F1367" s="87" t="s">
        <v>3505</v>
      </c>
      <c r="G1367" s="32" t="s">
        <v>3278</v>
      </c>
      <c r="H1367" s="32" t="s">
        <v>3434</v>
      </c>
      <c r="I1367" s="172" t="s">
        <v>210</v>
      </c>
      <c r="J1367" s="86" t="s">
        <v>460</v>
      </c>
      <c r="K1367" s="225" t="s">
        <v>3506</v>
      </c>
      <c r="L1367" s="89" t="n">
        <v>45779</v>
      </c>
      <c r="M1367" s="32" t="n">
        <v>10</v>
      </c>
      <c r="N1367" s="32" t="n">
        <v>13</v>
      </c>
      <c r="O1367" s="32" t="n">
        <v>3</v>
      </c>
      <c r="P1367" s="32" t="n">
        <v>3</v>
      </c>
      <c r="Q1367" s="32"/>
      <c r="R1367" s="90" t="n">
        <f aca="false">合約與計費!$D$4</f>
        <v>0.296</v>
      </c>
      <c r="S1367" s="91" t="n">
        <f aca="false">ROUND(P1367*R1367,0)</f>
        <v>1</v>
      </c>
      <c r="T1367" s="92"/>
      <c r="U1367" s="32" t="n">
        <v>4</v>
      </c>
      <c r="V1367" s="32" t="n">
        <v>4</v>
      </c>
      <c r="W1367" s="32" t="n">
        <v>0</v>
      </c>
      <c r="X1367" s="32" t="n">
        <v>0</v>
      </c>
      <c r="Y1367" s="32"/>
      <c r="Z1367" s="93" t="n">
        <f aca="false">合約與計費!$E$4</f>
        <v>2.8</v>
      </c>
      <c r="AA1367" s="94" t="n">
        <f aca="false">ROUND(X1367*Z1367,0)</f>
        <v>0</v>
      </c>
      <c r="AB1367" s="95"/>
      <c r="AC1367" s="96"/>
      <c r="AD1367" s="42"/>
      <c r="AE1367" s="43"/>
    </row>
    <row r="1368" customFormat="false" ht="16.5" hidden="false" customHeight="true" outlineLevel="0" collapsed="false">
      <c r="A1368" s="97" t="n">
        <f aca="false">ROW(A1365)</f>
        <v>1365</v>
      </c>
      <c r="B1368" s="97" t="s">
        <v>462</v>
      </c>
      <c r="C1368" s="100" t="n">
        <v>1</v>
      </c>
      <c r="D1368" s="85"/>
      <c r="E1368" s="98" t="s">
        <v>3507</v>
      </c>
      <c r="F1368" s="99" t="s">
        <v>3505</v>
      </c>
      <c r="G1368" s="100" t="s">
        <v>3278</v>
      </c>
      <c r="H1368" s="100" t="s">
        <v>3434</v>
      </c>
      <c r="I1368" s="175" t="s">
        <v>210</v>
      </c>
      <c r="J1368" s="98" t="s">
        <v>464</v>
      </c>
      <c r="K1368" s="101" t="s">
        <v>3508</v>
      </c>
      <c r="L1368" s="102" t="n">
        <v>45779</v>
      </c>
      <c r="M1368" s="100" t="n">
        <v>232</v>
      </c>
      <c r="N1368" s="100" t="n">
        <v>270</v>
      </c>
      <c r="O1368" s="100" t="n">
        <v>38</v>
      </c>
      <c r="P1368" s="100" t="n">
        <v>37</v>
      </c>
      <c r="Q1368" s="100"/>
      <c r="R1368" s="103" t="n">
        <f aca="false">合約與計費!$D$4</f>
        <v>0.296</v>
      </c>
      <c r="S1368" s="104" t="n">
        <f aca="false">ROUND(P1368*R1368,0)</f>
        <v>11</v>
      </c>
      <c r="T1368" s="105"/>
      <c r="U1368" s="100"/>
      <c r="V1368" s="100"/>
      <c r="W1368" s="106"/>
      <c r="X1368" s="100"/>
      <c r="Y1368" s="100"/>
      <c r="Z1368" s="107"/>
      <c r="AA1368" s="108"/>
      <c r="AB1368" s="109"/>
      <c r="AC1368" s="110"/>
      <c r="AD1368" s="42" t="n">
        <v>0.0319</v>
      </c>
      <c r="AE1368" s="43" t="n">
        <v>0.9</v>
      </c>
    </row>
    <row r="1369" customFormat="false" ht="16.5" hidden="false" customHeight="true" outlineLevel="0" collapsed="false">
      <c r="A1369" s="111" t="n">
        <f aca="false">ROW(A1366)</f>
        <v>1366</v>
      </c>
      <c r="B1369" s="111" t="s">
        <v>466</v>
      </c>
      <c r="C1369" s="114" t="n">
        <v>1</v>
      </c>
      <c r="D1369" s="85"/>
      <c r="E1369" s="112" t="s">
        <v>3509</v>
      </c>
      <c r="F1369" s="113" t="s">
        <v>3505</v>
      </c>
      <c r="G1369" s="114" t="s">
        <v>3278</v>
      </c>
      <c r="H1369" s="114" t="s">
        <v>3434</v>
      </c>
      <c r="I1369" s="173" t="s">
        <v>210</v>
      </c>
      <c r="J1369" s="112" t="s">
        <v>527</v>
      </c>
      <c r="K1369" s="115" t="s">
        <v>3510</v>
      </c>
      <c r="L1369" s="116" t="n">
        <v>45779</v>
      </c>
      <c r="M1369" s="114" t="n">
        <v>3662</v>
      </c>
      <c r="N1369" s="114" t="n">
        <v>4405</v>
      </c>
      <c r="O1369" s="100" t="n">
        <v>743</v>
      </c>
      <c r="P1369" s="100" t="n">
        <v>721</v>
      </c>
      <c r="Q1369" s="100" t="n">
        <f aca="false">ROUND(SUM(P1367:P1369),2)</f>
        <v>761</v>
      </c>
      <c r="R1369" s="117" t="n">
        <f aca="false">合約與計費!$D$4</f>
        <v>0.296</v>
      </c>
      <c r="S1369" s="118" t="n">
        <f aca="false">ROUND(P1369*R1369,0)</f>
        <v>213</v>
      </c>
      <c r="T1369" s="105" t="n">
        <f aca="false">ROUND(SUM(S1367:S1369),2)</f>
        <v>225</v>
      </c>
      <c r="U1369" s="114"/>
      <c r="V1369" s="114"/>
      <c r="W1369" s="120"/>
      <c r="X1369" s="114"/>
      <c r="Y1369" s="100" t="n">
        <f aca="false">ROUND(SUM(X1367:X1369),2)</f>
        <v>0</v>
      </c>
      <c r="Z1369" s="121"/>
      <c r="AA1369" s="108"/>
      <c r="AB1369" s="109" t="n">
        <f aca="false">ROUND(SUM(AA1367:AA1369),2)</f>
        <v>0</v>
      </c>
      <c r="AC1369" s="124"/>
      <c r="AD1369" s="42"/>
      <c r="AE1369" s="43"/>
    </row>
    <row r="1370" customFormat="false" ht="16.5" hidden="false" customHeight="true" outlineLevel="0" collapsed="false">
      <c r="A1370" s="84" t="n">
        <f aca="false">ROW(A1367)</f>
        <v>1367</v>
      </c>
      <c r="B1370" s="84" t="s">
        <v>455</v>
      </c>
      <c r="C1370" s="32" t="n">
        <v>1</v>
      </c>
      <c r="D1370" s="85" t="n">
        <v>360</v>
      </c>
      <c r="E1370" s="86" t="s">
        <v>3511</v>
      </c>
      <c r="F1370" s="87" t="s">
        <v>3512</v>
      </c>
      <c r="G1370" s="32" t="s">
        <v>3278</v>
      </c>
      <c r="H1370" s="32" t="s">
        <v>3434</v>
      </c>
      <c r="I1370" s="172" t="s">
        <v>391</v>
      </c>
      <c r="J1370" s="86" t="s">
        <v>460</v>
      </c>
      <c r="K1370" s="225" t="s">
        <v>3513</v>
      </c>
      <c r="L1370" s="89" t="n">
        <v>45779</v>
      </c>
      <c r="M1370" s="32" t="n">
        <v>235</v>
      </c>
      <c r="N1370" s="32" t="n">
        <v>260</v>
      </c>
      <c r="O1370" s="32" t="n">
        <v>25</v>
      </c>
      <c r="P1370" s="32" t="n">
        <v>24</v>
      </c>
      <c r="Q1370" s="32"/>
      <c r="R1370" s="90" t="n">
        <f aca="false">合約與計費!$D$4</f>
        <v>0.296</v>
      </c>
      <c r="S1370" s="91" t="n">
        <f aca="false">ROUND(P1370*R1370,0)</f>
        <v>7</v>
      </c>
      <c r="T1370" s="92"/>
      <c r="U1370" s="32" t="n">
        <v>48</v>
      </c>
      <c r="V1370" s="32" t="n">
        <v>58</v>
      </c>
      <c r="W1370" s="32" t="n">
        <v>10</v>
      </c>
      <c r="X1370" s="32" t="n">
        <v>10</v>
      </c>
      <c r="Y1370" s="32"/>
      <c r="Z1370" s="93" t="n">
        <f aca="false">合約與計費!$E$4</f>
        <v>2.8</v>
      </c>
      <c r="AA1370" s="94" t="n">
        <f aca="false">ROUND(X1370*Z1370,0)</f>
        <v>28</v>
      </c>
      <c r="AB1370" s="95"/>
      <c r="AC1370" s="96"/>
      <c r="AD1370" s="42"/>
      <c r="AE1370" s="43"/>
    </row>
    <row r="1371" customFormat="false" ht="16.5" hidden="false" customHeight="true" outlineLevel="0" collapsed="false">
      <c r="A1371" s="97" t="n">
        <f aca="false">ROW(A1368)</f>
        <v>1368</v>
      </c>
      <c r="B1371" s="97" t="s">
        <v>462</v>
      </c>
      <c r="C1371" s="100" t="n">
        <v>1</v>
      </c>
      <c r="D1371" s="85"/>
      <c r="E1371" s="98" t="s">
        <v>3514</v>
      </c>
      <c r="F1371" s="99" t="s">
        <v>3512</v>
      </c>
      <c r="G1371" s="100" t="s">
        <v>3278</v>
      </c>
      <c r="H1371" s="100" t="s">
        <v>3434</v>
      </c>
      <c r="I1371" s="175" t="s">
        <v>391</v>
      </c>
      <c r="J1371" s="98" t="s">
        <v>464</v>
      </c>
      <c r="K1371" s="171" t="s">
        <v>3515</v>
      </c>
      <c r="L1371" s="102" t="n">
        <v>45779</v>
      </c>
      <c r="M1371" s="100" t="n">
        <v>725</v>
      </c>
      <c r="N1371" s="100" t="n">
        <v>913</v>
      </c>
      <c r="O1371" s="100" t="n">
        <v>188</v>
      </c>
      <c r="P1371" s="100" t="n">
        <v>182</v>
      </c>
      <c r="Q1371" s="100"/>
      <c r="R1371" s="103" t="n">
        <f aca="false">合約與計費!$D$4</f>
        <v>0.296</v>
      </c>
      <c r="S1371" s="104" t="n">
        <f aca="false">ROUND(P1371*R1371,0)</f>
        <v>54</v>
      </c>
      <c r="T1371" s="105"/>
      <c r="U1371" s="100"/>
      <c r="V1371" s="100"/>
      <c r="W1371" s="106"/>
      <c r="X1371" s="100"/>
      <c r="Y1371" s="100"/>
      <c r="Z1371" s="107"/>
      <c r="AA1371" s="108"/>
      <c r="AB1371" s="109"/>
      <c r="AC1371" s="110"/>
      <c r="AD1371" s="42" t="n">
        <v>0.0525</v>
      </c>
      <c r="AE1371" s="43" t="n">
        <v>0.7</v>
      </c>
    </row>
    <row r="1372" customFormat="false" ht="16.5" hidden="false" customHeight="true" outlineLevel="0" collapsed="false">
      <c r="A1372" s="97" t="n">
        <f aca="false">ROW(A1369)</f>
        <v>1369</v>
      </c>
      <c r="B1372" s="97" t="s">
        <v>466</v>
      </c>
      <c r="C1372" s="100" t="n">
        <v>1</v>
      </c>
      <c r="D1372" s="85"/>
      <c r="E1372" s="98" t="s">
        <v>3516</v>
      </c>
      <c r="F1372" s="99" t="s">
        <v>3512</v>
      </c>
      <c r="G1372" s="100" t="s">
        <v>3278</v>
      </c>
      <c r="H1372" s="100" t="s">
        <v>3434</v>
      </c>
      <c r="I1372" s="175" t="s">
        <v>391</v>
      </c>
      <c r="J1372" s="98" t="s">
        <v>527</v>
      </c>
      <c r="K1372" s="101" t="s">
        <v>3517</v>
      </c>
      <c r="L1372" s="102" t="n">
        <v>45779</v>
      </c>
      <c r="M1372" s="100" t="n">
        <v>4125</v>
      </c>
      <c r="N1372" s="100" t="n">
        <v>4949</v>
      </c>
      <c r="O1372" s="100" t="n">
        <v>824</v>
      </c>
      <c r="P1372" s="100" t="n">
        <v>799</v>
      </c>
      <c r="Q1372" s="100"/>
      <c r="R1372" s="103" t="n">
        <f aca="false">合約與計費!$D$4</f>
        <v>0.296</v>
      </c>
      <c r="S1372" s="104" t="n">
        <f aca="false">ROUND(P1372*R1372,0)</f>
        <v>237</v>
      </c>
      <c r="T1372" s="105"/>
      <c r="U1372" s="100"/>
      <c r="V1372" s="100"/>
      <c r="W1372" s="106"/>
      <c r="X1372" s="100"/>
      <c r="Y1372" s="100"/>
      <c r="Z1372" s="107"/>
      <c r="AA1372" s="108"/>
      <c r="AB1372" s="109"/>
      <c r="AC1372" s="110"/>
      <c r="AD1372" s="42"/>
      <c r="AE1372" s="43"/>
    </row>
    <row r="1373" customFormat="false" ht="16.5" hidden="false" customHeight="true" outlineLevel="0" collapsed="false">
      <c r="A1373" s="111" t="n">
        <f aca="false">ROW(A1370)</f>
        <v>1370</v>
      </c>
      <c r="B1373" s="111" t="s">
        <v>469</v>
      </c>
      <c r="C1373" s="114" t="n">
        <v>1</v>
      </c>
      <c r="D1373" s="85"/>
      <c r="E1373" s="112" t="s">
        <v>3518</v>
      </c>
      <c r="F1373" s="113" t="s">
        <v>3512</v>
      </c>
      <c r="G1373" s="114" t="s">
        <v>3278</v>
      </c>
      <c r="H1373" s="114" t="s">
        <v>3434</v>
      </c>
      <c r="I1373" s="173" t="s">
        <v>391</v>
      </c>
      <c r="J1373" s="112" t="s">
        <v>527</v>
      </c>
      <c r="K1373" s="115" t="s">
        <v>3519</v>
      </c>
      <c r="L1373" s="116" t="n">
        <v>45779</v>
      </c>
      <c r="M1373" s="114" t="n">
        <v>4040</v>
      </c>
      <c r="N1373" s="114" t="n">
        <v>4797</v>
      </c>
      <c r="O1373" s="114" t="n">
        <v>757</v>
      </c>
      <c r="P1373" s="114" t="n">
        <v>734</v>
      </c>
      <c r="Q1373" s="114" t="n">
        <f aca="false">ROUND(SUM(P1370:P1373),2)</f>
        <v>1739</v>
      </c>
      <c r="R1373" s="117" t="n">
        <f aca="false">合約與計費!$D$4</f>
        <v>0.296</v>
      </c>
      <c r="S1373" s="118" t="n">
        <f aca="false">ROUND(P1373*R1373,0)</f>
        <v>217</v>
      </c>
      <c r="T1373" s="119" t="n">
        <f aca="false">ROUND(SUM(S1370:S1373),2)</f>
        <v>515</v>
      </c>
      <c r="U1373" s="114"/>
      <c r="V1373" s="114"/>
      <c r="W1373" s="120"/>
      <c r="X1373" s="114"/>
      <c r="Y1373" s="114" t="n">
        <f aca="false">ROUND(SUM(X1370:X1373),2)</f>
        <v>10</v>
      </c>
      <c r="Z1373" s="121"/>
      <c r="AA1373" s="122"/>
      <c r="AB1373" s="123" t="n">
        <f aca="false">ROUND(SUM(AA1370:AA1373),2)</f>
        <v>28</v>
      </c>
      <c r="AC1373" s="124"/>
      <c r="AD1373" s="42"/>
      <c r="AE1373" s="43"/>
    </row>
    <row r="1374" customFormat="false" ht="16.5" hidden="false" customHeight="true" outlineLevel="0" collapsed="false">
      <c r="A1374" s="84" t="n">
        <f aca="false">ROW(A1371)</f>
        <v>1371</v>
      </c>
      <c r="B1374" s="84" t="s">
        <v>455</v>
      </c>
      <c r="C1374" s="32" t="n">
        <v>1</v>
      </c>
      <c r="D1374" s="85" t="n">
        <v>365</v>
      </c>
      <c r="E1374" s="86" t="s">
        <v>3520</v>
      </c>
      <c r="F1374" s="87" t="s">
        <v>3521</v>
      </c>
      <c r="G1374" s="32" t="s">
        <v>3278</v>
      </c>
      <c r="H1374" s="32" t="s">
        <v>3434</v>
      </c>
      <c r="I1374" s="172" t="s">
        <v>96</v>
      </c>
      <c r="J1374" s="86" t="s">
        <v>460</v>
      </c>
      <c r="K1374" s="225" t="s">
        <v>3522</v>
      </c>
      <c r="L1374" s="89" t="n">
        <v>45775</v>
      </c>
      <c r="M1374" s="32" t="n">
        <v>245</v>
      </c>
      <c r="N1374" s="32" t="n">
        <v>331</v>
      </c>
      <c r="O1374" s="32" t="n">
        <v>86</v>
      </c>
      <c r="P1374" s="32" t="n">
        <v>83</v>
      </c>
      <c r="Q1374" s="32"/>
      <c r="R1374" s="90" t="n">
        <f aca="false">合約與計費!$D$4</f>
        <v>0.296</v>
      </c>
      <c r="S1374" s="91" t="n">
        <f aca="false">ROUND(P1374*R1374,0)</f>
        <v>25</v>
      </c>
      <c r="T1374" s="92"/>
      <c r="U1374" s="32" t="n">
        <v>148</v>
      </c>
      <c r="V1374" s="32" t="n">
        <v>191</v>
      </c>
      <c r="W1374" s="32" t="n">
        <v>43</v>
      </c>
      <c r="X1374" s="32" t="n">
        <v>42</v>
      </c>
      <c r="Y1374" s="32"/>
      <c r="Z1374" s="93" t="n">
        <f aca="false">合約與計費!$E$4</f>
        <v>2.8</v>
      </c>
      <c r="AA1374" s="94" t="n">
        <f aca="false">ROUND(X1374*Z1374,0)</f>
        <v>118</v>
      </c>
      <c r="AB1374" s="95"/>
      <c r="AC1374" s="96"/>
      <c r="AD1374" s="42"/>
      <c r="AE1374" s="43"/>
    </row>
    <row r="1375" customFormat="false" ht="16.5" hidden="false" customHeight="true" outlineLevel="0" collapsed="false">
      <c r="A1375" s="97" t="n">
        <f aca="false">ROW(A1372)</f>
        <v>1372</v>
      </c>
      <c r="B1375" s="97" t="s">
        <v>462</v>
      </c>
      <c r="C1375" s="100" t="n">
        <v>1</v>
      </c>
      <c r="D1375" s="85"/>
      <c r="E1375" s="98" t="s">
        <v>3523</v>
      </c>
      <c r="F1375" s="99" t="s">
        <v>3521</v>
      </c>
      <c r="G1375" s="100" t="s">
        <v>3278</v>
      </c>
      <c r="H1375" s="100" t="s">
        <v>3434</v>
      </c>
      <c r="I1375" s="175" t="s">
        <v>96</v>
      </c>
      <c r="J1375" s="98" t="s">
        <v>464</v>
      </c>
      <c r="K1375" s="171" t="s">
        <v>3524</v>
      </c>
      <c r="L1375" s="102" t="n">
        <v>45775</v>
      </c>
      <c r="M1375" s="100" t="n">
        <v>807</v>
      </c>
      <c r="N1375" s="100" t="n">
        <v>898</v>
      </c>
      <c r="O1375" s="100" t="n">
        <v>91</v>
      </c>
      <c r="P1375" s="100" t="n">
        <v>88</v>
      </c>
      <c r="Q1375" s="100"/>
      <c r="R1375" s="103" t="n">
        <f aca="false">合約與計費!$D$4</f>
        <v>0.296</v>
      </c>
      <c r="S1375" s="104" t="n">
        <f aca="false">ROUND(P1375*R1375,0)</f>
        <v>26</v>
      </c>
      <c r="T1375" s="105"/>
      <c r="U1375" s="100"/>
      <c r="V1375" s="100"/>
      <c r="W1375" s="106"/>
      <c r="X1375" s="100"/>
      <c r="Y1375" s="100"/>
      <c r="Z1375" s="107"/>
      <c r="AA1375" s="108"/>
      <c r="AB1375" s="109"/>
      <c r="AC1375" s="110"/>
      <c r="AD1375" s="42" t="n">
        <v>0.0525</v>
      </c>
      <c r="AE1375" s="43" t="n">
        <v>0.7</v>
      </c>
    </row>
    <row r="1376" customFormat="false" ht="16.5" hidden="false" customHeight="true" outlineLevel="0" collapsed="false">
      <c r="A1376" s="97" t="n">
        <f aca="false">ROW(A1373)</f>
        <v>1373</v>
      </c>
      <c r="B1376" s="97" t="s">
        <v>466</v>
      </c>
      <c r="C1376" s="100" t="n">
        <v>1</v>
      </c>
      <c r="D1376" s="85"/>
      <c r="E1376" s="98" t="s">
        <v>3525</v>
      </c>
      <c r="F1376" s="99" t="s">
        <v>3521</v>
      </c>
      <c r="G1376" s="100" t="s">
        <v>3278</v>
      </c>
      <c r="H1376" s="100" t="s">
        <v>3434</v>
      </c>
      <c r="I1376" s="175" t="s">
        <v>96</v>
      </c>
      <c r="J1376" s="98" t="s">
        <v>527</v>
      </c>
      <c r="K1376" s="101" t="s">
        <v>3526</v>
      </c>
      <c r="L1376" s="102" t="n">
        <v>45775</v>
      </c>
      <c r="M1376" s="100" t="n">
        <v>2714</v>
      </c>
      <c r="N1376" s="100" t="n">
        <v>3322</v>
      </c>
      <c r="O1376" s="100" t="n">
        <v>608</v>
      </c>
      <c r="P1376" s="100" t="n">
        <v>590</v>
      </c>
      <c r="Q1376" s="100"/>
      <c r="R1376" s="103" t="n">
        <f aca="false">合約與計費!$D$4</f>
        <v>0.296</v>
      </c>
      <c r="S1376" s="104" t="n">
        <f aca="false">ROUND(P1376*R1376,0)</f>
        <v>175</v>
      </c>
      <c r="T1376" s="105"/>
      <c r="U1376" s="100"/>
      <c r="V1376" s="100"/>
      <c r="W1376" s="106"/>
      <c r="X1376" s="100"/>
      <c r="Y1376" s="100"/>
      <c r="Z1376" s="107"/>
      <c r="AA1376" s="108"/>
      <c r="AB1376" s="109"/>
      <c r="AC1376" s="110"/>
      <c r="AD1376" s="42"/>
      <c r="AE1376" s="43"/>
    </row>
    <row r="1377" customFormat="false" ht="16.5" hidden="false" customHeight="true" outlineLevel="0" collapsed="false">
      <c r="A1377" s="111" t="n">
        <f aca="false">ROW(A1374)</f>
        <v>1374</v>
      </c>
      <c r="B1377" s="111" t="s">
        <v>469</v>
      </c>
      <c r="C1377" s="114" t="n">
        <v>1</v>
      </c>
      <c r="D1377" s="85"/>
      <c r="E1377" s="112" t="s">
        <v>3527</v>
      </c>
      <c r="F1377" s="113" t="s">
        <v>3521</v>
      </c>
      <c r="G1377" s="114" t="s">
        <v>3278</v>
      </c>
      <c r="H1377" s="114" t="s">
        <v>3434</v>
      </c>
      <c r="I1377" s="173" t="s">
        <v>96</v>
      </c>
      <c r="J1377" s="112" t="s">
        <v>527</v>
      </c>
      <c r="K1377" s="115" t="s">
        <v>3528</v>
      </c>
      <c r="L1377" s="116" t="n">
        <v>45775</v>
      </c>
      <c r="M1377" s="114" t="n">
        <v>1956</v>
      </c>
      <c r="N1377" s="114" t="n">
        <v>2345</v>
      </c>
      <c r="O1377" s="114" t="n">
        <v>389</v>
      </c>
      <c r="P1377" s="114" t="n">
        <v>377</v>
      </c>
      <c r="Q1377" s="114" t="n">
        <f aca="false">ROUND(SUM(P1374:P1377),2)</f>
        <v>1138</v>
      </c>
      <c r="R1377" s="117" t="n">
        <f aca="false">合約與計費!$D$4</f>
        <v>0.296</v>
      </c>
      <c r="S1377" s="118" t="n">
        <f aca="false">ROUND(P1377*R1377,0)</f>
        <v>112</v>
      </c>
      <c r="T1377" s="119" t="n">
        <f aca="false">ROUND(SUM(S1374:S1377),2)</f>
        <v>338</v>
      </c>
      <c r="U1377" s="114"/>
      <c r="V1377" s="114"/>
      <c r="W1377" s="120"/>
      <c r="X1377" s="114"/>
      <c r="Y1377" s="114" t="n">
        <f aca="false">ROUND(SUM(X1374:X1377),2)</f>
        <v>42</v>
      </c>
      <c r="Z1377" s="121"/>
      <c r="AA1377" s="122"/>
      <c r="AB1377" s="123" t="n">
        <f aca="false">ROUND(SUM(AA1374:AA1377),2)</f>
        <v>118</v>
      </c>
      <c r="AC1377" s="124"/>
      <c r="AD1377" s="42"/>
      <c r="AE1377" s="43"/>
    </row>
    <row r="1378" customFormat="false" ht="16.5" hidden="false" customHeight="true" outlineLevel="0" collapsed="false">
      <c r="A1378" s="84" t="n">
        <f aca="false">ROW(A1375)</f>
        <v>1375</v>
      </c>
      <c r="B1378" s="84" t="s">
        <v>455</v>
      </c>
      <c r="C1378" s="32" t="n">
        <v>1</v>
      </c>
      <c r="D1378" s="85" t="n">
        <v>366</v>
      </c>
      <c r="E1378" s="86" t="s">
        <v>3529</v>
      </c>
      <c r="F1378" s="87" t="s">
        <v>3530</v>
      </c>
      <c r="G1378" s="32" t="s">
        <v>3278</v>
      </c>
      <c r="H1378" s="32" t="s">
        <v>3434</v>
      </c>
      <c r="I1378" s="172" t="s">
        <v>89</v>
      </c>
      <c r="J1378" s="98" t="s">
        <v>460</v>
      </c>
      <c r="K1378" s="171" t="s">
        <v>3531</v>
      </c>
      <c r="L1378" s="102" t="n">
        <v>45749</v>
      </c>
      <c r="M1378" s="100" t="n">
        <v>291</v>
      </c>
      <c r="N1378" s="100" t="n">
        <v>364</v>
      </c>
      <c r="O1378" s="100" t="n">
        <v>73</v>
      </c>
      <c r="P1378" s="100" t="n">
        <v>71</v>
      </c>
      <c r="Q1378" s="100"/>
      <c r="R1378" s="103" t="n">
        <f aca="false">合約與計費!$D$4</f>
        <v>0.296</v>
      </c>
      <c r="S1378" s="104" t="n">
        <f aca="false">ROUND(P1378*R1378,0)</f>
        <v>21</v>
      </c>
      <c r="T1378" s="105"/>
      <c r="U1378" s="100" t="n">
        <v>92</v>
      </c>
      <c r="V1378" s="100" t="n">
        <v>107</v>
      </c>
      <c r="W1378" s="100" t="n">
        <v>15</v>
      </c>
      <c r="X1378" s="100" t="n">
        <v>15</v>
      </c>
      <c r="Y1378" s="100"/>
      <c r="Z1378" s="107" t="n">
        <f aca="false">合約與計費!$E$4</f>
        <v>2.8</v>
      </c>
      <c r="AA1378" s="108" t="n">
        <f aca="false">ROUND(X1378*Z1378,0)</f>
        <v>42</v>
      </c>
      <c r="AB1378" s="109"/>
      <c r="AC1378" s="110"/>
      <c r="AD1378" s="42"/>
      <c r="AE1378" s="43"/>
    </row>
    <row r="1379" customFormat="false" ht="16.5" hidden="false" customHeight="true" outlineLevel="0" collapsed="false">
      <c r="A1379" s="97" t="n">
        <f aca="false">ROW(A1376)</f>
        <v>1376</v>
      </c>
      <c r="B1379" s="97" t="s">
        <v>462</v>
      </c>
      <c r="C1379" s="100" t="n">
        <v>1</v>
      </c>
      <c r="D1379" s="85"/>
      <c r="E1379" s="98" t="s">
        <v>3532</v>
      </c>
      <c r="F1379" s="99" t="s">
        <v>3530</v>
      </c>
      <c r="G1379" s="100" t="s">
        <v>3278</v>
      </c>
      <c r="H1379" s="100" t="s">
        <v>3434</v>
      </c>
      <c r="I1379" s="175" t="s">
        <v>89</v>
      </c>
      <c r="J1379" s="98" t="s">
        <v>464</v>
      </c>
      <c r="K1379" s="101" t="s">
        <v>3533</v>
      </c>
      <c r="L1379" s="102" t="n">
        <v>45749</v>
      </c>
      <c r="M1379" s="100" t="n">
        <v>7866</v>
      </c>
      <c r="N1379" s="100" t="n">
        <v>10045</v>
      </c>
      <c r="O1379" s="100" t="n">
        <v>2179</v>
      </c>
      <c r="P1379" s="100" t="n">
        <v>2114</v>
      </c>
      <c r="Q1379" s="100"/>
      <c r="R1379" s="103" t="n">
        <f aca="false">合約與計費!$D$4</f>
        <v>0.296</v>
      </c>
      <c r="S1379" s="104" t="n">
        <f aca="false">ROUND(P1379*R1379,0)</f>
        <v>626</v>
      </c>
      <c r="T1379" s="105"/>
      <c r="U1379" s="100"/>
      <c r="V1379" s="100"/>
      <c r="W1379" s="106"/>
      <c r="X1379" s="100"/>
      <c r="Y1379" s="100"/>
      <c r="Z1379" s="107"/>
      <c r="AA1379" s="108"/>
      <c r="AB1379" s="109"/>
      <c r="AC1379" s="110"/>
      <c r="AD1379" s="42" t="n">
        <v>0.0578</v>
      </c>
      <c r="AE1379" s="43" t="n">
        <v>0.5</v>
      </c>
    </row>
    <row r="1380" customFormat="false" ht="16.5" hidden="false" customHeight="true" outlineLevel="0" collapsed="false">
      <c r="A1380" s="97" t="n">
        <f aca="false">ROW(A1377)</f>
        <v>1377</v>
      </c>
      <c r="B1380" s="97" t="s">
        <v>466</v>
      </c>
      <c r="C1380" s="100" t="n">
        <v>1</v>
      </c>
      <c r="D1380" s="85"/>
      <c r="E1380" s="98" t="s">
        <v>3534</v>
      </c>
      <c r="F1380" s="99" t="s">
        <v>3530</v>
      </c>
      <c r="G1380" s="100" t="s">
        <v>3278</v>
      </c>
      <c r="H1380" s="100" t="s">
        <v>3434</v>
      </c>
      <c r="I1380" s="175" t="s">
        <v>89</v>
      </c>
      <c r="J1380" s="98" t="s">
        <v>527</v>
      </c>
      <c r="K1380" s="101" t="s">
        <v>3535</v>
      </c>
      <c r="L1380" s="102" t="n">
        <v>45749</v>
      </c>
      <c r="M1380" s="100" t="n">
        <v>11223</v>
      </c>
      <c r="N1380" s="100" t="n">
        <v>13718</v>
      </c>
      <c r="O1380" s="100" t="n">
        <v>2495</v>
      </c>
      <c r="P1380" s="100" t="n">
        <v>2420</v>
      </c>
      <c r="Q1380" s="100"/>
      <c r="R1380" s="103" t="n">
        <f aca="false">合約與計費!$D$4</f>
        <v>0.296</v>
      </c>
      <c r="S1380" s="104" t="n">
        <f aca="false">ROUND(P1380*R1380,0)</f>
        <v>716</v>
      </c>
      <c r="T1380" s="105"/>
      <c r="U1380" s="100"/>
      <c r="V1380" s="100"/>
      <c r="W1380" s="106"/>
      <c r="X1380" s="100"/>
      <c r="Y1380" s="100"/>
      <c r="Z1380" s="107"/>
      <c r="AA1380" s="108"/>
      <c r="AB1380" s="109"/>
      <c r="AC1380" s="110"/>
      <c r="AD1380" s="42"/>
      <c r="AE1380" s="43"/>
    </row>
    <row r="1381" customFormat="false" ht="16.5" hidden="false" customHeight="true" outlineLevel="0" collapsed="false">
      <c r="A1381" s="97" t="n">
        <f aca="false">ROW(A1378)</f>
        <v>1378</v>
      </c>
      <c r="B1381" s="97" t="s">
        <v>469</v>
      </c>
      <c r="C1381" s="100" t="n">
        <v>1</v>
      </c>
      <c r="D1381" s="85"/>
      <c r="E1381" s="98" t="s">
        <v>3536</v>
      </c>
      <c r="F1381" s="99" t="s">
        <v>3530</v>
      </c>
      <c r="G1381" s="100" t="s">
        <v>3278</v>
      </c>
      <c r="H1381" s="100" t="s">
        <v>3434</v>
      </c>
      <c r="I1381" s="175" t="s">
        <v>89</v>
      </c>
      <c r="J1381" s="98" t="s">
        <v>527</v>
      </c>
      <c r="K1381" s="101" t="s">
        <v>3537</v>
      </c>
      <c r="L1381" s="102" t="n">
        <v>45749</v>
      </c>
      <c r="M1381" s="100" t="n">
        <v>17758</v>
      </c>
      <c r="N1381" s="100" t="n">
        <v>22319</v>
      </c>
      <c r="O1381" s="100" t="n">
        <v>4561</v>
      </c>
      <c r="P1381" s="100" t="n">
        <v>4424</v>
      </c>
      <c r="Q1381" s="100"/>
      <c r="R1381" s="103" t="n">
        <f aca="false">合約與計費!$D$4</f>
        <v>0.296</v>
      </c>
      <c r="S1381" s="104" t="n">
        <f aca="false">ROUND(P1381*R1381,0)</f>
        <v>1310</v>
      </c>
      <c r="T1381" s="105"/>
      <c r="U1381" s="100"/>
      <c r="V1381" s="100"/>
      <c r="W1381" s="106"/>
      <c r="X1381" s="100"/>
      <c r="Y1381" s="100"/>
      <c r="Z1381" s="107"/>
      <c r="AA1381" s="108"/>
      <c r="AB1381" s="109"/>
      <c r="AC1381" s="110"/>
      <c r="AD1381" s="42"/>
      <c r="AE1381" s="43"/>
    </row>
    <row r="1382" customFormat="false" ht="16.5" hidden="false" customHeight="true" outlineLevel="0" collapsed="false">
      <c r="A1382" s="97" t="n">
        <f aca="false">ROW(A1379)</f>
        <v>1379</v>
      </c>
      <c r="B1382" s="97" t="s">
        <v>473</v>
      </c>
      <c r="C1382" s="100" t="n">
        <v>1</v>
      </c>
      <c r="D1382" s="85"/>
      <c r="E1382" s="98" t="s">
        <v>3538</v>
      </c>
      <c r="F1382" s="99" t="s">
        <v>3530</v>
      </c>
      <c r="G1382" s="100" t="s">
        <v>3278</v>
      </c>
      <c r="H1382" s="100" t="s">
        <v>3434</v>
      </c>
      <c r="I1382" s="175" t="s">
        <v>89</v>
      </c>
      <c r="J1382" s="98" t="s">
        <v>527</v>
      </c>
      <c r="K1382" s="101" t="s">
        <v>3539</v>
      </c>
      <c r="L1382" s="102" t="n">
        <v>45749</v>
      </c>
      <c r="M1382" s="100" t="n">
        <v>12066</v>
      </c>
      <c r="N1382" s="100" t="n">
        <v>14845</v>
      </c>
      <c r="O1382" s="100" t="n">
        <v>2779</v>
      </c>
      <c r="P1382" s="100" t="n">
        <v>2696</v>
      </c>
      <c r="Q1382" s="100"/>
      <c r="R1382" s="103" t="n">
        <f aca="false">合約與計費!$D$4</f>
        <v>0.296</v>
      </c>
      <c r="S1382" s="104" t="n">
        <f aca="false">ROUND(P1382*R1382,0)</f>
        <v>798</v>
      </c>
      <c r="T1382" s="105"/>
      <c r="U1382" s="100"/>
      <c r="V1382" s="100"/>
      <c r="W1382" s="106"/>
      <c r="X1382" s="100"/>
      <c r="Y1382" s="100"/>
      <c r="Z1382" s="107"/>
      <c r="AA1382" s="108"/>
      <c r="AB1382" s="109"/>
      <c r="AC1382" s="110"/>
      <c r="AD1382" s="42"/>
      <c r="AE1382" s="43"/>
    </row>
    <row r="1383" customFormat="false" ht="16.5" hidden="false" customHeight="true" outlineLevel="0" collapsed="false">
      <c r="A1383" s="97" t="n">
        <f aca="false">ROW(A1380)</f>
        <v>1380</v>
      </c>
      <c r="B1383" s="97" t="s">
        <v>476</v>
      </c>
      <c r="C1383" s="100" t="n">
        <v>1</v>
      </c>
      <c r="D1383" s="85"/>
      <c r="E1383" s="98" t="s">
        <v>3540</v>
      </c>
      <c r="F1383" s="99" t="s">
        <v>3530</v>
      </c>
      <c r="G1383" s="100" t="s">
        <v>3278</v>
      </c>
      <c r="H1383" s="100" t="s">
        <v>3434</v>
      </c>
      <c r="I1383" s="175" t="s">
        <v>89</v>
      </c>
      <c r="J1383" s="98" t="s">
        <v>527</v>
      </c>
      <c r="K1383" s="101" t="s">
        <v>3541</v>
      </c>
      <c r="L1383" s="102" t="n">
        <v>45749</v>
      </c>
      <c r="M1383" s="100" t="n">
        <v>13050</v>
      </c>
      <c r="N1383" s="100" t="n">
        <v>15738</v>
      </c>
      <c r="O1383" s="100" t="n">
        <v>2688</v>
      </c>
      <c r="P1383" s="100" t="n">
        <v>2607</v>
      </c>
      <c r="Q1383" s="100"/>
      <c r="R1383" s="103" t="n">
        <f aca="false">合約與計費!$D$4</f>
        <v>0.296</v>
      </c>
      <c r="S1383" s="104" t="n">
        <f aca="false">ROUND(P1383*R1383,0)</f>
        <v>772</v>
      </c>
      <c r="T1383" s="105"/>
      <c r="U1383" s="100"/>
      <c r="V1383" s="100"/>
      <c r="W1383" s="106"/>
      <c r="X1383" s="100"/>
      <c r="Y1383" s="100"/>
      <c r="Z1383" s="107"/>
      <c r="AA1383" s="108"/>
      <c r="AB1383" s="109"/>
      <c r="AC1383" s="110"/>
      <c r="AD1383" s="42"/>
      <c r="AE1383" s="43"/>
    </row>
    <row r="1384" customFormat="false" ht="16.5" hidden="false" customHeight="true" outlineLevel="0" collapsed="false">
      <c r="A1384" s="97" t="n">
        <f aca="false">ROW(A1381)</f>
        <v>1381</v>
      </c>
      <c r="B1384" s="97" t="s">
        <v>479</v>
      </c>
      <c r="C1384" s="100" t="n">
        <v>1</v>
      </c>
      <c r="D1384" s="85"/>
      <c r="E1384" s="98" t="s">
        <v>3542</v>
      </c>
      <c r="F1384" s="99" t="s">
        <v>3530</v>
      </c>
      <c r="G1384" s="100" t="s">
        <v>3278</v>
      </c>
      <c r="H1384" s="100" t="s">
        <v>3434</v>
      </c>
      <c r="I1384" s="175" t="s">
        <v>89</v>
      </c>
      <c r="J1384" s="98" t="s">
        <v>527</v>
      </c>
      <c r="K1384" s="101" t="s">
        <v>3543</v>
      </c>
      <c r="L1384" s="102" t="n">
        <v>45749</v>
      </c>
      <c r="M1384" s="100" t="n">
        <v>12886</v>
      </c>
      <c r="N1384" s="100" t="n">
        <v>15340</v>
      </c>
      <c r="O1384" s="100" t="n">
        <v>2454</v>
      </c>
      <c r="P1384" s="100" t="n">
        <v>2380</v>
      </c>
      <c r="Q1384" s="100"/>
      <c r="R1384" s="103" t="n">
        <f aca="false">合約與計費!$D$4</f>
        <v>0.296</v>
      </c>
      <c r="S1384" s="104" t="n">
        <f aca="false">ROUND(P1384*R1384,0)</f>
        <v>704</v>
      </c>
      <c r="T1384" s="105"/>
      <c r="U1384" s="100"/>
      <c r="V1384" s="100"/>
      <c r="W1384" s="106"/>
      <c r="X1384" s="100"/>
      <c r="Y1384" s="100"/>
      <c r="Z1384" s="107"/>
      <c r="AA1384" s="108"/>
      <c r="AB1384" s="109"/>
      <c r="AC1384" s="110"/>
      <c r="AD1384" s="42"/>
      <c r="AE1384" s="43"/>
    </row>
    <row r="1385" customFormat="false" ht="16.5" hidden="false" customHeight="true" outlineLevel="0" collapsed="false">
      <c r="A1385" s="97" t="n">
        <f aca="false">ROW(A1382)</f>
        <v>1382</v>
      </c>
      <c r="B1385" s="97" t="s">
        <v>482</v>
      </c>
      <c r="C1385" s="100" t="n">
        <v>1</v>
      </c>
      <c r="D1385" s="85"/>
      <c r="E1385" s="98" t="s">
        <v>3544</v>
      </c>
      <c r="F1385" s="99" t="s">
        <v>3530</v>
      </c>
      <c r="G1385" s="100" t="s">
        <v>3278</v>
      </c>
      <c r="H1385" s="100" t="s">
        <v>3434</v>
      </c>
      <c r="I1385" s="175" t="s">
        <v>89</v>
      </c>
      <c r="J1385" s="98" t="s">
        <v>527</v>
      </c>
      <c r="K1385" s="101" t="s">
        <v>3545</v>
      </c>
      <c r="L1385" s="102" t="n">
        <v>45749</v>
      </c>
      <c r="M1385" s="100" t="n">
        <v>1265</v>
      </c>
      <c r="N1385" s="100" t="n">
        <v>1496</v>
      </c>
      <c r="O1385" s="100" t="n">
        <v>231</v>
      </c>
      <c r="P1385" s="100" t="n">
        <v>224</v>
      </c>
      <c r="Q1385" s="100"/>
      <c r="R1385" s="103" t="n">
        <f aca="false">合約與計費!$D$4</f>
        <v>0.296</v>
      </c>
      <c r="S1385" s="104" t="n">
        <f aca="false">ROUND(P1385*R1385,0)</f>
        <v>66</v>
      </c>
      <c r="T1385" s="105"/>
      <c r="U1385" s="100"/>
      <c r="V1385" s="100"/>
      <c r="W1385" s="106"/>
      <c r="X1385" s="100"/>
      <c r="Y1385" s="100"/>
      <c r="Z1385" s="107"/>
      <c r="AA1385" s="108"/>
      <c r="AB1385" s="109"/>
      <c r="AC1385" s="110"/>
      <c r="AD1385" s="42"/>
      <c r="AE1385" s="43"/>
    </row>
    <row r="1386" customFormat="false" ht="16.5" hidden="false" customHeight="true" outlineLevel="0" collapsed="false">
      <c r="A1386" s="111" t="n">
        <f aca="false">ROW(A1383)</f>
        <v>1383</v>
      </c>
      <c r="B1386" s="111" t="s">
        <v>485</v>
      </c>
      <c r="C1386" s="114" t="n">
        <v>1</v>
      </c>
      <c r="D1386" s="85"/>
      <c r="E1386" s="112" t="s">
        <v>3546</v>
      </c>
      <c r="F1386" s="113" t="s">
        <v>3530</v>
      </c>
      <c r="G1386" s="114" t="s">
        <v>3278</v>
      </c>
      <c r="H1386" s="114" t="s">
        <v>3434</v>
      </c>
      <c r="I1386" s="173" t="s">
        <v>89</v>
      </c>
      <c r="J1386" s="98" t="s">
        <v>527</v>
      </c>
      <c r="K1386" s="101" t="s">
        <v>3547</v>
      </c>
      <c r="L1386" s="102" t="n">
        <v>45749</v>
      </c>
      <c r="M1386" s="100" t="n">
        <v>1416</v>
      </c>
      <c r="N1386" s="100" t="n">
        <v>1737</v>
      </c>
      <c r="O1386" s="100" t="n">
        <v>321</v>
      </c>
      <c r="P1386" s="100" t="n">
        <v>311</v>
      </c>
      <c r="Q1386" s="100" t="n">
        <f aca="false">ROUND(SUM(P1378:P1386),2)</f>
        <v>17247</v>
      </c>
      <c r="R1386" s="103" t="n">
        <f aca="false">合約與計費!$D$4</f>
        <v>0.296</v>
      </c>
      <c r="S1386" s="104" t="n">
        <f aca="false">ROUND(P1386*R1386,0)</f>
        <v>92</v>
      </c>
      <c r="T1386" s="105" t="n">
        <f aca="false">ROUND(SUM(S1378:S1386),2)</f>
        <v>5105</v>
      </c>
      <c r="U1386" s="100"/>
      <c r="V1386" s="100"/>
      <c r="W1386" s="106"/>
      <c r="X1386" s="100"/>
      <c r="Y1386" s="100" t="n">
        <f aca="false">ROUND(SUM(X1378:X1386),2)</f>
        <v>15</v>
      </c>
      <c r="Z1386" s="107"/>
      <c r="AA1386" s="108"/>
      <c r="AB1386" s="109" t="n">
        <f aca="false">ROUND(SUM(AA1378:AA1386),2)</f>
        <v>42</v>
      </c>
      <c r="AC1386" s="110"/>
      <c r="AD1386" s="42"/>
      <c r="AE1386" s="43"/>
    </row>
    <row r="1387" customFormat="false" ht="16.5" hidden="false" customHeight="true" outlineLevel="0" collapsed="false">
      <c r="A1387" s="84" t="n">
        <f aca="false">ROW(A1384)</f>
        <v>1384</v>
      </c>
      <c r="B1387" s="84" t="s">
        <v>455</v>
      </c>
      <c r="C1387" s="32" t="n">
        <v>1</v>
      </c>
      <c r="D1387" s="85" t="n">
        <v>367</v>
      </c>
      <c r="E1387" s="86" t="s">
        <v>3548</v>
      </c>
      <c r="F1387" s="87" t="s">
        <v>3549</v>
      </c>
      <c r="G1387" s="32" t="s">
        <v>3278</v>
      </c>
      <c r="H1387" s="32" t="s">
        <v>3434</v>
      </c>
      <c r="I1387" s="172" t="s">
        <v>231</v>
      </c>
      <c r="J1387" s="86" t="s">
        <v>460</v>
      </c>
      <c r="K1387" s="88" t="s">
        <v>3550</v>
      </c>
      <c r="L1387" s="89" t="n">
        <v>45742</v>
      </c>
      <c r="M1387" s="32" t="n">
        <v>1628</v>
      </c>
      <c r="N1387" s="32" t="n">
        <v>1855</v>
      </c>
      <c r="O1387" s="32" t="n">
        <v>227</v>
      </c>
      <c r="P1387" s="32" t="n">
        <v>220</v>
      </c>
      <c r="Q1387" s="32"/>
      <c r="R1387" s="90" t="n">
        <f aca="false">合約與計費!$D$4</f>
        <v>0.296</v>
      </c>
      <c r="S1387" s="91" t="n">
        <f aca="false">ROUND(P1387*R1387,0)</f>
        <v>65</v>
      </c>
      <c r="T1387" s="92"/>
      <c r="U1387" s="32" t="n">
        <v>431</v>
      </c>
      <c r="V1387" s="32" t="n">
        <v>530</v>
      </c>
      <c r="W1387" s="32" t="n">
        <v>99</v>
      </c>
      <c r="X1387" s="32" t="n">
        <v>96</v>
      </c>
      <c r="Y1387" s="32"/>
      <c r="Z1387" s="93" t="n">
        <f aca="false">合約與計費!$E$4</f>
        <v>2.8</v>
      </c>
      <c r="AA1387" s="94" t="n">
        <f aca="false">ROUND(X1387*Z1387,0)</f>
        <v>269</v>
      </c>
      <c r="AB1387" s="95"/>
      <c r="AC1387" s="96"/>
      <c r="AD1387" s="42"/>
      <c r="AE1387" s="43"/>
    </row>
    <row r="1388" customFormat="false" ht="16.5" hidden="false" customHeight="true" outlineLevel="0" collapsed="false">
      <c r="A1388" s="97" t="n">
        <f aca="false">ROW(A1385)</f>
        <v>1385</v>
      </c>
      <c r="B1388" s="97" t="s">
        <v>462</v>
      </c>
      <c r="C1388" s="100" t="n">
        <v>1</v>
      </c>
      <c r="D1388" s="85"/>
      <c r="E1388" s="98" t="s">
        <v>3551</v>
      </c>
      <c r="F1388" s="99" t="s">
        <v>3549</v>
      </c>
      <c r="G1388" s="100" t="s">
        <v>3278</v>
      </c>
      <c r="H1388" s="100" t="s">
        <v>3434</v>
      </c>
      <c r="I1388" s="175" t="s">
        <v>231</v>
      </c>
      <c r="J1388" s="98" t="s">
        <v>464</v>
      </c>
      <c r="K1388" s="101" t="s">
        <v>3552</v>
      </c>
      <c r="L1388" s="102" t="n">
        <v>45742</v>
      </c>
      <c r="M1388" s="100" t="n">
        <v>1276</v>
      </c>
      <c r="N1388" s="100" t="n">
        <v>1447</v>
      </c>
      <c r="O1388" s="100" t="n">
        <v>171</v>
      </c>
      <c r="P1388" s="100" t="n">
        <v>166</v>
      </c>
      <c r="Q1388" s="100"/>
      <c r="R1388" s="103" t="n">
        <f aca="false">合約與計費!$D$4</f>
        <v>0.296</v>
      </c>
      <c r="S1388" s="104" t="n">
        <f aca="false">ROUND(P1388*R1388,0)</f>
        <v>49</v>
      </c>
      <c r="T1388" s="105"/>
      <c r="U1388" s="100"/>
      <c r="V1388" s="100"/>
      <c r="W1388" s="106"/>
      <c r="X1388" s="100"/>
      <c r="Y1388" s="100"/>
      <c r="Z1388" s="107"/>
      <c r="AA1388" s="108"/>
      <c r="AB1388" s="109"/>
      <c r="AC1388" s="110"/>
      <c r="AD1388" s="42" t="n">
        <v>0.0549</v>
      </c>
      <c r="AE1388" s="43" t="n">
        <v>0.4</v>
      </c>
    </row>
    <row r="1389" customFormat="false" ht="16.5" hidden="false" customHeight="true" outlineLevel="0" collapsed="false">
      <c r="A1389" s="97" t="n">
        <f aca="false">ROW(A1386)</f>
        <v>1386</v>
      </c>
      <c r="B1389" s="97" t="s">
        <v>466</v>
      </c>
      <c r="C1389" s="100" t="n">
        <v>1</v>
      </c>
      <c r="D1389" s="85"/>
      <c r="E1389" s="98" t="s">
        <v>3553</v>
      </c>
      <c r="F1389" s="99" t="s">
        <v>3549</v>
      </c>
      <c r="G1389" s="100" t="s">
        <v>3278</v>
      </c>
      <c r="H1389" s="100" t="s">
        <v>3434</v>
      </c>
      <c r="I1389" s="175" t="s">
        <v>231</v>
      </c>
      <c r="J1389" s="98" t="s">
        <v>527</v>
      </c>
      <c r="K1389" s="101" t="s">
        <v>3554</v>
      </c>
      <c r="L1389" s="102" t="n">
        <v>45742</v>
      </c>
      <c r="M1389" s="100" t="n">
        <v>5870</v>
      </c>
      <c r="N1389" s="100" t="n">
        <v>7113</v>
      </c>
      <c r="O1389" s="100" t="n">
        <v>1243</v>
      </c>
      <c r="P1389" s="100" t="n">
        <v>1206</v>
      </c>
      <c r="Q1389" s="100"/>
      <c r="R1389" s="103" t="n">
        <f aca="false">合約與計費!$D$4</f>
        <v>0.296</v>
      </c>
      <c r="S1389" s="104" t="n">
        <f aca="false">ROUND(P1389*R1389,0)</f>
        <v>357</v>
      </c>
      <c r="T1389" s="105"/>
      <c r="U1389" s="100"/>
      <c r="V1389" s="100"/>
      <c r="W1389" s="106"/>
      <c r="X1389" s="100"/>
      <c r="Y1389" s="100"/>
      <c r="Z1389" s="107"/>
      <c r="AA1389" s="108"/>
      <c r="AB1389" s="109"/>
      <c r="AC1389" s="110"/>
      <c r="AD1389" s="42"/>
      <c r="AE1389" s="43"/>
    </row>
    <row r="1390" customFormat="false" ht="16.5" hidden="false" customHeight="true" outlineLevel="0" collapsed="false">
      <c r="A1390" s="97" t="n">
        <f aca="false">ROW(A1387)</f>
        <v>1387</v>
      </c>
      <c r="B1390" s="97" t="s">
        <v>469</v>
      </c>
      <c r="C1390" s="100" t="n">
        <v>1</v>
      </c>
      <c r="D1390" s="85"/>
      <c r="E1390" s="98" t="s">
        <v>3555</v>
      </c>
      <c r="F1390" s="99" t="s">
        <v>3549</v>
      </c>
      <c r="G1390" s="100" t="s">
        <v>3278</v>
      </c>
      <c r="H1390" s="100" t="s">
        <v>3434</v>
      </c>
      <c r="I1390" s="175" t="s">
        <v>231</v>
      </c>
      <c r="J1390" s="98" t="s">
        <v>527</v>
      </c>
      <c r="K1390" s="101" t="s">
        <v>3556</v>
      </c>
      <c r="L1390" s="102" t="n">
        <v>45742</v>
      </c>
      <c r="M1390" s="100" t="n">
        <v>9026</v>
      </c>
      <c r="N1390" s="100" t="n">
        <v>11151</v>
      </c>
      <c r="O1390" s="100" t="n">
        <v>2125</v>
      </c>
      <c r="P1390" s="100" t="n">
        <v>2061</v>
      </c>
      <c r="Q1390" s="100"/>
      <c r="R1390" s="103" t="n">
        <f aca="false">合約與計費!$D$4</f>
        <v>0.296</v>
      </c>
      <c r="S1390" s="104" t="n">
        <f aca="false">ROUND(P1390*R1390,0)</f>
        <v>610</v>
      </c>
      <c r="T1390" s="105"/>
      <c r="U1390" s="100"/>
      <c r="V1390" s="100"/>
      <c r="W1390" s="106"/>
      <c r="X1390" s="100"/>
      <c r="Y1390" s="100"/>
      <c r="Z1390" s="107"/>
      <c r="AA1390" s="108"/>
      <c r="AB1390" s="109"/>
      <c r="AC1390" s="110"/>
      <c r="AD1390" s="42"/>
      <c r="AE1390" s="43"/>
    </row>
    <row r="1391" customFormat="false" ht="16.5" hidden="false" customHeight="true" outlineLevel="0" collapsed="false">
      <c r="A1391" s="97" t="n">
        <f aca="false">ROW(A1388)</f>
        <v>1388</v>
      </c>
      <c r="B1391" s="97" t="s">
        <v>473</v>
      </c>
      <c r="C1391" s="100" t="n">
        <v>1</v>
      </c>
      <c r="D1391" s="85"/>
      <c r="E1391" s="98" t="s">
        <v>3557</v>
      </c>
      <c r="F1391" s="99" t="s">
        <v>3549</v>
      </c>
      <c r="G1391" s="100" t="s">
        <v>3278</v>
      </c>
      <c r="H1391" s="100" t="s">
        <v>3434</v>
      </c>
      <c r="I1391" s="175" t="s">
        <v>231</v>
      </c>
      <c r="J1391" s="98" t="s">
        <v>527</v>
      </c>
      <c r="K1391" s="101" t="s">
        <v>3558</v>
      </c>
      <c r="L1391" s="102" t="n">
        <v>45742</v>
      </c>
      <c r="M1391" s="100" t="n">
        <v>4635</v>
      </c>
      <c r="N1391" s="100" t="n">
        <v>5734</v>
      </c>
      <c r="O1391" s="100" t="n">
        <v>1099</v>
      </c>
      <c r="P1391" s="100" t="n">
        <v>1066</v>
      </c>
      <c r="Q1391" s="100"/>
      <c r="R1391" s="103" t="n">
        <f aca="false">合約與計費!$D$4</f>
        <v>0.296</v>
      </c>
      <c r="S1391" s="104" t="n">
        <f aca="false">ROUND(P1391*R1391,0)</f>
        <v>316</v>
      </c>
      <c r="T1391" s="105"/>
      <c r="U1391" s="100"/>
      <c r="V1391" s="100"/>
      <c r="W1391" s="106"/>
      <c r="X1391" s="100"/>
      <c r="Y1391" s="100"/>
      <c r="Z1391" s="107"/>
      <c r="AA1391" s="108"/>
      <c r="AB1391" s="109"/>
      <c r="AC1391" s="110"/>
      <c r="AD1391" s="42"/>
      <c r="AE1391" s="43"/>
    </row>
    <row r="1392" customFormat="false" ht="16.5" hidden="false" customHeight="true" outlineLevel="0" collapsed="false">
      <c r="A1392" s="97" t="n">
        <f aca="false">ROW(A1389)</f>
        <v>1389</v>
      </c>
      <c r="B1392" s="97" t="s">
        <v>476</v>
      </c>
      <c r="C1392" s="100" t="n">
        <v>1</v>
      </c>
      <c r="D1392" s="85"/>
      <c r="E1392" s="98" t="s">
        <v>3559</v>
      </c>
      <c r="F1392" s="99" t="s">
        <v>3549</v>
      </c>
      <c r="G1392" s="100" t="s">
        <v>3278</v>
      </c>
      <c r="H1392" s="100" t="s">
        <v>3434</v>
      </c>
      <c r="I1392" s="175" t="s">
        <v>231</v>
      </c>
      <c r="J1392" s="98" t="s">
        <v>527</v>
      </c>
      <c r="K1392" s="101" t="s">
        <v>3560</v>
      </c>
      <c r="L1392" s="102" t="n">
        <v>45742</v>
      </c>
      <c r="M1392" s="100" t="n">
        <v>4665</v>
      </c>
      <c r="N1392" s="100" t="n">
        <v>5710</v>
      </c>
      <c r="O1392" s="100" t="n">
        <v>1045</v>
      </c>
      <c r="P1392" s="100" t="n">
        <v>1014</v>
      </c>
      <c r="Q1392" s="100"/>
      <c r="R1392" s="103" t="n">
        <f aca="false">合約與計費!$D$4</f>
        <v>0.296</v>
      </c>
      <c r="S1392" s="104" t="n">
        <f aca="false">ROUND(P1392*R1392,0)</f>
        <v>300</v>
      </c>
      <c r="T1392" s="105"/>
      <c r="U1392" s="100"/>
      <c r="V1392" s="100"/>
      <c r="W1392" s="106"/>
      <c r="X1392" s="100"/>
      <c r="Y1392" s="100"/>
      <c r="Z1392" s="107"/>
      <c r="AA1392" s="108"/>
      <c r="AB1392" s="109"/>
      <c r="AC1392" s="110"/>
      <c r="AD1392" s="42"/>
      <c r="AE1392" s="43"/>
    </row>
    <row r="1393" customFormat="false" ht="16.5" hidden="false" customHeight="true" outlineLevel="0" collapsed="false">
      <c r="A1393" s="111" t="n">
        <f aca="false">ROW(A1390)</f>
        <v>1390</v>
      </c>
      <c r="B1393" s="111" t="s">
        <v>479</v>
      </c>
      <c r="C1393" s="114" t="n">
        <v>1</v>
      </c>
      <c r="D1393" s="85"/>
      <c r="E1393" s="112" t="s">
        <v>3561</v>
      </c>
      <c r="F1393" s="113" t="s">
        <v>3549</v>
      </c>
      <c r="G1393" s="114" t="s">
        <v>3278</v>
      </c>
      <c r="H1393" s="114" t="s">
        <v>3434</v>
      </c>
      <c r="I1393" s="173" t="s">
        <v>231</v>
      </c>
      <c r="J1393" s="98" t="s">
        <v>527</v>
      </c>
      <c r="K1393" s="101" t="s">
        <v>3562</v>
      </c>
      <c r="L1393" s="102" t="n">
        <v>45742</v>
      </c>
      <c r="M1393" s="100" t="n">
        <v>1832</v>
      </c>
      <c r="N1393" s="100" t="n">
        <v>2136</v>
      </c>
      <c r="O1393" s="100" t="n">
        <v>304</v>
      </c>
      <c r="P1393" s="100" t="n">
        <v>295</v>
      </c>
      <c r="Q1393" s="100" t="n">
        <f aca="false">ROUND(SUM(P1387:P1393),2)</f>
        <v>6028</v>
      </c>
      <c r="R1393" s="103" t="n">
        <f aca="false">合約與計費!$D$4</f>
        <v>0.296</v>
      </c>
      <c r="S1393" s="104" t="n">
        <f aca="false">ROUND(P1393*R1393,0)</f>
        <v>87</v>
      </c>
      <c r="T1393" s="105" t="n">
        <f aca="false">ROUND(SUM(S1387:S1393),2)</f>
        <v>1784</v>
      </c>
      <c r="U1393" s="100"/>
      <c r="V1393" s="100"/>
      <c r="W1393" s="106"/>
      <c r="X1393" s="100"/>
      <c r="Y1393" s="100" t="n">
        <f aca="false">ROUND(SUM(X1387:X1393),2)</f>
        <v>96</v>
      </c>
      <c r="Z1393" s="107"/>
      <c r="AA1393" s="108"/>
      <c r="AB1393" s="109" t="n">
        <f aca="false">ROUND(SUM(AA1387:AA1393),2)</f>
        <v>269</v>
      </c>
      <c r="AC1393" s="110"/>
      <c r="AD1393" s="42"/>
      <c r="AE1393" s="43"/>
    </row>
    <row r="1394" customFormat="false" ht="16.5" hidden="false" customHeight="true" outlineLevel="0" collapsed="false">
      <c r="A1394" s="84" t="n">
        <f aca="false">ROW(A1391)</f>
        <v>1391</v>
      </c>
      <c r="B1394" s="84" t="s">
        <v>455</v>
      </c>
      <c r="C1394" s="32" t="n">
        <v>1</v>
      </c>
      <c r="D1394" s="85" t="n">
        <v>369</v>
      </c>
      <c r="E1394" s="86" t="s">
        <v>3563</v>
      </c>
      <c r="F1394" s="87" t="s">
        <v>3564</v>
      </c>
      <c r="G1394" s="32" t="s">
        <v>3278</v>
      </c>
      <c r="H1394" s="32" t="s">
        <v>3434</v>
      </c>
      <c r="I1394" s="172" t="s">
        <v>190</v>
      </c>
      <c r="J1394" s="86" t="s">
        <v>460</v>
      </c>
      <c r="K1394" s="88" t="s">
        <v>3565</v>
      </c>
      <c r="L1394" s="89" t="n">
        <v>45777</v>
      </c>
      <c r="M1394" s="32" t="n">
        <v>721</v>
      </c>
      <c r="N1394" s="32" t="n">
        <v>850</v>
      </c>
      <c r="O1394" s="32" t="n">
        <v>129</v>
      </c>
      <c r="P1394" s="32" t="n">
        <v>125</v>
      </c>
      <c r="Q1394" s="32"/>
      <c r="R1394" s="90" t="n">
        <f aca="false">合約與計費!$D$4</f>
        <v>0.296</v>
      </c>
      <c r="S1394" s="91" t="n">
        <f aca="false">ROUND(P1394*R1394,0)</f>
        <v>37</v>
      </c>
      <c r="T1394" s="92"/>
      <c r="U1394" s="32" t="n">
        <v>155</v>
      </c>
      <c r="V1394" s="32" t="n">
        <v>257</v>
      </c>
      <c r="W1394" s="32" t="n">
        <v>102</v>
      </c>
      <c r="X1394" s="32" t="n">
        <v>99</v>
      </c>
      <c r="Y1394" s="32"/>
      <c r="Z1394" s="93" t="n">
        <f aca="false">合約與計費!$E$4</f>
        <v>2.8</v>
      </c>
      <c r="AA1394" s="94" t="n">
        <f aca="false">ROUND(X1394*Z1394,0)</f>
        <v>277</v>
      </c>
      <c r="AB1394" s="95"/>
      <c r="AC1394" s="96"/>
      <c r="AD1394" s="42"/>
      <c r="AE1394" s="43"/>
    </row>
    <row r="1395" customFormat="false" ht="16.5" hidden="false" customHeight="true" outlineLevel="0" collapsed="false">
      <c r="A1395" s="97" t="n">
        <f aca="false">ROW(A1392)</f>
        <v>1392</v>
      </c>
      <c r="B1395" s="97" t="s">
        <v>462</v>
      </c>
      <c r="C1395" s="100" t="n">
        <v>1</v>
      </c>
      <c r="D1395" s="85"/>
      <c r="E1395" s="98" t="s">
        <v>3566</v>
      </c>
      <c r="F1395" s="99" t="s">
        <v>3564</v>
      </c>
      <c r="G1395" s="100" t="s">
        <v>3278</v>
      </c>
      <c r="H1395" s="100" t="s">
        <v>3434</v>
      </c>
      <c r="I1395" s="175" t="s">
        <v>190</v>
      </c>
      <c r="J1395" s="98" t="s">
        <v>464</v>
      </c>
      <c r="K1395" s="101" t="s">
        <v>3567</v>
      </c>
      <c r="L1395" s="102" t="n">
        <v>45777</v>
      </c>
      <c r="M1395" s="100" t="n">
        <v>581</v>
      </c>
      <c r="N1395" s="100" t="n">
        <v>682</v>
      </c>
      <c r="O1395" s="100" t="n">
        <v>101</v>
      </c>
      <c r="P1395" s="100" t="n">
        <v>98</v>
      </c>
      <c r="Q1395" s="100"/>
      <c r="R1395" s="103" t="n">
        <f aca="false">合約與計費!$D$4</f>
        <v>0.296</v>
      </c>
      <c r="S1395" s="104" t="n">
        <f aca="false">ROUND(P1395*R1395,0)</f>
        <v>29</v>
      </c>
      <c r="T1395" s="105"/>
      <c r="U1395" s="100"/>
      <c r="V1395" s="100"/>
      <c r="W1395" s="106"/>
      <c r="X1395" s="100"/>
      <c r="Y1395" s="100"/>
      <c r="Z1395" s="107"/>
      <c r="AA1395" s="108"/>
      <c r="AB1395" s="109"/>
      <c r="AC1395" s="110"/>
      <c r="AD1395" s="42" t="n">
        <v>0.0524</v>
      </c>
      <c r="AE1395" s="43" t="n">
        <v>0.8</v>
      </c>
    </row>
    <row r="1396" customFormat="false" ht="16.5" hidden="false" customHeight="true" outlineLevel="0" collapsed="false">
      <c r="A1396" s="97" t="n">
        <f aca="false">ROW(A1393)</f>
        <v>1393</v>
      </c>
      <c r="B1396" s="97" t="s">
        <v>466</v>
      </c>
      <c r="C1396" s="100" t="n">
        <v>1</v>
      </c>
      <c r="D1396" s="85"/>
      <c r="E1396" s="98" t="s">
        <v>3568</v>
      </c>
      <c r="F1396" s="99" t="s">
        <v>3564</v>
      </c>
      <c r="G1396" s="100" t="s">
        <v>3278</v>
      </c>
      <c r="H1396" s="100" t="s">
        <v>3434</v>
      </c>
      <c r="I1396" s="175" t="s">
        <v>190</v>
      </c>
      <c r="J1396" s="98" t="s">
        <v>527</v>
      </c>
      <c r="K1396" s="101" t="s">
        <v>3569</v>
      </c>
      <c r="L1396" s="102" t="n">
        <v>45777</v>
      </c>
      <c r="M1396" s="100" t="n">
        <v>6515</v>
      </c>
      <c r="N1396" s="100" t="n">
        <v>7567</v>
      </c>
      <c r="O1396" s="100" t="n">
        <v>1052</v>
      </c>
      <c r="P1396" s="100" t="n">
        <v>1020</v>
      </c>
      <c r="Q1396" s="100"/>
      <c r="R1396" s="103" t="n">
        <f aca="false">合約與計費!$D$4</f>
        <v>0.296</v>
      </c>
      <c r="S1396" s="104" t="n">
        <f aca="false">ROUND(P1396*R1396,0)</f>
        <v>302</v>
      </c>
      <c r="T1396" s="105"/>
      <c r="U1396" s="100"/>
      <c r="V1396" s="100"/>
      <c r="W1396" s="106"/>
      <c r="X1396" s="100"/>
      <c r="Y1396" s="100"/>
      <c r="Z1396" s="107"/>
      <c r="AA1396" s="108"/>
      <c r="AB1396" s="109"/>
      <c r="AC1396" s="110"/>
      <c r="AD1396" s="42"/>
      <c r="AE1396" s="43"/>
    </row>
    <row r="1397" customFormat="false" ht="16.5" hidden="false" customHeight="true" outlineLevel="0" collapsed="false">
      <c r="A1397" s="97" t="n">
        <f aca="false">ROW(A1394)</f>
        <v>1394</v>
      </c>
      <c r="B1397" s="97" t="s">
        <v>469</v>
      </c>
      <c r="C1397" s="100" t="n">
        <v>1</v>
      </c>
      <c r="D1397" s="85"/>
      <c r="E1397" s="98" t="s">
        <v>3570</v>
      </c>
      <c r="F1397" s="99" t="s">
        <v>3564</v>
      </c>
      <c r="G1397" s="100" t="s">
        <v>3278</v>
      </c>
      <c r="H1397" s="100" t="s">
        <v>3434</v>
      </c>
      <c r="I1397" s="175" t="s">
        <v>190</v>
      </c>
      <c r="J1397" s="98" t="s">
        <v>527</v>
      </c>
      <c r="K1397" s="101" t="s">
        <v>3571</v>
      </c>
      <c r="L1397" s="102" t="n">
        <v>45777</v>
      </c>
      <c r="M1397" s="100" t="n">
        <v>2044</v>
      </c>
      <c r="N1397" s="100" t="n">
        <v>2460</v>
      </c>
      <c r="O1397" s="100" t="n">
        <v>416</v>
      </c>
      <c r="P1397" s="100" t="n">
        <v>404</v>
      </c>
      <c r="Q1397" s="100"/>
      <c r="R1397" s="103" t="n">
        <f aca="false">合約與計費!$D$4</f>
        <v>0.296</v>
      </c>
      <c r="S1397" s="104" t="n">
        <f aca="false">ROUND(P1397*R1397,0)</f>
        <v>120</v>
      </c>
      <c r="T1397" s="105"/>
      <c r="U1397" s="100"/>
      <c r="V1397" s="100"/>
      <c r="W1397" s="106"/>
      <c r="X1397" s="100"/>
      <c r="Y1397" s="100"/>
      <c r="Z1397" s="107"/>
      <c r="AA1397" s="108"/>
      <c r="AB1397" s="109"/>
      <c r="AC1397" s="110"/>
      <c r="AD1397" s="42"/>
      <c r="AE1397" s="43"/>
    </row>
    <row r="1398" customFormat="false" ht="16.5" hidden="false" customHeight="true" outlineLevel="0" collapsed="false">
      <c r="A1398" s="111" t="n">
        <f aca="false">ROW(A1395)</f>
        <v>1395</v>
      </c>
      <c r="B1398" s="111" t="s">
        <v>473</v>
      </c>
      <c r="C1398" s="114" t="n">
        <v>1</v>
      </c>
      <c r="D1398" s="85"/>
      <c r="E1398" s="112" t="s">
        <v>3572</v>
      </c>
      <c r="F1398" s="113" t="s">
        <v>3564</v>
      </c>
      <c r="G1398" s="114" t="s">
        <v>3278</v>
      </c>
      <c r="H1398" s="114" t="s">
        <v>3434</v>
      </c>
      <c r="I1398" s="173" t="s">
        <v>190</v>
      </c>
      <c r="J1398" s="112" t="s">
        <v>527</v>
      </c>
      <c r="K1398" s="115" t="s">
        <v>3573</v>
      </c>
      <c r="L1398" s="116" t="n">
        <v>45777</v>
      </c>
      <c r="M1398" s="114" t="n">
        <v>6736</v>
      </c>
      <c r="N1398" s="114" t="n">
        <v>8420</v>
      </c>
      <c r="O1398" s="114" t="n">
        <v>1684</v>
      </c>
      <c r="P1398" s="114" t="n">
        <v>1633</v>
      </c>
      <c r="Q1398" s="114" t="n">
        <f aca="false">ROUND(SUM(P1394:P1398),2)</f>
        <v>3280</v>
      </c>
      <c r="R1398" s="117" t="n">
        <f aca="false">合約與計費!$D$4</f>
        <v>0.296</v>
      </c>
      <c r="S1398" s="118" t="n">
        <f aca="false">ROUND(P1398*R1398,0)</f>
        <v>483</v>
      </c>
      <c r="T1398" s="119" t="n">
        <f aca="false">ROUND(SUM(S1394:S1398),2)</f>
        <v>971</v>
      </c>
      <c r="U1398" s="114"/>
      <c r="V1398" s="114"/>
      <c r="W1398" s="120"/>
      <c r="X1398" s="114"/>
      <c r="Y1398" s="114" t="n">
        <f aca="false">ROUND(SUM(X1394:X1398),2)</f>
        <v>99</v>
      </c>
      <c r="Z1398" s="121"/>
      <c r="AA1398" s="122"/>
      <c r="AB1398" s="123" t="n">
        <f aca="false">ROUND(SUM(AA1394:AA1398),2)</f>
        <v>277</v>
      </c>
      <c r="AC1398" s="124"/>
      <c r="AD1398" s="42"/>
      <c r="AE1398" s="43"/>
    </row>
    <row r="1399" customFormat="false" ht="16.5" hidden="false" customHeight="true" outlineLevel="0" collapsed="false">
      <c r="A1399" s="84" t="n">
        <f aca="false">ROW(A1396)</f>
        <v>1396</v>
      </c>
      <c r="B1399" s="84" t="s">
        <v>455</v>
      </c>
      <c r="C1399" s="32" t="n">
        <v>1</v>
      </c>
      <c r="D1399" s="85" t="n">
        <v>372</v>
      </c>
      <c r="E1399" s="86" t="s">
        <v>3574</v>
      </c>
      <c r="F1399" s="87" t="s">
        <v>3575</v>
      </c>
      <c r="G1399" s="32" t="s">
        <v>3278</v>
      </c>
      <c r="H1399" s="32" t="s">
        <v>3434</v>
      </c>
      <c r="I1399" s="172" t="s">
        <v>106</v>
      </c>
      <c r="J1399" s="86" t="s">
        <v>460</v>
      </c>
      <c r="K1399" s="88" t="s">
        <v>3576</v>
      </c>
      <c r="L1399" s="89" t="n">
        <v>45775</v>
      </c>
      <c r="M1399" s="32" t="n">
        <v>787</v>
      </c>
      <c r="N1399" s="32" t="n">
        <v>1062</v>
      </c>
      <c r="O1399" s="32" t="n">
        <v>275</v>
      </c>
      <c r="P1399" s="32" t="n">
        <v>267</v>
      </c>
      <c r="Q1399" s="32"/>
      <c r="R1399" s="90" t="n">
        <f aca="false">合約與計費!$D$4</f>
        <v>0.296</v>
      </c>
      <c r="S1399" s="91" t="n">
        <f aca="false">ROUND(P1399*R1399,0)</f>
        <v>79</v>
      </c>
      <c r="T1399" s="92"/>
      <c r="U1399" s="32" t="n">
        <v>280</v>
      </c>
      <c r="V1399" s="32" t="n">
        <v>349</v>
      </c>
      <c r="W1399" s="32" t="n">
        <v>69</v>
      </c>
      <c r="X1399" s="32" t="n">
        <v>67</v>
      </c>
      <c r="Y1399" s="32"/>
      <c r="Z1399" s="93" t="n">
        <f aca="false">合約與計費!$E$4</f>
        <v>2.8</v>
      </c>
      <c r="AA1399" s="94" t="n">
        <f aca="false">ROUND(X1399*Z1399,0)</f>
        <v>188</v>
      </c>
      <c r="AB1399" s="95"/>
      <c r="AC1399" s="96"/>
      <c r="AD1399" s="42"/>
      <c r="AE1399" s="43"/>
    </row>
    <row r="1400" customFormat="false" ht="16.5" hidden="false" customHeight="true" outlineLevel="0" collapsed="false">
      <c r="A1400" s="97" t="n">
        <f aca="false">ROW(A1397)</f>
        <v>1397</v>
      </c>
      <c r="B1400" s="97" t="s">
        <v>462</v>
      </c>
      <c r="C1400" s="100" t="n">
        <v>1</v>
      </c>
      <c r="D1400" s="85"/>
      <c r="E1400" s="98" t="s">
        <v>3577</v>
      </c>
      <c r="F1400" s="99" t="s">
        <v>3575</v>
      </c>
      <c r="G1400" s="100" t="s">
        <v>3278</v>
      </c>
      <c r="H1400" s="100" t="s">
        <v>3434</v>
      </c>
      <c r="I1400" s="175" t="s">
        <v>106</v>
      </c>
      <c r="J1400" s="98" t="s">
        <v>464</v>
      </c>
      <c r="K1400" s="101" t="s">
        <v>3578</v>
      </c>
      <c r="L1400" s="102" t="n">
        <v>45775</v>
      </c>
      <c r="M1400" s="100" t="n">
        <v>401</v>
      </c>
      <c r="N1400" s="100" t="n">
        <v>511</v>
      </c>
      <c r="O1400" s="100" t="n">
        <v>110</v>
      </c>
      <c r="P1400" s="100" t="n">
        <v>107</v>
      </c>
      <c r="Q1400" s="100"/>
      <c r="R1400" s="103" t="n">
        <f aca="false">合約與計費!$D$4</f>
        <v>0.296</v>
      </c>
      <c r="S1400" s="104" t="n">
        <f aca="false">ROUND(P1400*R1400,0)</f>
        <v>32</v>
      </c>
      <c r="T1400" s="105"/>
      <c r="U1400" s="100"/>
      <c r="V1400" s="100"/>
      <c r="W1400" s="106"/>
      <c r="X1400" s="100"/>
      <c r="Y1400" s="100"/>
      <c r="Z1400" s="107"/>
      <c r="AA1400" s="108"/>
      <c r="AB1400" s="109"/>
      <c r="AC1400" s="110"/>
      <c r="AD1400" s="42" t="n">
        <v>0.0474</v>
      </c>
      <c r="AE1400" s="43" t="n">
        <v>0.9</v>
      </c>
    </row>
    <row r="1401" customFormat="false" ht="16.5" hidden="false" customHeight="true" outlineLevel="0" collapsed="false">
      <c r="A1401" s="97" t="n">
        <f aca="false">ROW(A1398)</f>
        <v>1398</v>
      </c>
      <c r="B1401" s="97" t="s">
        <v>466</v>
      </c>
      <c r="C1401" s="100" t="n">
        <v>1</v>
      </c>
      <c r="D1401" s="85"/>
      <c r="E1401" s="98" t="s">
        <v>3579</v>
      </c>
      <c r="F1401" s="99" t="s">
        <v>3575</v>
      </c>
      <c r="G1401" s="100" t="s">
        <v>3278</v>
      </c>
      <c r="H1401" s="100" t="s">
        <v>3434</v>
      </c>
      <c r="I1401" s="175" t="s">
        <v>106</v>
      </c>
      <c r="J1401" s="98" t="s">
        <v>527</v>
      </c>
      <c r="K1401" s="101" t="s">
        <v>3580</v>
      </c>
      <c r="L1401" s="102" t="n">
        <v>45775</v>
      </c>
      <c r="M1401" s="100" t="n">
        <v>875</v>
      </c>
      <c r="N1401" s="100" t="n">
        <v>1053</v>
      </c>
      <c r="O1401" s="100" t="n">
        <v>178</v>
      </c>
      <c r="P1401" s="100" t="n">
        <v>173</v>
      </c>
      <c r="Q1401" s="100"/>
      <c r="R1401" s="103" t="n">
        <f aca="false">合約與計費!$D$4</f>
        <v>0.296</v>
      </c>
      <c r="S1401" s="104" t="n">
        <f aca="false">ROUND(P1401*R1401,0)</f>
        <v>51</v>
      </c>
      <c r="T1401" s="105"/>
      <c r="U1401" s="100"/>
      <c r="V1401" s="100"/>
      <c r="W1401" s="106"/>
      <c r="X1401" s="100"/>
      <c r="Y1401" s="100"/>
      <c r="Z1401" s="107"/>
      <c r="AA1401" s="108"/>
      <c r="AB1401" s="109"/>
      <c r="AC1401" s="110"/>
      <c r="AD1401" s="42"/>
      <c r="AE1401" s="43"/>
    </row>
    <row r="1402" customFormat="false" ht="16.5" hidden="false" customHeight="true" outlineLevel="0" collapsed="false">
      <c r="A1402" s="97" t="n">
        <f aca="false">ROW(A1399)</f>
        <v>1399</v>
      </c>
      <c r="B1402" s="97" t="s">
        <v>469</v>
      </c>
      <c r="C1402" s="100" t="n">
        <v>1</v>
      </c>
      <c r="D1402" s="85"/>
      <c r="E1402" s="98" t="s">
        <v>3581</v>
      </c>
      <c r="F1402" s="99" t="s">
        <v>3575</v>
      </c>
      <c r="G1402" s="100" t="s">
        <v>3278</v>
      </c>
      <c r="H1402" s="100" t="s">
        <v>3434</v>
      </c>
      <c r="I1402" s="175" t="s">
        <v>106</v>
      </c>
      <c r="J1402" s="98" t="s">
        <v>527</v>
      </c>
      <c r="K1402" s="101" t="s">
        <v>3582</v>
      </c>
      <c r="L1402" s="102" t="n">
        <v>45775</v>
      </c>
      <c r="M1402" s="100" t="n">
        <v>2709</v>
      </c>
      <c r="N1402" s="100" t="n">
        <v>3192</v>
      </c>
      <c r="O1402" s="100" t="n">
        <v>483</v>
      </c>
      <c r="P1402" s="100" t="n">
        <v>469</v>
      </c>
      <c r="Q1402" s="100"/>
      <c r="R1402" s="103" t="n">
        <f aca="false">合約與計費!$D$4</f>
        <v>0.296</v>
      </c>
      <c r="S1402" s="104" t="n">
        <f aca="false">ROUND(P1402*R1402,0)</f>
        <v>139</v>
      </c>
      <c r="T1402" s="105"/>
      <c r="U1402" s="100"/>
      <c r="V1402" s="100"/>
      <c r="W1402" s="106"/>
      <c r="X1402" s="100"/>
      <c r="Y1402" s="100"/>
      <c r="Z1402" s="107"/>
      <c r="AA1402" s="108"/>
      <c r="AB1402" s="109"/>
      <c r="AC1402" s="110"/>
      <c r="AD1402" s="42"/>
      <c r="AE1402" s="43"/>
    </row>
    <row r="1403" customFormat="false" ht="16.5" hidden="false" customHeight="true" outlineLevel="0" collapsed="false">
      <c r="A1403" s="97" t="n">
        <f aca="false">ROW(A1400)</f>
        <v>1400</v>
      </c>
      <c r="B1403" s="97" t="s">
        <v>473</v>
      </c>
      <c r="C1403" s="100" t="n">
        <v>1</v>
      </c>
      <c r="D1403" s="85"/>
      <c r="E1403" s="98" t="s">
        <v>3583</v>
      </c>
      <c r="F1403" s="99" t="s">
        <v>3575</v>
      </c>
      <c r="G1403" s="100" t="s">
        <v>3278</v>
      </c>
      <c r="H1403" s="100" t="s">
        <v>3434</v>
      </c>
      <c r="I1403" s="175" t="s">
        <v>106</v>
      </c>
      <c r="J1403" s="98" t="s">
        <v>527</v>
      </c>
      <c r="K1403" s="101" t="s">
        <v>3584</v>
      </c>
      <c r="L1403" s="102" t="n">
        <v>45775</v>
      </c>
      <c r="M1403" s="100" t="n">
        <v>3450</v>
      </c>
      <c r="N1403" s="100" t="n">
        <v>3975</v>
      </c>
      <c r="O1403" s="100" t="n">
        <v>525</v>
      </c>
      <c r="P1403" s="100" t="n">
        <v>509</v>
      </c>
      <c r="Q1403" s="100"/>
      <c r="R1403" s="103" t="n">
        <f aca="false">合約與計費!$D$4</f>
        <v>0.296</v>
      </c>
      <c r="S1403" s="104" t="n">
        <f aca="false">ROUND(P1403*R1403,0)</f>
        <v>151</v>
      </c>
      <c r="T1403" s="105"/>
      <c r="U1403" s="100"/>
      <c r="V1403" s="100"/>
      <c r="W1403" s="106"/>
      <c r="X1403" s="100"/>
      <c r="Y1403" s="100"/>
      <c r="Z1403" s="107"/>
      <c r="AA1403" s="108"/>
      <c r="AB1403" s="109"/>
      <c r="AC1403" s="110"/>
      <c r="AD1403" s="42"/>
      <c r="AE1403" s="43"/>
    </row>
    <row r="1404" customFormat="false" ht="16.5" hidden="false" customHeight="true" outlineLevel="0" collapsed="false">
      <c r="A1404" s="111" t="n">
        <f aca="false">ROW(A1401)</f>
        <v>1401</v>
      </c>
      <c r="B1404" s="111" t="s">
        <v>476</v>
      </c>
      <c r="C1404" s="114" t="n">
        <v>1</v>
      </c>
      <c r="D1404" s="85"/>
      <c r="E1404" s="112" t="s">
        <v>3585</v>
      </c>
      <c r="F1404" s="113" t="s">
        <v>3575</v>
      </c>
      <c r="G1404" s="114" t="s">
        <v>3278</v>
      </c>
      <c r="H1404" s="114" t="s">
        <v>3434</v>
      </c>
      <c r="I1404" s="173" t="s">
        <v>106</v>
      </c>
      <c r="J1404" s="112" t="s">
        <v>527</v>
      </c>
      <c r="K1404" s="115" t="s">
        <v>3586</v>
      </c>
      <c r="L1404" s="116" t="n">
        <v>45775</v>
      </c>
      <c r="M1404" s="114" t="n">
        <v>4613</v>
      </c>
      <c r="N1404" s="114" t="n">
        <v>5708</v>
      </c>
      <c r="O1404" s="114" t="n">
        <v>1095</v>
      </c>
      <c r="P1404" s="114" t="n">
        <v>1062</v>
      </c>
      <c r="Q1404" s="114" t="n">
        <f aca="false">ROUND(SUM(P1399:P1404),2)</f>
        <v>2587</v>
      </c>
      <c r="R1404" s="117" t="n">
        <f aca="false">合約與計費!$D$4</f>
        <v>0.296</v>
      </c>
      <c r="S1404" s="118" t="n">
        <f aca="false">ROUND(P1404*R1404,0)</f>
        <v>314</v>
      </c>
      <c r="T1404" s="119" t="n">
        <f aca="false">ROUND(SUM(S1399:S1404),2)</f>
        <v>766</v>
      </c>
      <c r="U1404" s="114"/>
      <c r="V1404" s="114"/>
      <c r="W1404" s="120"/>
      <c r="X1404" s="114"/>
      <c r="Y1404" s="114" t="n">
        <f aca="false">ROUND(SUM(X1399:X1404),2)</f>
        <v>67</v>
      </c>
      <c r="Z1404" s="121"/>
      <c r="AA1404" s="122"/>
      <c r="AB1404" s="123" t="n">
        <f aca="false">ROUND(SUM(AA1399:AA1404),2)</f>
        <v>188</v>
      </c>
      <c r="AC1404" s="124"/>
      <c r="AD1404" s="42"/>
      <c r="AE1404" s="43"/>
    </row>
    <row r="1405" customFormat="false" ht="16.5" hidden="false" customHeight="true" outlineLevel="0" collapsed="false">
      <c r="A1405" s="84" t="n">
        <f aca="false">ROW(A1402)</f>
        <v>1402</v>
      </c>
      <c r="B1405" s="84" t="s">
        <v>455</v>
      </c>
      <c r="C1405" s="32" t="n">
        <v>1</v>
      </c>
      <c r="D1405" s="85" t="n">
        <v>383</v>
      </c>
      <c r="E1405" s="86" t="s">
        <v>3587</v>
      </c>
      <c r="F1405" s="87" t="s">
        <v>3588</v>
      </c>
      <c r="G1405" s="32" t="s">
        <v>3278</v>
      </c>
      <c r="H1405" s="32" t="s">
        <v>3434</v>
      </c>
      <c r="I1405" s="172" t="s">
        <v>7</v>
      </c>
      <c r="J1405" s="86" t="s">
        <v>460</v>
      </c>
      <c r="K1405" s="88" t="s">
        <v>3589</v>
      </c>
      <c r="L1405" s="89" t="n">
        <v>45777</v>
      </c>
      <c r="M1405" s="32" t="n">
        <v>330</v>
      </c>
      <c r="N1405" s="32" t="n">
        <v>429</v>
      </c>
      <c r="O1405" s="32" t="n">
        <v>99</v>
      </c>
      <c r="P1405" s="32" t="n">
        <v>96</v>
      </c>
      <c r="Q1405" s="32"/>
      <c r="R1405" s="90" t="n">
        <f aca="false">合約與計費!$D$4</f>
        <v>0.296</v>
      </c>
      <c r="S1405" s="91" t="n">
        <f aca="false">ROUND(P1405*R1405,0)</f>
        <v>28</v>
      </c>
      <c r="T1405" s="92"/>
      <c r="U1405" s="32" t="n">
        <v>98</v>
      </c>
      <c r="V1405" s="32" t="n">
        <v>127</v>
      </c>
      <c r="W1405" s="32" t="n">
        <v>29</v>
      </c>
      <c r="X1405" s="32" t="n">
        <v>28</v>
      </c>
      <c r="Y1405" s="32"/>
      <c r="Z1405" s="93" t="n">
        <f aca="false">合約與計費!$E$4</f>
        <v>2.8</v>
      </c>
      <c r="AA1405" s="94" t="n">
        <f aca="false">ROUND(X1405*Z1405,0)</f>
        <v>78</v>
      </c>
      <c r="AB1405" s="95"/>
      <c r="AC1405" s="96"/>
      <c r="AD1405" s="42"/>
      <c r="AE1405" s="43"/>
    </row>
    <row r="1406" customFormat="false" ht="16.5" hidden="false" customHeight="true" outlineLevel="0" collapsed="false">
      <c r="A1406" s="97" t="n">
        <f aca="false">ROW(A1403)</f>
        <v>1403</v>
      </c>
      <c r="B1406" s="97" t="s">
        <v>462</v>
      </c>
      <c r="C1406" s="100" t="n">
        <v>1</v>
      </c>
      <c r="D1406" s="85"/>
      <c r="E1406" s="98" t="s">
        <v>3590</v>
      </c>
      <c r="F1406" s="99" t="s">
        <v>3588</v>
      </c>
      <c r="G1406" s="100" t="s">
        <v>3278</v>
      </c>
      <c r="H1406" s="100" t="s">
        <v>3434</v>
      </c>
      <c r="I1406" s="175" t="s">
        <v>7</v>
      </c>
      <c r="J1406" s="98" t="s">
        <v>464</v>
      </c>
      <c r="K1406" s="101" t="s">
        <v>3591</v>
      </c>
      <c r="L1406" s="102" t="n">
        <v>45777</v>
      </c>
      <c r="M1406" s="100" t="n">
        <v>211</v>
      </c>
      <c r="N1406" s="100" t="n">
        <v>265</v>
      </c>
      <c r="O1406" s="100" t="n">
        <v>54</v>
      </c>
      <c r="P1406" s="100" t="n">
        <v>52</v>
      </c>
      <c r="Q1406" s="100"/>
      <c r="R1406" s="103" t="n">
        <f aca="false">合約與計費!$D$4</f>
        <v>0.296</v>
      </c>
      <c r="S1406" s="104" t="n">
        <f aca="false">ROUND(P1406*R1406,0)</f>
        <v>15</v>
      </c>
      <c r="T1406" s="105"/>
      <c r="U1406" s="100"/>
      <c r="V1406" s="100"/>
      <c r="W1406" s="106"/>
      <c r="X1406" s="100"/>
      <c r="Y1406" s="100"/>
      <c r="Z1406" s="107"/>
      <c r="AA1406" s="108"/>
      <c r="AB1406" s="109"/>
      <c r="AC1406" s="110"/>
      <c r="AD1406" s="42" t="n">
        <v>0.0368</v>
      </c>
      <c r="AE1406" s="43" t="n">
        <v>0.9</v>
      </c>
    </row>
    <row r="1407" customFormat="false" ht="16.5" hidden="false" customHeight="true" outlineLevel="0" collapsed="false">
      <c r="A1407" s="97" t="n">
        <f aca="false">ROW(A1404)</f>
        <v>1404</v>
      </c>
      <c r="B1407" s="97" t="s">
        <v>466</v>
      </c>
      <c r="C1407" s="100" t="n">
        <v>1</v>
      </c>
      <c r="D1407" s="85"/>
      <c r="E1407" s="98" t="s">
        <v>3592</v>
      </c>
      <c r="F1407" s="99" t="s">
        <v>3588</v>
      </c>
      <c r="G1407" s="100" t="s">
        <v>3278</v>
      </c>
      <c r="H1407" s="100" t="s">
        <v>3434</v>
      </c>
      <c r="I1407" s="175" t="s">
        <v>7</v>
      </c>
      <c r="J1407" s="98" t="s">
        <v>527</v>
      </c>
      <c r="K1407" s="101" t="s">
        <v>3593</v>
      </c>
      <c r="L1407" s="102" t="n">
        <v>45777</v>
      </c>
      <c r="M1407" s="100" t="n">
        <v>2041</v>
      </c>
      <c r="N1407" s="100" t="n">
        <v>2502</v>
      </c>
      <c r="O1407" s="100" t="n">
        <v>461</v>
      </c>
      <c r="P1407" s="100" t="n">
        <v>447</v>
      </c>
      <c r="Q1407" s="100"/>
      <c r="R1407" s="103" t="n">
        <f aca="false">合約與計費!$D$4</f>
        <v>0.296</v>
      </c>
      <c r="S1407" s="104" t="n">
        <f aca="false">ROUND(P1407*R1407,0)</f>
        <v>132</v>
      </c>
      <c r="T1407" s="105"/>
      <c r="U1407" s="100"/>
      <c r="V1407" s="100"/>
      <c r="W1407" s="106"/>
      <c r="X1407" s="100"/>
      <c r="Y1407" s="100"/>
      <c r="Z1407" s="107"/>
      <c r="AA1407" s="108"/>
      <c r="AB1407" s="109"/>
      <c r="AC1407" s="110"/>
      <c r="AD1407" s="42"/>
      <c r="AE1407" s="43"/>
    </row>
    <row r="1408" customFormat="false" ht="16.5" hidden="false" customHeight="true" outlineLevel="0" collapsed="false">
      <c r="A1408" s="111" t="n">
        <f aca="false">ROW(A1405)</f>
        <v>1405</v>
      </c>
      <c r="B1408" s="111" t="s">
        <v>469</v>
      </c>
      <c r="C1408" s="114" t="n">
        <v>1</v>
      </c>
      <c r="D1408" s="85"/>
      <c r="E1408" s="112" t="s">
        <v>3594</v>
      </c>
      <c r="F1408" s="113" t="s">
        <v>3588</v>
      </c>
      <c r="G1408" s="114" t="s">
        <v>3278</v>
      </c>
      <c r="H1408" s="114" t="s">
        <v>3434</v>
      </c>
      <c r="I1408" s="173" t="s">
        <v>7</v>
      </c>
      <c r="J1408" s="112" t="s">
        <v>527</v>
      </c>
      <c r="K1408" s="115" t="s">
        <v>3595</v>
      </c>
      <c r="L1408" s="116" t="n">
        <v>45777</v>
      </c>
      <c r="M1408" s="114" t="n">
        <v>2494</v>
      </c>
      <c r="N1408" s="114" t="n">
        <v>2978</v>
      </c>
      <c r="O1408" s="114" t="n">
        <v>484</v>
      </c>
      <c r="P1408" s="114" t="n">
        <v>469</v>
      </c>
      <c r="Q1408" s="114" t="n">
        <f aca="false">ROUND(SUM(P1405:P1408),2)</f>
        <v>1064</v>
      </c>
      <c r="R1408" s="117" t="n">
        <f aca="false">合約與計費!$D$4</f>
        <v>0.296</v>
      </c>
      <c r="S1408" s="118" t="n">
        <f aca="false">ROUND(P1408*R1408,0)</f>
        <v>139</v>
      </c>
      <c r="T1408" s="119" t="n">
        <f aca="false">ROUND(SUM(S1405:S1408),2)</f>
        <v>314</v>
      </c>
      <c r="U1408" s="114"/>
      <c r="V1408" s="114"/>
      <c r="W1408" s="120"/>
      <c r="X1408" s="114"/>
      <c r="Y1408" s="114" t="n">
        <f aca="false">ROUND(SUM(X1405:X1408),2)</f>
        <v>28</v>
      </c>
      <c r="Z1408" s="121"/>
      <c r="AA1408" s="122"/>
      <c r="AB1408" s="123" t="n">
        <f aca="false">ROUND(SUM(AA1405:AA1408),2)</f>
        <v>78</v>
      </c>
      <c r="AC1408" s="124"/>
      <c r="AD1408" s="42"/>
      <c r="AE1408" s="43"/>
    </row>
    <row r="1409" customFormat="false" ht="16.5" hidden="false" customHeight="true" outlineLevel="0" collapsed="false">
      <c r="A1409" s="84" t="n">
        <f aca="false">ROW(A1406)</f>
        <v>1406</v>
      </c>
      <c r="B1409" s="84" t="s">
        <v>455</v>
      </c>
      <c r="C1409" s="32" t="n">
        <v>1</v>
      </c>
      <c r="D1409" s="85" t="n">
        <v>384</v>
      </c>
      <c r="E1409" s="86" t="s">
        <v>3596</v>
      </c>
      <c r="F1409" s="87" t="s">
        <v>3597</v>
      </c>
      <c r="G1409" s="32" t="s">
        <v>3278</v>
      </c>
      <c r="H1409" s="32" t="s">
        <v>3434</v>
      </c>
      <c r="I1409" s="172" t="s">
        <v>107</v>
      </c>
      <c r="J1409" s="86" t="s">
        <v>460</v>
      </c>
      <c r="K1409" s="88" t="s">
        <v>3598</v>
      </c>
      <c r="L1409" s="89" t="n">
        <v>45776</v>
      </c>
      <c r="M1409" s="32" t="n">
        <v>959</v>
      </c>
      <c r="N1409" s="32" t="n">
        <v>1106</v>
      </c>
      <c r="O1409" s="32" t="n">
        <v>147</v>
      </c>
      <c r="P1409" s="32" t="n">
        <v>143</v>
      </c>
      <c r="Q1409" s="32"/>
      <c r="R1409" s="90" t="n">
        <f aca="false">合約與計費!$D$4</f>
        <v>0.296</v>
      </c>
      <c r="S1409" s="91" t="n">
        <f aca="false">ROUND(P1409*R1409,0)</f>
        <v>42</v>
      </c>
      <c r="T1409" s="92"/>
      <c r="U1409" s="32" t="n">
        <v>87</v>
      </c>
      <c r="V1409" s="32" t="n">
        <v>131</v>
      </c>
      <c r="W1409" s="32" t="n">
        <v>44</v>
      </c>
      <c r="X1409" s="32" t="n">
        <v>43</v>
      </c>
      <c r="Y1409" s="32"/>
      <c r="Z1409" s="93" t="n">
        <f aca="false">合約與計費!$E$4</f>
        <v>2.8</v>
      </c>
      <c r="AA1409" s="94" t="n">
        <f aca="false">ROUND(X1409*Z1409,0)</f>
        <v>120</v>
      </c>
      <c r="AB1409" s="95"/>
      <c r="AC1409" s="96"/>
      <c r="AD1409" s="42"/>
      <c r="AE1409" s="43"/>
    </row>
    <row r="1410" customFormat="false" ht="16.5" hidden="false" customHeight="true" outlineLevel="0" collapsed="false">
      <c r="A1410" s="97" t="n">
        <f aca="false">ROW(A1407)</f>
        <v>1407</v>
      </c>
      <c r="B1410" s="97" t="s">
        <v>462</v>
      </c>
      <c r="C1410" s="100" t="n">
        <v>1</v>
      </c>
      <c r="D1410" s="85"/>
      <c r="E1410" s="98" t="s">
        <v>3599</v>
      </c>
      <c r="F1410" s="99" t="s">
        <v>3597</v>
      </c>
      <c r="G1410" s="100" t="s">
        <v>3278</v>
      </c>
      <c r="H1410" s="100" t="s">
        <v>3434</v>
      </c>
      <c r="I1410" s="175" t="s">
        <v>107</v>
      </c>
      <c r="J1410" s="98" t="s">
        <v>464</v>
      </c>
      <c r="K1410" s="101" t="s">
        <v>3600</v>
      </c>
      <c r="L1410" s="102" t="n">
        <v>45776</v>
      </c>
      <c r="M1410" s="100" t="n">
        <v>691</v>
      </c>
      <c r="N1410" s="100" t="n">
        <v>810</v>
      </c>
      <c r="O1410" s="100" t="n">
        <v>119</v>
      </c>
      <c r="P1410" s="100" t="n">
        <v>115</v>
      </c>
      <c r="Q1410" s="100"/>
      <c r="R1410" s="103" t="n">
        <f aca="false">合約與計費!$D$4</f>
        <v>0.296</v>
      </c>
      <c r="S1410" s="104" t="n">
        <f aca="false">ROUND(P1410*R1410,0)</f>
        <v>34</v>
      </c>
      <c r="T1410" s="105"/>
      <c r="U1410" s="100"/>
      <c r="V1410" s="100"/>
      <c r="W1410" s="106"/>
      <c r="X1410" s="100"/>
      <c r="Y1410" s="100"/>
      <c r="Z1410" s="107"/>
      <c r="AA1410" s="108"/>
      <c r="AB1410" s="109"/>
      <c r="AC1410" s="110"/>
      <c r="AD1410" s="42" t="n">
        <v>0.0568</v>
      </c>
      <c r="AE1410" s="43" t="n">
        <v>0.7</v>
      </c>
    </row>
    <row r="1411" customFormat="false" ht="16.5" hidden="false" customHeight="true" outlineLevel="0" collapsed="false">
      <c r="A1411" s="97" t="n">
        <f aca="false">ROW(A1408)</f>
        <v>1408</v>
      </c>
      <c r="B1411" s="97" t="s">
        <v>466</v>
      </c>
      <c r="C1411" s="100" t="n">
        <v>1</v>
      </c>
      <c r="D1411" s="85"/>
      <c r="E1411" s="98" t="s">
        <v>3601</v>
      </c>
      <c r="F1411" s="99" t="s">
        <v>3597</v>
      </c>
      <c r="G1411" s="100" t="s">
        <v>3278</v>
      </c>
      <c r="H1411" s="100" t="s">
        <v>3434</v>
      </c>
      <c r="I1411" s="175" t="s">
        <v>107</v>
      </c>
      <c r="J1411" s="98" t="s">
        <v>527</v>
      </c>
      <c r="K1411" s="101" t="s">
        <v>3602</v>
      </c>
      <c r="L1411" s="102" t="n">
        <v>45776</v>
      </c>
      <c r="M1411" s="100" t="n">
        <v>2968</v>
      </c>
      <c r="N1411" s="100" t="n">
        <v>3596</v>
      </c>
      <c r="O1411" s="100" t="n">
        <v>628</v>
      </c>
      <c r="P1411" s="100" t="n">
        <v>609</v>
      </c>
      <c r="Q1411" s="100"/>
      <c r="R1411" s="103" t="n">
        <f aca="false">合約與計費!$D$4</f>
        <v>0.296</v>
      </c>
      <c r="S1411" s="104" t="n">
        <f aca="false">ROUND(P1411*R1411,0)</f>
        <v>180</v>
      </c>
      <c r="T1411" s="105"/>
      <c r="U1411" s="100"/>
      <c r="V1411" s="100"/>
      <c r="W1411" s="106"/>
      <c r="X1411" s="100"/>
      <c r="Y1411" s="100"/>
      <c r="Z1411" s="107"/>
      <c r="AA1411" s="108"/>
      <c r="AB1411" s="109"/>
      <c r="AC1411" s="110"/>
      <c r="AD1411" s="42"/>
      <c r="AE1411" s="43"/>
    </row>
    <row r="1412" customFormat="false" ht="16.5" hidden="false" customHeight="true" outlineLevel="0" collapsed="false">
      <c r="A1412" s="97" t="n">
        <f aca="false">ROW(A1409)</f>
        <v>1409</v>
      </c>
      <c r="B1412" s="97" t="s">
        <v>469</v>
      </c>
      <c r="C1412" s="100" t="n">
        <v>1</v>
      </c>
      <c r="D1412" s="85"/>
      <c r="E1412" s="98" t="s">
        <v>3603</v>
      </c>
      <c r="F1412" s="99" t="s">
        <v>3597</v>
      </c>
      <c r="G1412" s="100" t="s">
        <v>3278</v>
      </c>
      <c r="H1412" s="100" t="s">
        <v>3434</v>
      </c>
      <c r="I1412" s="175" t="s">
        <v>107</v>
      </c>
      <c r="J1412" s="98" t="s">
        <v>527</v>
      </c>
      <c r="K1412" s="101" t="s">
        <v>3604</v>
      </c>
      <c r="L1412" s="102" t="n">
        <v>45776</v>
      </c>
      <c r="M1412" s="100" t="n">
        <v>2817</v>
      </c>
      <c r="N1412" s="100" t="n">
        <v>3288</v>
      </c>
      <c r="O1412" s="100" t="n">
        <v>471</v>
      </c>
      <c r="P1412" s="100" t="n">
        <v>457</v>
      </c>
      <c r="Q1412" s="100"/>
      <c r="R1412" s="103" t="n">
        <f aca="false">合約與計費!$D$4</f>
        <v>0.296</v>
      </c>
      <c r="S1412" s="104" t="n">
        <f aca="false">ROUND(P1412*R1412,0)</f>
        <v>135</v>
      </c>
      <c r="T1412" s="105"/>
      <c r="U1412" s="100"/>
      <c r="V1412" s="100"/>
      <c r="W1412" s="106"/>
      <c r="X1412" s="100"/>
      <c r="Y1412" s="100"/>
      <c r="Z1412" s="107"/>
      <c r="AA1412" s="108"/>
      <c r="AB1412" s="109"/>
      <c r="AC1412" s="110"/>
      <c r="AD1412" s="42"/>
      <c r="AE1412" s="43"/>
    </row>
    <row r="1413" customFormat="false" ht="16.5" hidden="false" customHeight="true" outlineLevel="0" collapsed="false">
      <c r="A1413" s="111" t="n">
        <f aca="false">ROW(A1410)</f>
        <v>1410</v>
      </c>
      <c r="B1413" s="111" t="s">
        <v>473</v>
      </c>
      <c r="C1413" s="114" t="n">
        <v>1</v>
      </c>
      <c r="D1413" s="85"/>
      <c r="E1413" s="112" t="s">
        <v>3605</v>
      </c>
      <c r="F1413" s="113" t="s">
        <v>3597</v>
      </c>
      <c r="G1413" s="114" t="s">
        <v>3278</v>
      </c>
      <c r="H1413" s="114" t="s">
        <v>3434</v>
      </c>
      <c r="I1413" s="173" t="s">
        <v>107</v>
      </c>
      <c r="J1413" s="112" t="s">
        <v>527</v>
      </c>
      <c r="K1413" s="115" t="s">
        <v>3606</v>
      </c>
      <c r="L1413" s="116" t="n">
        <v>45776</v>
      </c>
      <c r="M1413" s="114" t="n">
        <v>2912</v>
      </c>
      <c r="N1413" s="114" t="n">
        <v>3254</v>
      </c>
      <c r="O1413" s="114" t="n">
        <v>342</v>
      </c>
      <c r="P1413" s="114" t="n">
        <v>332</v>
      </c>
      <c r="Q1413" s="114" t="n">
        <f aca="false">ROUND(SUM(P1409:P1413),2)</f>
        <v>1656</v>
      </c>
      <c r="R1413" s="117" t="n">
        <f aca="false">合約與計費!$D$4</f>
        <v>0.296</v>
      </c>
      <c r="S1413" s="118" t="n">
        <f aca="false">ROUND(P1413*R1413,0)</f>
        <v>98</v>
      </c>
      <c r="T1413" s="119" t="n">
        <f aca="false">ROUND(SUM(S1409:S1413),2)</f>
        <v>489</v>
      </c>
      <c r="U1413" s="114"/>
      <c r="V1413" s="114"/>
      <c r="W1413" s="120"/>
      <c r="X1413" s="114"/>
      <c r="Y1413" s="114" t="n">
        <f aca="false">ROUND(SUM(X1409:X1413),2)</f>
        <v>43</v>
      </c>
      <c r="Z1413" s="121"/>
      <c r="AA1413" s="122"/>
      <c r="AB1413" s="123" t="n">
        <f aca="false">ROUND(SUM(AA1409:AA1413),2)</f>
        <v>120</v>
      </c>
      <c r="AC1413" s="124"/>
      <c r="AD1413" s="42"/>
      <c r="AE1413" s="43"/>
    </row>
    <row r="1414" customFormat="false" ht="16.5" hidden="false" customHeight="true" outlineLevel="0" collapsed="false">
      <c r="A1414" s="84" t="n">
        <f aca="false">ROW(A1411)</f>
        <v>1411</v>
      </c>
      <c r="B1414" s="84" t="s">
        <v>455</v>
      </c>
      <c r="C1414" s="32" t="n">
        <v>1</v>
      </c>
      <c r="D1414" s="85" t="n">
        <v>392</v>
      </c>
      <c r="E1414" s="86" t="s">
        <v>3607</v>
      </c>
      <c r="F1414" s="87" t="s">
        <v>3608</v>
      </c>
      <c r="G1414" s="32" t="s">
        <v>3278</v>
      </c>
      <c r="H1414" s="32" t="s">
        <v>3434</v>
      </c>
      <c r="I1414" s="172" t="s">
        <v>141</v>
      </c>
      <c r="J1414" s="86" t="s">
        <v>464</v>
      </c>
      <c r="K1414" s="225" t="s">
        <v>3609</v>
      </c>
      <c r="L1414" s="89" t="n">
        <v>45782</v>
      </c>
      <c r="M1414" s="32" t="n">
        <v>685</v>
      </c>
      <c r="N1414" s="32" t="n">
        <v>785</v>
      </c>
      <c r="O1414" s="32" t="n">
        <v>100</v>
      </c>
      <c r="P1414" s="32" t="n">
        <v>97</v>
      </c>
      <c r="Q1414" s="32"/>
      <c r="R1414" s="90" t="n">
        <f aca="false">合約與計費!$D$4</f>
        <v>0.296</v>
      </c>
      <c r="S1414" s="91" t="n">
        <f aca="false">ROUND(P1414*R1414,0)</f>
        <v>29</v>
      </c>
      <c r="T1414" s="92"/>
      <c r="U1414" s="32"/>
      <c r="V1414" s="32"/>
      <c r="W1414" s="226"/>
      <c r="X1414" s="32"/>
      <c r="Y1414" s="32"/>
      <c r="Z1414" s="93"/>
      <c r="AA1414" s="94"/>
      <c r="AB1414" s="95"/>
      <c r="AC1414" s="96"/>
      <c r="AD1414" s="42" t="n">
        <v>0.0553</v>
      </c>
      <c r="AE1414" s="43" t="n">
        <v>0.7</v>
      </c>
    </row>
    <row r="1415" customFormat="false" ht="16.5" hidden="false" customHeight="true" outlineLevel="0" collapsed="false">
      <c r="A1415" s="97" t="n">
        <f aca="false">ROW(A1412)</f>
        <v>1412</v>
      </c>
      <c r="B1415" s="97" t="s">
        <v>462</v>
      </c>
      <c r="C1415" s="100" t="n">
        <v>1</v>
      </c>
      <c r="D1415" s="85"/>
      <c r="E1415" s="98" t="s">
        <v>3610</v>
      </c>
      <c r="F1415" s="99" t="s">
        <v>3608</v>
      </c>
      <c r="G1415" s="100" t="s">
        <v>3278</v>
      </c>
      <c r="H1415" s="100" t="s">
        <v>3434</v>
      </c>
      <c r="I1415" s="175" t="s">
        <v>141</v>
      </c>
      <c r="J1415" s="98" t="s">
        <v>527</v>
      </c>
      <c r="K1415" s="101" t="s">
        <v>3611</v>
      </c>
      <c r="L1415" s="102" t="n">
        <v>45782</v>
      </c>
      <c r="M1415" s="100" t="n">
        <v>2043</v>
      </c>
      <c r="N1415" s="100" t="n">
        <v>2598</v>
      </c>
      <c r="O1415" s="100" t="n">
        <v>555</v>
      </c>
      <c r="P1415" s="100" t="n">
        <v>538</v>
      </c>
      <c r="Q1415" s="100"/>
      <c r="R1415" s="103" t="n">
        <f aca="false">合約與計費!$D$4</f>
        <v>0.296</v>
      </c>
      <c r="S1415" s="104" t="n">
        <f aca="false">ROUND(P1415*R1415,0)</f>
        <v>159</v>
      </c>
      <c r="T1415" s="105"/>
      <c r="U1415" s="100"/>
      <c r="V1415" s="100"/>
      <c r="W1415" s="106"/>
      <c r="X1415" s="100"/>
      <c r="Y1415" s="100"/>
      <c r="Z1415" s="107"/>
      <c r="AA1415" s="108"/>
      <c r="AB1415" s="109"/>
      <c r="AC1415" s="110"/>
      <c r="AD1415" s="42"/>
      <c r="AE1415" s="43"/>
    </row>
    <row r="1416" customFormat="false" ht="16.5" hidden="false" customHeight="true" outlineLevel="0" collapsed="false">
      <c r="A1416" s="111" t="n">
        <f aca="false">ROW(A1413)</f>
        <v>1413</v>
      </c>
      <c r="B1416" s="111" t="s">
        <v>466</v>
      </c>
      <c r="C1416" s="114" t="n">
        <v>1</v>
      </c>
      <c r="D1416" s="85"/>
      <c r="E1416" s="112" t="s">
        <v>3612</v>
      </c>
      <c r="F1416" s="113" t="s">
        <v>3608</v>
      </c>
      <c r="G1416" s="114" t="s">
        <v>3278</v>
      </c>
      <c r="H1416" s="114" t="s">
        <v>3434</v>
      </c>
      <c r="I1416" s="173" t="s">
        <v>141</v>
      </c>
      <c r="J1416" s="112" t="s">
        <v>527</v>
      </c>
      <c r="K1416" s="115" t="s">
        <v>3613</v>
      </c>
      <c r="L1416" s="116" t="n">
        <v>45782</v>
      </c>
      <c r="M1416" s="114" t="n">
        <v>3946</v>
      </c>
      <c r="N1416" s="114" t="n">
        <v>4852</v>
      </c>
      <c r="O1416" s="114" t="n">
        <v>906</v>
      </c>
      <c r="P1416" s="114" t="n">
        <v>879</v>
      </c>
      <c r="Q1416" s="114" t="n">
        <f aca="false">ROUND(SUM(P1414:P1416),2)</f>
        <v>1514</v>
      </c>
      <c r="R1416" s="117" t="n">
        <f aca="false">合約與計費!$D$4</f>
        <v>0.296</v>
      </c>
      <c r="S1416" s="118" t="n">
        <f aca="false">ROUND(P1416*R1416,0)</f>
        <v>260</v>
      </c>
      <c r="T1416" s="119" t="n">
        <f aca="false">ROUND(SUM(S1414:S1416),2)</f>
        <v>448</v>
      </c>
      <c r="U1416" s="114"/>
      <c r="V1416" s="114"/>
      <c r="W1416" s="120"/>
      <c r="X1416" s="114"/>
      <c r="Y1416" s="114"/>
      <c r="Z1416" s="121"/>
      <c r="AA1416" s="122"/>
      <c r="AB1416" s="123"/>
      <c r="AC1416" s="124"/>
      <c r="AD1416" s="42"/>
      <c r="AE1416" s="43"/>
    </row>
    <row r="1417" customFormat="false" ht="16.5" hidden="false" customHeight="true" outlineLevel="0" collapsed="false">
      <c r="A1417" s="84" t="n">
        <f aca="false">ROW(A1414)</f>
        <v>1414</v>
      </c>
      <c r="B1417" s="84" t="s">
        <v>455</v>
      </c>
      <c r="C1417" s="32" t="n">
        <v>1</v>
      </c>
      <c r="D1417" s="85" t="n">
        <v>405</v>
      </c>
      <c r="E1417" s="86" t="s">
        <v>3614</v>
      </c>
      <c r="F1417" s="87" t="s">
        <v>3615</v>
      </c>
      <c r="G1417" s="32" t="s">
        <v>3278</v>
      </c>
      <c r="H1417" s="32" t="s">
        <v>3434</v>
      </c>
      <c r="I1417" s="172" t="s">
        <v>72</v>
      </c>
      <c r="J1417" s="86" t="s">
        <v>464</v>
      </c>
      <c r="K1417" s="225" t="s">
        <v>3616</v>
      </c>
      <c r="L1417" s="89" t="n">
        <v>45727</v>
      </c>
      <c r="M1417" s="32" t="n">
        <v>965</v>
      </c>
      <c r="N1417" s="32" t="n">
        <v>1017</v>
      </c>
      <c r="O1417" s="32" t="n">
        <v>52</v>
      </c>
      <c r="P1417" s="32" t="n">
        <v>50</v>
      </c>
      <c r="Q1417" s="32"/>
      <c r="R1417" s="90" t="n">
        <f aca="false">合約與計費!$D$4</f>
        <v>0.296</v>
      </c>
      <c r="S1417" s="91" t="n">
        <f aca="false">ROUND(P1417*R1417,0)</f>
        <v>15</v>
      </c>
      <c r="T1417" s="92"/>
      <c r="U1417" s="32"/>
      <c r="V1417" s="32"/>
      <c r="W1417" s="226"/>
      <c r="X1417" s="32"/>
      <c r="Y1417" s="32"/>
      <c r="Z1417" s="93"/>
      <c r="AA1417" s="94"/>
      <c r="AB1417" s="95"/>
      <c r="AC1417" s="96"/>
      <c r="AD1417" s="42" t="n">
        <v>0.0418</v>
      </c>
      <c r="AE1417" s="43" t="n">
        <v>0.6</v>
      </c>
    </row>
    <row r="1418" customFormat="false" ht="16.5" hidden="false" customHeight="true" outlineLevel="0" collapsed="false">
      <c r="A1418" s="97" t="n">
        <f aca="false">ROW(A1415)</f>
        <v>1415</v>
      </c>
      <c r="B1418" s="97" t="s">
        <v>462</v>
      </c>
      <c r="C1418" s="100" t="n">
        <v>1</v>
      </c>
      <c r="D1418" s="85"/>
      <c r="E1418" s="98" t="s">
        <v>3617</v>
      </c>
      <c r="F1418" s="99" t="s">
        <v>3615</v>
      </c>
      <c r="G1418" s="100" t="s">
        <v>3278</v>
      </c>
      <c r="H1418" s="100" t="s">
        <v>3434</v>
      </c>
      <c r="I1418" s="175" t="s">
        <v>72</v>
      </c>
      <c r="J1418" s="98" t="s">
        <v>527</v>
      </c>
      <c r="K1418" s="101" t="s">
        <v>3618</v>
      </c>
      <c r="L1418" s="102" t="n">
        <v>45727</v>
      </c>
      <c r="M1418" s="100" t="n">
        <v>3630</v>
      </c>
      <c r="N1418" s="100" t="n">
        <v>4139</v>
      </c>
      <c r="O1418" s="100" t="n">
        <v>509</v>
      </c>
      <c r="P1418" s="100" t="n">
        <v>494</v>
      </c>
      <c r="Q1418" s="100"/>
      <c r="R1418" s="103" t="n">
        <f aca="false">合約與計費!$D$4</f>
        <v>0.296</v>
      </c>
      <c r="S1418" s="104" t="n">
        <f aca="false">ROUND(P1418*R1418,0)</f>
        <v>146</v>
      </c>
      <c r="T1418" s="105"/>
      <c r="U1418" s="100"/>
      <c r="V1418" s="100"/>
      <c r="W1418" s="106"/>
      <c r="X1418" s="100"/>
      <c r="Y1418" s="100"/>
      <c r="Z1418" s="107"/>
      <c r="AA1418" s="108"/>
      <c r="AB1418" s="109"/>
      <c r="AC1418" s="110"/>
      <c r="AD1418" s="42"/>
      <c r="AE1418" s="43"/>
    </row>
    <row r="1419" customFormat="false" ht="16.5" hidden="false" customHeight="true" outlineLevel="0" collapsed="false">
      <c r="A1419" s="111" t="n">
        <f aca="false">ROW(A1416)</f>
        <v>1416</v>
      </c>
      <c r="B1419" s="111" t="s">
        <v>466</v>
      </c>
      <c r="C1419" s="114" t="n">
        <v>1</v>
      </c>
      <c r="D1419" s="85"/>
      <c r="E1419" s="112" t="s">
        <v>3619</v>
      </c>
      <c r="F1419" s="113" t="s">
        <v>3615</v>
      </c>
      <c r="G1419" s="114" t="s">
        <v>3278</v>
      </c>
      <c r="H1419" s="114" t="s">
        <v>3434</v>
      </c>
      <c r="I1419" s="173" t="s">
        <v>72</v>
      </c>
      <c r="J1419" s="112" t="s">
        <v>527</v>
      </c>
      <c r="K1419" s="115" t="s">
        <v>3620</v>
      </c>
      <c r="L1419" s="116" t="n">
        <v>45727</v>
      </c>
      <c r="M1419" s="114" t="n">
        <v>2359</v>
      </c>
      <c r="N1419" s="114" t="n">
        <v>2729</v>
      </c>
      <c r="O1419" s="114" t="n">
        <v>370</v>
      </c>
      <c r="P1419" s="114" t="n">
        <v>359</v>
      </c>
      <c r="Q1419" s="114" t="n">
        <f aca="false">ROUND(SUM(P1417:P1419),2)</f>
        <v>903</v>
      </c>
      <c r="R1419" s="117" t="n">
        <f aca="false">合約與計費!$D$4</f>
        <v>0.296</v>
      </c>
      <c r="S1419" s="118" t="n">
        <f aca="false">ROUND(P1419*R1419,0)</f>
        <v>106</v>
      </c>
      <c r="T1419" s="119" t="n">
        <f aca="false">ROUND(SUM(S1417:S1419),2)</f>
        <v>267</v>
      </c>
      <c r="U1419" s="114"/>
      <c r="V1419" s="114"/>
      <c r="W1419" s="120"/>
      <c r="X1419" s="114"/>
      <c r="Y1419" s="114"/>
      <c r="Z1419" s="121"/>
      <c r="AA1419" s="122"/>
      <c r="AB1419" s="123"/>
      <c r="AC1419" s="124"/>
      <c r="AD1419" s="42"/>
      <c r="AE1419" s="43"/>
    </row>
    <row r="1420" customFormat="false" ht="16.5" hidden="false" customHeight="true" outlineLevel="0" collapsed="false">
      <c r="A1420" s="84" t="n">
        <f aca="false">ROW(A1417)</f>
        <v>1417</v>
      </c>
      <c r="B1420" s="84" t="s">
        <v>455</v>
      </c>
      <c r="C1420" s="32" t="n">
        <v>1</v>
      </c>
      <c r="D1420" s="85" t="n">
        <v>407</v>
      </c>
      <c r="E1420" s="86" t="s">
        <v>3621</v>
      </c>
      <c r="F1420" s="87" t="s">
        <v>3622</v>
      </c>
      <c r="G1420" s="32" t="s">
        <v>3278</v>
      </c>
      <c r="H1420" s="32" t="s">
        <v>3434</v>
      </c>
      <c r="I1420" s="172" t="s">
        <v>26</v>
      </c>
      <c r="J1420" s="98" t="s">
        <v>460</v>
      </c>
      <c r="K1420" s="101" t="s">
        <v>3623</v>
      </c>
      <c r="L1420" s="102" t="n">
        <v>45812</v>
      </c>
      <c r="M1420" s="100" t="n">
        <v>168</v>
      </c>
      <c r="N1420" s="100" t="n">
        <v>218</v>
      </c>
      <c r="O1420" s="100" t="n">
        <v>50</v>
      </c>
      <c r="P1420" s="100" t="n">
        <v>49</v>
      </c>
      <c r="Q1420" s="100"/>
      <c r="R1420" s="103" t="n">
        <f aca="false">合約與計費!$D$4</f>
        <v>0.296</v>
      </c>
      <c r="S1420" s="104" t="n">
        <f aca="false">ROUND(P1420*R1420,0)</f>
        <v>15</v>
      </c>
      <c r="T1420" s="105"/>
      <c r="U1420" s="100" t="n">
        <v>205</v>
      </c>
      <c r="V1420" s="100" t="n">
        <v>267</v>
      </c>
      <c r="W1420" s="100" t="n">
        <v>62</v>
      </c>
      <c r="X1420" s="100" t="n">
        <v>60</v>
      </c>
      <c r="Y1420" s="100"/>
      <c r="Z1420" s="107" t="n">
        <f aca="false">合約與計費!$E$4</f>
        <v>2.8</v>
      </c>
      <c r="AA1420" s="108" t="n">
        <f aca="false">ROUND(X1420*Z1420,0)</f>
        <v>168</v>
      </c>
      <c r="AB1420" s="109"/>
      <c r="AC1420" s="110"/>
      <c r="AD1420" s="42"/>
      <c r="AE1420" s="43"/>
    </row>
    <row r="1421" customFormat="false" ht="16.5" hidden="false" customHeight="true" outlineLevel="0" collapsed="false">
      <c r="A1421" s="97" t="n">
        <f aca="false">ROW(A1418)</f>
        <v>1418</v>
      </c>
      <c r="B1421" s="97" t="s">
        <v>462</v>
      </c>
      <c r="C1421" s="100" t="n">
        <v>1</v>
      </c>
      <c r="D1421" s="85"/>
      <c r="E1421" s="98" t="s">
        <v>3624</v>
      </c>
      <c r="F1421" s="99" t="s">
        <v>3622</v>
      </c>
      <c r="G1421" s="100" t="s">
        <v>3278</v>
      </c>
      <c r="H1421" s="100" t="s">
        <v>3434</v>
      </c>
      <c r="I1421" s="175" t="s">
        <v>26</v>
      </c>
      <c r="J1421" s="98" t="s">
        <v>464</v>
      </c>
      <c r="K1421" s="101" t="s">
        <v>3625</v>
      </c>
      <c r="L1421" s="102" t="n">
        <v>45786</v>
      </c>
      <c r="M1421" s="100" t="n">
        <v>913</v>
      </c>
      <c r="N1421" s="100" t="n">
        <v>1115</v>
      </c>
      <c r="O1421" s="100" t="n">
        <v>202</v>
      </c>
      <c r="P1421" s="100" t="n">
        <v>196</v>
      </c>
      <c r="Q1421" s="100"/>
      <c r="R1421" s="103" t="n">
        <f aca="false">合約與計費!$D$4</f>
        <v>0.296</v>
      </c>
      <c r="S1421" s="104" t="n">
        <f aca="false">ROUND(P1421*R1421,0)</f>
        <v>58</v>
      </c>
      <c r="T1421" s="105"/>
      <c r="U1421" s="100"/>
      <c r="V1421" s="100"/>
      <c r="W1421" s="106"/>
      <c r="X1421" s="100"/>
      <c r="Y1421" s="100"/>
      <c r="Z1421" s="107"/>
      <c r="AA1421" s="108"/>
      <c r="AB1421" s="109"/>
      <c r="AC1421" s="110"/>
      <c r="AD1421" s="42" t="n">
        <v>0.0552</v>
      </c>
      <c r="AE1421" s="43" t="n">
        <v>0.6</v>
      </c>
    </row>
    <row r="1422" customFormat="false" ht="16.5" hidden="false" customHeight="true" outlineLevel="0" collapsed="false">
      <c r="A1422" s="97" t="n">
        <f aca="false">ROW(A1419)</f>
        <v>1419</v>
      </c>
      <c r="B1422" s="97" t="s">
        <v>466</v>
      </c>
      <c r="C1422" s="100" t="n">
        <v>1</v>
      </c>
      <c r="D1422" s="85"/>
      <c r="E1422" s="98" t="s">
        <v>3626</v>
      </c>
      <c r="F1422" s="99" t="s">
        <v>3622</v>
      </c>
      <c r="G1422" s="100" t="s">
        <v>3278</v>
      </c>
      <c r="H1422" s="100" t="s">
        <v>3434</v>
      </c>
      <c r="I1422" s="175" t="s">
        <v>26</v>
      </c>
      <c r="J1422" s="98" t="s">
        <v>527</v>
      </c>
      <c r="K1422" s="101" t="s">
        <v>3627</v>
      </c>
      <c r="L1422" s="102" t="n">
        <v>45786</v>
      </c>
      <c r="M1422" s="100" t="n">
        <v>2955</v>
      </c>
      <c r="N1422" s="100" t="n">
        <v>3476</v>
      </c>
      <c r="O1422" s="100" t="n">
        <v>521</v>
      </c>
      <c r="P1422" s="100" t="n">
        <v>505</v>
      </c>
      <c r="Q1422" s="100"/>
      <c r="R1422" s="103" t="n">
        <f aca="false">合約與計費!$D$4</f>
        <v>0.296</v>
      </c>
      <c r="S1422" s="104" t="n">
        <f aca="false">ROUND(P1422*R1422,0)</f>
        <v>149</v>
      </c>
      <c r="T1422" s="105"/>
      <c r="U1422" s="100"/>
      <c r="V1422" s="100"/>
      <c r="W1422" s="106"/>
      <c r="X1422" s="100"/>
      <c r="Y1422" s="100"/>
      <c r="Z1422" s="107"/>
      <c r="AA1422" s="108"/>
      <c r="AB1422" s="109"/>
      <c r="AC1422" s="110"/>
      <c r="AD1422" s="42"/>
      <c r="AE1422" s="43"/>
    </row>
    <row r="1423" customFormat="false" ht="16.5" hidden="false" customHeight="true" outlineLevel="0" collapsed="false">
      <c r="A1423" s="97" t="n">
        <f aca="false">ROW(A1420)</f>
        <v>1420</v>
      </c>
      <c r="B1423" s="97" t="s">
        <v>469</v>
      </c>
      <c r="C1423" s="100" t="n">
        <v>1</v>
      </c>
      <c r="D1423" s="85"/>
      <c r="E1423" s="98" t="s">
        <v>3628</v>
      </c>
      <c r="F1423" s="99" t="s">
        <v>3622</v>
      </c>
      <c r="G1423" s="100" t="s">
        <v>3278</v>
      </c>
      <c r="H1423" s="100" t="s">
        <v>3434</v>
      </c>
      <c r="I1423" s="175" t="s">
        <v>26</v>
      </c>
      <c r="J1423" s="98" t="s">
        <v>527</v>
      </c>
      <c r="K1423" s="101" t="s">
        <v>3629</v>
      </c>
      <c r="L1423" s="102" t="n">
        <v>45786</v>
      </c>
      <c r="M1423" s="100" t="n">
        <v>3475</v>
      </c>
      <c r="N1423" s="100" t="n">
        <v>4244</v>
      </c>
      <c r="O1423" s="100" t="n">
        <v>769</v>
      </c>
      <c r="P1423" s="100" t="n">
        <v>746</v>
      </c>
      <c r="Q1423" s="100"/>
      <c r="R1423" s="103" t="n">
        <f aca="false">合約與計費!$D$4</f>
        <v>0.296</v>
      </c>
      <c r="S1423" s="104" t="n">
        <f aca="false">ROUND(P1423*R1423,0)</f>
        <v>221</v>
      </c>
      <c r="T1423" s="105"/>
      <c r="U1423" s="100"/>
      <c r="V1423" s="100"/>
      <c r="W1423" s="106"/>
      <c r="X1423" s="100"/>
      <c r="Y1423" s="100"/>
      <c r="Z1423" s="107"/>
      <c r="AA1423" s="108"/>
      <c r="AB1423" s="109"/>
      <c r="AC1423" s="110"/>
      <c r="AD1423" s="42"/>
      <c r="AE1423" s="43"/>
    </row>
    <row r="1424" customFormat="false" ht="16.5" hidden="false" customHeight="true" outlineLevel="0" collapsed="false">
      <c r="A1424" s="111" t="n">
        <f aca="false">ROW(A1421)</f>
        <v>1421</v>
      </c>
      <c r="B1424" s="111" t="s">
        <v>473</v>
      </c>
      <c r="C1424" s="114" t="n">
        <v>1</v>
      </c>
      <c r="D1424" s="85"/>
      <c r="E1424" s="112" t="s">
        <v>3630</v>
      </c>
      <c r="F1424" s="113" t="s">
        <v>3622</v>
      </c>
      <c r="G1424" s="114" t="s">
        <v>3278</v>
      </c>
      <c r="H1424" s="114" t="s">
        <v>3434</v>
      </c>
      <c r="I1424" s="173" t="s">
        <v>26</v>
      </c>
      <c r="J1424" s="98" t="s">
        <v>527</v>
      </c>
      <c r="K1424" s="101" t="s">
        <v>3631</v>
      </c>
      <c r="L1424" s="102" t="n">
        <v>45786</v>
      </c>
      <c r="M1424" s="100" t="n">
        <v>2363</v>
      </c>
      <c r="N1424" s="100" t="n">
        <v>2769</v>
      </c>
      <c r="O1424" s="114" t="n">
        <v>406</v>
      </c>
      <c r="P1424" s="114" t="n">
        <v>394</v>
      </c>
      <c r="Q1424" s="114" t="n">
        <f aca="false">SUM(P1420:P1424)</f>
        <v>1890</v>
      </c>
      <c r="R1424" s="117" t="n">
        <f aca="false">合約與計費!$D$4</f>
        <v>0.296</v>
      </c>
      <c r="S1424" s="118" t="n">
        <f aca="false">ROUND(P1424*R1424,0)</f>
        <v>117</v>
      </c>
      <c r="T1424" s="119" t="n">
        <f aca="false">SUM(S1420:S1424)</f>
        <v>560</v>
      </c>
      <c r="U1424" s="100"/>
      <c r="V1424" s="100"/>
      <c r="W1424" s="106"/>
      <c r="X1424" s="100"/>
      <c r="Y1424" s="100" t="n">
        <f aca="false">ROUND(SUM(X1420:X1424),2)</f>
        <v>60</v>
      </c>
      <c r="Z1424" s="107"/>
      <c r="AA1424" s="108"/>
      <c r="AB1424" s="109" t="n">
        <f aca="false">ROUND(SUM(AA1420:AA1424),2)</f>
        <v>168</v>
      </c>
      <c r="AC1424" s="110"/>
      <c r="AD1424" s="42"/>
      <c r="AE1424" s="43"/>
    </row>
    <row r="1425" customFormat="false" ht="16.5" hidden="false" customHeight="true" outlineLevel="0" collapsed="false">
      <c r="A1425" s="85" t="n">
        <f aca="false">ROW(A1422)</f>
        <v>1422</v>
      </c>
      <c r="B1425" s="85" t="s">
        <v>455</v>
      </c>
      <c r="C1425" s="216" t="n">
        <v>1</v>
      </c>
      <c r="D1425" s="85" t="n">
        <v>416</v>
      </c>
      <c r="E1425" s="214" t="s">
        <v>3632</v>
      </c>
      <c r="F1425" s="215" t="s">
        <v>3633</v>
      </c>
      <c r="G1425" s="216" t="s">
        <v>3278</v>
      </c>
      <c r="H1425" s="216" t="s">
        <v>3434</v>
      </c>
      <c r="I1425" s="246" t="s">
        <v>132</v>
      </c>
      <c r="J1425" s="214" t="s">
        <v>464</v>
      </c>
      <c r="K1425" s="232" t="s">
        <v>3634</v>
      </c>
      <c r="L1425" s="218" t="n">
        <v>45782</v>
      </c>
      <c r="M1425" s="216" t="n">
        <v>537</v>
      </c>
      <c r="N1425" s="216" t="n">
        <v>616</v>
      </c>
      <c r="O1425" s="114" t="n">
        <v>79</v>
      </c>
      <c r="P1425" s="114" t="n">
        <v>77</v>
      </c>
      <c r="Q1425" s="114" t="n">
        <f aca="false">ROUND(SUM(P1425),2)</f>
        <v>77</v>
      </c>
      <c r="R1425" s="219" t="n">
        <f aca="false">合約與計費!$D$4</f>
        <v>0.296</v>
      </c>
      <c r="S1425" s="220" t="n">
        <f aca="false">ROUND(P1425*R1425,0)</f>
        <v>23</v>
      </c>
      <c r="T1425" s="119" t="n">
        <f aca="false">ROUND(SUM(S1425),2)</f>
        <v>23</v>
      </c>
      <c r="U1425" s="216"/>
      <c r="V1425" s="216"/>
      <c r="W1425" s="247"/>
      <c r="X1425" s="216"/>
      <c r="Y1425" s="216"/>
      <c r="Z1425" s="221"/>
      <c r="AA1425" s="94"/>
      <c r="AB1425" s="223"/>
      <c r="AC1425" s="224"/>
      <c r="AD1425" s="42" t="n">
        <v>0.0634</v>
      </c>
      <c r="AE1425" s="43" t="n">
        <v>0.8</v>
      </c>
    </row>
    <row r="1426" customFormat="false" ht="16.5" hidden="false" customHeight="true" outlineLevel="0" collapsed="false">
      <c r="A1426" s="84" t="n">
        <f aca="false">ROW(A1423)</f>
        <v>1423</v>
      </c>
      <c r="B1426" s="84" t="s">
        <v>455</v>
      </c>
      <c r="C1426" s="32" t="n">
        <v>1</v>
      </c>
      <c r="D1426" s="85" t="n">
        <v>417</v>
      </c>
      <c r="E1426" s="86" t="s">
        <v>3635</v>
      </c>
      <c r="F1426" s="87" t="s">
        <v>3636</v>
      </c>
      <c r="G1426" s="32" t="s">
        <v>3278</v>
      </c>
      <c r="H1426" s="32" t="s">
        <v>3434</v>
      </c>
      <c r="I1426" s="172" t="s">
        <v>319</v>
      </c>
      <c r="J1426" s="86" t="s">
        <v>460</v>
      </c>
      <c r="K1426" s="225" t="s">
        <v>3637</v>
      </c>
      <c r="L1426" s="89" t="n">
        <v>45812</v>
      </c>
      <c r="M1426" s="32" t="n">
        <v>58</v>
      </c>
      <c r="N1426" s="32" t="n">
        <v>61</v>
      </c>
      <c r="O1426" s="32" t="n">
        <v>3</v>
      </c>
      <c r="P1426" s="32" t="n">
        <v>3</v>
      </c>
      <c r="Q1426" s="32"/>
      <c r="R1426" s="90" t="n">
        <f aca="false">合約與計費!$D$4</f>
        <v>0.296</v>
      </c>
      <c r="S1426" s="91" t="n">
        <f aca="false">ROUND(P1426*R1426,0)</f>
        <v>1</v>
      </c>
      <c r="T1426" s="92"/>
      <c r="U1426" s="32" t="n">
        <v>70</v>
      </c>
      <c r="V1426" s="32" t="n">
        <v>126</v>
      </c>
      <c r="W1426" s="32" t="n">
        <v>56</v>
      </c>
      <c r="X1426" s="32" t="n">
        <v>54</v>
      </c>
      <c r="Y1426" s="32"/>
      <c r="Z1426" s="93" t="n">
        <f aca="false">合約與計費!$E$4</f>
        <v>2.8</v>
      </c>
      <c r="AA1426" s="94" t="n">
        <f aca="false">ROUND(X1426*Z1426,0)</f>
        <v>151</v>
      </c>
      <c r="AB1426" s="95"/>
      <c r="AC1426" s="96"/>
      <c r="AD1426" s="42"/>
      <c r="AE1426" s="43"/>
    </row>
    <row r="1427" customFormat="false" ht="16.5" hidden="false" customHeight="true" outlineLevel="0" collapsed="false">
      <c r="A1427" s="97" t="n">
        <f aca="false">ROW(A1424)</f>
        <v>1424</v>
      </c>
      <c r="B1427" s="97" t="s">
        <v>462</v>
      </c>
      <c r="C1427" s="100" t="n">
        <v>1</v>
      </c>
      <c r="D1427" s="85"/>
      <c r="E1427" s="98" t="s">
        <v>3638</v>
      </c>
      <c r="F1427" s="99" t="s">
        <v>3636</v>
      </c>
      <c r="G1427" s="100" t="s">
        <v>3278</v>
      </c>
      <c r="H1427" s="100" t="s">
        <v>3434</v>
      </c>
      <c r="I1427" s="175" t="s">
        <v>319</v>
      </c>
      <c r="J1427" s="98" t="s">
        <v>464</v>
      </c>
      <c r="K1427" s="101" t="s">
        <v>3639</v>
      </c>
      <c r="L1427" s="102" t="n">
        <v>45779</v>
      </c>
      <c r="M1427" s="100" t="n">
        <v>1306</v>
      </c>
      <c r="N1427" s="100" t="n">
        <v>1479</v>
      </c>
      <c r="O1427" s="100" t="n">
        <v>173</v>
      </c>
      <c r="P1427" s="100" t="n">
        <v>168</v>
      </c>
      <c r="Q1427" s="100"/>
      <c r="R1427" s="103" t="n">
        <f aca="false">合約與計費!$D$4</f>
        <v>0.296</v>
      </c>
      <c r="S1427" s="104" t="n">
        <f aca="false">ROUND(P1427*R1427,0)</f>
        <v>50</v>
      </c>
      <c r="T1427" s="105"/>
      <c r="U1427" s="100"/>
      <c r="V1427" s="100"/>
      <c r="W1427" s="106"/>
      <c r="X1427" s="100"/>
      <c r="Y1427" s="100"/>
      <c r="Z1427" s="107"/>
      <c r="AA1427" s="108"/>
      <c r="AB1427" s="109"/>
      <c r="AC1427" s="110"/>
      <c r="AD1427" s="42" t="n">
        <v>0.0674</v>
      </c>
      <c r="AE1427" s="43" t="n">
        <v>0.2</v>
      </c>
    </row>
    <row r="1428" customFormat="false" ht="16.5" hidden="false" customHeight="true" outlineLevel="0" collapsed="false">
      <c r="A1428" s="111" t="n">
        <f aca="false">ROW(A1425)</f>
        <v>1425</v>
      </c>
      <c r="B1428" s="111" t="s">
        <v>466</v>
      </c>
      <c r="C1428" s="114" t="n">
        <v>1</v>
      </c>
      <c r="D1428" s="85"/>
      <c r="E1428" s="112" t="s">
        <v>3640</v>
      </c>
      <c r="F1428" s="113" t="s">
        <v>3636</v>
      </c>
      <c r="G1428" s="114" t="s">
        <v>3278</v>
      </c>
      <c r="H1428" s="114" t="s">
        <v>3434</v>
      </c>
      <c r="I1428" s="173" t="s">
        <v>319</v>
      </c>
      <c r="J1428" s="112" t="s">
        <v>471</v>
      </c>
      <c r="K1428" s="115" t="s">
        <v>3641</v>
      </c>
      <c r="L1428" s="116" t="n">
        <v>45691</v>
      </c>
      <c r="M1428" s="114" t="n">
        <v>6822</v>
      </c>
      <c r="N1428" s="114" t="n">
        <v>7680</v>
      </c>
      <c r="O1428" s="114" t="n">
        <v>858</v>
      </c>
      <c r="P1428" s="114" t="n">
        <v>832</v>
      </c>
      <c r="Q1428" s="114" t="n">
        <f aca="false">ROUND(SUM(P1426:P1428),2)</f>
        <v>1003</v>
      </c>
      <c r="R1428" s="117" t="n">
        <f aca="false">合約與計費!$D$4</f>
        <v>0.296</v>
      </c>
      <c r="S1428" s="118" t="n">
        <f aca="false">ROUND(P1428*R1428,0)</f>
        <v>246</v>
      </c>
      <c r="T1428" s="119" t="n">
        <f aca="false">ROUND(SUM(S1426:S1428),2)</f>
        <v>297</v>
      </c>
      <c r="U1428" s="114"/>
      <c r="V1428" s="114"/>
      <c r="W1428" s="120"/>
      <c r="X1428" s="114"/>
      <c r="Y1428" s="114" t="n">
        <f aca="false">ROUND(SUM(X1426:X1428),2)</f>
        <v>54</v>
      </c>
      <c r="Z1428" s="121"/>
      <c r="AA1428" s="122"/>
      <c r="AB1428" s="123" t="n">
        <f aca="false">ROUND(SUM(AA1426:AA1428),2)</f>
        <v>151</v>
      </c>
      <c r="AC1428" s="124"/>
      <c r="AD1428" s="42" t="n">
        <v>0.1185</v>
      </c>
      <c r="AE1428" s="43" t="n">
        <v>0.1</v>
      </c>
    </row>
    <row r="1429" customFormat="false" ht="16.5" hidden="false" customHeight="true" outlineLevel="0" collapsed="false">
      <c r="A1429" s="85" t="n">
        <f aca="false">ROW(A1426)</f>
        <v>1426</v>
      </c>
      <c r="B1429" s="85" t="s">
        <v>455</v>
      </c>
      <c r="C1429" s="216" t="n">
        <v>1</v>
      </c>
      <c r="D1429" s="85" t="n">
        <v>418</v>
      </c>
      <c r="E1429" s="214" t="s">
        <v>3642</v>
      </c>
      <c r="F1429" s="215" t="s">
        <v>3643</v>
      </c>
      <c r="G1429" s="216" t="s">
        <v>3278</v>
      </c>
      <c r="H1429" s="216" t="s">
        <v>3434</v>
      </c>
      <c r="I1429" s="246" t="s">
        <v>24</v>
      </c>
      <c r="J1429" s="214" t="s">
        <v>464</v>
      </c>
      <c r="K1429" s="232" t="s">
        <v>3644</v>
      </c>
      <c r="L1429" s="218" t="n">
        <v>45782</v>
      </c>
      <c r="M1429" s="216" t="n">
        <v>517</v>
      </c>
      <c r="N1429" s="216" t="n">
        <v>606</v>
      </c>
      <c r="O1429" s="114" t="n">
        <v>89</v>
      </c>
      <c r="P1429" s="114" t="n">
        <v>86</v>
      </c>
      <c r="Q1429" s="114" t="n">
        <f aca="false">ROUND(SUM(P1429),2)</f>
        <v>86</v>
      </c>
      <c r="R1429" s="219" t="n">
        <f aca="false">合約與計費!$D$4</f>
        <v>0.296</v>
      </c>
      <c r="S1429" s="220" t="n">
        <f aca="false">ROUND(P1429*R1429,0)</f>
        <v>25</v>
      </c>
      <c r="T1429" s="119" t="n">
        <f aca="false">ROUND(SUM(S1429),2)</f>
        <v>25</v>
      </c>
      <c r="U1429" s="216"/>
      <c r="V1429" s="216"/>
      <c r="W1429" s="247"/>
      <c r="X1429" s="216"/>
      <c r="Y1429" s="216"/>
      <c r="Z1429" s="221"/>
      <c r="AA1429" s="94"/>
      <c r="AB1429" s="223"/>
      <c r="AC1429" s="224"/>
      <c r="AD1429" s="42" t="n">
        <v>0.0556</v>
      </c>
      <c r="AE1429" s="43" t="n">
        <v>0.8</v>
      </c>
    </row>
    <row r="1430" customFormat="false" ht="16.5" hidden="false" customHeight="true" outlineLevel="0" collapsed="false">
      <c r="A1430" s="84" t="n">
        <f aca="false">ROW(A1427)</f>
        <v>1427</v>
      </c>
      <c r="B1430" s="84" t="s">
        <v>455</v>
      </c>
      <c r="C1430" s="32" t="n">
        <v>1</v>
      </c>
      <c r="D1430" s="85" t="n">
        <v>145</v>
      </c>
      <c r="E1430" s="86" t="s">
        <v>3645</v>
      </c>
      <c r="F1430" s="87" t="s">
        <v>3646</v>
      </c>
      <c r="G1430" s="32" t="s">
        <v>3278</v>
      </c>
      <c r="H1430" s="32" t="s">
        <v>3647</v>
      </c>
      <c r="I1430" s="32" t="s">
        <v>370</v>
      </c>
      <c r="J1430" s="86" t="s">
        <v>460</v>
      </c>
      <c r="K1430" s="88" t="s">
        <v>3648</v>
      </c>
      <c r="L1430" s="89" t="n">
        <v>45761</v>
      </c>
      <c r="M1430" s="32" t="n">
        <v>57</v>
      </c>
      <c r="N1430" s="32" t="n">
        <v>76</v>
      </c>
      <c r="O1430" s="32" t="n">
        <v>19</v>
      </c>
      <c r="P1430" s="32" t="n">
        <v>18</v>
      </c>
      <c r="Q1430" s="32"/>
      <c r="R1430" s="90" t="n">
        <f aca="false">合約與計費!$D$4</f>
        <v>0.296</v>
      </c>
      <c r="S1430" s="91" t="n">
        <f aca="false">ROUND(P1430*R1430,0)</f>
        <v>5</v>
      </c>
      <c r="T1430" s="92"/>
      <c r="U1430" s="32" t="n">
        <v>190</v>
      </c>
      <c r="V1430" s="32" t="n">
        <v>270</v>
      </c>
      <c r="W1430" s="32" t="n">
        <v>80</v>
      </c>
      <c r="X1430" s="32" t="n">
        <v>78</v>
      </c>
      <c r="Y1430" s="32"/>
      <c r="Z1430" s="93" t="n">
        <f aca="false">合約與計費!$E$4</f>
        <v>2.8</v>
      </c>
      <c r="AA1430" s="94" t="n">
        <f aca="false">ROUND(X1430*Z1430,0)</f>
        <v>218</v>
      </c>
      <c r="AB1430" s="95"/>
      <c r="AC1430" s="96"/>
      <c r="AD1430" s="42"/>
      <c r="AE1430" s="43"/>
    </row>
    <row r="1431" customFormat="false" ht="16.5" hidden="false" customHeight="true" outlineLevel="0" collapsed="false">
      <c r="A1431" s="97" t="n">
        <f aca="false">ROW(A1428)</f>
        <v>1428</v>
      </c>
      <c r="B1431" s="97" t="s">
        <v>462</v>
      </c>
      <c r="C1431" s="100" t="n">
        <v>1</v>
      </c>
      <c r="D1431" s="85"/>
      <c r="E1431" s="98" t="s">
        <v>3649</v>
      </c>
      <c r="F1431" s="99" t="s">
        <v>3646</v>
      </c>
      <c r="G1431" s="100" t="s">
        <v>3278</v>
      </c>
      <c r="H1431" s="100" t="s">
        <v>3647</v>
      </c>
      <c r="I1431" s="100" t="s">
        <v>370</v>
      </c>
      <c r="J1431" s="98" t="s">
        <v>464</v>
      </c>
      <c r="K1431" s="101" t="s">
        <v>3650</v>
      </c>
      <c r="L1431" s="102" t="n">
        <v>45761</v>
      </c>
      <c r="M1431" s="100" t="n">
        <v>312</v>
      </c>
      <c r="N1431" s="100" t="n">
        <v>345</v>
      </c>
      <c r="O1431" s="100" t="n">
        <v>33</v>
      </c>
      <c r="P1431" s="100" t="n">
        <v>32</v>
      </c>
      <c r="Q1431" s="100"/>
      <c r="R1431" s="103" t="n">
        <f aca="false">合約與計費!$D$4</f>
        <v>0.296</v>
      </c>
      <c r="S1431" s="104" t="n">
        <f aca="false">ROUND(P1431*R1431,0)</f>
        <v>9</v>
      </c>
      <c r="T1431" s="105"/>
      <c r="U1431" s="100"/>
      <c r="V1431" s="100"/>
      <c r="W1431" s="106"/>
      <c r="X1431" s="100"/>
      <c r="Y1431" s="100"/>
      <c r="Z1431" s="107"/>
      <c r="AA1431" s="108"/>
      <c r="AB1431" s="109"/>
      <c r="AC1431" s="110"/>
      <c r="AD1431" s="42"/>
      <c r="AE1431" s="43"/>
    </row>
    <row r="1432" customFormat="false" ht="16.5" hidden="false" customHeight="true" outlineLevel="0" collapsed="false">
      <c r="A1432" s="97" t="n">
        <f aca="false">ROW(A1429)</f>
        <v>1429</v>
      </c>
      <c r="B1432" s="97" t="s">
        <v>466</v>
      </c>
      <c r="C1432" s="100" t="n">
        <v>1</v>
      </c>
      <c r="D1432" s="85"/>
      <c r="E1432" s="98" t="s">
        <v>3651</v>
      </c>
      <c r="F1432" s="99" t="s">
        <v>3646</v>
      </c>
      <c r="G1432" s="100" t="s">
        <v>3278</v>
      </c>
      <c r="H1432" s="100" t="s">
        <v>3647</v>
      </c>
      <c r="I1432" s="100" t="s">
        <v>370</v>
      </c>
      <c r="J1432" s="98" t="s">
        <v>527</v>
      </c>
      <c r="K1432" s="101" t="s">
        <v>3652</v>
      </c>
      <c r="L1432" s="102" t="n">
        <v>45761</v>
      </c>
      <c r="M1432" s="100" t="n">
        <v>1210</v>
      </c>
      <c r="N1432" s="100" t="n">
        <v>1449</v>
      </c>
      <c r="O1432" s="100" t="n">
        <v>239</v>
      </c>
      <c r="P1432" s="100" t="n">
        <v>232</v>
      </c>
      <c r="Q1432" s="100"/>
      <c r="R1432" s="103" t="n">
        <f aca="false">合約與計費!$D$4</f>
        <v>0.296</v>
      </c>
      <c r="S1432" s="104" t="n">
        <f aca="false">ROUND(P1432*R1432,0)</f>
        <v>69</v>
      </c>
      <c r="T1432" s="105"/>
      <c r="U1432" s="100"/>
      <c r="V1432" s="100"/>
      <c r="W1432" s="106"/>
      <c r="X1432" s="100"/>
      <c r="Y1432" s="100"/>
      <c r="Z1432" s="107"/>
      <c r="AA1432" s="108"/>
      <c r="AB1432" s="109"/>
      <c r="AC1432" s="110"/>
      <c r="AD1432" s="42"/>
      <c r="AE1432" s="43"/>
    </row>
    <row r="1433" customFormat="false" ht="16.5" hidden="false" customHeight="true" outlineLevel="0" collapsed="false">
      <c r="A1433" s="97" t="n">
        <f aca="false">ROW(A1430)</f>
        <v>1430</v>
      </c>
      <c r="B1433" s="97" t="s">
        <v>469</v>
      </c>
      <c r="C1433" s="100" t="n">
        <v>1</v>
      </c>
      <c r="D1433" s="85"/>
      <c r="E1433" s="98" t="s">
        <v>3653</v>
      </c>
      <c r="F1433" s="99" t="s">
        <v>3646</v>
      </c>
      <c r="G1433" s="100" t="s">
        <v>3278</v>
      </c>
      <c r="H1433" s="100" t="s">
        <v>3647</v>
      </c>
      <c r="I1433" s="100" t="s">
        <v>370</v>
      </c>
      <c r="J1433" s="98" t="s">
        <v>527</v>
      </c>
      <c r="K1433" s="101" t="s">
        <v>3654</v>
      </c>
      <c r="L1433" s="102" t="n">
        <v>45761</v>
      </c>
      <c r="M1433" s="100" t="n">
        <v>9308</v>
      </c>
      <c r="N1433" s="100" t="n">
        <v>11508</v>
      </c>
      <c r="O1433" s="100" t="n">
        <v>2200</v>
      </c>
      <c r="P1433" s="100" t="n">
        <v>2134</v>
      </c>
      <c r="Q1433" s="100"/>
      <c r="R1433" s="103" t="n">
        <f aca="false">合約與計費!$D$4</f>
        <v>0.296</v>
      </c>
      <c r="S1433" s="104" t="n">
        <f aca="false">ROUND(P1433*R1433,0)</f>
        <v>632</v>
      </c>
      <c r="T1433" s="105"/>
      <c r="U1433" s="100"/>
      <c r="V1433" s="100"/>
      <c r="W1433" s="106"/>
      <c r="X1433" s="100"/>
      <c r="Y1433" s="100"/>
      <c r="Z1433" s="107"/>
      <c r="AA1433" s="108"/>
      <c r="AB1433" s="109"/>
      <c r="AC1433" s="110"/>
      <c r="AD1433" s="42"/>
      <c r="AE1433" s="43"/>
    </row>
    <row r="1434" customFormat="false" ht="16.5" hidden="false" customHeight="true" outlineLevel="0" collapsed="false">
      <c r="A1434" s="97" t="n">
        <f aca="false">ROW(A1431)</f>
        <v>1431</v>
      </c>
      <c r="B1434" s="97" t="s">
        <v>473</v>
      </c>
      <c r="C1434" s="100" t="n">
        <v>1</v>
      </c>
      <c r="D1434" s="85"/>
      <c r="E1434" s="98" t="s">
        <v>3655</v>
      </c>
      <c r="F1434" s="99" t="s">
        <v>3646</v>
      </c>
      <c r="G1434" s="100" t="s">
        <v>3278</v>
      </c>
      <c r="H1434" s="100" t="s">
        <v>3647</v>
      </c>
      <c r="I1434" s="100" t="s">
        <v>370</v>
      </c>
      <c r="J1434" s="98" t="s">
        <v>527</v>
      </c>
      <c r="K1434" s="101" t="s">
        <v>3656</v>
      </c>
      <c r="L1434" s="102" t="n">
        <v>45761</v>
      </c>
      <c r="M1434" s="100" t="n">
        <v>2767</v>
      </c>
      <c r="N1434" s="100" t="n">
        <v>3218</v>
      </c>
      <c r="O1434" s="100" t="n">
        <v>451</v>
      </c>
      <c r="P1434" s="100" t="n">
        <v>437</v>
      </c>
      <c r="Q1434" s="100"/>
      <c r="R1434" s="103" t="n">
        <f aca="false">合約與計費!$D$4</f>
        <v>0.296</v>
      </c>
      <c r="S1434" s="104" t="n">
        <f aca="false">ROUND(P1434*R1434,0)</f>
        <v>129</v>
      </c>
      <c r="T1434" s="105"/>
      <c r="U1434" s="100"/>
      <c r="V1434" s="100"/>
      <c r="W1434" s="106"/>
      <c r="X1434" s="100"/>
      <c r="Y1434" s="100"/>
      <c r="Z1434" s="107"/>
      <c r="AA1434" s="108"/>
      <c r="AB1434" s="109"/>
      <c r="AC1434" s="110"/>
      <c r="AD1434" s="42"/>
      <c r="AE1434" s="43"/>
    </row>
    <row r="1435" customFormat="false" ht="16.5" hidden="false" customHeight="true" outlineLevel="0" collapsed="false">
      <c r="A1435" s="111" t="n">
        <f aca="false">ROW(A1432)</f>
        <v>1432</v>
      </c>
      <c r="B1435" s="111" t="s">
        <v>476</v>
      </c>
      <c r="C1435" s="114" t="n">
        <v>1</v>
      </c>
      <c r="D1435" s="85"/>
      <c r="E1435" s="98" t="s">
        <v>3657</v>
      </c>
      <c r="F1435" s="113" t="s">
        <v>3646</v>
      </c>
      <c r="G1435" s="114" t="s">
        <v>3278</v>
      </c>
      <c r="H1435" s="114" t="s">
        <v>3647</v>
      </c>
      <c r="I1435" s="114" t="s">
        <v>370</v>
      </c>
      <c r="J1435" s="98" t="s">
        <v>527</v>
      </c>
      <c r="K1435" s="101" t="s">
        <v>3658</v>
      </c>
      <c r="L1435" s="102" t="n">
        <v>45761</v>
      </c>
      <c r="M1435" s="100" t="n">
        <v>13191</v>
      </c>
      <c r="N1435" s="100" t="n">
        <v>15424</v>
      </c>
      <c r="O1435" s="114" t="n">
        <v>2233</v>
      </c>
      <c r="P1435" s="114" t="n">
        <v>2166</v>
      </c>
      <c r="Q1435" s="114" t="n">
        <f aca="false">ROUND(SUM(P1430:P1435),2)</f>
        <v>5019</v>
      </c>
      <c r="R1435" s="209" t="n">
        <f aca="false">合約與計費!$D$4</f>
        <v>0.296</v>
      </c>
      <c r="S1435" s="210" t="n">
        <f aca="false">ROUND(P1435*R1435,0)</f>
        <v>641</v>
      </c>
      <c r="T1435" s="119" t="n">
        <f aca="false">ROUND(SUM(S1430:S1435),2)</f>
        <v>1485</v>
      </c>
      <c r="U1435" s="100"/>
      <c r="V1435" s="100"/>
      <c r="W1435" s="106"/>
      <c r="X1435" s="100"/>
      <c r="Y1435" s="100" t="n">
        <f aca="false">ROUND(SUM(X1430:X1435),2)</f>
        <v>78</v>
      </c>
      <c r="Z1435" s="107"/>
      <c r="AA1435" s="108"/>
      <c r="AB1435" s="109" t="n">
        <f aca="false">ROUND(SUM(AA1430:AA1435),2)</f>
        <v>218</v>
      </c>
      <c r="AC1435" s="110"/>
      <c r="AD1435" s="42"/>
      <c r="AE1435" s="43"/>
    </row>
    <row r="1436" customFormat="false" ht="16.5" hidden="false" customHeight="true" outlineLevel="0" collapsed="false">
      <c r="A1436" s="248" t="n">
        <f aca="false">ROW(A1433)</f>
        <v>1433</v>
      </c>
      <c r="B1436" s="248" t="s">
        <v>455</v>
      </c>
      <c r="C1436" s="179" t="n">
        <v>1</v>
      </c>
      <c r="D1436" s="85" t="n">
        <v>220</v>
      </c>
      <c r="E1436" s="177" t="s">
        <v>3659</v>
      </c>
      <c r="F1436" s="178" t="s">
        <v>3660</v>
      </c>
      <c r="G1436" s="179" t="s">
        <v>3278</v>
      </c>
      <c r="H1436" s="179" t="s">
        <v>3647</v>
      </c>
      <c r="I1436" s="179" t="s">
        <v>162</v>
      </c>
      <c r="J1436" s="177" t="s">
        <v>460</v>
      </c>
      <c r="K1436" s="180" t="s">
        <v>3661</v>
      </c>
      <c r="L1436" s="181" t="n">
        <v>45755</v>
      </c>
      <c r="M1436" s="179" t="n">
        <v>253</v>
      </c>
      <c r="N1436" s="179" t="n">
        <v>264</v>
      </c>
      <c r="O1436" s="179" t="n">
        <v>11</v>
      </c>
      <c r="P1436" s="179" t="n">
        <v>11</v>
      </c>
      <c r="Q1436" s="179"/>
      <c r="R1436" s="182" t="n">
        <f aca="false">合約與計費!$D$4</f>
        <v>0.296</v>
      </c>
      <c r="S1436" s="183" t="n">
        <f aca="false">ROUND(P1436*R1436,0)</f>
        <v>3</v>
      </c>
      <c r="T1436" s="184"/>
      <c r="U1436" s="179" t="n">
        <v>647</v>
      </c>
      <c r="V1436" s="179" t="n">
        <v>764</v>
      </c>
      <c r="W1436" s="179" t="n">
        <v>117</v>
      </c>
      <c r="X1436" s="179" t="n">
        <v>113</v>
      </c>
      <c r="Y1436" s="179"/>
      <c r="Z1436" s="185" t="n">
        <f aca="false">合約與計費!$E$4</f>
        <v>2.8</v>
      </c>
      <c r="AA1436" s="186" t="n">
        <f aca="false">ROUND(X1436*Z1436,0)</f>
        <v>316</v>
      </c>
      <c r="AB1436" s="187"/>
      <c r="AC1436" s="188"/>
      <c r="AD1436" s="42"/>
      <c r="AE1436" s="43"/>
    </row>
    <row r="1437" customFormat="false" ht="16.5" hidden="false" customHeight="true" outlineLevel="0" collapsed="false">
      <c r="A1437" s="203" t="n">
        <f aca="false">ROW(A1434)</f>
        <v>1434</v>
      </c>
      <c r="B1437" s="203" t="s">
        <v>462</v>
      </c>
      <c r="C1437" s="206" t="n">
        <v>1</v>
      </c>
      <c r="D1437" s="85"/>
      <c r="E1437" s="204" t="s">
        <v>3662</v>
      </c>
      <c r="F1437" s="205" t="s">
        <v>3660</v>
      </c>
      <c r="G1437" s="206" t="s">
        <v>3278</v>
      </c>
      <c r="H1437" s="206" t="s">
        <v>3647</v>
      </c>
      <c r="I1437" s="206" t="s">
        <v>162</v>
      </c>
      <c r="J1437" s="204" t="s">
        <v>464</v>
      </c>
      <c r="K1437" s="207" t="s">
        <v>3663</v>
      </c>
      <c r="L1437" s="208" t="n">
        <v>45755</v>
      </c>
      <c r="M1437" s="206" t="n">
        <v>2298</v>
      </c>
      <c r="N1437" s="206" t="n">
        <v>2611</v>
      </c>
      <c r="O1437" s="114" t="n">
        <v>313</v>
      </c>
      <c r="P1437" s="114" t="n">
        <v>304</v>
      </c>
      <c r="Q1437" s="114" t="n">
        <f aca="false">ROUND(SUM(P1436:P1437),2)</f>
        <v>315</v>
      </c>
      <c r="R1437" s="209" t="n">
        <f aca="false">合約與計費!$D$4</f>
        <v>0.296</v>
      </c>
      <c r="S1437" s="210" t="n">
        <f aca="false">ROUND(P1437*R1437,0)</f>
        <v>90</v>
      </c>
      <c r="T1437" s="119" t="n">
        <f aca="false">ROUND(SUM(S1436:S1437),2)</f>
        <v>93</v>
      </c>
      <c r="U1437" s="206"/>
      <c r="V1437" s="206"/>
      <c r="W1437" s="211"/>
      <c r="X1437" s="206"/>
      <c r="Y1437" s="206" t="n">
        <f aca="false">ROUND(SUM(X1436:X1437),2)</f>
        <v>113</v>
      </c>
      <c r="Z1437" s="212"/>
      <c r="AA1437" s="249"/>
      <c r="AB1437" s="250" t="n">
        <f aca="false">ROUND(SUM(AA1436:AA1437),2)</f>
        <v>316</v>
      </c>
      <c r="AC1437" s="213"/>
      <c r="AD1437" s="42" t="n">
        <v>0.0605</v>
      </c>
      <c r="AE1437" s="43" t="n">
        <v>1</v>
      </c>
    </row>
    <row r="1438" customFormat="false" ht="16.5" hidden="false" customHeight="true" outlineLevel="0" collapsed="false">
      <c r="A1438" s="248" t="n">
        <f aca="false">ROW(A1435)</f>
        <v>1435</v>
      </c>
      <c r="B1438" s="248" t="s">
        <v>455</v>
      </c>
      <c r="C1438" s="179" t="n">
        <v>1</v>
      </c>
      <c r="D1438" s="85" t="n">
        <v>221</v>
      </c>
      <c r="E1438" s="177" t="s">
        <v>3664</v>
      </c>
      <c r="F1438" s="178" t="s">
        <v>3665</v>
      </c>
      <c r="G1438" s="179" t="s">
        <v>3278</v>
      </c>
      <c r="H1438" s="179" t="s">
        <v>3647</v>
      </c>
      <c r="I1438" s="179" t="s">
        <v>145</v>
      </c>
      <c r="J1438" s="177" t="s">
        <v>460</v>
      </c>
      <c r="K1438" s="180" t="s">
        <v>3666</v>
      </c>
      <c r="L1438" s="181" t="n">
        <v>45758</v>
      </c>
      <c r="M1438" s="179" t="n">
        <v>84</v>
      </c>
      <c r="N1438" s="179" t="n">
        <v>104</v>
      </c>
      <c r="O1438" s="179" t="n">
        <v>20</v>
      </c>
      <c r="P1438" s="179" t="n">
        <v>19</v>
      </c>
      <c r="Q1438" s="179"/>
      <c r="R1438" s="182" t="n">
        <f aca="false">合約與計費!$D$4</f>
        <v>0.296</v>
      </c>
      <c r="S1438" s="183" t="n">
        <f aca="false">ROUND(P1438*R1438,0)</f>
        <v>6</v>
      </c>
      <c r="T1438" s="184"/>
      <c r="U1438" s="179" t="n">
        <v>231</v>
      </c>
      <c r="V1438" s="179" t="n">
        <v>286</v>
      </c>
      <c r="W1438" s="179" t="n">
        <v>55</v>
      </c>
      <c r="X1438" s="179" t="n">
        <v>53</v>
      </c>
      <c r="Y1438" s="179"/>
      <c r="Z1438" s="185" t="n">
        <f aca="false">合約與計費!$E$4</f>
        <v>2.8</v>
      </c>
      <c r="AA1438" s="186" t="n">
        <f aca="false">ROUND(X1438*Z1438,0)</f>
        <v>148</v>
      </c>
      <c r="AB1438" s="187"/>
      <c r="AC1438" s="188"/>
      <c r="AD1438" s="42"/>
      <c r="AE1438" s="43"/>
    </row>
    <row r="1439" customFormat="false" ht="16.5" hidden="false" customHeight="true" outlineLevel="0" collapsed="false">
      <c r="A1439" s="203" t="n">
        <f aca="false">ROW(A1436)</f>
        <v>1436</v>
      </c>
      <c r="B1439" s="203" t="s">
        <v>462</v>
      </c>
      <c r="C1439" s="206" t="n">
        <v>1</v>
      </c>
      <c r="D1439" s="85"/>
      <c r="E1439" s="204" t="s">
        <v>3667</v>
      </c>
      <c r="F1439" s="205" t="s">
        <v>3665</v>
      </c>
      <c r="G1439" s="206" t="s">
        <v>3278</v>
      </c>
      <c r="H1439" s="206" t="s">
        <v>3647</v>
      </c>
      <c r="I1439" s="206" t="s">
        <v>145</v>
      </c>
      <c r="J1439" s="204" t="s">
        <v>464</v>
      </c>
      <c r="K1439" s="207" t="s">
        <v>3668</v>
      </c>
      <c r="L1439" s="208" t="n">
        <v>45758</v>
      </c>
      <c r="M1439" s="206" t="n">
        <v>562</v>
      </c>
      <c r="N1439" s="206" t="n">
        <v>619</v>
      </c>
      <c r="O1439" s="114" t="n">
        <v>57</v>
      </c>
      <c r="P1439" s="114" t="n">
        <v>55</v>
      </c>
      <c r="Q1439" s="114" t="n">
        <f aca="false">ROUND(SUM(P1438:P1439),2)</f>
        <v>74</v>
      </c>
      <c r="R1439" s="209" t="n">
        <f aca="false">合約與計費!$D$4</f>
        <v>0.296</v>
      </c>
      <c r="S1439" s="210" t="n">
        <f aca="false">ROUND(P1439*R1439,0)</f>
        <v>16</v>
      </c>
      <c r="T1439" s="119" t="n">
        <f aca="false">ROUND(SUM(S1438:S1439),2)</f>
        <v>22</v>
      </c>
      <c r="U1439" s="206"/>
      <c r="V1439" s="206"/>
      <c r="W1439" s="211"/>
      <c r="X1439" s="206"/>
      <c r="Y1439" s="206" t="n">
        <f aca="false">ROUND(SUM(X1438:X1439),2)</f>
        <v>53</v>
      </c>
      <c r="Z1439" s="212"/>
      <c r="AA1439" s="249"/>
      <c r="AB1439" s="250" t="n">
        <f aca="false">ROUND(SUM(AA1438:AA1439),2)</f>
        <v>148</v>
      </c>
      <c r="AC1439" s="213"/>
      <c r="AD1439" s="42" t="n">
        <v>0.0771</v>
      </c>
      <c r="AE1439" s="43" t="n">
        <v>0.7</v>
      </c>
    </row>
    <row r="1440" customFormat="false" ht="16.5" hidden="false" customHeight="true" outlineLevel="0" collapsed="false">
      <c r="A1440" s="248" t="n">
        <f aca="false">ROW(A1437)</f>
        <v>1437</v>
      </c>
      <c r="B1440" s="248" t="s">
        <v>455</v>
      </c>
      <c r="C1440" s="179" t="n">
        <v>1</v>
      </c>
      <c r="D1440" s="85" t="n">
        <v>222</v>
      </c>
      <c r="E1440" s="177" t="s">
        <v>3669</v>
      </c>
      <c r="F1440" s="178" t="s">
        <v>3670</v>
      </c>
      <c r="G1440" s="179" t="s">
        <v>3278</v>
      </c>
      <c r="H1440" s="179" t="s">
        <v>3647</v>
      </c>
      <c r="I1440" s="179" t="s">
        <v>173</v>
      </c>
      <c r="J1440" s="177" t="s">
        <v>460</v>
      </c>
      <c r="K1440" s="180" t="s">
        <v>3671</v>
      </c>
      <c r="L1440" s="181" t="n">
        <v>45726</v>
      </c>
      <c r="M1440" s="179" t="n">
        <v>825</v>
      </c>
      <c r="N1440" s="179" t="n">
        <v>931</v>
      </c>
      <c r="O1440" s="179" t="n">
        <v>106</v>
      </c>
      <c r="P1440" s="179" t="n">
        <v>103</v>
      </c>
      <c r="Q1440" s="179"/>
      <c r="R1440" s="182" t="n">
        <f aca="false">合約與計費!$D$4</f>
        <v>0.296</v>
      </c>
      <c r="S1440" s="183" t="n">
        <f aca="false">ROUND(P1440*R1440,0)</f>
        <v>30</v>
      </c>
      <c r="T1440" s="184"/>
      <c r="U1440" s="179" t="n">
        <v>780</v>
      </c>
      <c r="V1440" s="179" t="n">
        <v>946</v>
      </c>
      <c r="W1440" s="179" t="n">
        <v>166</v>
      </c>
      <c r="X1440" s="179" t="n">
        <v>161</v>
      </c>
      <c r="Y1440" s="179"/>
      <c r="Z1440" s="185" t="n">
        <f aca="false">合約與計費!$E$4</f>
        <v>2.8</v>
      </c>
      <c r="AA1440" s="186" t="n">
        <f aca="false">ROUND(X1440*Z1440,0)</f>
        <v>451</v>
      </c>
      <c r="AB1440" s="187"/>
      <c r="AC1440" s="188"/>
      <c r="AD1440" s="42"/>
      <c r="AE1440" s="43"/>
    </row>
    <row r="1441" customFormat="false" ht="16.5" hidden="false" customHeight="true" outlineLevel="0" collapsed="false">
      <c r="A1441" s="203" t="n">
        <f aca="false">ROW(A1438)</f>
        <v>1438</v>
      </c>
      <c r="B1441" s="203" t="s">
        <v>462</v>
      </c>
      <c r="C1441" s="206" t="n">
        <v>1</v>
      </c>
      <c r="D1441" s="85"/>
      <c r="E1441" s="204" t="s">
        <v>3672</v>
      </c>
      <c r="F1441" s="205" t="s">
        <v>3670</v>
      </c>
      <c r="G1441" s="206" t="s">
        <v>3278</v>
      </c>
      <c r="H1441" s="206" t="s">
        <v>3647</v>
      </c>
      <c r="I1441" s="206" t="s">
        <v>173</v>
      </c>
      <c r="J1441" s="204" t="s">
        <v>464</v>
      </c>
      <c r="K1441" s="207" t="s">
        <v>3673</v>
      </c>
      <c r="L1441" s="208" t="n">
        <v>45726</v>
      </c>
      <c r="M1441" s="206" t="n">
        <v>794</v>
      </c>
      <c r="N1441" s="206" t="n">
        <v>933</v>
      </c>
      <c r="O1441" s="114" t="n">
        <v>139</v>
      </c>
      <c r="P1441" s="114" t="n">
        <v>135</v>
      </c>
      <c r="Q1441" s="114" t="n">
        <f aca="false">ROUND(SUM(P1440:P1441),2)</f>
        <v>238</v>
      </c>
      <c r="R1441" s="209" t="n">
        <f aca="false">合約與計費!$D$4</f>
        <v>0.296</v>
      </c>
      <c r="S1441" s="210" t="n">
        <f aca="false">ROUND(P1441*R1441,0)</f>
        <v>40</v>
      </c>
      <c r="T1441" s="119" t="n">
        <f aca="false">ROUND(SUM(S1440:S1441),2)</f>
        <v>70</v>
      </c>
      <c r="U1441" s="206"/>
      <c r="V1441" s="206"/>
      <c r="W1441" s="211"/>
      <c r="X1441" s="206"/>
      <c r="Y1441" s="206" t="n">
        <f aca="false">ROUND(SUM(X1440:X1441),2)</f>
        <v>161</v>
      </c>
      <c r="Z1441" s="212"/>
      <c r="AA1441" s="249"/>
      <c r="AB1441" s="250" t="n">
        <f aca="false">ROUND(SUM(AA1440:AA1441),2)</f>
        <v>451</v>
      </c>
      <c r="AC1441" s="213"/>
      <c r="AD1441" s="42" t="n">
        <v>0.054</v>
      </c>
      <c r="AE1441" s="43" t="n">
        <v>0.8</v>
      </c>
    </row>
    <row r="1442" customFormat="false" ht="16.5" hidden="false" customHeight="true" outlineLevel="0" collapsed="false">
      <c r="A1442" s="84" t="n">
        <f aca="false">ROW(A1439)</f>
        <v>1439</v>
      </c>
      <c r="B1442" s="84" t="s">
        <v>455</v>
      </c>
      <c r="C1442" s="32" t="n">
        <v>1</v>
      </c>
      <c r="D1442" s="85" t="n">
        <v>226</v>
      </c>
      <c r="E1442" s="86" t="s">
        <v>3674</v>
      </c>
      <c r="F1442" s="87" t="s">
        <v>3675</v>
      </c>
      <c r="G1442" s="32" t="s">
        <v>3278</v>
      </c>
      <c r="H1442" s="32" t="s">
        <v>3647</v>
      </c>
      <c r="I1442" s="32" t="s">
        <v>143</v>
      </c>
      <c r="J1442" s="86" t="s">
        <v>460</v>
      </c>
      <c r="K1442" s="88" t="s">
        <v>3676</v>
      </c>
      <c r="L1442" s="89" t="n">
        <v>45727</v>
      </c>
      <c r="M1442" s="32" t="n">
        <v>710</v>
      </c>
      <c r="N1442" s="32" t="n">
        <v>853</v>
      </c>
      <c r="O1442" s="179" t="n">
        <v>143</v>
      </c>
      <c r="P1442" s="179" t="n">
        <v>139</v>
      </c>
      <c r="Q1442" s="179"/>
      <c r="R1442" s="90" t="n">
        <f aca="false">合約與計費!$D$4</f>
        <v>0.296</v>
      </c>
      <c r="S1442" s="91" t="n">
        <f aca="false">ROUND(P1442*R1442,0)</f>
        <v>41</v>
      </c>
      <c r="T1442" s="184"/>
      <c r="U1442" s="32" t="n">
        <v>444</v>
      </c>
      <c r="V1442" s="32" t="n">
        <v>547</v>
      </c>
      <c r="W1442" s="32" t="n">
        <v>103</v>
      </c>
      <c r="X1442" s="32" t="n">
        <v>100</v>
      </c>
      <c r="Y1442" s="179"/>
      <c r="Z1442" s="93" t="n">
        <f aca="false">合約與計費!$E$4</f>
        <v>2.8</v>
      </c>
      <c r="AA1442" s="186" t="n">
        <f aca="false">ROUND(X1442*Z1442,0)</f>
        <v>280</v>
      </c>
      <c r="AB1442" s="187"/>
      <c r="AC1442" s="96"/>
      <c r="AD1442" s="42"/>
      <c r="AE1442" s="43"/>
    </row>
    <row r="1443" customFormat="false" ht="16.5" hidden="false" customHeight="true" outlineLevel="0" collapsed="false">
      <c r="A1443" s="111" t="n">
        <f aca="false">ROW(A1440)</f>
        <v>1440</v>
      </c>
      <c r="B1443" s="111" t="s">
        <v>462</v>
      </c>
      <c r="C1443" s="114" t="n">
        <v>1</v>
      </c>
      <c r="D1443" s="85"/>
      <c r="E1443" s="112" t="s">
        <v>3677</v>
      </c>
      <c r="F1443" s="113" t="s">
        <v>3675</v>
      </c>
      <c r="G1443" s="114" t="s">
        <v>3278</v>
      </c>
      <c r="H1443" s="114" t="s">
        <v>3647</v>
      </c>
      <c r="I1443" s="114" t="s">
        <v>143</v>
      </c>
      <c r="J1443" s="112" t="s">
        <v>464</v>
      </c>
      <c r="K1443" s="115" t="s">
        <v>3678</v>
      </c>
      <c r="L1443" s="116" t="n">
        <v>45727</v>
      </c>
      <c r="M1443" s="114" t="n">
        <v>1817</v>
      </c>
      <c r="N1443" s="114" t="n">
        <v>2199</v>
      </c>
      <c r="O1443" s="114" t="n">
        <v>382</v>
      </c>
      <c r="P1443" s="114" t="n">
        <v>371</v>
      </c>
      <c r="Q1443" s="114" t="n">
        <f aca="false">ROUND(SUM(P1442:P1443),2)</f>
        <v>510</v>
      </c>
      <c r="R1443" s="117" t="n">
        <f aca="false">合約與計費!$D$4</f>
        <v>0.296</v>
      </c>
      <c r="S1443" s="118" t="n">
        <f aca="false">ROUND(P1443*R1443,0)</f>
        <v>110</v>
      </c>
      <c r="T1443" s="119" t="n">
        <f aca="false">ROUND(SUM(S1442:S1443),2)</f>
        <v>151</v>
      </c>
      <c r="U1443" s="114"/>
      <c r="V1443" s="114"/>
      <c r="W1443" s="120"/>
      <c r="X1443" s="114"/>
      <c r="Y1443" s="206" t="n">
        <f aca="false">ROUND(SUM(X1442:X1443),2)</f>
        <v>100</v>
      </c>
      <c r="Z1443" s="121"/>
      <c r="AA1443" s="249"/>
      <c r="AB1443" s="250" t="n">
        <f aca="false">ROUND(SUM(AA1442:AA1443),2)</f>
        <v>280</v>
      </c>
      <c r="AC1443" s="124"/>
      <c r="AD1443" s="42" t="n">
        <v>0.0618</v>
      </c>
      <c r="AE1443" s="43" t="n">
        <v>1</v>
      </c>
    </row>
    <row r="1444" customFormat="false" ht="16.5" hidden="false" customHeight="true" outlineLevel="0" collapsed="false">
      <c r="A1444" s="84" t="n">
        <f aca="false">ROW(A1441)</f>
        <v>1441</v>
      </c>
      <c r="B1444" s="84" t="s">
        <v>455</v>
      </c>
      <c r="C1444" s="32" t="n">
        <v>1</v>
      </c>
      <c r="D1444" s="85" t="n">
        <v>270</v>
      </c>
      <c r="E1444" s="86" t="s">
        <v>3679</v>
      </c>
      <c r="F1444" s="87" t="s">
        <v>3680</v>
      </c>
      <c r="G1444" s="32" t="s">
        <v>3278</v>
      </c>
      <c r="H1444" s="32" t="s">
        <v>3647</v>
      </c>
      <c r="I1444" s="32" t="s">
        <v>94</v>
      </c>
      <c r="J1444" s="86" t="s">
        <v>460</v>
      </c>
      <c r="K1444" s="88" t="s">
        <v>3681</v>
      </c>
      <c r="L1444" s="89" t="n">
        <v>45743</v>
      </c>
      <c r="M1444" s="32" t="n">
        <v>39</v>
      </c>
      <c r="N1444" s="32" t="n">
        <v>50</v>
      </c>
      <c r="O1444" s="32" t="n">
        <v>11</v>
      </c>
      <c r="P1444" s="32" t="n">
        <v>11</v>
      </c>
      <c r="Q1444" s="32"/>
      <c r="R1444" s="90" t="n">
        <f aca="false">合約與計費!$D$4</f>
        <v>0.296</v>
      </c>
      <c r="S1444" s="91" t="n">
        <f aca="false">ROUND(P1444*R1444,0)</f>
        <v>3</v>
      </c>
      <c r="T1444" s="92"/>
      <c r="U1444" s="32" t="n">
        <v>182</v>
      </c>
      <c r="V1444" s="32" t="n">
        <v>230</v>
      </c>
      <c r="W1444" s="32" t="n">
        <v>48</v>
      </c>
      <c r="X1444" s="32" t="n">
        <v>47</v>
      </c>
      <c r="Y1444" s="32"/>
      <c r="Z1444" s="93" t="n">
        <f aca="false">合約與計費!$E$4</f>
        <v>2.8</v>
      </c>
      <c r="AA1444" s="94" t="n">
        <f aca="false">ROUND(X1444*Z1444,0)</f>
        <v>132</v>
      </c>
      <c r="AB1444" s="95"/>
      <c r="AC1444" s="96"/>
      <c r="AD1444" s="42"/>
      <c r="AE1444" s="43"/>
    </row>
    <row r="1445" customFormat="false" ht="16.5" hidden="false" customHeight="true" outlineLevel="0" collapsed="false">
      <c r="A1445" s="111" t="n">
        <f aca="false">ROW(A1442)</f>
        <v>1442</v>
      </c>
      <c r="B1445" s="111" t="s">
        <v>462</v>
      </c>
      <c r="C1445" s="114" t="n">
        <v>1</v>
      </c>
      <c r="D1445" s="85"/>
      <c r="E1445" s="112" t="s">
        <v>3682</v>
      </c>
      <c r="F1445" s="113" t="s">
        <v>3680</v>
      </c>
      <c r="G1445" s="114" t="s">
        <v>3278</v>
      </c>
      <c r="H1445" s="114" t="s">
        <v>3647</v>
      </c>
      <c r="I1445" s="114" t="s">
        <v>94</v>
      </c>
      <c r="J1445" s="112" t="s">
        <v>464</v>
      </c>
      <c r="K1445" s="115" t="s">
        <v>3683</v>
      </c>
      <c r="L1445" s="116" t="n">
        <v>45743</v>
      </c>
      <c r="M1445" s="114" t="n">
        <v>664</v>
      </c>
      <c r="N1445" s="114" t="n">
        <v>791</v>
      </c>
      <c r="O1445" s="114" t="n">
        <v>127</v>
      </c>
      <c r="P1445" s="114" t="n">
        <v>123</v>
      </c>
      <c r="Q1445" s="114" t="n">
        <f aca="false">ROUND(SUM(P1444:P1445),2)</f>
        <v>134</v>
      </c>
      <c r="R1445" s="117" t="n">
        <f aca="false">合約與計費!$D$4</f>
        <v>0.296</v>
      </c>
      <c r="S1445" s="118" t="n">
        <f aca="false">ROUND(P1445*R1445,0)</f>
        <v>36</v>
      </c>
      <c r="T1445" s="119" t="n">
        <f aca="false">ROUND(SUM(S1444:S1445),2)</f>
        <v>39</v>
      </c>
      <c r="U1445" s="114"/>
      <c r="V1445" s="114"/>
      <c r="W1445" s="120"/>
      <c r="X1445" s="114"/>
      <c r="Y1445" s="114" t="n">
        <f aca="false">ROUND(SUM(X1444:X1445),2)</f>
        <v>47</v>
      </c>
      <c r="Z1445" s="121"/>
      <c r="AA1445" s="122"/>
      <c r="AB1445" s="123" t="n">
        <f aca="false">ROUND(SUM(AA1444:AA1445),2)</f>
        <v>132</v>
      </c>
      <c r="AC1445" s="124"/>
      <c r="AD1445" s="42" t="n">
        <v>0.0672</v>
      </c>
      <c r="AE1445" s="43" t="n">
        <v>0.6</v>
      </c>
    </row>
    <row r="1446" customFormat="false" ht="16.5" hidden="false" customHeight="true" outlineLevel="0" collapsed="false">
      <c r="A1446" s="84" t="n">
        <f aca="false">ROW(A1443)</f>
        <v>1443</v>
      </c>
      <c r="B1446" s="84" t="s">
        <v>455</v>
      </c>
      <c r="C1446" s="32" t="n">
        <v>1</v>
      </c>
      <c r="D1446" s="85" t="n">
        <v>273</v>
      </c>
      <c r="E1446" s="86" t="s">
        <v>3684</v>
      </c>
      <c r="F1446" s="87" t="s">
        <v>3685</v>
      </c>
      <c r="G1446" s="32" t="s">
        <v>3278</v>
      </c>
      <c r="H1446" s="32" t="s">
        <v>3647</v>
      </c>
      <c r="I1446" s="32" t="s">
        <v>38</v>
      </c>
      <c r="J1446" s="86" t="s">
        <v>460</v>
      </c>
      <c r="K1446" s="225" t="s">
        <v>3686</v>
      </c>
      <c r="L1446" s="89" t="n">
        <v>45757</v>
      </c>
      <c r="M1446" s="32" t="n">
        <v>872</v>
      </c>
      <c r="N1446" s="32" t="n">
        <v>1025</v>
      </c>
      <c r="O1446" s="32" t="n">
        <v>153</v>
      </c>
      <c r="P1446" s="32" t="n">
        <v>148</v>
      </c>
      <c r="Q1446" s="32"/>
      <c r="R1446" s="90" t="n">
        <f aca="false">合約與計費!$D$4</f>
        <v>0.296</v>
      </c>
      <c r="S1446" s="91" t="n">
        <f aca="false">ROUND(P1446*R1446,0)</f>
        <v>44</v>
      </c>
      <c r="T1446" s="92"/>
      <c r="U1446" s="32" t="n">
        <v>146</v>
      </c>
      <c r="V1446" s="32" t="n">
        <v>162</v>
      </c>
      <c r="W1446" s="32" t="n">
        <v>16</v>
      </c>
      <c r="X1446" s="32" t="n">
        <v>16</v>
      </c>
      <c r="Y1446" s="32"/>
      <c r="Z1446" s="93" t="n">
        <f aca="false">合約與計費!$E$4</f>
        <v>2.8</v>
      </c>
      <c r="AA1446" s="94" t="n">
        <f aca="false">ROUND(X1446*Z1446,0)</f>
        <v>45</v>
      </c>
      <c r="AB1446" s="95"/>
      <c r="AC1446" s="96"/>
      <c r="AD1446" s="42"/>
      <c r="AE1446" s="43"/>
    </row>
    <row r="1447" customFormat="false" ht="16.5" hidden="false" customHeight="true" outlineLevel="0" collapsed="false">
      <c r="A1447" s="111" t="n">
        <f aca="false">ROW(A1444)</f>
        <v>1444</v>
      </c>
      <c r="B1447" s="111" t="s">
        <v>462</v>
      </c>
      <c r="C1447" s="114" t="n">
        <v>1</v>
      </c>
      <c r="D1447" s="85"/>
      <c r="E1447" s="112" t="s">
        <v>3687</v>
      </c>
      <c r="F1447" s="113" t="s">
        <v>3685</v>
      </c>
      <c r="G1447" s="114" t="s">
        <v>3278</v>
      </c>
      <c r="H1447" s="114" t="s">
        <v>3647</v>
      </c>
      <c r="I1447" s="114" t="s">
        <v>38</v>
      </c>
      <c r="J1447" s="112" t="s">
        <v>464</v>
      </c>
      <c r="K1447" s="236" t="s">
        <v>3688</v>
      </c>
      <c r="L1447" s="116" t="n">
        <v>45757</v>
      </c>
      <c r="M1447" s="114" t="n">
        <v>559</v>
      </c>
      <c r="N1447" s="114" t="n">
        <v>660</v>
      </c>
      <c r="O1447" s="114" t="n">
        <v>101</v>
      </c>
      <c r="P1447" s="114" t="n">
        <v>98</v>
      </c>
      <c r="Q1447" s="114" t="n">
        <f aca="false">ROUND(SUM(P1446:P1447),2)</f>
        <v>246</v>
      </c>
      <c r="R1447" s="117" t="n">
        <f aca="false">合約與計費!$D$4</f>
        <v>0.296</v>
      </c>
      <c r="S1447" s="118" t="n">
        <f aca="false">ROUND(P1447*R1447,0)</f>
        <v>29</v>
      </c>
      <c r="T1447" s="119" t="n">
        <f aca="false">ROUND(SUM(S1446:S1447),2)</f>
        <v>73</v>
      </c>
      <c r="U1447" s="114"/>
      <c r="V1447" s="114"/>
      <c r="W1447" s="120"/>
      <c r="X1447" s="114"/>
      <c r="Y1447" s="114" t="n">
        <f aca="false">ROUND(SUM(X1446:X1447),2)</f>
        <v>16</v>
      </c>
      <c r="Z1447" s="121"/>
      <c r="AA1447" s="122"/>
      <c r="AB1447" s="123" t="n">
        <f aca="false">ROUND(SUM(AA1446:AA1447),2)</f>
        <v>45</v>
      </c>
      <c r="AC1447" s="124"/>
      <c r="AD1447" s="42" t="n">
        <v>0.056</v>
      </c>
      <c r="AE1447" s="43" t="n">
        <v>0.8</v>
      </c>
    </row>
    <row r="1448" customFormat="false" ht="16.5" hidden="false" customHeight="true" outlineLevel="0" collapsed="false">
      <c r="A1448" s="84" t="n">
        <f aca="false">ROW(A1445)</f>
        <v>1445</v>
      </c>
      <c r="B1448" s="84" t="s">
        <v>455</v>
      </c>
      <c r="C1448" s="32" t="n">
        <v>1</v>
      </c>
      <c r="D1448" s="85" t="n">
        <v>274</v>
      </c>
      <c r="E1448" s="86" t="s">
        <v>3689</v>
      </c>
      <c r="F1448" s="87" t="s">
        <v>3690</v>
      </c>
      <c r="G1448" s="32" t="s">
        <v>3278</v>
      </c>
      <c r="H1448" s="32" t="s">
        <v>3647</v>
      </c>
      <c r="I1448" s="32" t="s">
        <v>83</v>
      </c>
      <c r="J1448" s="86" t="s">
        <v>460</v>
      </c>
      <c r="K1448" s="225" t="s">
        <v>3691</v>
      </c>
      <c r="L1448" s="89" t="n">
        <v>45730</v>
      </c>
      <c r="M1448" s="32" t="n">
        <v>996</v>
      </c>
      <c r="N1448" s="32" t="n">
        <v>1155</v>
      </c>
      <c r="O1448" s="32" t="n">
        <v>159</v>
      </c>
      <c r="P1448" s="32" t="n">
        <v>154</v>
      </c>
      <c r="Q1448" s="32"/>
      <c r="R1448" s="90" t="n">
        <f aca="false">合約與計費!$D$4</f>
        <v>0.296</v>
      </c>
      <c r="S1448" s="91" t="n">
        <f aca="false">ROUND(P1448*R1448,0)</f>
        <v>46</v>
      </c>
      <c r="T1448" s="92"/>
      <c r="U1448" s="32" t="n">
        <v>157</v>
      </c>
      <c r="V1448" s="32" t="n">
        <v>177</v>
      </c>
      <c r="W1448" s="32" t="n">
        <v>20</v>
      </c>
      <c r="X1448" s="32" t="n">
        <v>19</v>
      </c>
      <c r="Y1448" s="32"/>
      <c r="Z1448" s="93" t="n">
        <f aca="false">合約與計費!$E$4</f>
        <v>2.8</v>
      </c>
      <c r="AA1448" s="94" t="n">
        <f aca="false">ROUND(X1448*Z1448,0)</f>
        <v>53</v>
      </c>
      <c r="AB1448" s="95"/>
      <c r="AC1448" s="96"/>
      <c r="AD1448" s="42"/>
      <c r="AE1448" s="43"/>
    </row>
    <row r="1449" customFormat="false" ht="16.5" hidden="false" customHeight="true" outlineLevel="0" collapsed="false">
      <c r="A1449" s="111" t="n">
        <f aca="false">ROW(A1446)</f>
        <v>1446</v>
      </c>
      <c r="B1449" s="111" t="s">
        <v>462</v>
      </c>
      <c r="C1449" s="114" t="n">
        <v>1</v>
      </c>
      <c r="D1449" s="85"/>
      <c r="E1449" s="112" t="s">
        <v>3692</v>
      </c>
      <c r="F1449" s="113" t="s">
        <v>3690</v>
      </c>
      <c r="G1449" s="114" t="s">
        <v>3278</v>
      </c>
      <c r="H1449" s="114" t="s">
        <v>3647</v>
      </c>
      <c r="I1449" s="114" t="s">
        <v>83</v>
      </c>
      <c r="J1449" s="112" t="s">
        <v>464</v>
      </c>
      <c r="K1449" s="236" t="s">
        <v>3693</v>
      </c>
      <c r="L1449" s="116" t="n">
        <v>45730</v>
      </c>
      <c r="M1449" s="114" t="n">
        <v>342</v>
      </c>
      <c r="N1449" s="114" t="n">
        <v>394</v>
      </c>
      <c r="O1449" s="114" t="n">
        <v>52</v>
      </c>
      <c r="P1449" s="114" t="n">
        <v>50</v>
      </c>
      <c r="Q1449" s="114" t="n">
        <f aca="false">ROUND(SUM(P1448:P1449),2)</f>
        <v>204</v>
      </c>
      <c r="R1449" s="117" t="n">
        <f aca="false">合約與計費!$D$4</f>
        <v>0.296</v>
      </c>
      <c r="S1449" s="118" t="n">
        <f aca="false">ROUND(P1449*R1449,0)</f>
        <v>15</v>
      </c>
      <c r="T1449" s="119" t="n">
        <f aca="false">ROUND(SUM(S1448:S1449),2)</f>
        <v>61</v>
      </c>
      <c r="U1449" s="114"/>
      <c r="V1449" s="114"/>
      <c r="W1449" s="120"/>
      <c r="X1449" s="114"/>
      <c r="Y1449" s="114" t="n">
        <f aca="false">ROUND(SUM(X1448:X1449),2)</f>
        <v>19</v>
      </c>
      <c r="Z1449" s="121"/>
      <c r="AA1449" s="122"/>
      <c r="AB1449" s="123" t="n">
        <f aca="false">ROUND(SUM(AA1448:AA1449),2)</f>
        <v>53</v>
      </c>
      <c r="AC1449" s="124"/>
      <c r="AD1449" s="42" t="n">
        <v>0.0361</v>
      </c>
      <c r="AE1449" s="43" t="n">
        <v>0.9</v>
      </c>
    </row>
    <row r="1450" customFormat="false" ht="16.5" hidden="false" customHeight="true" outlineLevel="0" collapsed="false">
      <c r="A1450" s="84" t="n">
        <f aca="false">ROW(A1447)</f>
        <v>1447</v>
      </c>
      <c r="B1450" s="84" t="s">
        <v>455</v>
      </c>
      <c r="C1450" s="32" t="n">
        <v>1</v>
      </c>
      <c r="D1450" s="85" t="n">
        <v>275</v>
      </c>
      <c r="E1450" s="86" t="s">
        <v>3694</v>
      </c>
      <c r="F1450" s="87" t="s">
        <v>3695</v>
      </c>
      <c r="G1450" s="32" t="s">
        <v>3278</v>
      </c>
      <c r="H1450" s="32" t="s">
        <v>3647</v>
      </c>
      <c r="I1450" s="172" t="s">
        <v>317</v>
      </c>
      <c r="J1450" s="86" t="s">
        <v>460</v>
      </c>
      <c r="K1450" s="88" t="s">
        <v>3696</v>
      </c>
      <c r="L1450" s="89" t="n">
        <v>45730</v>
      </c>
      <c r="M1450" s="32" t="n">
        <v>816</v>
      </c>
      <c r="N1450" s="32" t="n">
        <v>1005</v>
      </c>
      <c r="O1450" s="32" t="n">
        <v>189</v>
      </c>
      <c r="P1450" s="32" t="n">
        <v>183</v>
      </c>
      <c r="Q1450" s="32"/>
      <c r="R1450" s="90" t="n">
        <f aca="false">合約與計費!$D$4</f>
        <v>0.296</v>
      </c>
      <c r="S1450" s="91" t="n">
        <f aca="false">ROUND(P1450*R1450,0)</f>
        <v>54</v>
      </c>
      <c r="T1450" s="92"/>
      <c r="U1450" s="32" t="n">
        <v>80</v>
      </c>
      <c r="V1450" s="32" t="n">
        <v>136</v>
      </c>
      <c r="W1450" s="32" t="n">
        <v>56</v>
      </c>
      <c r="X1450" s="32" t="n">
        <v>54</v>
      </c>
      <c r="Y1450" s="32"/>
      <c r="Z1450" s="93" t="n">
        <f aca="false">合約與計費!$E$4</f>
        <v>2.8</v>
      </c>
      <c r="AA1450" s="94" t="n">
        <f aca="false">ROUND(X1450*Z1450,0)</f>
        <v>151</v>
      </c>
      <c r="AB1450" s="95"/>
      <c r="AC1450" s="96"/>
      <c r="AD1450" s="42"/>
      <c r="AE1450" s="43"/>
    </row>
    <row r="1451" customFormat="false" ht="16.5" hidden="false" customHeight="true" outlineLevel="0" collapsed="false">
      <c r="A1451" s="97" t="n">
        <f aca="false">ROW(A1448)</f>
        <v>1448</v>
      </c>
      <c r="B1451" s="97" t="s">
        <v>462</v>
      </c>
      <c r="C1451" s="100" t="n">
        <v>1</v>
      </c>
      <c r="D1451" s="85"/>
      <c r="E1451" s="98" t="s">
        <v>3697</v>
      </c>
      <c r="F1451" s="99" t="s">
        <v>3695</v>
      </c>
      <c r="G1451" s="100" t="s">
        <v>3278</v>
      </c>
      <c r="H1451" s="100" t="s">
        <v>3647</v>
      </c>
      <c r="I1451" s="175" t="s">
        <v>317</v>
      </c>
      <c r="J1451" s="98" t="s">
        <v>464</v>
      </c>
      <c r="K1451" s="101" t="s">
        <v>3698</v>
      </c>
      <c r="L1451" s="102" t="n">
        <v>45730</v>
      </c>
      <c r="M1451" s="100" t="n">
        <v>528</v>
      </c>
      <c r="N1451" s="100" t="n">
        <v>612</v>
      </c>
      <c r="O1451" s="100" t="n">
        <v>84</v>
      </c>
      <c r="P1451" s="100" t="n">
        <v>81</v>
      </c>
      <c r="Q1451" s="100"/>
      <c r="R1451" s="103" t="n">
        <f aca="false">合約與計費!$D$4</f>
        <v>0.296</v>
      </c>
      <c r="S1451" s="104" t="n">
        <f aca="false">ROUND(P1451*R1451,0)</f>
        <v>24</v>
      </c>
      <c r="T1451" s="105"/>
      <c r="U1451" s="100"/>
      <c r="V1451" s="100"/>
      <c r="W1451" s="106"/>
      <c r="X1451" s="100"/>
      <c r="Y1451" s="100"/>
      <c r="Z1451" s="107"/>
      <c r="AA1451" s="108"/>
      <c r="AB1451" s="109"/>
      <c r="AC1451" s="110"/>
      <c r="AD1451" s="42" t="n">
        <v>0.045</v>
      </c>
      <c r="AE1451" s="43" t="n">
        <v>0.8</v>
      </c>
    </row>
    <row r="1452" customFormat="false" ht="16.5" hidden="false" customHeight="true" outlineLevel="0" collapsed="false">
      <c r="A1452" s="111" t="n">
        <f aca="false">ROW(A1449)</f>
        <v>1449</v>
      </c>
      <c r="B1452" s="111" t="s">
        <v>466</v>
      </c>
      <c r="C1452" s="114" t="n">
        <v>1</v>
      </c>
      <c r="D1452" s="85"/>
      <c r="E1452" s="112" t="s">
        <v>3699</v>
      </c>
      <c r="F1452" s="113" t="s">
        <v>3695</v>
      </c>
      <c r="G1452" s="114" t="s">
        <v>3278</v>
      </c>
      <c r="H1452" s="114" t="s">
        <v>3647</v>
      </c>
      <c r="I1452" s="173" t="s">
        <v>317</v>
      </c>
      <c r="J1452" s="112" t="s">
        <v>527</v>
      </c>
      <c r="K1452" s="115" t="s">
        <v>3700</v>
      </c>
      <c r="L1452" s="116" t="n">
        <v>45730</v>
      </c>
      <c r="M1452" s="114" t="n">
        <v>776</v>
      </c>
      <c r="N1452" s="114" t="n">
        <v>1099</v>
      </c>
      <c r="O1452" s="114" t="n">
        <v>323</v>
      </c>
      <c r="P1452" s="114" t="n">
        <v>313</v>
      </c>
      <c r="Q1452" s="114" t="n">
        <f aca="false">ROUND(SUM(P1450:P1452),2)</f>
        <v>577</v>
      </c>
      <c r="R1452" s="117" t="n">
        <f aca="false">合約與計費!$D$4</f>
        <v>0.296</v>
      </c>
      <c r="S1452" s="118" t="n">
        <f aca="false">ROUND(P1452*R1452,0)</f>
        <v>93</v>
      </c>
      <c r="T1452" s="119" t="n">
        <f aca="false">ROUND(SUM(S1450:S1452),2)</f>
        <v>171</v>
      </c>
      <c r="U1452" s="114"/>
      <c r="V1452" s="114"/>
      <c r="W1452" s="120"/>
      <c r="X1452" s="114"/>
      <c r="Y1452" s="114" t="n">
        <f aca="false">ROUND(SUM(X1450:X1452),2)</f>
        <v>54</v>
      </c>
      <c r="Z1452" s="121"/>
      <c r="AA1452" s="122"/>
      <c r="AB1452" s="123" t="n">
        <f aca="false">ROUND(SUM(AA1450:AA1452),2)</f>
        <v>151</v>
      </c>
      <c r="AC1452" s="124"/>
      <c r="AD1452" s="42"/>
      <c r="AE1452" s="43"/>
    </row>
    <row r="1453" customFormat="false" ht="16.5" hidden="false" customHeight="true" outlineLevel="0" collapsed="false">
      <c r="A1453" s="84" t="n">
        <f aca="false">ROW(A1450)</f>
        <v>1450</v>
      </c>
      <c r="B1453" s="84" t="s">
        <v>455</v>
      </c>
      <c r="C1453" s="32" t="n">
        <v>1</v>
      </c>
      <c r="D1453" s="85" t="n">
        <v>276</v>
      </c>
      <c r="E1453" s="86" t="s">
        <v>3701</v>
      </c>
      <c r="F1453" s="87" t="s">
        <v>3702</v>
      </c>
      <c r="G1453" s="32" t="s">
        <v>3278</v>
      </c>
      <c r="H1453" s="32" t="s">
        <v>3647</v>
      </c>
      <c r="I1453" s="172" t="s">
        <v>369</v>
      </c>
      <c r="J1453" s="86" t="s">
        <v>460</v>
      </c>
      <c r="K1453" s="88" t="s">
        <v>3703</v>
      </c>
      <c r="L1453" s="89" t="n">
        <v>45764</v>
      </c>
      <c r="M1453" s="32" t="n">
        <v>1403</v>
      </c>
      <c r="N1453" s="32" t="n">
        <v>1657</v>
      </c>
      <c r="O1453" s="32" t="n">
        <v>254</v>
      </c>
      <c r="P1453" s="32" t="n">
        <v>246</v>
      </c>
      <c r="Q1453" s="32"/>
      <c r="R1453" s="90" t="n">
        <f aca="false">合約與計費!$D$4</f>
        <v>0.296</v>
      </c>
      <c r="S1453" s="91" t="n">
        <f aca="false">ROUND(P1453*R1453,0)</f>
        <v>73</v>
      </c>
      <c r="T1453" s="92"/>
      <c r="U1453" s="32" t="n">
        <v>939</v>
      </c>
      <c r="V1453" s="32" t="n">
        <v>1108</v>
      </c>
      <c r="W1453" s="32" t="n">
        <v>169</v>
      </c>
      <c r="X1453" s="32" t="n">
        <v>164</v>
      </c>
      <c r="Y1453" s="32"/>
      <c r="Z1453" s="93" t="n">
        <f aca="false">合約與計費!$E$4</f>
        <v>2.8</v>
      </c>
      <c r="AA1453" s="94" t="n">
        <f aca="false">ROUND(X1453*Z1453,0)</f>
        <v>459</v>
      </c>
      <c r="AB1453" s="95"/>
      <c r="AC1453" s="96"/>
      <c r="AD1453" s="42"/>
      <c r="AE1453" s="43"/>
    </row>
    <row r="1454" customFormat="false" ht="16.5" hidden="false" customHeight="true" outlineLevel="0" collapsed="false">
      <c r="A1454" s="111" t="n">
        <f aca="false">ROW(A1451)</f>
        <v>1451</v>
      </c>
      <c r="B1454" s="111" t="s">
        <v>462</v>
      </c>
      <c r="C1454" s="114" t="n">
        <v>1</v>
      </c>
      <c r="D1454" s="85"/>
      <c r="E1454" s="112" t="s">
        <v>3704</v>
      </c>
      <c r="F1454" s="113" t="s">
        <v>3702</v>
      </c>
      <c r="G1454" s="114" t="s">
        <v>3278</v>
      </c>
      <c r="H1454" s="114" t="s">
        <v>3647</v>
      </c>
      <c r="I1454" s="173" t="s">
        <v>369</v>
      </c>
      <c r="J1454" s="112" t="s">
        <v>464</v>
      </c>
      <c r="K1454" s="115" t="s">
        <v>3705</v>
      </c>
      <c r="L1454" s="116" t="n">
        <v>45764</v>
      </c>
      <c r="M1454" s="114" t="n">
        <v>1760</v>
      </c>
      <c r="N1454" s="114" t="n">
        <v>2121</v>
      </c>
      <c r="O1454" s="114" t="n">
        <v>361</v>
      </c>
      <c r="P1454" s="114" t="n">
        <v>350</v>
      </c>
      <c r="Q1454" s="114" t="n">
        <f aca="false">ROUND(SUM(P1453:P1454),2)</f>
        <v>596</v>
      </c>
      <c r="R1454" s="117" t="n">
        <f aca="false">合約與計費!$D$4</f>
        <v>0.296</v>
      </c>
      <c r="S1454" s="118" t="n">
        <f aca="false">ROUND(P1454*R1454,0)</f>
        <v>104</v>
      </c>
      <c r="T1454" s="119" t="n">
        <f aca="false">ROUND(SUM(S1453:S1454),2)</f>
        <v>177</v>
      </c>
      <c r="U1454" s="114"/>
      <c r="V1454" s="114"/>
      <c r="W1454" s="120"/>
      <c r="X1454" s="114"/>
      <c r="Y1454" s="114" t="n">
        <f aca="false">ROUND(SUM(X1453:X1454),2)</f>
        <v>164</v>
      </c>
      <c r="Z1454" s="121"/>
      <c r="AA1454" s="122"/>
      <c r="AB1454" s="123" t="n">
        <f aca="false">ROUND(SUM(AA1453:AA1454),2)</f>
        <v>459</v>
      </c>
      <c r="AC1454" s="124"/>
      <c r="AD1454" s="42" t="n">
        <v>0.0499</v>
      </c>
      <c r="AE1454" s="43" t="n">
        <v>0.2</v>
      </c>
    </row>
    <row r="1455" customFormat="false" ht="16.5" hidden="false" customHeight="true" outlineLevel="0" collapsed="false">
      <c r="A1455" s="85" t="n">
        <f aca="false">ROW(A1452)</f>
        <v>1452</v>
      </c>
      <c r="B1455" s="85" t="s">
        <v>455</v>
      </c>
      <c r="C1455" s="216" t="n">
        <v>1</v>
      </c>
      <c r="D1455" s="85" t="n">
        <v>310</v>
      </c>
      <c r="E1455" s="251" t="s">
        <v>3706</v>
      </c>
      <c r="F1455" s="215" t="s">
        <v>3707</v>
      </c>
      <c r="G1455" s="216" t="s">
        <v>3278</v>
      </c>
      <c r="H1455" s="216" t="s">
        <v>3647</v>
      </c>
      <c r="I1455" s="246" t="s">
        <v>371</v>
      </c>
      <c r="J1455" s="214" t="s">
        <v>460</v>
      </c>
      <c r="K1455" s="217" t="s">
        <v>3708</v>
      </c>
      <c r="L1455" s="218" t="n">
        <v>45755</v>
      </c>
      <c r="M1455" s="216" t="n">
        <v>8</v>
      </c>
      <c r="N1455" s="216" t="n">
        <v>10</v>
      </c>
      <c r="O1455" s="114" t="n">
        <v>2</v>
      </c>
      <c r="P1455" s="114" t="n">
        <v>2</v>
      </c>
      <c r="Q1455" s="114" t="n">
        <f aca="false">ROUND(SUM(P1455),2)</f>
        <v>2</v>
      </c>
      <c r="R1455" s="219" t="n">
        <f aca="false">合約與計費!$D$4</f>
        <v>0.296</v>
      </c>
      <c r="S1455" s="220" t="n">
        <f aca="false">ROUND(P1455*R1455,0)</f>
        <v>1</v>
      </c>
      <c r="T1455" s="119" t="n">
        <f aca="false">ROUND(SUM(S1455),2)</f>
        <v>1</v>
      </c>
      <c r="U1455" s="216" t="n">
        <v>0</v>
      </c>
      <c r="V1455" s="216" t="n">
        <v>0</v>
      </c>
      <c r="W1455" s="216" t="n">
        <v>0</v>
      </c>
      <c r="X1455" s="216" t="n">
        <v>0</v>
      </c>
      <c r="Y1455" s="216" t="n">
        <f aca="false">ROUND(SUM(X1455),2)</f>
        <v>0</v>
      </c>
      <c r="Z1455" s="221" t="n">
        <f aca="false">合約與計費!$E$4</f>
        <v>2.8</v>
      </c>
      <c r="AA1455" s="222" t="n">
        <f aca="false">ROUND(X1455*Z1455,0)</f>
        <v>0</v>
      </c>
      <c r="AB1455" s="223" t="n">
        <f aca="false">ROUND(SUM(AA1455),2)</f>
        <v>0</v>
      </c>
      <c r="AC1455" s="224"/>
      <c r="AD1455" s="42"/>
      <c r="AE1455" s="43"/>
    </row>
    <row r="1456" customFormat="false" ht="16.5" hidden="false" customHeight="true" outlineLevel="0" collapsed="false">
      <c r="A1456" s="84" t="n">
        <f aca="false">ROW(A1453)</f>
        <v>1453</v>
      </c>
      <c r="B1456" s="84" t="s">
        <v>455</v>
      </c>
      <c r="C1456" s="32" t="n">
        <v>1</v>
      </c>
      <c r="D1456" s="85" t="n">
        <v>338</v>
      </c>
      <c r="E1456" s="86" t="s">
        <v>3709</v>
      </c>
      <c r="F1456" s="87" t="s">
        <v>3710</v>
      </c>
      <c r="G1456" s="32" t="s">
        <v>3278</v>
      </c>
      <c r="H1456" s="32" t="s">
        <v>3647</v>
      </c>
      <c r="I1456" s="172" t="s">
        <v>359</v>
      </c>
      <c r="J1456" s="86" t="s">
        <v>460</v>
      </c>
      <c r="K1456" s="88" t="s">
        <v>3711</v>
      </c>
      <c r="L1456" s="89" t="n">
        <v>45757</v>
      </c>
      <c r="M1456" s="32" t="n">
        <v>491</v>
      </c>
      <c r="N1456" s="32" t="n">
        <v>579</v>
      </c>
      <c r="O1456" s="32" t="n">
        <v>88</v>
      </c>
      <c r="P1456" s="32" t="n">
        <v>85</v>
      </c>
      <c r="Q1456" s="32"/>
      <c r="R1456" s="90" t="n">
        <f aca="false">合約與計費!$D$4</f>
        <v>0.296</v>
      </c>
      <c r="S1456" s="91" t="n">
        <f aca="false">ROUND(P1456*R1456,0)</f>
        <v>25</v>
      </c>
      <c r="T1456" s="92"/>
      <c r="U1456" s="32" t="n">
        <v>62</v>
      </c>
      <c r="V1456" s="32" t="n">
        <v>71</v>
      </c>
      <c r="W1456" s="32" t="n">
        <v>9</v>
      </c>
      <c r="X1456" s="32" t="n">
        <v>9</v>
      </c>
      <c r="Y1456" s="32"/>
      <c r="Z1456" s="93" t="n">
        <f aca="false">合約與計費!$E$4</f>
        <v>2.8</v>
      </c>
      <c r="AA1456" s="94" t="n">
        <f aca="false">ROUND(X1456*Z1456,0)</f>
        <v>25</v>
      </c>
      <c r="AB1456" s="95"/>
      <c r="AC1456" s="96"/>
      <c r="AD1456" s="42"/>
      <c r="AE1456" s="43"/>
    </row>
    <row r="1457" customFormat="false" ht="16.5" hidden="false" customHeight="true" outlineLevel="0" collapsed="false">
      <c r="A1457" s="111" t="n">
        <f aca="false">ROW(A1454)</f>
        <v>1454</v>
      </c>
      <c r="B1457" s="111" t="s">
        <v>462</v>
      </c>
      <c r="C1457" s="114" t="n">
        <v>1</v>
      </c>
      <c r="D1457" s="85"/>
      <c r="E1457" s="112" t="s">
        <v>3712</v>
      </c>
      <c r="F1457" s="113" t="s">
        <v>3710</v>
      </c>
      <c r="G1457" s="114" t="s">
        <v>3278</v>
      </c>
      <c r="H1457" s="114" t="s">
        <v>3647</v>
      </c>
      <c r="I1457" s="173" t="s">
        <v>359</v>
      </c>
      <c r="J1457" s="112" t="s">
        <v>464</v>
      </c>
      <c r="K1457" s="115" t="s">
        <v>3713</v>
      </c>
      <c r="L1457" s="116" t="n">
        <v>45757</v>
      </c>
      <c r="M1457" s="114" t="n">
        <v>652</v>
      </c>
      <c r="N1457" s="114" t="n">
        <v>718</v>
      </c>
      <c r="O1457" s="114" t="n">
        <v>66</v>
      </c>
      <c r="P1457" s="114" t="n">
        <v>64</v>
      </c>
      <c r="Q1457" s="114" t="n">
        <f aca="false">ROUND(SUM(P1456:P1457),2)</f>
        <v>149</v>
      </c>
      <c r="R1457" s="117" t="n">
        <f aca="false">合約與計費!$D$4</f>
        <v>0.296</v>
      </c>
      <c r="S1457" s="118" t="n">
        <f aca="false">ROUND(P1457*R1457,0)</f>
        <v>19</v>
      </c>
      <c r="T1457" s="119" t="n">
        <f aca="false">ROUND(SUM(S1456:S1457),2)</f>
        <v>44</v>
      </c>
      <c r="U1457" s="114"/>
      <c r="V1457" s="114"/>
      <c r="W1457" s="120"/>
      <c r="X1457" s="114"/>
      <c r="Y1457" s="114" t="n">
        <f aca="false">ROUND(SUM(X1456:X1457),2)</f>
        <v>9</v>
      </c>
      <c r="Z1457" s="121"/>
      <c r="AA1457" s="122"/>
      <c r="AB1457" s="123" t="n">
        <f aca="false">ROUND(SUM(AA1456:AA1457),2)</f>
        <v>25</v>
      </c>
      <c r="AC1457" s="124"/>
      <c r="AD1457" s="42" t="n">
        <v>0.0577</v>
      </c>
      <c r="AE1457" s="43" t="n">
        <v>0.7</v>
      </c>
    </row>
    <row r="1458" customFormat="false" ht="16.5" hidden="false" customHeight="true" outlineLevel="0" collapsed="false">
      <c r="A1458" s="84" t="n">
        <f aca="false">ROW(A1455)</f>
        <v>1455</v>
      </c>
      <c r="B1458" s="84" t="s">
        <v>455</v>
      </c>
      <c r="C1458" s="32" t="n">
        <v>1</v>
      </c>
      <c r="D1458" s="85" t="n">
        <v>363</v>
      </c>
      <c r="E1458" s="86" t="s">
        <v>3714</v>
      </c>
      <c r="F1458" s="87" t="s">
        <v>3715</v>
      </c>
      <c r="G1458" s="32" t="s">
        <v>3278</v>
      </c>
      <c r="H1458" s="32" t="s">
        <v>3647</v>
      </c>
      <c r="I1458" s="172" t="s">
        <v>378</v>
      </c>
      <c r="J1458" s="86" t="s">
        <v>460</v>
      </c>
      <c r="K1458" s="225" t="s">
        <v>3716</v>
      </c>
      <c r="L1458" s="89" t="n">
        <v>45726</v>
      </c>
      <c r="M1458" s="32" t="n">
        <v>902</v>
      </c>
      <c r="N1458" s="32" t="n">
        <v>1037</v>
      </c>
      <c r="O1458" s="179" t="n">
        <v>135</v>
      </c>
      <c r="P1458" s="179" t="n">
        <v>131</v>
      </c>
      <c r="Q1458" s="179"/>
      <c r="R1458" s="90" t="n">
        <f aca="false">合約與計費!$D$4</f>
        <v>0.296</v>
      </c>
      <c r="S1458" s="91" t="n">
        <f aca="false">ROUND(P1458*R1458,0)</f>
        <v>39</v>
      </c>
      <c r="T1458" s="184"/>
      <c r="U1458" s="32" t="n">
        <v>240</v>
      </c>
      <c r="V1458" s="32" t="n">
        <v>292</v>
      </c>
      <c r="W1458" s="32" t="n">
        <v>52</v>
      </c>
      <c r="X1458" s="32" t="n">
        <v>50</v>
      </c>
      <c r="Y1458" s="179"/>
      <c r="Z1458" s="93" t="n">
        <f aca="false">合約與計費!$E$4</f>
        <v>2.8</v>
      </c>
      <c r="AA1458" s="186" t="n">
        <f aca="false">ROUND(X1458*Z1458,0)</f>
        <v>140</v>
      </c>
      <c r="AB1458" s="187"/>
      <c r="AC1458" s="96"/>
      <c r="AD1458" s="42"/>
      <c r="AE1458" s="43"/>
    </row>
    <row r="1459" customFormat="false" ht="16.5" hidden="false" customHeight="true" outlineLevel="0" collapsed="false">
      <c r="A1459" s="111" t="n">
        <f aca="false">ROW(A1456)</f>
        <v>1456</v>
      </c>
      <c r="B1459" s="111" t="s">
        <v>462</v>
      </c>
      <c r="C1459" s="114" t="n">
        <v>1</v>
      </c>
      <c r="D1459" s="85"/>
      <c r="E1459" s="112" t="s">
        <v>3717</v>
      </c>
      <c r="F1459" s="113" t="s">
        <v>3715</v>
      </c>
      <c r="G1459" s="114" t="s">
        <v>3278</v>
      </c>
      <c r="H1459" s="114" t="s">
        <v>3647</v>
      </c>
      <c r="I1459" s="173" t="s">
        <v>378</v>
      </c>
      <c r="J1459" s="112" t="s">
        <v>464</v>
      </c>
      <c r="K1459" s="236" t="s">
        <v>3718</v>
      </c>
      <c r="L1459" s="116" t="n">
        <v>45726</v>
      </c>
      <c r="M1459" s="114" t="n">
        <v>386</v>
      </c>
      <c r="N1459" s="114" t="n">
        <v>452</v>
      </c>
      <c r="O1459" s="114" t="n">
        <v>66</v>
      </c>
      <c r="P1459" s="114" t="n">
        <v>64</v>
      </c>
      <c r="Q1459" s="114" t="n">
        <f aca="false">ROUND(SUM(P1458:P1459),2)</f>
        <v>195</v>
      </c>
      <c r="R1459" s="117" t="n">
        <f aca="false">合約與計費!$D$4</f>
        <v>0.296</v>
      </c>
      <c r="S1459" s="118" t="n">
        <f aca="false">ROUND(P1459*R1459,0)</f>
        <v>19</v>
      </c>
      <c r="T1459" s="119" t="n">
        <f aca="false">ROUND(SUM(S1458:S1459),2)</f>
        <v>58</v>
      </c>
      <c r="U1459" s="114"/>
      <c r="V1459" s="114"/>
      <c r="W1459" s="120"/>
      <c r="X1459" s="114"/>
      <c r="Y1459" s="206" t="n">
        <f aca="false">ROUND(SUM(X1458:X1459),2)</f>
        <v>50</v>
      </c>
      <c r="Z1459" s="121"/>
      <c r="AA1459" s="249"/>
      <c r="AB1459" s="250" t="n">
        <f aca="false">ROUND(SUM(AA1458:AA1459),2)</f>
        <v>140</v>
      </c>
      <c r="AC1459" s="124"/>
      <c r="AD1459" s="42" t="n">
        <v>0.0437</v>
      </c>
      <c r="AE1459" s="43" t="n">
        <v>0.9</v>
      </c>
    </row>
    <row r="1460" customFormat="false" ht="16.5" hidden="false" customHeight="true" outlineLevel="0" collapsed="false">
      <c r="A1460" s="84" t="n">
        <f aca="false">ROW(A1457)</f>
        <v>1457</v>
      </c>
      <c r="B1460" s="84" t="s">
        <v>455</v>
      </c>
      <c r="C1460" s="32" t="n">
        <v>1</v>
      </c>
      <c r="D1460" s="85" t="n">
        <v>364</v>
      </c>
      <c r="E1460" s="86" t="s">
        <v>3719</v>
      </c>
      <c r="F1460" s="87" t="s">
        <v>3720</v>
      </c>
      <c r="G1460" s="32" t="s">
        <v>3278</v>
      </c>
      <c r="H1460" s="32" t="s">
        <v>3647</v>
      </c>
      <c r="I1460" s="172" t="s">
        <v>352</v>
      </c>
      <c r="J1460" s="86" t="s">
        <v>460</v>
      </c>
      <c r="K1460" s="225" t="s">
        <v>3721</v>
      </c>
      <c r="L1460" s="89" t="n">
        <v>45748</v>
      </c>
      <c r="M1460" s="32" t="n">
        <v>2087</v>
      </c>
      <c r="N1460" s="32" t="n">
        <v>2368</v>
      </c>
      <c r="O1460" s="179" t="n">
        <v>281</v>
      </c>
      <c r="P1460" s="179" t="n">
        <v>273</v>
      </c>
      <c r="Q1460" s="179"/>
      <c r="R1460" s="90" t="n">
        <f aca="false">合約與計費!$D$4</f>
        <v>0.296</v>
      </c>
      <c r="S1460" s="91" t="n">
        <f aca="false">ROUND(P1460*R1460,0)</f>
        <v>81</v>
      </c>
      <c r="T1460" s="184"/>
      <c r="U1460" s="32" t="n">
        <v>250</v>
      </c>
      <c r="V1460" s="32" t="n">
        <v>386</v>
      </c>
      <c r="W1460" s="32" t="n">
        <v>136</v>
      </c>
      <c r="X1460" s="32" t="n">
        <v>132</v>
      </c>
      <c r="Y1460" s="179"/>
      <c r="Z1460" s="93" t="n">
        <f aca="false">合約與計費!$E$4</f>
        <v>2.8</v>
      </c>
      <c r="AA1460" s="186" t="n">
        <f aca="false">ROUND(X1460*Z1460,0)</f>
        <v>370</v>
      </c>
      <c r="AB1460" s="187"/>
      <c r="AC1460" s="96"/>
      <c r="AD1460" s="42"/>
      <c r="AE1460" s="43"/>
    </row>
    <row r="1461" customFormat="false" ht="16.5" hidden="false" customHeight="true" outlineLevel="0" collapsed="false">
      <c r="A1461" s="111" t="n">
        <f aca="false">ROW(A1458)</f>
        <v>1458</v>
      </c>
      <c r="B1461" s="111" t="s">
        <v>462</v>
      </c>
      <c r="C1461" s="114" t="n">
        <v>1</v>
      </c>
      <c r="D1461" s="85"/>
      <c r="E1461" s="112" t="s">
        <v>3722</v>
      </c>
      <c r="F1461" s="113" t="s">
        <v>3720</v>
      </c>
      <c r="G1461" s="114" t="s">
        <v>3278</v>
      </c>
      <c r="H1461" s="114" t="s">
        <v>3647</v>
      </c>
      <c r="I1461" s="173" t="s">
        <v>352</v>
      </c>
      <c r="J1461" s="112" t="s">
        <v>464</v>
      </c>
      <c r="K1461" s="236" t="s">
        <v>3723</v>
      </c>
      <c r="L1461" s="116" t="n">
        <v>45748</v>
      </c>
      <c r="M1461" s="114" t="n">
        <v>213</v>
      </c>
      <c r="N1461" s="114" t="n">
        <v>250</v>
      </c>
      <c r="O1461" s="114" t="n">
        <v>37</v>
      </c>
      <c r="P1461" s="114" t="n">
        <v>36</v>
      </c>
      <c r="Q1461" s="114" t="n">
        <f aca="false">ROUND(SUM(P1460:P1461),2)</f>
        <v>309</v>
      </c>
      <c r="R1461" s="117" t="n">
        <f aca="false">合約與計費!$D$4</f>
        <v>0.296</v>
      </c>
      <c r="S1461" s="118" t="n">
        <f aca="false">ROUND(P1461*R1461,0)</f>
        <v>11</v>
      </c>
      <c r="T1461" s="119" t="n">
        <f aca="false">ROUND(SUM(S1460:S1461),2)</f>
        <v>92</v>
      </c>
      <c r="U1461" s="114"/>
      <c r="V1461" s="114"/>
      <c r="W1461" s="120"/>
      <c r="X1461" s="114"/>
      <c r="Y1461" s="206" t="n">
        <f aca="false">ROUND(SUM(X1460:X1461),2)</f>
        <v>132</v>
      </c>
      <c r="Z1461" s="121"/>
      <c r="AA1461" s="249"/>
      <c r="AB1461" s="250" t="n">
        <f aca="false">ROUND(SUM(AA1460:AA1461),2)</f>
        <v>370</v>
      </c>
      <c r="AC1461" s="124"/>
      <c r="AD1461" s="42" t="n">
        <v>0.0228</v>
      </c>
      <c r="AE1461" s="43" t="n">
        <v>0.9</v>
      </c>
    </row>
    <row r="1462" customFormat="false" ht="16.5" hidden="false" customHeight="true" outlineLevel="0" collapsed="false">
      <c r="A1462" s="84" t="n">
        <f aca="false">ROW(A1459)</f>
        <v>1459</v>
      </c>
      <c r="B1462" s="84" t="s">
        <v>455</v>
      </c>
      <c r="C1462" s="32" t="n">
        <v>1</v>
      </c>
      <c r="D1462" s="85" t="n">
        <v>426</v>
      </c>
      <c r="E1462" s="86" t="s">
        <v>3724</v>
      </c>
      <c r="F1462" s="87" t="s">
        <v>3725</v>
      </c>
      <c r="G1462" s="32" t="s">
        <v>3278</v>
      </c>
      <c r="H1462" s="32" t="s">
        <v>3647</v>
      </c>
      <c r="I1462" s="32" t="s">
        <v>398</v>
      </c>
      <c r="J1462" s="86" t="s">
        <v>460</v>
      </c>
      <c r="K1462" s="88" t="s">
        <v>3726</v>
      </c>
      <c r="L1462" s="89" t="n">
        <v>45754</v>
      </c>
      <c r="M1462" s="32" t="n">
        <v>71</v>
      </c>
      <c r="N1462" s="32" t="n">
        <v>95</v>
      </c>
      <c r="O1462" s="32" t="n">
        <v>24</v>
      </c>
      <c r="P1462" s="32" t="n">
        <v>23</v>
      </c>
      <c r="Q1462" s="32"/>
      <c r="R1462" s="90" t="n">
        <f aca="false">合約與計費!$D$4</f>
        <v>0.296</v>
      </c>
      <c r="S1462" s="91" t="n">
        <f aca="false">ROUND(P1462*R1462,0)</f>
        <v>7</v>
      </c>
      <c r="T1462" s="92"/>
      <c r="U1462" s="32" t="n">
        <v>440</v>
      </c>
      <c r="V1462" s="32" t="n">
        <v>509</v>
      </c>
      <c r="W1462" s="32" t="n">
        <v>69</v>
      </c>
      <c r="X1462" s="32" t="n">
        <v>67</v>
      </c>
      <c r="Y1462" s="32"/>
      <c r="Z1462" s="93" t="n">
        <f aca="false">合約與計費!$E$4</f>
        <v>2.8</v>
      </c>
      <c r="AA1462" s="94" t="n">
        <f aca="false">ROUND(X1462*Z1462,0)</f>
        <v>188</v>
      </c>
      <c r="AB1462" s="95"/>
      <c r="AC1462" s="96"/>
      <c r="AD1462" s="42"/>
      <c r="AE1462" s="43"/>
    </row>
    <row r="1463" customFormat="false" ht="16.5" hidden="false" customHeight="true" outlineLevel="0" collapsed="false">
      <c r="A1463" s="97" t="n">
        <f aca="false">ROW(A1460)</f>
        <v>1460</v>
      </c>
      <c r="B1463" s="97" t="s">
        <v>462</v>
      </c>
      <c r="C1463" s="100" t="n">
        <v>1</v>
      </c>
      <c r="D1463" s="85"/>
      <c r="E1463" s="98" t="s">
        <v>3727</v>
      </c>
      <c r="F1463" s="99" t="s">
        <v>3725</v>
      </c>
      <c r="G1463" s="100" t="s">
        <v>3278</v>
      </c>
      <c r="H1463" s="100" t="s">
        <v>3647</v>
      </c>
      <c r="I1463" s="100" t="s">
        <v>398</v>
      </c>
      <c r="J1463" s="98" t="s">
        <v>527</v>
      </c>
      <c r="K1463" s="101" t="s">
        <v>3728</v>
      </c>
      <c r="L1463" s="102" t="n">
        <v>45754</v>
      </c>
      <c r="M1463" s="100" t="n">
        <v>5891</v>
      </c>
      <c r="N1463" s="100" t="n">
        <v>7055</v>
      </c>
      <c r="O1463" s="100" t="n">
        <v>1164</v>
      </c>
      <c r="P1463" s="100" t="n">
        <v>1129</v>
      </c>
      <c r="Q1463" s="100"/>
      <c r="R1463" s="103" t="n">
        <f aca="false">合約與計費!$D$4</f>
        <v>0.296</v>
      </c>
      <c r="S1463" s="104" t="n">
        <f aca="false">ROUND(P1463*R1463,0)</f>
        <v>334</v>
      </c>
      <c r="T1463" s="105"/>
      <c r="U1463" s="100"/>
      <c r="V1463" s="100"/>
      <c r="W1463" s="106"/>
      <c r="X1463" s="100"/>
      <c r="Y1463" s="100"/>
      <c r="Z1463" s="107"/>
      <c r="AA1463" s="108"/>
      <c r="AB1463" s="109"/>
      <c r="AC1463" s="110"/>
      <c r="AD1463" s="42"/>
      <c r="AE1463" s="43"/>
    </row>
    <row r="1464" customFormat="false" ht="16.5" hidden="false" customHeight="true" outlineLevel="0" collapsed="false">
      <c r="A1464" s="97" t="n">
        <f aca="false">ROW(A1461)</f>
        <v>1461</v>
      </c>
      <c r="B1464" s="97" t="s">
        <v>466</v>
      </c>
      <c r="C1464" s="100" t="n">
        <v>1</v>
      </c>
      <c r="D1464" s="85"/>
      <c r="E1464" s="98" t="s">
        <v>3729</v>
      </c>
      <c r="F1464" s="99" t="s">
        <v>3725</v>
      </c>
      <c r="G1464" s="100" t="s">
        <v>3278</v>
      </c>
      <c r="H1464" s="100" t="s">
        <v>3647</v>
      </c>
      <c r="I1464" s="100" t="s">
        <v>398</v>
      </c>
      <c r="J1464" s="98" t="s">
        <v>527</v>
      </c>
      <c r="K1464" s="101" t="s">
        <v>3730</v>
      </c>
      <c r="L1464" s="102" t="n">
        <v>45754</v>
      </c>
      <c r="M1464" s="100" t="n">
        <v>7133</v>
      </c>
      <c r="N1464" s="100" t="n">
        <v>8921</v>
      </c>
      <c r="O1464" s="100" t="n">
        <v>1788</v>
      </c>
      <c r="P1464" s="100" t="n">
        <v>1734</v>
      </c>
      <c r="Q1464" s="100"/>
      <c r="R1464" s="103" t="n">
        <f aca="false">合約與計費!$D$4</f>
        <v>0.296</v>
      </c>
      <c r="S1464" s="104" t="n">
        <f aca="false">ROUND(P1464*R1464,0)</f>
        <v>513</v>
      </c>
      <c r="T1464" s="105"/>
      <c r="U1464" s="100"/>
      <c r="V1464" s="100"/>
      <c r="W1464" s="106"/>
      <c r="X1464" s="100"/>
      <c r="Y1464" s="100"/>
      <c r="Z1464" s="107"/>
      <c r="AA1464" s="108"/>
      <c r="AB1464" s="109"/>
      <c r="AC1464" s="110"/>
      <c r="AD1464" s="42"/>
      <c r="AE1464" s="43"/>
    </row>
    <row r="1465" customFormat="false" ht="16.5" hidden="false" customHeight="true" outlineLevel="0" collapsed="false">
      <c r="A1465" s="97" t="n">
        <f aca="false">ROW(A1462)</f>
        <v>1462</v>
      </c>
      <c r="B1465" s="97" t="s">
        <v>469</v>
      </c>
      <c r="C1465" s="100" t="n">
        <v>1</v>
      </c>
      <c r="D1465" s="85"/>
      <c r="E1465" s="98" t="s">
        <v>3731</v>
      </c>
      <c r="F1465" s="99" t="s">
        <v>3725</v>
      </c>
      <c r="G1465" s="100" t="s">
        <v>3278</v>
      </c>
      <c r="H1465" s="100" t="s">
        <v>3647</v>
      </c>
      <c r="I1465" s="100" t="s">
        <v>398</v>
      </c>
      <c r="J1465" s="98" t="s">
        <v>527</v>
      </c>
      <c r="K1465" s="101" t="s">
        <v>3732</v>
      </c>
      <c r="L1465" s="102" t="n">
        <v>45754</v>
      </c>
      <c r="M1465" s="100" t="n">
        <v>2297</v>
      </c>
      <c r="N1465" s="100" t="n">
        <v>2704</v>
      </c>
      <c r="O1465" s="100" t="n">
        <v>407</v>
      </c>
      <c r="P1465" s="100" t="n">
        <v>395</v>
      </c>
      <c r="Q1465" s="100"/>
      <c r="R1465" s="103" t="n">
        <f aca="false">合約與計費!$D$4</f>
        <v>0.296</v>
      </c>
      <c r="S1465" s="104" t="n">
        <f aca="false">ROUND(P1465*R1465,0)</f>
        <v>117</v>
      </c>
      <c r="T1465" s="105"/>
      <c r="U1465" s="100"/>
      <c r="V1465" s="100"/>
      <c r="W1465" s="106"/>
      <c r="X1465" s="100"/>
      <c r="Y1465" s="100"/>
      <c r="Z1465" s="107"/>
      <c r="AA1465" s="108"/>
      <c r="AB1465" s="109"/>
      <c r="AC1465" s="110"/>
      <c r="AD1465" s="42"/>
      <c r="AE1465" s="43"/>
    </row>
    <row r="1466" customFormat="false" ht="16.5" hidden="false" customHeight="true" outlineLevel="0" collapsed="false">
      <c r="A1466" s="97" t="n">
        <f aca="false">ROW(A1463)</f>
        <v>1463</v>
      </c>
      <c r="B1466" s="97" t="s">
        <v>473</v>
      </c>
      <c r="C1466" s="100" t="n">
        <v>1</v>
      </c>
      <c r="D1466" s="85"/>
      <c r="E1466" s="98" t="s">
        <v>3733</v>
      </c>
      <c r="F1466" s="99" t="s">
        <v>3725</v>
      </c>
      <c r="G1466" s="100" t="s">
        <v>3278</v>
      </c>
      <c r="H1466" s="100" t="s">
        <v>3647</v>
      </c>
      <c r="I1466" s="100" t="s">
        <v>398</v>
      </c>
      <c r="J1466" s="98" t="s">
        <v>527</v>
      </c>
      <c r="K1466" s="101" t="s">
        <v>3734</v>
      </c>
      <c r="L1466" s="102" t="n">
        <v>45754</v>
      </c>
      <c r="M1466" s="100" t="n">
        <v>7360</v>
      </c>
      <c r="N1466" s="100" t="n">
        <v>9050</v>
      </c>
      <c r="O1466" s="100" t="n">
        <v>1690</v>
      </c>
      <c r="P1466" s="100" t="n">
        <v>1639</v>
      </c>
      <c r="Q1466" s="100"/>
      <c r="R1466" s="103" t="n">
        <f aca="false">合約與計費!$D$4</f>
        <v>0.296</v>
      </c>
      <c r="S1466" s="104" t="n">
        <f aca="false">ROUND(P1466*R1466,0)</f>
        <v>485</v>
      </c>
      <c r="T1466" s="105"/>
      <c r="U1466" s="100"/>
      <c r="V1466" s="100"/>
      <c r="W1466" s="106"/>
      <c r="X1466" s="100"/>
      <c r="Y1466" s="100"/>
      <c r="Z1466" s="107"/>
      <c r="AA1466" s="108"/>
      <c r="AB1466" s="109"/>
      <c r="AC1466" s="110"/>
      <c r="AD1466" s="42"/>
      <c r="AE1466" s="43"/>
    </row>
    <row r="1467" customFormat="false" ht="16.5" hidden="false" customHeight="true" outlineLevel="0" collapsed="false">
      <c r="A1467" s="97" t="n">
        <f aca="false">ROW(A1464)</f>
        <v>1464</v>
      </c>
      <c r="B1467" s="97" t="s">
        <v>476</v>
      </c>
      <c r="C1467" s="100" t="n">
        <v>1</v>
      </c>
      <c r="D1467" s="85"/>
      <c r="E1467" s="98" t="s">
        <v>3735</v>
      </c>
      <c r="F1467" s="99" t="s">
        <v>3725</v>
      </c>
      <c r="G1467" s="100" t="s">
        <v>3278</v>
      </c>
      <c r="H1467" s="100" t="s">
        <v>3647</v>
      </c>
      <c r="I1467" s="100" t="s">
        <v>398</v>
      </c>
      <c r="J1467" s="98" t="s">
        <v>527</v>
      </c>
      <c r="K1467" s="101" t="s">
        <v>3736</v>
      </c>
      <c r="L1467" s="102" t="n">
        <v>45754</v>
      </c>
      <c r="M1467" s="100" t="n">
        <v>2722</v>
      </c>
      <c r="N1467" s="100" t="n">
        <v>3334</v>
      </c>
      <c r="O1467" s="100" t="n">
        <v>612</v>
      </c>
      <c r="P1467" s="100" t="n">
        <v>594</v>
      </c>
      <c r="Q1467" s="100"/>
      <c r="R1467" s="103" t="n">
        <f aca="false">合約與計費!$D$4</f>
        <v>0.296</v>
      </c>
      <c r="S1467" s="104" t="n">
        <f aca="false">ROUND(P1467*R1467,0)</f>
        <v>176</v>
      </c>
      <c r="T1467" s="105"/>
      <c r="U1467" s="100"/>
      <c r="V1467" s="100"/>
      <c r="W1467" s="106"/>
      <c r="X1467" s="100"/>
      <c r="Y1467" s="100"/>
      <c r="Z1467" s="107"/>
      <c r="AA1467" s="108"/>
      <c r="AB1467" s="109"/>
      <c r="AC1467" s="110"/>
      <c r="AD1467" s="42"/>
      <c r="AE1467" s="43"/>
    </row>
    <row r="1468" customFormat="false" ht="16.5" hidden="false" customHeight="true" outlineLevel="0" collapsed="false">
      <c r="A1468" s="111" t="n">
        <f aca="false">ROW(A1465)</f>
        <v>1465</v>
      </c>
      <c r="B1468" s="111" t="s">
        <v>479</v>
      </c>
      <c r="C1468" s="114" t="n">
        <v>1</v>
      </c>
      <c r="D1468" s="85"/>
      <c r="E1468" s="112" t="s">
        <v>3737</v>
      </c>
      <c r="F1468" s="113" t="s">
        <v>3725</v>
      </c>
      <c r="G1468" s="114" t="s">
        <v>3278</v>
      </c>
      <c r="H1468" s="114" t="s">
        <v>3647</v>
      </c>
      <c r="I1468" s="114" t="s">
        <v>398</v>
      </c>
      <c r="J1468" s="112" t="s">
        <v>527</v>
      </c>
      <c r="K1468" s="115" t="s">
        <v>3738</v>
      </c>
      <c r="L1468" s="116" t="n">
        <v>45754</v>
      </c>
      <c r="M1468" s="114" t="n">
        <v>4706</v>
      </c>
      <c r="N1468" s="114" t="n">
        <v>6081</v>
      </c>
      <c r="O1468" s="114" t="n">
        <v>1375</v>
      </c>
      <c r="P1468" s="114" t="n">
        <v>1334</v>
      </c>
      <c r="Q1468" s="114" t="n">
        <f aca="false">ROUND(SUM(P1462:P1468),2)</f>
        <v>6848</v>
      </c>
      <c r="R1468" s="117" t="n">
        <f aca="false">合約與計費!$D$4</f>
        <v>0.296</v>
      </c>
      <c r="S1468" s="118" t="n">
        <f aca="false">ROUND(P1468*R1468,0)</f>
        <v>395</v>
      </c>
      <c r="T1468" s="119" t="n">
        <f aca="false">ROUND(SUM(S1462:S1468),2)</f>
        <v>2027</v>
      </c>
      <c r="U1468" s="114"/>
      <c r="V1468" s="114"/>
      <c r="W1468" s="120"/>
      <c r="X1468" s="114"/>
      <c r="Y1468" s="114" t="n">
        <f aca="false">ROUND(SUM(X1462:X1468),2)</f>
        <v>67</v>
      </c>
      <c r="Z1468" s="121"/>
      <c r="AA1468" s="122"/>
      <c r="AB1468" s="123" t="n">
        <f aca="false">ROUND(SUM(AA1462:AA1468),2)</f>
        <v>188</v>
      </c>
      <c r="AC1468" s="124"/>
      <c r="AD1468" s="42"/>
      <c r="AE1468" s="43"/>
    </row>
    <row r="1469" customFormat="false" ht="16.5" hidden="false" customHeight="true" outlineLevel="0" collapsed="false">
      <c r="A1469" s="84"/>
      <c r="B1469" s="84" t="s">
        <v>455</v>
      </c>
      <c r="C1469" s="32"/>
      <c r="D1469" s="85" t="n">
        <v>144</v>
      </c>
      <c r="E1469" s="86" t="s">
        <v>3739</v>
      </c>
      <c r="F1469" s="87" t="s">
        <v>3740</v>
      </c>
      <c r="G1469" s="32" t="s">
        <v>3278</v>
      </c>
      <c r="H1469" s="32" t="s">
        <v>3741</v>
      </c>
      <c r="I1469" s="32" t="s">
        <v>355</v>
      </c>
      <c r="J1469" s="86" t="s">
        <v>460</v>
      </c>
      <c r="K1469" s="88" t="s">
        <v>3742</v>
      </c>
      <c r="L1469" s="89" t="n">
        <v>45775</v>
      </c>
      <c r="M1469" s="32" t="n">
        <v>233</v>
      </c>
      <c r="N1469" s="32" t="n">
        <v>320</v>
      </c>
      <c r="O1469" s="32"/>
      <c r="P1469" s="32"/>
      <c r="Q1469" s="32"/>
      <c r="R1469" s="90" t="n">
        <f aca="false">合約與計費!$D$4</f>
        <v>0.296</v>
      </c>
      <c r="S1469" s="91" t="n">
        <f aca="false">ROUND(P1469*R1469,0)</f>
        <v>0</v>
      </c>
      <c r="T1469" s="92"/>
      <c r="U1469" s="32" t="n">
        <v>474</v>
      </c>
      <c r="V1469" s="32" t="n">
        <v>628</v>
      </c>
      <c r="W1469" s="32"/>
      <c r="X1469" s="32"/>
      <c r="Y1469" s="32"/>
      <c r="Z1469" s="93" t="n">
        <f aca="false">合約與計費!$E$4</f>
        <v>2.8</v>
      </c>
      <c r="AA1469" s="94" t="n">
        <f aca="false">ROUND(X1469*Z1469,0)</f>
        <v>0</v>
      </c>
      <c r="AB1469" s="95"/>
      <c r="AC1469" s="252" t="s">
        <v>3743</v>
      </c>
      <c r="AD1469" s="42"/>
      <c r="AE1469" s="43"/>
    </row>
    <row r="1470" customFormat="false" ht="16.5" hidden="false" customHeight="true" outlineLevel="0" collapsed="false">
      <c r="A1470" s="97"/>
      <c r="B1470" s="97" t="s">
        <v>462</v>
      </c>
      <c r="C1470" s="100"/>
      <c r="D1470" s="85"/>
      <c r="E1470" s="98" t="s">
        <v>3744</v>
      </c>
      <c r="F1470" s="99" t="s">
        <v>3740</v>
      </c>
      <c r="G1470" s="100" t="s">
        <v>3278</v>
      </c>
      <c r="H1470" s="100" t="s">
        <v>3741</v>
      </c>
      <c r="I1470" s="100" t="s">
        <v>355</v>
      </c>
      <c r="J1470" s="98" t="s">
        <v>464</v>
      </c>
      <c r="K1470" s="101" t="s">
        <v>3745</v>
      </c>
      <c r="L1470" s="102" t="n">
        <v>45775</v>
      </c>
      <c r="M1470" s="100" t="n">
        <v>1904</v>
      </c>
      <c r="N1470" s="100" t="n">
        <v>2509</v>
      </c>
      <c r="O1470" s="100"/>
      <c r="P1470" s="100"/>
      <c r="Q1470" s="100"/>
      <c r="R1470" s="103" t="n">
        <f aca="false">合約與計費!$D$4</f>
        <v>0.296</v>
      </c>
      <c r="S1470" s="104" t="n">
        <f aca="false">ROUND(P1470*R1470,0)</f>
        <v>0</v>
      </c>
      <c r="T1470" s="105"/>
      <c r="U1470" s="100"/>
      <c r="V1470" s="100"/>
      <c r="W1470" s="106"/>
      <c r="X1470" s="100"/>
      <c r="Y1470" s="100"/>
      <c r="Z1470" s="107"/>
      <c r="AA1470" s="108"/>
      <c r="AB1470" s="109"/>
      <c r="AC1470" s="252"/>
      <c r="AD1470" s="42" t="n">
        <v>0.0469</v>
      </c>
      <c r="AE1470" s="43" t="n">
        <v>0.2</v>
      </c>
    </row>
    <row r="1471" customFormat="false" ht="16.5" hidden="false" customHeight="true" outlineLevel="0" collapsed="false">
      <c r="A1471" s="97"/>
      <c r="B1471" s="97" t="s">
        <v>466</v>
      </c>
      <c r="C1471" s="100"/>
      <c r="D1471" s="85"/>
      <c r="E1471" s="98" t="s">
        <v>3746</v>
      </c>
      <c r="F1471" s="99" t="s">
        <v>3740</v>
      </c>
      <c r="G1471" s="100" t="s">
        <v>3278</v>
      </c>
      <c r="H1471" s="100" t="s">
        <v>3741</v>
      </c>
      <c r="I1471" s="100" t="s">
        <v>355</v>
      </c>
      <c r="J1471" s="98" t="s">
        <v>471</v>
      </c>
      <c r="K1471" s="101" t="s">
        <v>3747</v>
      </c>
      <c r="L1471" s="102" t="n">
        <v>45775</v>
      </c>
      <c r="M1471" s="100" t="n">
        <v>4221</v>
      </c>
      <c r="N1471" s="100" t="n">
        <v>5596</v>
      </c>
      <c r="O1471" s="100"/>
      <c r="P1471" s="100"/>
      <c r="Q1471" s="100"/>
      <c r="R1471" s="103" t="n">
        <f aca="false">合約與計費!$D$4</f>
        <v>0.296</v>
      </c>
      <c r="S1471" s="104" t="n">
        <f aca="false">ROUND(P1471*R1471,0)</f>
        <v>0</v>
      </c>
      <c r="T1471" s="105"/>
      <c r="U1471" s="100"/>
      <c r="V1471" s="100"/>
      <c r="W1471" s="106"/>
      <c r="X1471" s="100"/>
      <c r="Y1471" s="100"/>
      <c r="Z1471" s="107"/>
      <c r="AA1471" s="108"/>
      <c r="AB1471" s="109"/>
      <c r="AC1471" s="252"/>
      <c r="AD1471" s="42" t="n">
        <v>0.0956</v>
      </c>
      <c r="AE1471" s="43" t="n">
        <v>0.7</v>
      </c>
    </row>
    <row r="1472" customFormat="false" ht="16.5" hidden="false" customHeight="true" outlineLevel="0" collapsed="false">
      <c r="A1472" s="97"/>
      <c r="B1472" s="97" t="s">
        <v>469</v>
      </c>
      <c r="C1472" s="100"/>
      <c r="D1472" s="85"/>
      <c r="E1472" s="98" t="s">
        <v>3748</v>
      </c>
      <c r="F1472" s="99" t="s">
        <v>3740</v>
      </c>
      <c r="G1472" s="100" t="s">
        <v>3278</v>
      </c>
      <c r="H1472" s="100" t="s">
        <v>3741</v>
      </c>
      <c r="I1472" s="100" t="s">
        <v>355</v>
      </c>
      <c r="J1472" s="98" t="s">
        <v>471</v>
      </c>
      <c r="K1472" s="101" t="s">
        <v>3749</v>
      </c>
      <c r="L1472" s="102" t="n">
        <v>45775</v>
      </c>
      <c r="M1472" s="100" t="n">
        <v>4890</v>
      </c>
      <c r="N1472" s="100" t="n">
        <v>6198</v>
      </c>
      <c r="O1472" s="100"/>
      <c r="P1472" s="100"/>
      <c r="Q1472" s="100"/>
      <c r="R1472" s="103" t="n">
        <f aca="false">合約與計費!$D$4</f>
        <v>0.296</v>
      </c>
      <c r="S1472" s="104" t="n">
        <f aca="false">ROUND(P1472*R1472,0)</f>
        <v>0</v>
      </c>
      <c r="T1472" s="105"/>
      <c r="U1472" s="100"/>
      <c r="V1472" s="100"/>
      <c r="W1472" s="106"/>
      <c r="X1472" s="100"/>
      <c r="Y1472" s="100"/>
      <c r="Z1472" s="107"/>
      <c r="AA1472" s="108"/>
      <c r="AB1472" s="109"/>
      <c r="AC1472" s="252"/>
      <c r="AD1472" s="42" t="n">
        <v>0.0864</v>
      </c>
      <c r="AE1472" s="43" t="n">
        <v>0.7</v>
      </c>
    </row>
    <row r="1473" customFormat="false" ht="16.5" hidden="false" customHeight="true" outlineLevel="0" collapsed="false">
      <c r="A1473" s="97"/>
      <c r="B1473" s="97" t="s">
        <v>473</v>
      </c>
      <c r="C1473" s="100"/>
      <c r="D1473" s="85"/>
      <c r="E1473" s="98" t="s">
        <v>3750</v>
      </c>
      <c r="F1473" s="99" t="s">
        <v>3740</v>
      </c>
      <c r="G1473" s="100" t="s">
        <v>3278</v>
      </c>
      <c r="H1473" s="100" t="s">
        <v>3741</v>
      </c>
      <c r="I1473" s="100" t="s">
        <v>355</v>
      </c>
      <c r="J1473" s="98" t="s">
        <v>471</v>
      </c>
      <c r="K1473" s="101" t="s">
        <v>3751</v>
      </c>
      <c r="L1473" s="102" t="n">
        <v>45775</v>
      </c>
      <c r="M1473" s="100" t="n">
        <v>2335</v>
      </c>
      <c r="N1473" s="100" t="n">
        <v>2760</v>
      </c>
      <c r="O1473" s="100"/>
      <c r="P1473" s="100"/>
      <c r="Q1473" s="100"/>
      <c r="R1473" s="103" t="n">
        <f aca="false">合約與計費!$D$4</f>
        <v>0.296</v>
      </c>
      <c r="S1473" s="104" t="n">
        <f aca="false">ROUND(P1473*R1473,0)</f>
        <v>0</v>
      </c>
      <c r="T1473" s="105"/>
      <c r="U1473" s="100"/>
      <c r="V1473" s="100"/>
      <c r="W1473" s="106"/>
      <c r="X1473" s="100"/>
      <c r="Y1473" s="100"/>
      <c r="Z1473" s="107"/>
      <c r="AA1473" s="108"/>
      <c r="AB1473" s="109"/>
      <c r="AC1473" s="252"/>
      <c r="AD1473" s="42" t="n">
        <v>0.0863</v>
      </c>
      <c r="AE1473" s="43" t="n">
        <v>0.9</v>
      </c>
    </row>
    <row r="1474" customFormat="false" ht="16.5" hidden="false" customHeight="true" outlineLevel="0" collapsed="false">
      <c r="A1474" s="97"/>
      <c r="B1474" s="97"/>
      <c r="C1474" s="100"/>
      <c r="D1474" s="85"/>
      <c r="E1474" s="100"/>
      <c r="F1474" s="99"/>
      <c r="G1474" s="100"/>
      <c r="H1474" s="100"/>
      <c r="I1474" s="100"/>
      <c r="J1474" s="98" t="s">
        <v>471</v>
      </c>
      <c r="K1474" s="101"/>
      <c r="L1474" s="102"/>
      <c r="M1474" s="100"/>
      <c r="N1474" s="100"/>
      <c r="O1474" s="100"/>
      <c r="P1474" s="100"/>
      <c r="Q1474" s="100"/>
      <c r="R1474" s="103" t="n">
        <f aca="false">合約與計費!$D$4</f>
        <v>0.296</v>
      </c>
      <c r="S1474" s="104" t="n">
        <f aca="false">ROUND(P1474*R1474,0)</f>
        <v>0</v>
      </c>
      <c r="T1474" s="105"/>
      <c r="U1474" s="100"/>
      <c r="V1474" s="100"/>
      <c r="W1474" s="106"/>
      <c r="X1474" s="100"/>
      <c r="Y1474" s="100"/>
      <c r="Z1474" s="107"/>
      <c r="AA1474" s="108"/>
      <c r="AB1474" s="109"/>
      <c r="AC1474" s="252"/>
      <c r="AD1474" s="42"/>
      <c r="AE1474" s="43"/>
    </row>
    <row r="1475" customFormat="false" ht="16.5" hidden="false" customHeight="true" outlineLevel="0" collapsed="false">
      <c r="A1475" s="97"/>
      <c r="B1475" s="97" t="s">
        <v>476</v>
      </c>
      <c r="C1475" s="100"/>
      <c r="D1475" s="85"/>
      <c r="E1475" s="98" t="s">
        <v>3752</v>
      </c>
      <c r="F1475" s="99" t="s">
        <v>3740</v>
      </c>
      <c r="G1475" s="100" t="s">
        <v>3278</v>
      </c>
      <c r="H1475" s="100" t="s">
        <v>3741</v>
      </c>
      <c r="I1475" s="100" t="s">
        <v>355</v>
      </c>
      <c r="J1475" s="98" t="s">
        <v>471</v>
      </c>
      <c r="K1475" s="101" t="s">
        <v>3753</v>
      </c>
      <c r="L1475" s="102" t="n">
        <v>45775</v>
      </c>
      <c r="M1475" s="100" t="n">
        <v>5787</v>
      </c>
      <c r="N1475" s="100" t="n">
        <v>6844</v>
      </c>
      <c r="O1475" s="100"/>
      <c r="P1475" s="100"/>
      <c r="Q1475" s="100"/>
      <c r="R1475" s="103" t="n">
        <f aca="false">合約與計費!$D$4</f>
        <v>0.296</v>
      </c>
      <c r="S1475" s="104" t="n">
        <f aca="false">ROUND(P1475*R1475,0)</f>
        <v>0</v>
      </c>
      <c r="T1475" s="105"/>
      <c r="U1475" s="100"/>
      <c r="V1475" s="100"/>
      <c r="W1475" s="106"/>
      <c r="X1475" s="100"/>
      <c r="Y1475" s="100"/>
      <c r="Z1475" s="107"/>
      <c r="AA1475" s="108"/>
      <c r="AB1475" s="109"/>
      <c r="AC1475" s="252"/>
      <c r="AD1475" s="42" t="n">
        <v>0.086</v>
      </c>
      <c r="AE1475" s="43" t="n">
        <v>0.5</v>
      </c>
    </row>
    <row r="1476" customFormat="false" ht="16.5" hidden="false" customHeight="true" outlineLevel="0" collapsed="false">
      <c r="A1476" s="111"/>
      <c r="B1476" s="111" t="s">
        <v>479</v>
      </c>
      <c r="C1476" s="114"/>
      <c r="D1476" s="85"/>
      <c r="E1476" s="98" t="s">
        <v>3754</v>
      </c>
      <c r="F1476" s="113" t="s">
        <v>3740</v>
      </c>
      <c r="G1476" s="114" t="s">
        <v>3278</v>
      </c>
      <c r="H1476" s="114" t="s">
        <v>3741</v>
      </c>
      <c r="I1476" s="114" t="s">
        <v>355</v>
      </c>
      <c r="J1476" s="112" t="s">
        <v>471</v>
      </c>
      <c r="K1476" s="115" t="s">
        <v>3755</v>
      </c>
      <c r="L1476" s="116" t="n">
        <v>45775</v>
      </c>
      <c r="M1476" s="114" t="n">
        <v>1036</v>
      </c>
      <c r="N1476" s="114" t="n">
        <v>1209</v>
      </c>
      <c r="O1476" s="114"/>
      <c r="P1476" s="114"/>
      <c r="Q1476" s="114" t="n">
        <f aca="false">ROUND(SUM(P1469:P1476),2)</f>
        <v>0</v>
      </c>
      <c r="R1476" s="117" t="n">
        <f aca="false">合約與計費!$D$4</f>
        <v>0.296</v>
      </c>
      <c r="S1476" s="118" t="n">
        <f aca="false">ROUND(P1476*R1476,0)</f>
        <v>0</v>
      </c>
      <c r="T1476" s="119" t="n">
        <f aca="false">ROUND(SUM(S1469:S1476),2)</f>
        <v>0</v>
      </c>
      <c r="U1476" s="114"/>
      <c r="V1476" s="114"/>
      <c r="W1476" s="120"/>
      <c r="X1476" s="114"/>
      <c r="Y1476" s="114" t="n">
        <f aca="false">ROUND(SUM(X1469:X1476),2)</f>
        <v>0</v>
      </c>
      <c r="Z1476" s="121"/>
      <c r="AA1476" s="122"/>
      <c r="AB1476" s="123" t="n">
        <f aca="false">ROUND(SUM(AA1469:AA1476),2)</f>
        <v>0</v>
      </c>
      <c r="AC1476" s="252"/>
      <c r="AD1476" s="42" t="n">
        <v>0.0506</v>
      </c>
      <c r="AE1476" s="43" t="n">
        <v>1</v>
      </c>
    </row>
    <row r="1477" customFormat="false" ht="16.5" hidden="false" customHeight="true" outlineLevel="0" collapsed="false">
      <c r="A1477" s="84" t="n">
        <f aca="false">ROW(A1466)</f>
        <v>1466</v>
      </c>
      <c r="B1477" s="84" t="s">
        <v>455</v>
      </c>
      <c r="C1477" s="32" t="n">
        <v>1</v>
      </c>
      <c r="D1477" s="85" t="n">
        <v>152</v>
      </c>
      <c r="E1477" s="86" t="s">
        <v>3756</v>
      </c>
      <c r="F1477" s="87" t="s">
        <v>3757</v>
      </c>
      <c r="G1477" s="32" t="s">
        <v>3278</v>
      </c>
      <c r="H1477" s="32" t="s">
        <v>3741</v>
      </c>
      <c r="I1477" s="32" t="s">
        <v>321</v>
      </c>
      <c r="J1477" s="86" t="s">
        <v>460</v>
      </c>
      <c r="K1477" s="88" t="s">
        <v>3758</v>
      </c>
      <c r="L1477" s="89" t="n">
        <v>45749</v>
      </c>
      <c r="M1477" s="32" t="n">
        <v>195</v>
      </c>
      <c r="N1477" s="32" t="n">
        <v>290</v>
      </c>
      <c r="O1477" s="32" t="n">
        <v>95</v>
      </c>
      <c r="P1477" s="32" t="n">
        <v>92</v>
      </c>
      <c r="Q1477" s="32"/>
      <c r="R1477" s="90" t="n">
        <f aca="false">合約與計費!$D$4</f>
        <v>0.296</v>
      </c>
      <c r="S1477" s="91" t="n">
        <f aca="false">ROUND(P1477*R1477,0)</f>
        <v>27</v>
      </c>
      <c r="T1477" s="92"/>
      <c r="U1477" s="32" t="n">
        <v>494</v>
      </c>
      <c r="V1477" s="32" t="n">
        <v>582</v>
      </c>
      <c r="W1477" s="32" t="n">
        <v>88</v>
      </c>
      <c r="X1477" s="32" t="n">
        <v>85</v>
      </c>
      <c r="Y1477" s="32"/>
      <c r="Z1477" s="93" t="n">
        <f aca="false">合約與計費!$E$4</f>
        <v>2.8</v>
      </c>
      <c r="AA1477" s="94" t="n">
        <f aca="false">ROUND(X1477*Z1477,0)</f>
        <v>238</v>
      </c>
      <c r="AB1477" s="95"/>
      <c r="AC1477" s="96"/>
      <c r="AD1477" s="42"/>
      <c r="AE1477" s="43"/>
    </row>
    <row r="1478" customFormat="false" ht="16.5" hidden="false" customHeight="true" outlineLevel="0" collapsed="false">
      <c r="A1478" s="97" t="n">
        <f aca="false">ROW(A1467)</f>
        <v>1467</v>
      </c>
      <c r="B1478" s="97" t="s">
        <v>462</v>
      </c>
      <c r="C1478" s="100" t="n">
        <v>1</v>
      </c>
      <c r="D1478" s="85"/>
      <c r="E1478" s="98" t="s">
        <v>3759</v>
      </c>
      <c r="F1478" s="99" t="s">
        <v>3757</v>
      </c>
      <c r="G1478" s="100" t="s">
        <v>3278</v>
      </c>
      <c r="H1478" s="100" t="s">
        <v>3741</v>
      </c>
      <c r="I1478" s="100" t="s">
        <v>321</v>
      </c>
      <c r="J1478" s="98" t="s">
        <v>464</v>
      </c>
      <c r="K1478" s="101" t="s">
        <v>3760</v>
      </c>
      <c r="L1478" s="102" t="n">
        <v>45749</v>
      </c>
      <c r="M1478" s="100" t="n">
        <v>1385</v>
      </c>
      <c r="N1478" s="100" t="n">
        <v>1565</v>
      </c>
      <c r="O1478" s="100" t="n">
        <v>180</v>
      </c>
      <c r="P1478" s="100" t="n">
        <v>175</v>
      </c>
      <c r="Q1478" s="100"/>
      <c r="R1478" s="103" t="n">
        <f aca="false">合約與計費!$D$4</f>
        <v>0.296</v>
      </c>
      <c r="S1478" s="104" t="n">
        <f aca="false">ROUND(P1478*R1478,0)</f>
        <v>52</v>
      </c>
      <c r="T1478" s="105"/>
      <c r="U1478" s="100"/>
      <c r="V1478" s="100"/>
      <c r="W1478" s="106"/>
      <c r="X1478" s="100"/>
      <c r="Y1478" s="100"/>
      <c r="Z1478" s="107"/>
      <c r="AA1478" s="108"/>
      <c r="AB1478" s="109"/>
      <c r="AC1478" s="110"/>
      <c r="AD1478" s="42" t="n">
        <v>0.0494</v>
      </c>
      <c r="AE1478" s="43" t="n">
        <v>0.5</v>
      </c>
    </row>
    <row r="1479" customFormat="false" ht="16.5" hidden="false" customHeight="true" outlineLevel="0" collapsed="false">
      <c r="A1479" s="97" t="n">
        <f aca="false">ROW(A1468)</f>
        <v>1468</v>
      </c>
      <c r="B1479" s="97" t="s">
        <v>466</v>
      </c>
      <c r="C1479" s="100" t="n">
        <v>1</v>
      </c>
      <c r="D1479" s="85"/>
      <c r="E1479" s="98" t="s">
        <v>3761</v>
      </c>
      <c r="F1479" s="99" t="s">
        <v>3757</v>
      </c>
      <c r="G1479" s="100" t="s">
        <v>3278</v>
      </c>
      <c r="H1479" s="100" t="s">
        <v>3741</v>
      </c>
      <c r="I1479" s="100" t="s">
        <v>321</v>
      </c>
      <c r="J1479" s="98" t="s">
        <v>471</v>
      </c>
      <c r="K1479" s="101" t="s">
        <v>3762</v>
      </c>
      <c r="L1479" s="102" t="n">
        <v>45749</v>
      </c>
      <c r="M1479" s="100" t="n">
        <v>2604</v>
      </c>
      <c r="N1479" s="100" t="n">
        <v>3315</v>
      </c>
      <c r="O1479" s="100" t="n">
        <v>711</v>
      </c>
      <c r="P1479" s="100" t="n">
        <v>690</v>
      </c>
      <c r="Q1479" s="100"/>
      <c r="R1479" s="103" t="n">
        <f aca="false">合約與計費!$D$4</f>
        <v>0.296</v>
      </c>
      <c r="S1479" s="104" t="n">
        <f aca="false">ROUND(P1479*R1479,0)</f>
        <v>204</v>
      </c>
      <c r="T1479" s="105"/>
      <c r="U1479" s="100"/>
      <c r="V1479" s="100"/>
      <c r="W1479" s="106"/>
      <c r="X1479" s="100"/>
      <c r="Y1479" s="100"/>
      <c r="Z1479" s="107"/>
      <c r="AA1479" s="108"/>
      <c r="AB1479" s="109"/>
      <c r="AC1479" s="110"/>
      <c r="AD1479" s="42" t="n">
        <v>0.0702</v>
      </c>
      <c r="AE1479" s="43" t="n">
        <v>0.9</v>
      </c>
    </row>
    <row r="1480" customFormat="false" ht="16.5" hidden="false" customHeight="true" outlineLevel="0" collapsed="false">
      <c r="A1480" s="97" t="n">
        <f aca="false">ROW(A1469)</f>
        <v>1469</v>
      </c>
      <c r="B1480" s="97" t="s">
        <v>469</v>
      </c>
      <c r="C1480" s="100" t="n">
        <v>1</v>
      </c>
      <c r="D1480" s="85"/>
      <c r="E1480" s="98" t="s">
        <v>3763</v>
      </c>
      <c r="F1480" s="99" t="s">
        <v>3757</v>
      </c>
      <c r="G1480" s="100" t="s">
        <v>3278</v>
      </c>
      <c r="H1480" s="100" t="s">
        <v>3741</v>
      </c>
      <c r="I1480" s="100" t="s">
        <v>321</v>
      </c>
      <c r="J1480" s="98" t="s">
        <v>471</v>
      </c>
      <c r="K1480" s="101" t="s">
        <v>3764</v>
      </c>
      <c r="L1480" s="102" t="n">
        <v>45749</v>
      </c>
      <c r="M1480" s="100" t="n">
        <v>3100</v>
      </c>
      <c r="N1480" s="100" t="n">
        <v>3855</v>
      </c>
      <c r="O1480" s="100" t="n">
        <v>755</v>
      </c>
      <c r="P1480" s="100" t="n">
        <v>732</v>
      </c>
      <c r="Q1480" s="100"/>
      <c r="R1480" s="103" t="n">
        <f aca="false">合約與計費!$D$4</f>
        <v>0.296</v>
      </c>
      <c r="S1480" s="104" t="n">
        <f aca="false">ROUND(P1480*R1480,0)</f>
        <v>217</v>
      </c>
      <c r="T1480" s="105"/>
      <c r="U1480" s="100"/>
      <c r="V1480" s="100"/>
      <c r="W1480" s="106"/>
      <c r="X1480" s="100"/>
      <c r="Y1480" s="100"/>
      <c r="Z1480" s="107"/>
      <c r="AA1480" s="108"/>
      <c r="AB1480" s="109"/>
      <c r="AC1480" s="110"/>
      <c r="AD1480" s="42" t="n">
        <v>0.0494</v>
      </c>
      <c r="AE1480" s="43" t="n">
        <v>1</v>
      </c>
    </row>
    <row r="1481" customFormat="false" ht="16.5" hidden="false" customHeight="true" outlineLevel="0" collapsed="false">
      <c r="A1481" s="97" t="n">
        <f aca="false">ROW(A1470)</f>
        <v>1470</v>
      </c>
      <c r="B1481" s="97" t="s">
        <v>473</v>
      </c>
      <c r="C1481" s="100" t="n">
        <v>1</v>
      </c>
      <c r="D1481" s="85"/>
      <c r="E1481" s="98" t="s">
        <v>3765</v>
      </c>
      <c r="F1481" s="99" t="s">
        <v>3757</v>
      </c>
      <c r="G1481" s="100" t="s">
        <v>3278</v>
      </c>
      <c r="H1481" s="100" t="s">
        <v>3741</v>
      </c>
      <c r="I1481" s="100" t="s">
        <v>321</v>
      </c>
      <c r="J1481" s="98" t="s">
        <v>471</v>
      </c>
      <c r="K1481" s="101" t="s">
        <v>3766</v>
      </c>
      <c r="L1481" s="102" t="n">
        <v>45749</v>
      </c>
      <c r="M1481" s="100" t="n">
        <v>3777</v>
      </c>
      <c r="N1481" s="100" t="n">
        <v>4222</v>
      </c>
      <c r="O1481" s="100" t="n">
        <v>445</v>
      </c>
      <c r="P1481" s="100" t="n">
        <v>432</v>
      </c>
      <c r="Q1481" s="100"/>
      <c r="R1481" s="103" t="n">
        <f aca="false">合約與計費!$D$4</f>
        <v>0.296</v>
      </c>
      <c r="S1481" s="104" t="n">
        <f aca="false">ROUND(P1481*R1481,0)</f>
        <v>128</v>
      </c>
      <c r="T1481" s="105"/>
      <c r="U1481" s="100"/>
      <c r="V1481" s="100"/>
      <c r="W1481" s="106"/>
      <c r="X1481" s="100"/>
      <c r="Y1481" s="100"/>
      <c r="Z1481" s="107"/>
      <c r="AA1481" s="108"/>
      <c r="AB1481" s="109"/>
      <c r="AC1481" s="110"/>
      <c r="AD1481" s="42" t="n">
        <v>0.0818</v>
      </c>
      <c r="AE1481" s="43" t="n">
        <v>0.8</v>
      </c>
    </row>
    <row r="1482" customFormat="false" ht="16.5" hidden="false" customHeight="true" outlineLevel="0" collapsed="false">
      <c r="A1482" s="97" t="n">
        <f aca="false">ROW(A1471)</f>
        <v>1471</v>
      </c>
      <c r="B1482" s="97" t="s">
        <v>476</v>
      </c>
      <c r="C1482" s="100" t="n">
        <v>1</v>
      </c>
      <c r="D1482" s="85"/>
      <c r="E1482" s="98" t="s">
        <v>3767</v>
      </c>
      <c r="F1482" s="99" t="s">
        <v>3757</v>
      </c>
      <c r="G1482" s="100" t="s">
        <v>3278</v>
      </c>
      <c r="H1482" s="100" t="s">
        <v>3741</v>
      </c>
      <c r="I1482" s="100" t="s">
        <v>321</v>
      </c>
      <c r="J1482" s="98" t="s">
        <v>471</v>
      </c>
      <c r="K1482" s="101" t="s">
        <v>3768</v>
      </c>
      <c r="L1482" s="102" t="n">
        <v>45749</v>
      </c>
      <c r="M1482" s="100" t="n">
        <v>3803</v>
      </c>
      <c r="N1482" s="100" t="n">
        <v>4513</v>
      </c>
      <c r="O1482" s="100" t="n">
        <v>710</v>
      </c>
      <c r="P1482" s="100" t="n">
        <v>689</v>
      </c>
      <c r="Q1482" s="100"/>
      <c r="R1482" s="103" t="n">
        <f aca="false">合約與計費!$D$4</f>
        <v>0.296</v>
      </c>
      <c r="S1482" s="104" t="n">
        <f aca="false">ROUND(P1482*R1482,0)</f>
        <v>204</v>
      </c>
      <c r="T1482" s="105"/>
      <c r="U1482" s="100"/>
      <c r="V1482" s="100"/>
      <c r="W1482" s="106"/>
      <c r="X1482" s="100"/>
      <c r="Y1482" s="100"/>
      <c r="Z1482" s="107"/>
      <c r="AA1482" s="108"/>
      <c r="AB1482" s="109"/>
      <c r="AC1482" s="110"/>
      <c r="AD1482" s="42" t="n">
        <v>0.0811</v>
      </c>
      <c r="AE1482" s="43" t="n">
        <v>0.8</v>
      </c>
    </row>
    <row r="1483" customFormat="false" ht="16.5" hidden="false" customHeight="true" outlineLevel="0" collapsed="false">
      <c r="A1483" s="97" t="n">
        <f aca="false">ROW(A1472)</f>
        <v>1472</v>
      </c>
      <c r="B1483" s="97" t="s">
        <v>479</v>
      </c>
      <c r="C1483" s="100" t="n">
        <v>1</v>
      </c>
      <c r="D1483" s="85"/>
      <c r="E1483" s="98" t="s">
        <v>3769</v>
      </c>
      <c r="F1483" s="99" t="s">
        <v>3757</v>
      </c>
      <c r="G1483" s="100" t="s">
        <v>3278</v>
      </c>
      <c r="H1483" s="100" t="s">
        <v>3741</v>
      </c>
      <c r="I1483" s="100" t="s">
        <v>321</v>
      </c>
      <c r="J1483" s="98" t="s">
        <v>471</v>
      </c>
      <c r="K1483" s="101" t="s">
        <v>3770</v>
      </c>
      <c r="L1483" s="102" t="n">
        <v>45749</v>
      </c>
      <c r="M1483" s="100" t="n">
        <v>3313</v>
      </c>
      <c r="N1483" s="100" t="n">
        <v>4229</v>
      </c>
      <c r="O1483" s="100" t="n">
        <v>916</v>
      </c>
      <c r="P1483" s="100" t="n">
        <v>889</v>
      </c>
      <c r="Q1483" s="100"/>
      <c r="R1483" s="103" t="n">
        <f aca="false">合約與計費!$D$4</f>
        <v>0.296</v>
      </c>
      <c r="S1483" s="104" t="n">
        <f aca="false">ROUND(P1483*R1483,0)</f>
        <v>263</v>
      </c>
      <c r="T1483" s="105"/>
      <c r="U1483" s="100"/>
      <c r="V1483" s="100"/>
      <c r="W1483" s="106"/>
      <c r="X1483" s="100"/>
      <c r="Y1483" s="100"/>
      <c r="Z1483" s="107"/>
      <c r="AA1483" s="108"/>
      <c r="AB1483" s="109"/>
      <c r="AC1483" s="110"/>
      <c r="AD1483" s="42" t="n">
        <v>0.0839</v>
      </c>
      <c r="AE1483" s="43" t="n">
        <v>0.8</v>
      </c>
    </row>
    <row r="1484" customFormat="false" ht="16.5" hidden="false" customHeight="true" outlineLevel="0" collapsed="false">
      <c r="A1484" s="97" t="n">
        <f aca="false">ROW(A1473)</f>
        <v>1473</v>
      </c>
      <c r="B1484" s="97" t="s">
        <v>482</v>
      </c>
      <c r="C1484" s="100" t="n">
        <v>1</v>
      </c>
      <c r="D1484" s="85"/>
      <c r="E1484" s="98" t="s">
        <v>3771</v>
      </c>
      <c r="F1484" s="99" t="s">
        <v>3757</v>
      </c>
      <c r="G1484" s="100" t="s">
        <v>3278</v>
      </c>
      <c r="H1484" s="100" t="s">
        <v>3741</v>
      </c>
      <c r="I1484" s="100" t="s">
        <v>321</v>
      </c>
      <c r="J1484" s="98" t="s">
        <v>471</v>
      </c>
      <c r="K1484" s="101" t="s">
        <v>3772</v>
      </c>
      <c r="L1484" s="102" t="n">
        <v>45749</v>
      </c>
      <c r="M1484" s="100" t="n">
        <v>2222</v>
      </c>
      <c r="N1484" s="100" t="n">
        <v>2579</v>
      </c>
      <c r="O1484" s="100" t="n">
        <v>357</v>
      </c>
      <c r="P1484" s="100" t="n">
        <v>346</v>
      </c>
      <c r="Q1484" s="100"/>
      <c r="R1484" s="103" t="n">
        <f aca="false">合約與計費!$D$4</f>
        <v>0.296</v>
      </c>
      <c r="S1484" s="104" t="n">
        <f aca="false">ROUND(P1484*R1484,0)</f>
        <v>102</v>
      </c>
      <c r="T1484" s="105"/>
      <c r="U1484" s="100"/>
      <c r="V1484" s="100"/>
      <c r="W1484" s="106"/>
      <c r="X1484" s="100"/>
      <c r="Y1484" s="100"/>
      <c r="Z1484" s="107"/>
      <c r="AA1484" s="108"/>
      <c r="AB1484" s="109"/>
      <c r="AC1484" s="110"/>
      <c r="AD1484" s="42" t="n">
        <v>0.0769</v>
      </c>
      <c r="AE1484" s="43" t="n">
        <v>1</v>
      </c>
    </row>
    <row r="1485" customFormat="false" ht="16.5" hidden="false" customHeight="true" outlineLevel="0" collapsed="false">
      <c r="A1485" s="97" t="n">
        <f aca="false">ROW(A1474)</f>
        <v>1474</v>
      </c>
      <c r="B1485" s="97" t="s">
        <v>485</v>
      </c>
      <c r="C1485" s="100" t="n">
        <v>1</v>
      </c>
      <c r="D1485" s="85"/>
      <c r="E1485" s="98" t="s">
        <v>3773</v>
      </c>
      <c r="F1485" s="99" t="s">
        <v>3757</v>
      </c>
      <c r="G1485" s="100" t="s">
        <v>3278</v>
      </c>
      <c r="H1485" s="100" t="s">
        <v>3741</v>
      </c>
      <c r="I1485" s="100" t="s">
        <v>321</v>
      </c>
      <c r="J1485" s="98" t="s">
        <v>471</v>
      </c>
      <c r="K1485" s="101" t="s">
        <v>3774</v>
      </c>
      <c r="L1485" s="102" t="n">
        <v>45749</v>
      </c>
      <c r="M1485" s="100" t="n">
        <v>2558</v>
      </c>
      <c r="N1485" s="100" t="n">
        <v>3090</v>
      </c>
      <c r="O1485" s="100" t="n">
        <v>532</v>
      </c>
      <c r="P1485" s="100" t="n">
        <v>516</v>
      </c>
      <c r="Q1485" s="100"/>
      <c r="R1485" s="103" t="n">
        <f aca="false">合約與計費!$D$4</f>
        <v>0.296</v>
      </c>
      <c r="S1485" s="104" t="n">
        <f aca="false">ROUND(P1485*R1485,0)</f>
        <v>153</v>
      </c>
      <c r="T1485" s="105"/>
      <c r="U1485" s="100"/>
      <c r="V1485" s="100"/>
      <c r="W1485" s="106"/>
      <c r="X1485" s="100"/>
      <c r="Y1485" s="100"/>
      <c r="Z1485" s="107"/>
      <c r="AA1485" s="108"/>
      <c r="AB1485" s="109"/>
      <c r="AC1485" s="110"/>
      <c r="AD1485" s="42" t="n">
        <v>0.0666</v>
      </c>
      <c r="AE1485" s="43" t="n">
        <v>0.9</v>
      </c>
    </row>
    <row r="1486" customFormat="false" ht="16.5" hidden="false" customHeight="true" outlineLevel="0" collapsed="false">
      <c r="A1486" s="111" t="n">
        <f aca="false">ROW(A1475)</f>
        <v>1475</v>
      </c>
      <c r="B1486" s="111" t="n">
        <v>10</v>
      </c>
      <c r="C1486" s="114" t="n">
        <v>1</v>
      </c>
      <c r="D1486" s="85"/>
      <c r="E1486" s="112" t="s">
        <v>3775</v>
      </c>
      <c r="F1486" s="113" t="s">
        <v>3757</v>
      </c>
      <c r="G1486" s="114" t="s">
        <v>3278</v>
      </c>
      <c r="H1486" s="114" t="s">
        <v>3741</v>
      </c>
      <c r="I1486" s="114" t="s">
        <v>321</v>
      </c>
      <c r="J1486" s="112" t="s">
        <v>471</v>
      </c>
      <c r="K1486" s="115" t="s">
        <v>3776</v>
      </c>
      <c r="L1486" s="116" t="n">
        <v>45749</v>
      </c>
      <c r="M1486" s="114" t="n">
        <v>3985</v>
      </c>
      <c r="N1486" s="114" t="n">
        <v>4739</v>
      </c>
      <c r="O1486" s="114" t="n">
        <v>754</v>
      </c>
      <c r="P1486" s="114" t="n">
        <v>731</v>
      </c>
      <c r="Q1486" s="114" t="n">
        <f aca="false">ROUND(SUM(P1477:P1486),2)</f>
        <v>5292</v>
      </c>
      <c r="R1486" s="117" t="n">
        <f aca="false">合約與計費!$D$4</f>
        <v>0.296</v>
      </c>
      <c r="S1486" s="118" t="n">
        <f aca="false">ROUND(P1486*R1486,0)</f>
        <v>216</v>
      </c>
      <c r="T1486" s="119" t="n">
        <f aca="false">ROUND(SUM(S1477:S1486),2)</f>
        <v>1566</v>
      </c>
      <c r="U1486" s="114"/>
      <c r="V1486" s="114"/>
      <c r="W1486" s="120"/>
      <c r="X1486" s="114"/>
      <c r="Y1486" s="114" t="n">
        <f aca="false">ROUND(SUM(X1477:X1486),2)</f>
        <v>85</v>
      </c>
      <c r="Z1486" s="121"/>
      <c r="AA1486" s="122"/>
      <c r="AB1486" s="123" t="n">
        <f aca="false">ROUND(SUM(AA1477:AA1486),2)</f>
        <v>238</v>
      </c>
      <c r="AC1486" s="124"/>
      <c r="AD1486" s="42" t="n">
        <v>0.0923</v>
      </c>
      <c r="AE1486" s="43" t="n">
        <v>0.7</v>
      </c>
    </row>
    <row r="1487" customFormat="false" ht="16.5" hidden="false" customHeight="true" outlineLevel="0" collapsed="false">
      <c r="A1487" s="84" t="n">
        <f aca="false">ROW(A1476)</f>
        <v>1476</v>
      </c>
      <c r="B1487" s="84" t="s">
        <v>455</v>
      </c>
      <c r="C1487" s="32" t="n">
        <v>1</v>
      </c>
      <c r="D1487" s="85" t="n">
        <v>153</v>
      </c>
      <c r="E1487" s="86" t="s">
        <v>3777</v>
      </c>
      <c r="F1487" s="87" t="s">
        <v>3778</v>
      </c>
      <c r="G1487" s="32" t="s">
        <v>3278</v>
      </c>
      <c r="H1487" s="32" t="s">
        <v>3741</v>
      </c>
      <c r="I1487" s="32" t="s">
        <v>331</v>
      </c>
      <c r="J1487" s="86" t="s">
        <v>460</v>
      </c>
      <c r="K1487" s="88" t="s">
        <v>3779</v>
      </c>
      <c r="L1487" s="89" t="n">
        <v>45768</v>
      </c>
      <c r="M1487" s="32" t="n">
        <v>1715</v>
      </c>
      <c r="N1487" s="32" t="n">
        <v>2252</v>
      </c>
      <c r="O1487" s="32" t="n">
        <v>537</v>
      </c>
      <c r="P1487" s="32" t="n">
        <v>521</v>
      </c>
      <c r="Q1487" s="32"/>
      <c r="R1487" s="90" t="n">
        <f aca="false">合約與計費!$D$4</f>
        <v>0.296</v>
      </c>
      <c r="S1487" s="91" t="n">
        <f aca="false">ROUND(P1487*R1487,0)</f>
        <v>154</v>
      </c>
      <c r="T1487" s="92"/>
      <c r="U1487" s="32" t="n">
        <v>958</v>
      </c>
      <c r="V1487" s="32" t="n">
        <v>1076</v>
      </c>
      <c r="W1487" s="32" t="n">
        <v>118</v>
      </c>
      <c r="X1487" s="32" t="n">
        <v>114</v>
      </c>
      <c r="Y1487" s="32"/>
      <c r="Z1487" s="93" t="n">
        <f aca="false">合約與計費!$E$4</f>
        <v>2.8</v>
      </c>
      <c r="AA1487" s="94" t="n">
        <f aca="false">ROUND(X1487*Z1487,0)</f>
        <v>319</v>
      </c>
      <c r="AB1487" s="95"/>
      <c r="AC1487" s="96"/>
      <c r="AD1487" s="42"/>
      <c r="AE1487" s="43"/>
    </row>
    <row r="1488" customFormat="false" ht="16.5" hidden="false" customHeight="true" outlineLevel="0" collapsed="false">
      <c r="A1488" s="97" t="n">
        <f aca="false">ROW(A1477)</f>
        <v>1477</v>
      </c>
      <c r="B1488" s="97" t="s">
        <v>462</v>
      </c>
      <c r="C1488" s="100" t="n">
        <v>1</v>
      </c>
      <c r="D1488" s="85"/>
      <c r="E1488" s="98" t="s">
        <v>3780</v>
      </c>
      <c r="F1488" s="99" t="s">
        <v>3778</v>
      </c>
      <c r="G1488" s="100" t="s">
        <v>3278</v>
      </c>
      <c r="H1488" s="100" t="s">
        <v>3741</v>
      </c>
      <c r="I1488" s="100" t="s">
        <v>331</v>
      </c>
      <c r="J1488" s="98" t="s">
        <v>464</v>
      </c>
      <c r="K1488" s="101" t="s">
        <v>3781</v>
      </c>
      <c r="L1488" s="102" t="n">
        <v>45768</v>
      </c>
      <c r="M1488" s="100" t="n">
        <v>215</v>
      </c>
      <c r="N1488" s="100" t="n">
        <v>292</v>
      </c>
      <c r="O1488" s="100" t="n">
        <v>77</v>
      </c>
      <c r="P1488" s="100" t="n">
        <v>75</v>
      </c>
      <c r="Q1488" s="100"/>
      <c r="R1488" s="103" t="n">
        <f aca="false">合約與計費!$D$4</f>
        <v>0.296</v>
      </c>
      <c r="S1488" s="104" t="n">
        <f aca="false">ROUND(P1488*R1488,0)</f>
        <v>22</v>
      </c>
      <c r="T1488" s="105"/>
      <c r="U1488" s="100"/>
      <c r="V1488" s="100"/>
      <c r="W1488" s="106"/>
      <c r="X1488" s="100"/>
      <c r="Y1488" s="100"/>
      <c r="Z1488" s="107"/>
      <c r="AA1488" s="108"/>
      <c r="AB1488" s="109"/>
      <c r="AC1488" s="110"/>
      <c r="AD1488" s="42" t="n">
        <v>0.0636</v>
      </c>
      <c r="AE1488" s="43" t="n">
        <v>0.9</v>
      </c>
    </row>
    <row r="1489" customFormat="false" ht="16.5" hidden="false" customHeight="true" outlineLevel="0" collapsed="false">
      <c r="A1489" s="97" t="n">
        <f aca="false">ROW(A1478)</f>
        <v>1478</v>
      </c>
      <c r="B1489" s="97" t="s">
        <v>466</v>
      </c>
      <c r="C1489" s="100" t="n">
        <v>1</v>
      </c>
      <c r="D1489" s="85"/>
      <c r="E1489" s="98" t="s">
        <v>3782</v>
      </c>
      <c r="F1489" s="99" t="s">
        <v>3778</v>
      </c>
      <c r="G1489" s="100" t="s">
        <v>3278</v>
      </c>
      <c r="H1489" s="100" t="s">
        <v>3741</v>
      </c>
      <c r="I1489" s="100" t="s">
        <v>331</v>
      </c>
      <c r="J1489" s="98" t="s">
        <v>471</v>
      </c>
      <c r="K1489" s="101" t="s">
        <v>3783</v>
      </c>
      <c r="L1489" s="102" t="n">
        <v>45768</v>
      </c>
      <c r="M1489" s="100" t="n">
        <v>14860</v>
      </c>
      <c r="N1489" s="100" t="n">
        <v>18684</v>
      </c>
      <c r="O1489" s="100" t="n">
        <v>3824</v>
      </c>
      <c r="P1489" s="100" t="n">
        <v>3709</v>
      </c>
      <c r="Q1489" s="100"/>
      <c r="R1489" s="103" t="n">
        <f aca="false">合約與計費!$D$4</f>
        <v>0.296</v>
      </c>
      <c r="S1489" s="104" t="n">
        <f aca="false">ROUND(P1489*R1489,0)</f>
        <v>1098</v>
      </c>
      <c r="T1489" s="105"/>
      <c r="U1489" s="100"/>
      <c r="V1489" s="100"/>
      <c r="W1489" s="106"/>
      <c r="X1489" s="100"/>
      <c r="Y1489" s="100"/>
      <c r="Z1489" s="107"/>
      <c r="AA1489" s="108"/>
      <c r="AB1489" s="109"/>
      <c r="AC1489" s="110"/>
      <c r="AD1489" s="42" t="n">
        <v>0.0909</v>
      </c>
      <c r="AE1489" s="43" t="n">
        <v>0.1</v>
      </c>
    </row>
    <row r="1490" customFormat="false" ht="16.5" hidden="false" customHeight="true" outlineLevel="0" collapsed="false">
      <c r="A1490" s="97" t="n">
        <f aca="false">ROW(A1479)</f>
        <v>1479</v>
      </c>
      <c r="B1490" s="97" t="s">
        <v>469</v>
      </c>
      <c r="C1490" s="100" t="n">
        <v>1</v>
      </c>
      <c r="D1490" s="85"/>
      <c r="E1490" s="98" t="s">
        <v>3784</v>
      </c>
      <c r="F1490" s="99" t="s">
        <v>3778</v>
      </c>
      <c r="G1490" s="100" t="s">
        <v>3278</v>
      </c>
      <c r="H1490" s="100" t="s">
        <v>3741</v>
      </c>
      <c r="I1490" s="100" t="s">
        <v>331</v>
      </c>
      <c r="J1490" s="98" t="s">
        <v>471</v>
      </c>
      <c r="K1490" s="101" t="s">
        <v>3785</v>
      </c>
      <c r="L1490" s="102" t="n">
        <v>45768</v>
      </c>
      <c r="M1490" s="100" t="n">
        <v>1721</v>
      </c>
      <c r="N1490" s="100" t="n">
        <v>2074</v>
      </c>
      <c r="O1490" s="100" t="n">
        <v>353</v>
      </c>
      <c r="P1490" s="100" t="n">
        <v>342</v>
      </c>
      <c r="Q1490" s="100"/>
      <c r="R1490" s="103" t="n">
        <f aca="false">合約與計費!$D$4</f>
        <v>0.296</v>
      </c>
      <c r="S1490" s="104" t="n">
        <f aca="false">ROUND(P1490*R1490,0)</f>
        <v>101</v>
      </c>
      <c r="T1490" s="105"/>
      <c r="U1490" s="100"/>
      <c r="V1490" s="100"/>
      <c r="W1490" s="106"/>
      <c r="X1490" s="100"/>
      <c r="Y1490" s="100"/>
      <c r="Z1490" s="107"/>
      <c r="AA1490" s="108"/>
      <c r="AB1490" s="109"/>
      <c r="AC1490" s="110"/>
      <c r="AD1490" s="42" t="n">
        <v>0.051</v>
      </c>
      <c r="AE1490" s="43" t="n">
        <v>0.2</v>
      </c>
    </row>
    <row r="1491" customFormat="false" ht="16.5" hidden="false" customHeight="true" outlineLevel="0" collapsed="false">
      <c r="A1491" s="97" t="n">
        <f aca="false">ROW(A1480)</f>
        <v>1480</v>
      </c>
      <c r="B1491" s="97" t="s">
        <v>473</v>
      </c>
      <c r="C1491" s="100" t="n">
        <v>1</v>
      </c>
      <c r="D1491" s="85"/>
      <c r="E1491" s="98" t="s">
        <v>3786</v>
      </c>
      <c r="F1491" s="99" t="s">
        <v>3778</v>
      </c>
      <c r="G1491" s="100" t="s">
        <v>3278</v>
      </c>
      <c r="H1491" s="100" t="s">
        <v>3741</v>
      </c>
      <c r="I1491" s="100" t="s">
        <v>331</v>
      </c>
      <c r="J1491" s="98" t="s">
        <v>471</v>
      </c>
      <c r="K1491" s="101" t="s">
        <v>3787</v>
      </c>
      <c r="L1491" s="102" t="n">
        <v>45768</v>
      </c>
      <c r="M1491" s="100" t="n">
        <v>37</v>
      </c>
      <c r="N1491" s="100" t="n">
        <v>41</v>
      </c>
      <c r="O1491" s="100" t="n">
        <v>4</v>
      </c>
      <c r="P1491" s="100" t="n">
        <v>4</v>
      </c>
      <c r="Q1491" s="100"/>
      <c r="R1491" s="103" t="n">
        <f aca="false">合約與計費!$D$4</f>
        <v>0.296</v>
      </c>
      <c r="S1491" s="104" t="n">
        <f aca="false">ROUND(P1491*R1491,0)</f>
        <v>1</v>
      </c>
      <c r="T1491" s="105"/>
      <c r="U1491" s="100"/>
      <c r="V1491" s="100"/>
      <c r="W1491" s="106"/>
      <c r="X1491" s="100"/>
      <c r="Y1491" s="100"/>
      <c r="Z1491" s="107"/>
      <c r="AA1491" s="108"/>
      <c r="AB1491" s="109"/>
      <c r="AC1491" s="110"/>
      <c r="AD1491" s="42" t="n">
        <v>0.2244</v>
      </c>
      <c r="AE1491" s="43" t="n">
        <v>1</v>
      </c>
    </row>
    <row r="1492" customFormat="false" ht="16.5" hidden="false" customHeight="true" outlineLevel="0" collapsed="false">
      <c r="A1492" s="97" t="n">
        <f aca="false">ROW(A1481)</f>
        <v>1481</v>
      </c>
      <c r="B1492" s="97" t="s">
        <v>476</v>
      </c>
      <c r="C1492" s="100" t="n">
        <v>1</v>
      </c>
      <c r="D1492" s="85"/>
      <c r="E1492" s="98" t="s">
        <v>3788</v>
      </c>
      <c r="F1492" s="99" t="s">
        <v>3778</v>
      </c>
      <c r="G1492" s="100" t="s">
        <v>3278</v>
      </c>
      <c r="H1492" s="100" t="s">
        <v>3741</v>
      </c>
      <c r="I1492" s="100" t="s">
        <v>331</v>
      </c>
      <c r="J1492" s="98" t="s">
        <v>471</v>
      </c>
      <c r="K1492" s="101" t="s">
        <v>3789</v>
      </c>
      <c r="L1492" s="102" t="n">
        <v>45768</v>
      </c>
      <c r="M1492" s="100" t="n">
        <v>13316</v>
      </c>
      <c r="N1492" s="100" t="n">
        <v>16842</v>
      </c>
      <c r="O1492" s="100" t="n">
        <v>3526</v>
      </c>
      <c r="P1492" s="100" t="n">
        <v>3420</v>
      </c>
      <c r="Q1492" s="100"/>
      <c r="R1492" s="103" t="n">
        <f aca="false">合約與計費!$D$4</f>
        <v>0.296</v>
      </c>
      <c r="S1492" s="104" t="n">
        <f aca="false">ROUND(P1492*R1492,0)</f>
        <v>1012</v>
      </c>
      <c r="T1492" s="105"/>
      <c r="U1492" s="100"/>
      <c r="V1492" s="100"/>
      <c r="W1492" s="106"/>
      <c r="X1492" s="100"/>
      <c r="Y1492" s="100"/>
      <c r="Z1492" s="107"/>
      <c r="AA1492" s="108"/>
      <c r="AB1492" s="109"/>
      <c r="AC1492" s="110"/>
      <c r="AD1492" s="42" t="n">
        <v>0.0974</v>
      </c>
      <c r="AE1492" s="43" t="n">
        <v>0.2</v>
      </c>
    </row>
    <row r="1493" customFormat="false" ht="16.5" hidden="false" customHeight="true" outlineLevel="0" collapsed="false">
      <c r="A1493" s="111" t="n">
        <f aca="false">ROW(A1482)</f>
        <v>1482</v>
      </c>
      <c r="B1493" s="111" t="s">
        <v>479</v>
      </c>
      <c r="C1493" s="114" t="n">
        <v>1</v>
      </c>
      <c r="D1493" s="85"/>
      <c r="E1493" s="112" t="s">
        <v>3790</v>
      </c>
      <c r="F1493" s="113" t="s">
        <v>3778</v>
      </c>
      <c r="G1493" s="114" t="s">
        <v>3278</v>
      </c>
      <c r="H1493" s="114" t="s">
        <v>3741</v>
      </c>
      <c r="I1493" s="114" t="s">
        <v>331</v>
      </c>
      <c r="J1493" s="112" t="s">
        <v>471</v>
      </c>
      <c r="K1493" s="115" t="s">
        <v>3791</v>
      </c>
      <c r="L1493" s="116" t="n">
        <v>45768</v>
      </c>
      <c r="M1493" s="114" t="n">
        <v>8604</v>
      </c>
      <c r="N1493" s="114" t="n">
        <v>9896</v>
      </c>
      <c r="O1493" s="114" t="n">
        <v>1292</v>
      </c>
      <c r="P1493" s="114" t="n">
        <v>1253</v>
      </c>
      <c r="Q1493" s="114" t="n">
        <f aca="false">ROUND(SUM(P1487:P1493),2)</f>
        <v>9324</v>
      </c>
      <c r="R1493" s="117" t="n">
        <f aca="false">合約與計費!$D$4</f>
        <v>0.296</v>
      </c>
      <c r="S1493" s="118" t="n">
        <f aca="false">ROUND(P1493*R1493,0)</f>
        <v>371</v>
      </c>
      <c r="T1493" s="119" t="n">
        <f aca="false">ROUND(SUM(S1487:S1493),2)</f>
        <v>2759</v>
      </c>
      <c r="U1493" s="114"/>
      <c r="V1493" s="114"/>
      <c r="W1493" s="120"/>
      <c r="X1493" s="114"/>
      <c r="Y1493" s="114" t="n">
        <f aca="false">ROUND(SUM(X1487:X1493),2)</f>
        <v>114</v>
      </c>
      <c r="Z1493" s="121"/>
      <c r="AA1493" s="122"/>
      <c r="AB1493" s="123" t="n">
        <f aca="false">ROUND(SUM(AA1487:AA1493),2)</f>
        <v>319</v>
      </c>
      <c r="AC1493" s="124"/>
      <c r="AD1493" s="42" t="n">
        <v>0.0935</v>
      </c>
      <c r="AE1493" s="43" t="n">
        <v>0.1</v>
      </c>
    </row>
    <row r="1494" customFormat="false" ht="16.5" hidden="false" customHeight="true" outlineLevel="0" collapsed="false">
      <c r="A1494" s="84" t="n">
        <f aca="false">ROW(A1483)</f>
        <v>1483</v>
      </c>
      <c r="B1494" s="84" t="s">
        <v>455</v>
      </c>
      <c r="C1494" s="32" t="n">
        <v>1</v>
      </c>
      <c r="D1494" s="85" t="n">
        <v>154</v>
      </c>
      <c r="E1494" s="86" t="s">
        <v>3792</v>
      </c>
      <c r="F1494" s="87" t="s">
        <v>3793</v>
      </c>
      <c r="G1494" s="32" t="s">
        <v>3278</v>
      </c>
      <c r="H1494" s="32" t="s">
        <v>3741</v>
      </c>
      <c r="I1494" s="32" t="s">
        <v>340</v>
      </c>
      <c r="J1494" s="86" t="s">
        <v>460</v>
      </c>
      <c r="K1494" s="88" t="s">
        <v>3794</v>
      </c>
      <c r="L1494" s="89" t="n">
        <v>45782</v>
      </c>
      <c r="M1494" s="32" t="n">
        <v>110</v>
      </c>
      <c r="N1494" s="32" t="n">
        <v>137</v>
      </c>
      <c r="O1494" s="32" t="n">
        <v>27</v>
      </c>
      <c r="P1494" s="32" t="n">
        <v>26</v>
      </c>
      <c r="Q1494" s="32"/>
      <c r="R1494" s="90" t="n">
        <f aca="false">合約與計費!$D$4</f>
        <v>0.296</v>
      </c>
      <c r="S1494" s="91" t="n">
        <f aca="false">ROUND(P1494*R1494,0)</f>
        <v>8</v>
      </c>
      <c r="T1494" s="92"/>
      <c r="U1494" s="32" t="n">
        <v>215</v>
      </c>
      <c r="V1494" s="32" t="n">
        <v>283</v>
      </c>
      <c r="W1494" s="32" t="n">
        <v>68</v>
      </c>
      <c r="X1494" s="32" t="n">
        <v>66</v>
      </c>
      <c r="Y1494" s="32"/>
      <c r="Z1494" s="93" t="n">
        <f aca="false">合約與計費!$E$4</f>
        <v>2.8</v>
      </c>
      <c r="AA1494" s="94" t="n">
        <f aca="false">ROUND(X1494*Z1494,0)</f>
        <v>185</v>
      </c>
      <c r="AB1494" s="95"/>
      <c r="AC1494" s="96"/>
      <c r="AD1494" s="42"/>
      <c r="AE1494" s="43"/>
    </row>
    <row r="1495" customFormat="false" ht="16.5" hidden="false" customHeight="true" outlineLevel="0" collapsed="false">
      <c r="A1495" s="97" t="n">
        <f aca="false">ROW(A1484)</f>
        <v>1484</v>
      </c>
      <c r="B1495" s="97" t="s">
        <v>462</v>
      </c>
      <c r="C1495" s="100" t="n">
        <v>1</v>
      </c>
      <c r="D1495" s="85"/>
      <c r="E1495" s="98" t="s">
        <v>3795</v>
      </c>
      <c r="F1495" s="99" t="s">
        <v>3793</v>
      </c>
      <c r="G1495" s="100" t="s">
        <v>3278</v>
      </c>
      <c r="H1495" s="100" t="s">
        <v>3741</v>
      </c>
      <c r="I1495" s="100" t="s">
        <v>340</v>
      </c>
      <c r="J1495" s="98" t="s">
        <v>471</v>
      </c>
      <c r="K1495" s="101" t="s">
        <v>3796</v>
      </c>
      <c r="L1495" s="102" t="n">
        <v>45782</v>
      </c>
      <c r="M1495" s="100" t="n">
        <v>1157</v>
      </c>
      <c r="N1495" s="100" t="n">
        <v>1458</v>
      </c>
      <c r="O1495" s="100" t="n">
        <v>301</v>
      </c>
      <c r="P1495" s="100" t="n">
        <v>292</v>
      </c>
      <c r="Q1495" s="100"/>
      <c r="R1495" s="103" t="n">
        <f aca="false">合約與計費!$D$4</f>
        <v>0.296</v>
      </c>
      <c r="S1495" s="104" t="n">
        <f aca="false">ROUND(P1495*R1495,0)</f>
        <v>86</v>
      </c>
      <c r="T1495" s="105"/>
      <c r="U1495" s="100"/>
      <c r="V1495" s="100"/>
      <c r="W1495" s="106"/>
      <c r="X1495" s="100"/>
      <c r="Y1495" s="100"/>
      <c r="Z1495" s="107"/>
      <c r="AA1495" s="108"/>
      <c r="AB1495" s="109"/>
      <c r="AC1495" s="110"/>
      <c r="AD1495" s="42" t="n">
        <v>0.0505</v>
      </c>
      <c r="AE1495" s="43" t="n">
        <v>0.5</v>
      </c>
    </row>
    <row r="1496" customFormat="false" ht="16.5" hidden="false" customHeight="true" outlineLevel="0" collapsed="false">
      <c r="A1496" s="97" t="n">
        <f aca="false">ROW(A1485)</f>
        <v>1485</v>
      </c>
      <c r="B1496" s="97" t="s">
        <v>466</v>
      </c>
      <c r="C1496" s="100" t="n">
        <v>1</v>
      </c>
      <c r="D1496" s="85"/>
      <c r="E1496" s="98" t="s">
        <v>3797</v>
      </c>
      <c r="F1496" s="99" t="s">
        <v>3793</v>
      </c>
      <c r="G1496" s="100" t="s">
        <v>3278</v>
      </c>
      <c r="H1496" s="100" t="s">
        <v>3741</v>
      </c>
      <c r="I1496" s="100" t="s">
        <v>340</v>
      </c>
      <c r="J1496" s="98" t="s">
        <v>471</v>
      </c>
      <c r="K1496" s="101" t="s">
        <v>3798</v>
      </c>
      <c r="L1496" s="102" t="n">
        <v>45782</v>
      </c>
      <c r="M1496" s="100" t="n">
        <v>7333</v>
      </c>
      <c r="N1496" s="100" t="n">
        <v>9268</v>
      </c>
      <c r="O1496" s="100" t="n">
        <v>1935</v>
      </c>
      <c r="P1496" s="100" t="n">
        <v>1877</v>
      </c>
      <c r="Q1496" s="100"/>
      <c r="R1496" s="103" t="n">
        <f aca="false">合約與計費!$D$4</f>
        <v>0.296</v>
      </c>
      <c r="S1496" s="104" t="n">
        <f aca="false">ROUND(P1496*R1496,0)</f>
        <v>556</v>
      </c>
      <c r="T1496" s="105"/>
      <c r="U1496" s="100"/>
      <c r="V1496" s="100"/>
      <c r="W1496" s="106"/>
      <c r="X1496" s="100"/>
      <c r="Y1496" s="100"/>
      <c r="Z1496" s="107"/>
      <c r="AA1496" s="108"/>
      <c r="AB1496" s="109"/>
      <c r="AC1496" s="110"/>
      <c r="AD1496" s="42" t="n">
        <v>0.0791</v>
      </c>
      <c r="AE1496" s="43" t="n">
        <v>0.2</v>
      </c>
    </row>
    <row r="1497" customFormat="false" ht="16.5" hidden="false" customHeight="true" outlineLevel="0" collapsed="false">
      <c r="A1497" s="97" t="n">
        <f aca="false">ROW(A1486)</f>
        <v>1486</v>
      </c>
      <c r="B1497" s="97" t="s">
        <v>469</v>
      </c>
      <c r="C1497" s="100" t="n">
        <v>1</v>
      </c>
      <c r="D1497" s="85"/>
      <c r="E1497" s="98" t="s">
        <v>3799</v>
      </c>
      <c r="F1497" s="99" t="s">
        <v>3793</v>
      </c>
      <c r="G1497" s="100" t="s">
        <v>3278</v>
      </c>
      <c r="H1497" s="100" t="s">
        <v>3741</v>
      </c>
      <c r="I1497" s="100" t="s">
        <v>340</v>
      </c>
      <c r="J1497" s="98" t="s">
        <v>471</v>
      </c>
      <c r="K1497" s="101" t="s">
        <v>3800</v>
      </c>
      <c r="L1497" s="102" t="n">
        <v>45782</v>
      </c>
      <c r="M1497" s="100" t="n">
        <v>4455</v>
      </c>
      <c r="N1497" s="100" t="n">
        <v>5796</v>
      </c>
      <c r="O1497" s="100" t="n">
        <v>1341</v>
      </c>
      <c r="P1497" s="100" t="n">
        <v>1301</v>
      </c>
      <c r="Q1497" s="100"/>
      <c r="R1497" s="103" t="n">
        <f aca="false">合約與計費!$D$4</f>
        <v>0.296</v>
      </c>
      <c r="S1497" s="104" t="n">
        <f aca="false">ROUND(P1497*R1497,0)</f>
        <v>385</v>
      </c>
      <c r="T1497" s="105"/>
      <c r="U1497" s="100"/>
      <c r="V1497" s="100"/>
      <c r="W1497" s="106"/>
      <c r="X1497" s="100"/>
      <c r="Y1497" s="100"/>
      <c r="Z1497" s="107"/>
      <c r="AA1497" s="108"/>
      <c r="AB1497" s="109"/>
      <c r="AC1497" s="110"/>
      <c r="AD1497" s="42" t="n">
        <v>0.1071</v>
      </c>
      <c r="AE1497" s="43" t="n">
        <v>0.3</v>
      </c>
    </row>
    <row r="1498" customFormat="false" ht="16.5" hidden="false" customHeight="true" outlineLevel="0" collapsed="false">
      <c r="A1498" s="111" t="n">
        <f aca="false">ROW(A1487)</f>
        <v>1487</v>
      </c>
      <c r="B1498" s="111" t="s">
        <v>473</v>
      </c>
      <c r="C1498" s="114" t="n">
        <v>1</v>
      </c>
      <c r="D1498" s="85"/>
      <c r="E1498" s="112" t="s">
        <v>3801</v>
      </c>
      <c r="F1498" s="113" t="s">
        <v>3793</v>
      </c>
      <c r="G1498" s="114" t="s">
        <v>3278</v>
      </c>
      <c r="H1498" s="114" t="s">
        <v>3741</v>
      </c>
      <c r="I1498" s="114" t="s">
        <v>340</v>
      </c>
      <c r="J1498" s="112" t="s">
        <v>471</v>
      </c>
      <c r="K1498" s="115" t="s">
        <v>3802</v>
      </c>
      <c r="L1498" s="116" t="n">
        <v>45782</v>
      </c>
      <c r="M1498" s="114" t="n">
        <v>826</v>
      </c>
      <c r="N1498" s="114" t="n">
        <v>1106</v>
      </c>
      <c r="O1498" s="114" t="n">
        <v>280</v>
      </c>
      <c r="P1498" s="114" t="n">
        <v>272</v>
      </c>
      <c r="Q1498" s="114" t="n">
        <f aca="false">ROUND(SUM(P1494:P1498),2)</f>
        <v>3768</v>
      </c>
      <c r="R1498" s="117" t="n">
        <f aca="false">合約與計費!$D$4</f>
        <v>0.296</v>
      </c>
      <c r="S1498" s="118" t="n">
        <f aca="false">ROUND(P1498*R1498,0)</f>
        <v>81</v>
      </c>
      <c r="T1498" s="119" t="n">
        <f aca="false">ROUND(SUM(S1494:S1498),2)</f>
        <v>1116</v>
      </c>
      <c r="U1498" s="114"/>
      <c r="V1498" s="114"/>
      <c r="W1498" s="120"/>
      <c r="X1498" s="114"/>
      <c r="Y1498" s="114" t="n">
        <f aca="false">ROUND(SUM(X1494:X1498),2)</f>
        <v>66</v>
      </c>
      <c r="Z1498" s="121"/>
      <c r="AA1498" s="122"/>
      <c r="AB1498" s="123" t="n">
        <f aca="false">ROUND(SUM(AA1494:AA1498),2)</f>
        <v>185</v>
      </c>
      <c r="AC1498" s="124"/>
      <c r="AD1498" s="42" t="n">
        <v>0.086</v>
      </c>
      <c r="AE1498" s="43" t="n">
        <v>0.2</v>
      </c>
    </row>
    <row r="1499" customFormat="false" ht="16.5" hidden="false" customHeight="true" outlineLevel="0" collapsed="false">
      <c r="A1499" s="84" t="n">
        <f aca="false">ROW(A1488)</f>
        <v>1488</v>
      </c>
      <c r="B1499" s="84" t="s">
        <v>455</v>
      </c>
      <c r="C1499" s="32" t="n">
        <v>1</v>
      </c>
      <c r="D1499" s="85" t="n">
        <v>203</v>
      </c>
      <c r="E1499" s="86" t="s">
        <v>3803</v>
      </c>
      <c r="F1499" s="87" t="s">
        <v>3804</v>
      </c>
      <c r="G1499" s="32" t="s">
        <v>3278</v>
      </c>
      <c r="H1499" s="32" t="s">
        <v>3741</v>
      </c>
      <c r="I1499" s="32" t="s">
        <v>23</v>
      </c>
      <c r="J1499" s="86" t="s">
        <v>460</v>
      </c>
      <c r="K1499" s="88" t="s">
        <v>3805</v>
      </c>
      <c r="L1499" s="89" t="n">
        <v>45757</v>
      </c>
      <c r="M1499" s="32" t="n">
        <v>48</v>
      </c>
      <c r="N1499" s="32" t="n">
        <v>57</v>
      </c>
      <c r="O1499" s="32" t="n">
        <v>9</v>
      </c>
      <c r="P1499" s="32" t="n">
        <v>9</v>
      </c>
      <c r="Q1499" s="32"/>
      <c r="R1499" s="90" t="n">
        <f aca="false">合約與計費!$D$4</f>
        <v>0.296</v>
      </c>
      <c r="S1499" s="91" t="n">
        <f aca="false">ROUND(P1499*R1499,0)</f>
        <v>3</v>
      </c>
      <c r="T1499" s="92"/>
      <c r="U1499" s="32" t="n">
        <v>223</v>
      </c>
      <c r="V1499" s="32" t="n">
        <v>240</v>
      </c>
      <c r="W1499" s="32" t="n">
        <v>17</v>
      </c>
      <c r="X1499" s="32" t="n">
        <v>16</v>
      </c>
      <c r="Y1499" s="32"/>
      <c r="Z1499" s="93" t="n">
        <f aca="false">合約與計費!$E$4</f>
        <v>2.8</v>
      </c>
      <c r="AA1499" s="94" t="n">
        <f aca="false">ROUND(X1499*Z1499,0)</f>
        <v>45</v>
      </c>
      <c r="AB1499" s="95"/>
      <c r="AC1499" s="96"/>
      <c r="AD1499" s="42"/>
      <c r="AE1499" s="43"/>
    </row>
    <row r="1500" customFormat="false" ht="16.5" hidden="false" customHeight="true" outlineLevel="0" collapsed="false">
      <c r="A1500" s="97" t="n">
        <f aca="false">ROW(A1489)</f>
        <v>1489</v>
      </c>
      <c r="B1500" s="97" t="s">
        <v>462</v>
      </c>
      <c r="C1500" s="100" t="n">
        <v>1</v>
      </c>
      <c r="D1500" s="85"/>
      <c r="E1500" s="98" t="s">
        <v>3806</v>
      </c>
      <c r="F1500" s="99" t="s">
        <v>3804</v>
      </c>
      <c r="G1500" s="100" t="s">
        <v>3278</v>
      </c>
      <c r="H1500" s="100" t="s">
        <v>3741</v>
      </c>
      <c r="I1500" s="100" t="s">
        <v>23</v>
      </c>
      <c r="J1500" s="98" t="s">
        <v>464</v>
      </c>
      <c r="K1500" s="101" t="s">
        <v>3807</v>
      </c>
      <c r="L1500" s="102" t="n">
        <v>45757</v>
      </c>
      <c r="M1500" s="100" t="n">
        <v>1248</v>
      </c>
      <c r="N1500" s="100" t="n">
        <v>1586</v>
      </c>
      <c r="O1500" s="100" t="n">
        <v>338</v>
      </c>
      <c r="P1500" s="100" t="n">
        <v>328</v>
      </c>
      <c r="Q1500" s="100"/>
      <c r="R1500" s="103" t="n">
        <f aca="false">合約與計費!$D$4</f>
        <v>0.296</v>
      </c>
      <c r="S1500" s="104" t="n">
        <f aca="false">ROUND(P1500*R1500,0)</f>
        <v>97</v>
      </c>
      <c r="T1500" s="105"/>
      <c r="U1500" s="100"/>
      <c r="V1500" s="100"/>
      <c r="W1500" s="106"/>
      <c r="X1500" s="100"/>
      <c r="Y1500" s="100"/>
      <c r="Z1500" s="107"/>
      <c r="AA1500" s="108"/>
      <c r="AB1500" s="109"/>
      <c r="AC1500" s="110"/>
      <c r="AD1500" s="42" t="n">
        <v>0.058</v>
      </c>
      <c r="AE1500" s="43" t="n">
        <v>0.3</v>
      </c>
    </row>
    <row r="1501" customFormat="false" ht="16.5" hidden="false" customHeight="true" outlineLevel="0" collapsed="false">
      <c r="A1501" s="97" t="n">
        <f aca="false">ROW(A1490)</f>
        <v>1490</v>
      </c>
      <c r="B1501" s="97" t="s">
        <v>466</v>
      </c>
      <c r="C1501" s="100" t="n">
        <v>1</v>
      </c>
      <c r="D1501" s="85"/>
      <c r="E1501" s="98" t="s">
        <v>3808</v>
      </c>
      <c r="F1501" s="99" t="s">
        <v>3804</v>
      </c>
      <c r="G1501" s="100" t="s">
        <v>3278</v>
      </c>
      <c r="H1501" s="100" t="s">
        <v>3741</v>
      </c>
      <c r="I1501" s="100" t="s">
        <v>23</v>
      </c>
      <c r="J1501" s="98" t="s">
        <v>471</v>
      </c>
      <c r="K1501" s="253" t="s">
        <v>3809</v>
      </c>
      <c r="L1501" s="102" t="n">
        <v>45757</v>
      </c>
      <c r="M1501" s="100" t="n">
        <v>4296</v>
      </c>
      <c r="N1501" s="100" t="n">
        <v>4858</v>
      </c>
      <c r="O1501" s="100" t="n">
        <v>562</v>
      </c>
      <c r="P1501" s="100" t="n">
        <v>545</v>
      </c>
      <c r="Q1501" s="100"/>
      <c r="R1501" s="103" t="n">
        <f aca="false">合約與計費!$D$4</f>
        <v>0.296</v>
      </c>
      <c r="S1501" s="104" t="n">
        <f aca="false">ROUND(P1501*R1501,0)</f>
        <v>161</v>
      </c>
      <c r="T1501" s="105"/>
      <c r="U1501" s="100"/>
      <c r="V1501" s="100"/>
      <c r="W1501" s="106"/>
      <c r="X1501" s="100"/>
      <c r="Y1501" s="100"/>
      <c r="Z1501" s="107"/>
      <c r="AA1501" s="108"/>
      <c r="AB1501" s="109"/>
      <c r="AC1501" s="110"/>
      <c r="AD1501" s="42" t="n">
        <v>0.0778</v>
      </c>
      <c r="AE1501" s="43" t="n">
        <v>0.8</v>
      </c>
    </row>
    <row r="1502" customFormat="false" ht="16.5" hidden="false" customHeight="true" outlineLevel="0" collapsed="false">
      <c r="A1502" s="111" t="n">
        <f aca="false">ROW(A1491)</f>
        <v>1491</v>
      </c>
      <c r="B1502" s="111" t="s">
        <v>469</v>
      </c>
      <c r="C1502" s="114" t="n">
        <v>1</v>
      </c>
      <c r="D1502" s="85"/>
      <c r="E1502" s="112" t="s">
        <v>3810</v>
      </c>
      <c r="F1502" s="113" t="s">
        <v>3804</v>
      </c>
      <c r="G1502" s="114" t="s">
        <v>3278</v>
      </c>
      <c r="H1502" s="114" t="s">
        <v>3741</v>
      </c>
      <c r="I1502" s="114" t="s">
        <v>23</v>
      </c>
      <c r="J1502" s="112" t="s">
        <v>471</v>
      </c>
      <c r="K1502" s="115" t="s">
        <v>3811</v>
      </c>
      <c r="L1502" s="116" t="n">
        <v>45757</v>
      </c>
      <c r="M1502" s="114" t="n">
        <v>3877</v>
      </c>
      <c r="N1502" s="114" t="n">
        <v>4532</v>
      </c>
      <c r="O1502" s="114" t="n">
        <v>655</v>
      </c>
      <c r="P1502" s="114" t="n">
        <v>635</v>
      </c>
      <c r="Q1502" s="114" t="n">
        <f aca="false">ROUND(SUM(P1499:P1502),2)</f>
        <v>1517</v>
      </c>
      <c r="R1502" s="117" t="n">
        <f aca="false">合約與計費!$D$4</f>
        <v>0.296</v>
      </c>
      <c r="S1502" s="118" t="n">
        <f aca="false">ROUND(P1502*R1502,0)</f>
        <v>188</v>
      </c>
      <c r="T1502" s="119" t="n">
        <f aca="false">ROUND(SUM(S1499:S1502),2)</f>
        <v>449</v>
      </c>
      <c r="U1502" s="114"/>
      <c r="V1502" s="114"/>
      <c r="W1502" s="120"/>
      <c r="X1502" s="114"/>
      <c r="Y1502" s="114" t="n">
        <f aca="false">ROUND(SUM(X1499:X1502),2)</f>
        <v>16</v>
      </c>
      <c r="Z1502" s="121"/>
      <c r="AA1502" s="122"/>
      <c r="AB1502" s="123" t="n">
        <f aca="false">ROUND(SUM(AA1499:AA1502),2)</f>
        <v>45</v>
      </c>
      <c r="AC1502" s="124"/>
      <c r="AD1502" s="42" t="n">
        <v>0.0844</v>
      </c>
      <c r="AE1502" s="43" t="n">
        <v>0.8</v>
      </c>
    </row>
    <row r="1503" customFormat="false" ht="16.5" hidden="false" customHeight="true" outlineLevel="0" collapsed="false">
      <c r="A1503" s="84" t="n">
        <f aca="false">ROW(A1492)</f>
        <v>1492</v>
      </c>
      <c r="B1503" s="84" t="s">
        <v>455</v>
      </c>
      <c r="C1503" s="32" t="n">
        <v>1</v>
      </c>
      <c r="D1503" s="85" t="n">
        <v>204</v>
      </c>
      <c r="E1503" s="86" t="s">
        <v>3812</v>
      </c>
      <c r="F1503" s="87" t="s">
        <v>3813</v>
      </c>
      <c r="G1503" s="32" t="s">
        <v>3278</v>
      </c>
      <c r="H1503" s="32" t="s">
        <v>3741</v>
      </c>
      <c r="I1503" s="32" t="s">
        <v>424</v>
      </c>
      <c r="J1503" s="86" t="s">
        <v>460</v>
      </c>
      <c r="K1503" s="88" t="s">
        <v>3814</v>
      </c>
      <c r="L1503" s="89" t="n">
        <v>45776</v>
      </c>
      <c r="M1503" s="32" t="n">
        <v>337</v>
      </c>
      <c r="N1503" s="32" t="n">
        <v>453</v>
      </c>
      <c r="O1503" s="32" t="n">
        <v>116</v>
      </c>
      <c r="P1503" s="32" t="n">
        <v>113</v>
      </c>
      <c r="Q1503" s="32"/>
      <c r="R1503" s="90" t="n">
        <f aca="false">合約與計費!$D$4</f>
        <v>0.296</v>
      </c>
      <c r="S1503" s="91" t="n">
        <f aca="false">ROUND(P1503*R1503,0)</f>
        <v>33</v>
      </c>
      <c r="T1503" s="92"/>
      <c r="U1503" s="32" t="n">
        <v>150</v>
      </c>
      <c r="V1503" s="32" t="n">
        <v>235</v>
      </c>
      <c r="W1503" s="32" t="n">
        <v>85</v>
      </c>
      <c r="X1503" s="32" t="n">
        <v>82</v>
      </c>
      <c r="Y1503" s="32"/>
      <c r="Z1503" s="93" t="n">
        <f aca="false">合約與計費!$E$4</f>
        <v>2.8</v>
      </c>
      <c r="AA1503" s="94" t="n">
        <f aca="false">ROUND(X1503*Z1503,0)</f>
        <v>230</v>
      </c>
      <c r="AB1503" s="95"/>
      <c r="AC1503" s="96"/>
      <c r="AD1503" s="42"/>
      <c r="AE1503" s="43"/>
    </row>
    <row r="1504" customFormat="false" ht="16.5" hidden="false" customHeight="true" outlineLevel="0" collapsed="false">
      <c r="A1504" s="97" t="n">
        <f aca="false">ROW(A1493)</f>
        <v>1493</v>
      </c>
      <c r="B1504" s="97" t="s">
        <v>462</v>
      </c>
      <c r="C1504" s="100" t="n">
        <v>1</v>
      </c>
      <c r="D1504" s="85"/>
      <c r="E1504" s="98" t="s">
        <v>3815</v>
      </c>
      <c r="F1504" s="99" t="s">
        <v>3813</v>
      </c>
      <c r="G1504" s="100" t="s">
        <v>3278</v>
      </c>
      <c r="H1504" s="100" t="s">
        <v>3741</v>
      </c>
      <c r="I1504" s="100" t="s">
        <v>424</v>
      </c>
      <c r="J1504" s="98" t="s">
        <v>464</v>
      </c>
      <c r="K1504" s="101" t="s">
        <v>3816</v>
      </c>
      <c r="L1504" s="102" t="n">
        <v>45776</v>
      </c>
      <c r="M1504" s="100" t="n">
        <v>278</v>
      </c>
      <c r="N1504" s="100" t="n">
        <v>414</v>
      </c>
      <c r="O1504" s="100" t="n">
        <v>136</v>
      </c>
      <c r="P1504" s="100" t="n">
        <v>132</v>
      </c>
      <c r="Q1504" s="100"/>
      <c r="R1504" s="103" t="n">
        <f aca="false">合約與計費!$D$4</f>
        <v>0.296</v>
      </c>
      <c r="S1504" s="104" t="n">
        <f aca="false">ROUND(P1504*R1504,0)</f>
        <v>39</v>
      </c>
      <c r="T1504" s="105"/>
      <c r="U1504" s="100"/>
      <c r="V1504" s="100"/>
      <c r="W1504" s="106"/>
      <c r="X1504" s="100"/>
      <c r="Y1504" s="100"/>
      <c r="Z1504" s="107"/>
      <c r="AA1504" s="108"/>
      <c r="AB1504" s="109"/>
      <c r="AC1504" s="110"/>
      <c r="AD1504" s="42" t="n">
        <v>0.0443</v>
      </c>
      <c r="AE1504" s="43" t="n">
        <v>0.9</v>
      </c>
    </row>
    <row r="1505" customFormat="false" ht="16.5" hidden="false" customHeight="true" outlineLevel="0" collapsed="false">
      <c r="A1505" s="97" t="n">
        <f aca="false">ROW(A1494)</f>
        <v>1494</v>
      </c>
      <c r="B1505" s="97" t="s">
        <v>466</v>
      </c>
      <c r="C1505" s="100" t="n">
        <v>1</v>
      </c>
      <c r="D1505" s="85"/>
      <c r="E1505" s="98" t="s">
        <v>3817</v>
      </c>
      <c r="F1505" s="99" t="s">
        <v>3813</v>
      </c>
      <c r="G1505" s="100" t="s">
        <v>3278</v>
      </c>
      <c r="H1505" s="100" t="s">
        <v>3741</v>
      </c>
      <c r="I1505" s="100" t="s">
        <v>424</v>
      </c>
      <c r="J1505" s="98" t="s">
        <v>471</v>
      </c>
      <c r="K1505" s="253" t="s">
        <v>3818</v>
      </c>
      <c r="L1505" s="102" t="n">
        <v>45681</v>
      </c>
      <c r="M1505" s="100" t="n">
        <v>7728</v>
      </c>
      <c r="N1505" s="100" t="n">
        <v>8320</v>
      </c>
      <c r="O1505" s="100" t="n">
        <v>592</v>
      </c>
      <c r="P1505" s="100" t="n">
        <v>574</v>
      </c>
      <c r="Q1505" s="100"/>
      <c r="R1505" s="103" t="n">
        <f aca="false">合約與計費!$D$4</f>
        <v>0.296</v>
      </c>
      <c r="S1505" s="104" t="n">
        <f aca="false">ROUND(P1505*R1505,0)</f>
        <v>170</v>
      </c>
      <c r="T1505" s="105"/>
      <c r="U1505" s="100"/>
      <c r="V1505" s="100"/>
      <c r="W1505" s="106"/>
      <c r="X1505" s="100"/>
      <c r="Y1505" s="100"/>
      <c r="Z1505" s="107"/>
      <c r="AA1505" s="108"/>
      <c r="AB1505" s="109"/>
      <c r="AC1505" s="110"/>
      <c r="AD1505" s="42" t="n">
        <v>0.0783</v>
      </c>
      <c r="AE1505" s="43" t="n">
        <v>0.3</v>
      </c>
    </row>
    <row r="1506" customFormat="false" ht="16.5" hidden="false" customHeight="true" outlineLevel="0" collapsed="false">
      <c r="A1506" s="97" t="n">
        <f aca="false">ROW(A1495)</f>
        <v>1495</v>
      </c>
      <c r="B1506" s="97" t="s">
        <v>469</v>
      </c>
      <c r="C1506" s="114" t="n">
        <v>1</v>
      </c>
      <c r="D1506" s="85"/>
      <c r="E1506" s="98" t="s">
        <v>3819</v>
      </c>
      <c r="F1506" s="99" t="s">
        <v>3813</v>
      </c>
      <c r="G1506" s="100" t="s">
        <v>3278</v>
      </c>
      <c r="H1506" s="100" t="s">
        <v>3741</v>
      </c>
      <c r="I1506" s="100" t="s">
        <v>424</v>
      </c>
      <c r="J1506" s="98" t="s">
        <v>471</v>
      </c>
      <c r="K1506" s="115" t="s">
        <v>3820</v>
      </c>
      <c r="L1506" s="116" t="n">
        <v>45908</v>
      </c>
      <c r="M1506" s="114" t="n">
        <v>100</v>
      </c>
      <c r="N1506" s="114" t="n">
        <v>1107</v>
      </c>
      <c r="O1506" s="100" t="n">
        <v>1007</v>
      </c>
      <c r="P1506" s="100" t="n">
        <v>977</v>
      </c>
      <c r="Q1506" s="100" t="n">
        <f aca="false">ROUND(SUM(P1503:P1506),2)</f>
        <v>1796</v>
      </c>
      <c r="R1506" s="103" t="n">
        <f aca="false">合約與計費!$D$4</f>
        <v>0.296</v>
      </c>
      <c r="S1506" s="104" t="n">
        <f aca="false">ROUND(P1506*R1506,0)</f>
        <v>289</v>
      </c>
      <c r="T1506" s="105" t="n">
        <f aca="false">ROUND(SUM(S1503:S1506),2)</f>
        <v>531</v>
      </c>
      <c r="U1506" s="114"/>
      <c r="V1506" s="114"/>
      <c r="W1506" s="120"/>
      <c r="X1506" s="114"/>
      <c r="Y1506" s="114" t="n">
        <f aca="false">ROUND(SUM(X1503:X1506),2)</f>
        <v>82</v>
      </c>
      <c r="Z1506" s="121"/>
      <c r="AA1506" s="122"/>
      <c r="AB1506" s="123" t="n">
        <f aca="false">ROUND(SUM(AA1503:AA1506),2)</f>
        <v>230</v>
      </c>
      <c r="AC1506" s="124"/>
      <c r="AD1506" s="42" t="n">
        <v>0.0745</v>
      </c>
      <c r="AE1506" s="43" t="n">
        <v>0.3</v>
      </c>
    </row>
    <row r="1507" customFormat="false" ht="16.5" hidden="false" customHeight="true" outlineLevel="0" collapsed="false">
      <c r="A1507" s="84" t="n">
        <f aca="false">ROW(A1496)</f>
        <v>1496</v>
      </c>
      <c r="B1507" s="84" t="s">
        <v>455</v>
      </c>
      <c r="C1507" s="32" t="n">
        <v>1</v>
      </c>
      <c r="D1507" s="85" t="n">
        <v>271</v>
      </c>
      <c r="E1507" s="86" t="s">
        <v>3821</v>
      </c>
      <c r="F1507" s="87" t="s">
        <v>3822</v>
      </c>
      <c r="G1507" s="32" t="s">
        <v>3278</v>
      </c>
      <c r="H1507" s="32" t="s">
        <v>3741</v>
      </c>
      <c r="I1507" s="172" t="s">
        <v>320</v>
      </c>
      <c r="J1507" s="86" t="s">
        <v>460</v>
      </c>
      <c r="K1507" s="88" t="s">
        <v>3823</v>
      </c>
      <c r="L1507" s="89" t="n">
        <v>45743</v>
      </c>
      <c r="M1507" s="32" t="n">
        <v>35</v>
      </c>
      <c r="N1507" s="32" t="n">
        <v>41</v>
      </c>
      <c r="O1507" s="32" t="n">
        <v>6</v>
      </c>
      <c r="P1507" s="32" t="n">
        <v>6</v>
      </c>
      <c r="Q1507" s="32"/>
      <c r="R1507" s="90" t="n">
        <f aca="false">合約與計費!$D$4</f>
        <v>0.296</v>
      </c>
      <c r="S1507" s="91" t="n">
        <f aca="false">ROUND(P1507*R1507,0)</f>
        <v>2</v>
      </c>
      <c r="T1507" s="92"/>
      <c r="U1507" s="32" t="n">
        <v>104</v>
      </c>
      <c r="V1507" s="32" t="n">
        <v>132</v>
      </c>
      <c r="W1507" s="32" t="n">
        <v>28</v>
      </c>
      <c r="X1507" s="32" t="n">
        <v>27</v>
      </c>
      <c r="Y1507" s="32"/>
      <c r="Z1507" s="93" t="n">
        <f aca="false">合約與計費!$E$4</f>
        <v>2.8</v>
      </c>
      <c r="AA1507" s="94" t="n">
        <f aca="false">ROUND(X1507*Z1507,0)</f>
        <v>76</v>
      </c>
      <c r="AB1507" s="95"/>
      <c r="AC1507" s="96"/>
      <c r="AD1507" s="42"/>
      <c r="AE1507" s="43"/>
    </row>
    <row r="1508" customFormat="false" ht="16.5" hidden="false" customHeight="true" outlineLevel="0" collapsed="false">
      <c r="A1508" s="97" t="n">
        <f aca="false">ROW(A1497)</f>
        <v>1497</v>
      </c>
      <c r="B1508" s="97" t="s">
        <v>462</v>
      </c>
      <c r="C1508" s="100" t="n">
        <v>1</v>
      </c>
      <c r="D1508" s="85"/>
      <c r="E1508" s="98" t="s">
        <v>3824</v>
      </c>
      <c r="F1508" s="99" t="s">
        <v>3822</v>
      </c>
      <c r="G1508" s="100" t="s">
        <v>3278</v>
      </c>
      <c r="H1508" s="100" t="s">
        <v>3741</v>
      </c>
      <c r="I1508" s="175" t="s">
        <v>320</v>
      </c>
      <c r="J1508" s="98" t="s">
        <v>464</v>
      </c>
      <c r="K1508" s="101" t="s">
        <v>3825</v>
      </c>
      <c r="L1508" s="102" t="n">
        <v>45743</v>
      </c>
      <c r="M1508" s="100" t="n">
        <v>247</v>
      </c>
      <c r="N1508" s="100" t="n">
        <v>294</v>
      </c>
      <c r="O1508" s="100" t="n">
        <v>47</v>
      </c>
      <c r="P1508" s="100" t="n">
        <v>46</v>
      </c>
      <c r="Q1508" s="100"/>
      <c r="R1508" s="103" t="n">
        <f aca="false">合約與計費!$D$4</f>
        <v>0.296</v>
      </c>
      <c r="S1508" s="104" t="n">
        <f aca="false">ROUND(P1508*R1508,0)</f>
        <v>14</v>
      </c>
      <c r="T1508" s="105"/>
      <c r="U1508" s="100"/>
      <c r="V1508" s="100"/>
      <c r="W1508" s="106"/>
      <c r="X1508" s="100"/>
      <c r="Y1508" s="100"/>
      <c r="Z1508" s="107"/>
      <c r="AA1508" s="108"/>
      <c r="AB1508" s="109"/>
      <c r="AC1508" s="110"/>
      <c r="AD1508" s="42" t="n">
        <v>0.0425</v>
      </c>
      <c r="AE1508" s="43" t="n">
        <v>0.9</v>
      </c>
    </row>
    <row r="1509" customFormat="false" ht="16.5" hidden="false" customHeight="true" outlineLevel="0" collapsed="false">
      <c r="A1509" s="97" t="n">
        <f aca="false">ROW(A1498)</f>
        <v>1498</v>
      </c>
      <c r="B1509" s="97" t="s">
        <v>466</v>
      </c>
      <c r="C1509" s="100" t="n">
        <v>1</v>
      </c>
      <c r="D1509" s="85"/>
      <c r="E1509" s="98" t="s">
        <v>3826</v>
      </c>
      <c r="F1509" s="99" t="s">
        <v>3822</v>
      </c>
      <c r="G1509" s="100" t="s">
        <v>3278</v>
      </c>
      <c r="H1509" s="100" t="s">
        <v>3741</v>
      </c>
      <c r="I1509" s="175" t="s">
        <v>320</v>
      </c>
      <c r="J1509" s="98" t="s">
        <v>471</v>
      </c>
      <c r="K1509" s="101" t="s">
        <v>3827</v>
      </c>
      <c r="L1509" s="102" t="n">
        <v>45743</v>
      </c>
      <c r="M1509" s="100" t="n">
        <v>828</v>
      </c>
      <c r="N1509" s="100" t="n">
        <v>941</v>
      </c>
      <c r="O1509" s="100" t="n">
        <v>113</v>
      </c>
      <c r="P1509" s="100" t="n">
        <v>110</v>
      </c>
      <c r="Q1509" s="100"/>
      <c r="R1509" s="103" t="n">
        <f aca="false">合約與計費!$D$4</f>
        <v>0.296</v>
      </c>
      <c r="S1509" s="104" t="n">
        <f aca="false">ROUND(P1509*R1509,0)</f>
        <v>33</v>
      </c>
      <c r="T1509" s="105"/>
      <c r="U1509" s="100"/>
      <c r="V1509" s="100"/>
      <c r="W1509" s="106"/>
      <c r="X1509" s="100"/>
      <c r="Y1509" s="100"/>
      <c r="Z1509" s="107"/>
      <c r="AA1509" s="108"/>
      <c r="AB1509" s="109"/>
      <c r="AC1509" s="110"/>
      <c r="AD1509" s="42" t="n">
        <v>0.0441</v>
      </c>
      <c r="AE1509" s="43" t="n">
        <v>1</v>
      </c>
    </row>
    <row r="1510" customFormat="false" ht="16.5" hidden="false" customHeight="true" outlineLevel="0" collapsed="false">
      <c r="A1510" s="97" t="n">
        <f aca="false">ROW(A1499)</f>
        <v>1499</v>
      </c>
      <c r="B1510" s="97" t="s">
        <v>469</v>
      </c>
      <c r="C1510" s="100" t="n">
        <v>1</v>
      </c>
      <c r="D1510" s="85"/>
      <c r="E1510" s="98" t="s">
        <v>3828</v>
      </c>
      <c r="F1510" s="99" t="s">
        <v>3822</v>
      </c>
      <c r="G1510" s="100" t="s">
        <v>3278</v>
      </c>
      <c r="H1510" s="100" t="s">
        <v>3741</v>
      </c>
      <c r="I1510" s="175" t="s">
        <v>320</v>
      </c>
      <c r="J1510" s="98" t="s">
        <v>471</v>
      </c>
      <c r="K1510" s="101" t="s">
        <v>3829</v>
      </c>
      <c r="L1510" s="102" t="n">
        <v>45743</v>
      </c>
      <c r="M1510" s="100" t="n">
        <v>3114</v>
      </c>
      <c r="N1510" s="100" t="n">
        <v>3865</v>
      </c>
      <c r="O1510" s="100" t="n">
        <v>751</v>
      </c>
      <c r="P1510" s="100" t="n">
        <v>728</v>
      </c>
      <c r="Q1510" s="100"/>
      <c r="R1510" s="103" t="n">
        <f aca="false">合約與計費!$D$4</f>
        <v>0.296</v>
      </c>
      <c r="S1510" s="104" t="n">
        <f aca="false">ROUND(P1510*R1510,0)</f>
        <v>215</v>
      </c>
      <c r="T1510" s="105"/>
      <c r="U1510" s="100"/>
      <c r="V1510" s="100"/>
      <c r="W1510" s="106"/>
      <c r="X1510" s="100"/>
      <c r="Y1510" s="100"/>
      <c r="Z1510" s="107"/>
      <c r="AA1510" s="108"/>
      <c r="AB1510" s="109"/>
      <c r="AC1510" s="110"/>
      <c r="AD1510" s="42" t="n">
        <v>0.0793</v>
      </c>
      <c r="AE1510" s="43" t="n">
        <v>0.8</v>
      </c>
    </row>
    <row r="1511" customFormat="false" ht="16.5" hidden="false" customHeight="true" outlineLevel="0" collapsed="false">
      <c r="A1511" s="97" t="n">
        <f aca="false">ROW(A1500)</f>
        <v>1500</v>
      </c>
      <c r="B1511" s="97" t="s">
        <v>473</v>
      </c>
      <c r="C1511" s="100" t="n">
        <v>1</v>
      </c>
      <c r="D1511" s="85"/>
      <c r="E1511" s="98" t="s">
        <v>3830</v>
      </c>
      <c r="F1511" s="99" t="s">
        <v>3822</v>
      </c>
      <c r="G1511" s="100" t="s">
        <v>3278</v>
      </c>
      <c r="H1511" s="100" t="s">
        <v>3741</v>
      </c>
      <c r="I1511" s="175" t="s">
        <v>320</v>
      </c>
      <c r="J1511" s="98" t="s">
        <v>471</v>
      </c>
      <c r="K1511" s="101" t="s">
        <v>3831</v>
      </c>
      <c r="L1511" s="102" t="n">
        <v>45743</v>
      </c>
      <c r="M1511" s="100" t="n">
        <v>7076</v>
      </c>
      <c r="N1511" s="100" t="n">
        <v>8292</v>
      </c>
      <c r="O1511" s="100" t="n">
        <v>1216</v>
      </c>
      <c r="P1511" s="100" t="n">
        <v>1180</v>
      </c>
      <c r="Q1511" s="100"/>
      <c r="R1511" s="103" t="n">
        <f aca="false">合約與計費!$D$4</f>
        <v>0.296</v>
      </c>
      <c r="S1511" s="104" t="n">
        <f aca="false">ROUND(P1511*R1511,0)</f>
        <v>349</v>
      </c>
      <c r="T1511" s="105"/>
      <c r="U1511" s="100"/>
      <c r="V1511" s="100"/>
      <c r="W1511" s="106"/>
      <c r="X1511" s="100"/>
      <c r="Y1511" s="100"/>
      <c r="Z1511" s="107"/>
      <c r="AA1511" s="108"/>
      <c r="AB1511" s="109"/>
      <c r="AC1511" s="110"/>
      <c r="AD1511" s="42" t="n">
        <v>0.0861</v>
      </c>
      <c r="AE1511" s="43" t="n">
        <v>0.5</v>
      </c>
    </row>
    <row r="1512" customFormat="false" ht="16.5" hidden="false" customHeight="true" outlineLevel="0" collapsed="false">
      <c r="A1512" s="111" t="n">
        <f aca="false">ROW(A1501)</f>
        <v>1501</v>
      </c>
      <c r="B1512" s="111" t="s">
        <v>476</v>
      </c>
      <c r="C1512" s="114" t="n">
        <v>1</v>
      </c>
      <c r="D1512" s="85"/>
      <c r="E1512" s="112" t="s">
        <v>3832</v>
      </c>
      <c r="F1512" s="113" t="s">
        <v>3822</v>
      </c>
      <c r="G1512" s="114" t="s">
        <v>3278</v>
      </c>
      <c r="H1512" s="114" t="s">
        <v>3741</v>
      </c>
      <c r="I1512" s="173" t="s">
        <v>320</v>
      </c>
      <c r="J1512" s="112" t="s">
        <v>471</v>
      </c>
      <c r="K1512" s="115" t="s">
        <v>3833</v>
      </c>
      <c r="L1512" s="116" t="n">
        <v>45743</v>
      </c>
      <c r="M1512" s="114" t="n">
        <v>850</v>
      </c>
      <c r="N1512" s="114" t="n">
        <v>1055</v>
      </c>
      <c r="O1512" s="114" t="n">
        <v>205</v>
      </c>
      <c r="P1512" s="114" t="n">
        <v>199</v>
      </c>
      <c r="Q1512" s="114" t="n">
        <f aca="false">ROUND(SUM(P1507:P1512),2)</f>
        <v>2269</v>
      </c>
      <c r="R1512" s="117" t="n">
        <f aca="false">合約與計費!$D$4</f>
        <v>0.296</v>
      </c>
      <c r="S1512" s="118" t="n">
        <f aca="false">ROUND(P1512*R1512,0)</f>
        <v>59</v>
      </c>
      <c r="T1512" s="119" t="n">
        <f aca="false">ROUND(SUM(S1507:S1512),2)</f>
        <v>672</v>
      </c>
      <c r="U1512" s="114"/>
      <c r="V1512" s="114"/>
      <c r="W1512" s="120"/>
      <c r="X1512" s="114"/>
      <c r="Y1512" s="114" t="n">
        <f aca="false">ROUND(SUM(X1507:X1512),2)</f>
        <v>27</v>
      </c>
      <c r="Z1512" s="121"/>
      <c r="AA1512" s="122"/>
      <c r="AB1512" s="123" t="n">
        <f aca="false">ROUND(SUM(AA1507:AA1512),2)</f>
        <v>76</v>
      </c>
      <c r="AC1512" s="124"/>
      <c r="AD1512" s="42" t="n">
        <v>0.0465</v>
      </c>
      <c r="AE1512" s="43" t="n">
        <v>0.7</v>
      </c>
    </row>
    <row r="1513" customFormat="false" ht="16.5" hidden="false" customHeight="true" outlineLevel="0" collapsed="false">
      <c r="A1513" s="84" t="n">
        <f aca="false">ROW(A1502)</f>
        <v>1502</v>
      </c>
      <c r="B1513" s="84" t="s">
        <v>455</v>
      </c>
      <c r="C1513" s="32" t="n">
        <v>1</v>
      </c>
      <c r="D1513" s="85" t="n">
        <v>280</v>
      </c>
      <c r="E1513" s="86" t="s">
        <v>3834</v>
      </c>
      <c r="F1513" s="87" t="s">
        <v>3835</v>
      </c>
      <c r="G1513" s="32" t="s">
        <v>3278</v>
      </c>
      <c r="H1513" s="32" t="s">
        <v>3741</v>
      </c>
      <c r="I1513" s="172" t="s">
        <v>242</v>
      </c>
      <c r="J1513" s="86" t="s">
        <v>460</v>
      </c>
      <c r="K1513" s="88" t="s">
        <v>3836</v>
      </c>
      <c r="L1513" s="89" t="n">
        <v>45783</v>
      </c>
      <c r="M1513" s="32" t="n">
        <v>198</v>
      </c>
      <c r="N1513" s="32" t="n">
        <v>228</v>
      </c>
      <c r="O1513" s="32" t="n">
        <v>30</v>
      </c>
      <c r="P1513" s="32" t="n">
        <v>29</v>
      </c>
      <c r="Q1513" s="32"/>
      <c r="R1513" s="90" t="n">
        <f aca="false">合約與計費!$D$4</f>
        <v>0.296</v>
      </c>
      <c r="S1513" s="91" t="n">
        <f aca="false">ROUND(P1513*R1513,0)</f>
        <v>9</v>
      </c>
      <c r="T1513" s="92"/>
      <c r="U1513" s="32" t="n">
        <v>203</v>
      </c>
      <c r="V1513" s="32" t="n">
        <v>279</v>
      </c>
      <c r="W1513" s="32" t="n">
        <v>76</v>
      </c>
      <c r="X1513" s="32" t="n">
        <v>74</v>
      </c>
      <c r="Y1513" s="32"/>
      <c r="Z1513" s="93" t="n">
        <f aca="false">合約與計費!$E$4</f>
        <v>2.8</v>
      </c>
      <c r="AA1513" s="94" t="n">
        <f aca="false">ROUND(X1513*Z1513,0)</f>
        <v>207</v>
      </c>
      <c r="AB1513" s="95"/>
      <c r="AC1513" s="96"/>
      <c r="AD1513" s="42"/>
      <c r="AE1513" s="43"/>
    </row>
    <row r="1514" customFormat="false" ht="16.5" hidden="false" customHeight="true" outlineLevel="0" collapsed="false">
      <c r="A1514" s="111" t="n">
        <f aca="false">ROW(A1503)</f>
        <v>1503</v>
      </c>
      <c r="B1514" s="111" t="s">
        <v>462</v>
      </c>
      <c r="C1514" s="114" t="n">
        <v>1</v>
      </c>
      <c r="D1514" s="85"/>
      <c r="E1514" s="112" t="s">
        <v>3837</v>
      </c>
      <c r="F1514" s="113" t="s">
        <v>3835</v>
      </c>
      <c r="G1514" s="114" t="s">
        <v>3278</v>
      </c>
      <c r="H1514" s="114" t="s">
        <v>3741</v>
      </c>
      <c r="I1514" s="173" t="s">
        <v>242</v>
      </c>
      <c r="J1514" s="112" t="s">
        <v>464</v>
      </c>
      <c r="K1514" s="115" t="s">
        <v>3838</v>
      </c>
      <c r="L1514" s="116" t="n">
        <v>45783</v>
      </c>
      <c r="M1514" s="114" t="n">
        <v>194</v>
      </c>
      <c r="N1514" s="114" t="n">
        <v>265</v>
      </c>
      <c r="O1514" s="114" t="n">
        <v>71</v>
      </c>
      <c r="P1514" s="114" t="n">
        <v>69</v>
      </c>
      <c r="Q1514" s="114" t="n">
        <f aca="false">ROUND(SUM(P1513:P1514),2)</f>
        <v>98</v>
      </c>
      <c r="R1514" s="117" t="n">
        <f aca="false">合約與計費!$D$4</f>
        <v>0.296</v>
      </c>
      <c r="S1514" s="118" t="n">
        <f aca="false">ROUND(P1514*R1514,0)</f>
        <v>20</v>
      </c>
      <c r="T1514" s="119" t="n">
        <f aca="false">ROUND(SUM(S1513:S1514),2)</f>
        <v>29</v>
      </c>
      <c r="U1514" s="114"/>
      <c r="V1514" s="114"/>
      <c r="W1514" s="120"/>
      <c r="X1514" s="114"/>
      <c r="Y1514" s="114" t="n">
        <f aca="false">ROUND(SUM(X1513:X1514),2)</f>
        <v>74</v>
      </c>
      <c r="Z1514" s="121"/>
      <c r="AA1514" s="122"/>
      <c r="AB1514" s="123" t="n">
        <f aca="false">ROUND(SUM(AA1513:AA1514),2)</f>
        <v>207</v>
      </c>
      <c r="AC1514" s="124"/>
      <c r="AD1514" s="42" t="n">
        <v>0.042</v>
      </c>
      <c r="AE1514" s="43" t="n">
        <v>0.9</v>
      </c>
    </row>
    <row r="1515" customFormat="false" ht="16.5" hidden="false" customHeight="true" outlineLevel="0" collapsed="false">
      <c r="A1515" s="84" t="n">
        <f aca="false">ROW(A1504)</f>
        <v>1504</v>
      </c>
      <c r="B1515" s="84" t="s">
        <v>455</v>
      </c>
      <c r="C1515" s="32" t="n">
        <v>1</v>
      </c>
      <c r="D1515" s="85" t="n">
        <v>331</v>
      </c>
      <c r="E1515" s="233" t="s">
        <v>3839</v>
      </c>
      <c r="F1515" s="87" t="s">
        <v>3840</v>
      </c>
      <c r="G1515" s="32" t="s">
        <v>3278</v>
      </c>
      <c r="H1515" s="32" t="s">
        <v>3741</v>
      </c>
      <c r="I1515" s="172" t="s">
        <v>354</v>
      </c>
      <c r="J1515" s="86" t="s">
        <v>460</v>
      </c>
      <c r="K1515" s="88" t="s">
        <v>3841</v>
      </c>
      <c r="L1515" s="89" t="n">
        <v>45776</v>
      </c>
      <c r="M1515" s="32" t="n">
        <v>76</v>
      </c>
      <c r="N1515" s="32" t="n">
        <v>93</v>
      </c>
      <c r="O1515" s="32" t="n">
        <v>17</v>
      </c>
      <c r="P1515" s="32" t="n">
        <v>16</v>
      </c>
      <c r="Q1515" s="32"/>
      <c r="R1515" s="90" t="n">
        <f aca="false">合約與計費!$D$4</f>
        <v>0.296</v>
      </c>
      <c r="S1515" s="91" t="n">
        <f aca="false">ROUND(P1515*R1515,0)</f>
        <v>5</v>
      </c>
      <c r="T1515" s="92"/>
      <c r="U1515" s="32" t="n">
        <v>771</v>
      </c>
      <c r="V1515" s="32" t="n">
        <v>956</v>
      </c>
      <c r="W1515" s="32" t="n">
        <v>185</v>
      </c>
      <c r="X1515" s="32" t="n">
        <v>179</v>
      </c>
      <c r="Y1515" s="32"/>
      <c r="Z1515" s="93" t="n">
        <f aca="false">合約與計費!$E$4</f>
        <v>2.8</v>
      </c>
      <c r="AA1515" s="94" t="n">
        <f aca="false">ROUND(X1515*Z1515,0)</f>
        <v>501</v>
      </c>
      <c r="AB1515" s="95"/>
      <c r="AC1515" s="96"/>
      <c r="AD1515" s="42"/>
      <c r="AE1515" s="43"/>
    </row>
    <row r="1516" customFormat="false" ht="16.5" hidden="false" customHeight="true" outlineLevel="0" collapsed="false">
      <c r="A1516" s="97" t="n">
        <f aca="false">ROW(A1505)</f>
        <v>1505</v>
      </c>
      <c r="B1516" s="97" t="s">
        <v>462</v>
      </c>
      <c r="C1516" s="100" t="n">
        <v>1</v>
      </c>
      <c r="D1516" s="85"/>
      <c r="E1516" s="234" t="s">
        <v>3842</v>
      </c>
      <c r="F1516" s="99" t="s">
        <v>3840</v>
      </c>
      <c r="G1516" s="100" t="s">
        <v>3278</v>
      </c>
      <c r="H1516" s="100" t="s">
        <v>3741</v>
      </c>
      <c r="I1516" s="175" t="s">
        <v>354</v>
      </c>
      <c r="J1516" s="98" t="s">
        <v>464</v>
      </c>
      <c r="K1516" s="101" t="s">
        <v>3843</v>
      </c>
      <c r="L1516" s="102" t="n">
        <v>45776</v>
      </c>
      <c r="M1516" s="100" t="n">
        <v>996</v>
      </c>
      <c r="N1516" s="100" t="n">
        <v>1202</v>
      </c>
      <c r="O1516" s="100" t="n">
        <v>206</v>
      </c>
      <c r="P1516" s="100" t="n">
        <v>200</v>
      </c>
      <c r="Q1516" s="100"/>
      <c r="R1516" s="103" t="n">
        <f aca="false">合約與計費!$D$4</f>
        <v>0.296</v>
      </c>
      <c r="S1516" s="104" t="n">
        <f aca="false">ROUND(P1516*R1516,0)</f>
        <v>59</v>
      </c>
      <c r="T1516" s="105"/>
      <c r="U1516" s="100"/>
      <c r="V1516" s="100"/>
      <c r="W1516" s="106"/>
      <c r="X1516" s="100"/>
      <c r="Y1516" s="100"/>
      <c r="Z1516" s="107"/>
      <c r="AA1516" s="108"/>
      <c r="AB1516" s="109"/>
      <c r="AC1516" s="110"/>
      <c r="AD1516" s="42" t="n">
        <v>0.0682</v>
      </c>
      <c r="AE1516" s="43" t="n">
        <v>0.3</v>
      </c>
    </row>
    <row r="1517" customFormat="false" ht="16.5" hidden="false" customHeight="true" outlineLevel="0" collapsed="false">
      <c r="A1517" s="111" t="n">
        <f aca="false">ROW(A1506)</f>
        <v>1506</v>
      </c>
      <c r="B1517" s="111" t="s">
        <v>466</v>
      </c>
      <c r="C1517" s="114" t="n">
        <v>1</v>
      </c>
      <c r="D1517" s="85"/>
      <c r="E1517" s="235" t="s">
        <v>3844</v>
      </c>
      <c r="F1517" s="113" t="s">
        <v>3840</v>
      </c>
      <c r="G1517" s="114" t="s">
        <v>3278</v>
      </c>
      <c r="H1517" s="114" t="s">
        <v>3741</v>
      </c>
      <c r="I1517" s="173" t="s">
        <v>354</v>
      </c>
      <c r="J1517" s="112" t="s">
        <v>471</v>
      </c>
      <c r="K1517" s="115" t="s">
        <v>3845</v>
      </c>
      <c r="L1517" s="116" t="n">
        <v>45776</v>
      </c>
      <c r="M1517" s="114" t="n">
        <v>2510</v>
      </c>
      <c r="N1517" s="114" t="n">
        <v>3156</v>
      </c>
      <c r="O1517" s="100" t="n">
        <v>646</v>
      </c>
      <c r="P1517" s="100" t="n">
        <v>627</v>
      </c>
      <c r="Q1517" s="100" t="n">
        <f aca="false">ROUND(SUM(P1515:P1517),2)</f>
        <v>843</v>
      </c>
      <c r="R1517" s="117" t="n">
        <f aca="false">合約與計費!$D$4</f>
        <v>0.296</v>
      </c>
      <c r="S1517" s="118" t="n">
        <f aca="false">ROUND(P1517*R1517,0)</f>
        <v>186</v>
      </c>
      <c r="T1517" s="105" t="n">
        <f aca="false">ROUND(SUM(S1515:S1517),2)</f>
        <v>250</v>
      </c>
      <c r="U1517" s="114"/>
      <c r="V1517" s="114"/>
      <c r="W1517" s="120"/>
      <c r="X1517" s="114"/>
      <c r="Y1517" s="100" t="n">
        <f aca="false">ROUND(SUM(X1515:X1517),2)</f>
        <v>179</v>
      </c>
      <c r="Z1517" s="121"/>
      <c r="AA1517" s="108"/>
      <c r="AB1517" s="109" t="n">
        <f aca="false">ROUND(SUM(AA1515:AA1517),2)</f>
        <v>501</v>
      </c>
      <c r="AC1517" s="124"/>
      <c r="AD1517" s="42" t="n">
        <v>0.0673</v>
      </c>
      <c r="AE1517" s="43" t="n">
        <v>0.9</v>
      </c>
    </row>
    <row r="1518" customFormat="false" ht="16.5" hidden="false" customHeight="true" outlineLevel="0" collapsed="false">
      <c r="A1518" s="84" t="n">
        <f aca="false">ROW(A1507)</f>
        <v>1507</v>
      </c>
      <c r="B1518" s="84" t="s">
        <v>455</v>
      </c>
      <c r="C1518" s="32" t="n">
        <v>1</v>
      </c>
      <c r="D1518" s="85" t="n">
        <v>412</v>
      </c>
      <c r="E1518" s="86" t="s">
        <v>3846</v>
      </c>
      <c r="F1518" s="87" t="s">
        <v>3847</v>
      </c>
      <c r="G1518" s="32" t="s">
        <v>3278</v>
      </c>
      <c r="H1518" s="32" t="s">
        <v>3741</v>
      </c>
      <c r="I1518" s="172" t="s">
        <v>339</v>
      </c>
      <c r="J1518" s="86" t="s">
        <v>460</v>
      </c>
      <c r="K1518" s="225" t="s">
        <v>3848</v>
      </c>
      <c r="L1518" s="89" t="n">
        <v>45813</v>
      </c>
      <c r="M1518" s="32" t="n">
        <v>159</v>
      </c>
      <c r="N1518" s="32" t="n">
        <v>249</v>
      </c>
      <c r="O1518" s="32" t="n">
        <v>90</v>
      </c>
      <c r="P1518" s="32" t="n">
        <v>87</v>
      </c>
      <c r="Q1518" s="32"/>
      <c r="R1518" s="90" t="n">
        <f aca="false">合約與計費!$D$4</f>
        <v>0.296</v>
      </c>
      <c r="S1518" s="91" t="n">
        <f aca="false">ROUND(P1518*R1518,0)</f>
        <v>26</v>
      </c>
      <c r="T1518" s="92"/>
      <c r="U1518" s="32" t="n">
        <v>60</v>
      </c>
      <c r="V1518" s="32" t="n">
        <v>87</v>
      </c>
      <c r="W1518" s="32" t="n">
        <v>27</v>
      </c>
      <c r="X1518" s="32" t="n">
        <v>26</v>
      </c>
      <c r="Y1518" s="32"/>
      <c r="Z1518" s="93" t="n">
        <f aca="false">合約與計費!$E$4</f>
        <v>2.8</v>
      </c>
      <c r="AA1518" s="94" t="n">
        <f aca="false">ROUND(X1518*Z1518,0)</f>
        <v>73</v>
      </c>
      <c r="AB1518" s="95"/>
      <c r="AC1518" s="96"/>
      <c r="AD1518" s="42"/>
      <c r="AE1518" s="43"/>
    </row>
    <row r="1519" customFormat="false" ht="16.5" hidden="false" customHeight="true" outlineLevel="0" collapsed="false">
      <c r="A1519" s="97" t="n">
        <f aca="false">ROW(A1508)</f>
        <v>1508</v>
      </c>
      <c r="B1519" s="97" t="s">
        <v>462</v>
      </c>
      <c r="C1519" s="100" t="n">
        <v>1</v>
      </c>
      <c r="D1519" s="85"/>
      <c r="E1519" s="98" t="s">
        <v>3849</v>
      </c>
      <c r="F1519" s="99" t="s">
        <v>3847</v>
      </c>
      <c r="G1519" s="100" t="s">
        <v>3278</v>
      </c>
      <c r="H1519" s="100" t="s">
        <v>3741</v>
      </c>
      <c r="I1519" s="175" t="s">
        <v>339</v>
      </c>
      <c r="J1519" s="98" t="s">
        <v>471</v>
      </c>
      <c r="K1519" s="101" t="s">
        <v>3850</v>
      </c>
      <c r="L1519" s="102" t="n">
        <v>45757</v>
      </c>
      <c r="M1519" s="100" t="n">
        <v>4707</v>
      </c>
      <c r="N1519" s="100" t="n">
        <v>5762</v>
      </c>
      <c r="O1519" s="100" t="n">
        <v>1055</v>
      </c>
      <c r="P1519" s="100" t="n">
        <v>1023</v>
      </c>
      <c r="Q1519" s="100"/>
      <c r="R1519" s="103" t="n">
        <f aca="false">合約與計費!$D$4</f>
        <v>0.296</v>
      </c>
      <c r="S1519" s="104" t="n">
        <f aca="false">ROUND(P1519*R1519,0)</f>
        <v>303</v>
      </c>
      <c r="T1519" s="105"/>
      <c r="U1519" s="100"/>
      <c r="V1519" s="100"/>
      <c r="W1519" s="106"/>
      <c r="X1519" s="100"/>
      <c r="Y1519" s="100"/>
      <c r="Z1519" s="107"/>
      <c r="AA1519" s="108"/>
      <c r="AB1519" s="109"/>
      <c r="AC1519" s="110"/>
      <c r="AD1519" s="42" t="n">
        <v>0.0752</v>
      </c>
      <c r="AE1519" s="43" t="n">
        <v>0.7</v>
      </c>
    </row>
    <row r="1520" customFormat="false" ht="16.5" hidden="false" customHeight="true" outlineLevel="0" collapsed="false">
      <c r="A1520" s="111" t="n">
        <f aca="false">ROW(A1509)</f>
        <v>1509</v>
      </c>
      <c r="B1520" s="111" t="s">
        <v>466</v>
      </c>
      <c r="C1520" s="114" t="n">
        <v>1</v>
      </c>
      <c r="D1520" s="85"/>
      <c r="E1520" s="112" t="s">
        <v>3851</v>
      </c>
      <c r="F1520" s="113" t="s">
        <v>3847</v>
      </c>
      <c r="G1520" s="114" t="s">
        <v>3278</v>
      </c>
      <c r="H1520" s="114" t="s">
        <v>3741</v>
      </c>
      <c r="I1520" s="173" t="s">
        <v>339</v>
      </c>
      <c r="J1520" s="112" t="s">
        <v>471</v>
      </c>
      <c r="K1520" s="115" t="s">
        <v>3852</v>
      </c>
      <c r="L1520" s="116" t="n">
        <v>45757</v>
      </c>
      <c r="M1520" s="114" t="n">
        <v>7990</v>
      </c>
      <c r="N1520" s="114" t="n">
        <v>9696</v>
      </c>
      <c r="O1520" s="100" t="n">
        <v>1706</v>
      </c>
      <c r="P1520" s="100" t="n">
        <v>1655</v>
      </c>
      <c r="Q1520" s="100" t="n">
        <f aca="false">ROUND(SUM(P1518:P1520),2)</f>
        <v>2765</v>
      </c>
      <c r="R1520" s="117" t="n">
        <f aca="false">合約與計費!$D$4</f>
        <v>0.296</v>
      </c>
      <c r="S1520" s="118" t="n">
        <f aca="false">ROUND(P1520*R1520,0)</f>
        <v>490</v>
      </c>
      <c r="T1520" s="105" t="n">
        <f aca="false">ROUND(SUM(S1518:S1520),2)</f>
        <v>819</v>
      </c>
      <c r="U1520" s="114"/>
      <c r="V1520" s="114"/>
      <c r="W1520" s="120"/>
      <c r="X1520" s="114"/>
      <c r="Y1520" s="100" t="n">
        <f aca="false">ROUND(SUM(X1518:X1520),2)</f>
        <v>26</v>
      </c>
      <c r="Z1520" s="121"/>
      <c r="AA1520" s="108"/>
      <c r="AB1520" s="109" t="n">
        <f aca="false">ROUND(SUM(AA1518:AA1520),2)</f>
        <v>73</v>
      </c>
      <c r="AC1520" s="124"/>
      <c r="AD1520" s="42" t="n">
        <v>0.0636</v>
      </c>
      <c r="AE1520" s="43" t="n">
        <v>0.5</v>
      </c>
    </row>
    <row r="1521" customFormat="false" ht="16.5" hidden="false" customHeight="true" outlineLevel="0" collapsed="false">
      <c r="A1521" s="84" t="n">
        <f aca="false">ROW(A1510)</f>
        <v>1510</v>
      </c>
      <c r="B1521" s="84" t="s">
        <v>455</v>
      </c>
      <c r="C1521" s="32" t="n">
        <v>1</v>
      </c>
      <c r="D1521" s="85" t="n">
        <v>139</v>
      </c>
      <c r="E1521" s="86" t="s">
        <v>3853</v>
      </c>
      <c r="F1521" s="87" t="s">
        <v>3854</v>
      </c>
      <c r="G1521" s="32" t="s">
        <v>3278</v>
      </c>
      <c r="H1521" s="32" t="s">
        <v>3855</v>
      </c>
      <c r="I1521" s="32" t="s">
        <v>136</v>
      </c>
      <c r="J1521" s="86" t="s">
        <v>460</v>
      </c>
      <c r="K1521" s="88" t="s">
        <v>3856</v>
      </c>
      <c r="L1521" s="89" t="n">
        <v>45770</v>
      </c>
      <c r="M1521" s="32" t="n">
        <v>409</v>
      </c>
      <c r="N1521" s="32" t="n">
        <v>443</v>
      </c>
      <c r="O1521" s="32" t="n">
        <v>34</v>
      </c>
      <c r="P1521" s="32" t="n">
        <v>33</v>
      </c>
      <c r="Q1521" s="32"/>
      <c r="R1521" s="90" t="n">
        <f aca="false">合約與計費!$D$4</f>
        <v>0.296</v>
      </c>
      <c r="S1521" s="91" t="n">
        <f aca="false">ROUND(P1521*R1521,0)</f>
        <v>10</v>
      </c>
      <c r="T1521" s="92"/>
      <c r="U1521" s="32" t="n">
        <v>197</v>
      </c>
      <c r="V1521" s="32" t="n">
        <v>237</v>
      </c>
      <c r="W1521" s="32" t="n">
        <v>40</v>
      </c>
      <c r="X1521" s="32" t="n">
        <v>39</v>
      </c>
      <c r="Y1521" s="32"/>
      <c r="Z1521" s="93" t="n">
        <f aca="false">合約與計費!$E$4</f>
        <v>2.8</v>
      </c>
      <c r="AA1521" s="94" t="n">
        <f aca="false">ROUND(X1521*Z1521,0)</f>
        <v>109</v>
      </c>
      <c r="AB1521" s="95"/>
      <c r="AC1521" s="96"/>
      <c r="AD1521" s="42"/>
      <c r="AE1521" s="43"/>
    </row>
    <row r="1522" customFormat="false" ht="16.5" hidden="false" customHeight="true" outlineLevel="0" collapsed="false">
      <c r="A1522" s="97" t="n">
        <f aca="false">ROW(A1511)</f>
        <v>1511</v>
      </c>
      <c r="B1522" s="97" t="s">
        <v>462</v>
      </c>
      <c r="C1522" s="100" t="n">
        <v>1</v>
      </c>
      <c r="D1522" s="85"/>
      <c r="E1522" s="98" t="s">
        <v>3857</v>
      </c>
      <c r="F1522" s="99" t="s">
        <v>3854</v>
      </c>
      <c r="G1522" s="100" t="s">
        <v>3278</v>
      </c>
      <c r="H1522" s="100" t="s">
        <v>3855</v>
      </c>
      <c r="I1522" s="100" t="s">
        <v>136</v>
      </c>
      <c r="J1522" s="98" t="s">
        <v>471</v>
      </c>
      <c r="K1522" s="101" t="s">
        <v>3858</v>
      </c>
      <c r="L1522" s="102" t="n">
        <v>45770</v>
      </c>
      <c r="M1522" s="100" t="n">
        <v>1337</v>
      </c>
      <c r="N1522" s="100" t="n">
        <v>1590</v>
      </c>
      <c r="O1522" s="100" t="n">
        <v>253</v>
      </c>
      <c r="P1522" s="100" t="n">
        <v>245</v>
      </c>
      <c r="Q1522" s="100"/>
      <c r="R1522" s="103" t="n">
        <f aca="false">合約與計費!$D$4</f>
        <v>0.296</v>
      </c>
      <c r="S1522" s="104" t="n">
        <f aca="false">ROUND(P1522*R1522,0)</f>
        <v>73</v>
      </c>
      <c r="T1522" s="105"/>
      <c r="U1522" s="100"/>
      <c r="V1522" s="100"/>
      <c r="W1522" s="106"/>
      <c r="X1522" s="100"/>
      <c r="Y1522" s="100"/>
      <c r="Z1522" s="107"/>
      <c r="AA1522" s="108"/>
      <c r="AB1522" s="109"/>
      <c r="AC1522" s="110"/>
      <c r="AD1522" s="42" t="n">
        <v>0.0461</v>
      </c>
      <c r="AE1522" s="43" t="n">
        <v>0.3</v>
      </c>
    </row>
    <row r="1523" customFormat="false" ht="16.5" hidden="false" customHeight="true" outlineLevel="0" collapsed="false">
      <c r="A1523" s="97" t="n">
        <f aca="false">ROW(A1512)</f>
        <v>1512</v>
      </c>
      <c r="B1523" s="97" t="s">
        <v>466</v>
      </c>
      <c r="C1523" s="100" t="n">
        <v>1</v>
      </c>
      <c r="D1523" s="85"/>
      <c r="E1523" s="98" t="s">
        <v>3859</v>
      </c>
      <c r="F1523" s="99" t="s">
        <v>3854</v>
      </c>
      <c r="G1523" s="100" t="s">
        <v>3278</v>
      </c>
      <c r="H1523" s="100" t="s">
        <v>3855</v>
      </c>
      <c r="I1523" s="100" t="s">
        <v>136</v>
      </c>
      <c r="J1523" s="98" t="s">
        <v>471</v>
      </c>
      <c r="K1523" s="101" t="s">
        <v>3860</v>
      </c>
      <c r="L1523" s="102" t="n">
        <v>45770</v>
      </c>
      <c r="M1523" s="100" t="n">
        <v>6626</v>
      </c>
      <c r="N1523" s="100" t="n">
        <v>7993</v>
      </c>
      <c r="O1523" s="100" t="n">
        <v>1367</v>
      </c>
      <c r="P1523" s="100" t="n">
        <v>1326</v>
      </c>
      <c r="Q1523" s="100"/>
      <c r="R1523" s="103" t="n">
        <f aca="false">合約與計費!$D$4</f>
        <v>0.296</v>
      </c>
      <c r="S1523" s="104" t="n">
        <f aca="false">ROUND(P1523*R1523,0)</f>
        <v>392</v>
      </c>
      <c r="T1523" s="105"/>
      <c r="U1523" s="100"/>
      <c r="V1523" s="100"/>
      <c r="W1523" s="106"/>
      <c r="X1523" s="100"/>
      <c r="Y1523" s="100"/>
      <c r="Z1523" s="107"/>
      <c r="AA1523" s="108"/>
      <c r="AB1523" s="109"/>
      <c r="AC1523" s="110"/>
      <c r="AD1523" s="42" t="n">
        <v>0.0843</v>
      </c>
      <c r="AE1523" s="43" t="n">
        <v>0.3</v>
      </c>
    </row>
    <row r="1524" customFormat="false" ht="16.5" hidden="false" customHeight="true" outlineLevel="0" collapsed="false">
      <c r="A1524" s="97" t="n">
        <f aca="false">ROW(A1513)</f>
        <v>1513</v>
      </c>
      <c r="B1524" s="97" t="s">
        <v>469</v>
      </c>
      <c r="C1524" s="100" t="n">
        <v>1</v>
      </c>
      <c r="D1524" s="85"/>
      <c r="E1524" s="98" t="s">
        <v>3861</v>
      </c>
      <c r="F1524" s="99" t="s">
        <v>3854</v>
      </c>
      <c r="G1524" s="100" t="s">
        <v>3278</v>
      </c>
      <c r="H1524" s="100" t="s">
        <v>3855</v>
      </c>
      <c r="I1524" s="100" t="s">
        <v>136</v>
      </c>
      <c r="J1524" s="98" t="s">
        <v>471</v>
      </c>
      <c r="K1524" s="101" t="s">
        <v>3862</v>
      </c>
      <c r="L1524" s="102" t="n">
        <v>45770</v>
      </c>
      <c r="M1524" s="100" t="n">
        <v>4604</v>
      </c>
      <c r="N1524" s="100" t="n">
        <v>5818</v>
      </c>
      <c r="O1524" s="100" t="n">
        <v>1214</v>
      </c>
      <c r="P1524" s="100" t="n">
        <v>1178</v>
      </c>
      <c r="Q1524" s="100"/>
      <c r="R1524" s="103" t="n">
        <f aca="false">合約與計費!$D$4</f>
        <v>0.296</v>
      </c>
      <c r="S1524" s="104" t="n">
        <f aca="false">ROUND(P1524*R1524,0)</f>
        <v>349</v>
      </c>
      <c r="T1524" s="105"/>
      <c r="U1524" s="100"/>
      <c r="V1524" s="100"/>
      <c r="W1524" s="106"/>
      <c r="X1524" s="100"/>
      <c r="Y1524" s="100"/>
      <c r="Z1524" s="107"/>
      <c r="AA1524" s="108"/>
      <c r="AB1524" s="109"/>
      <c r="AC1524" s="110"/>
      <c r="AD1524" s="42" t="n">
        <v>0.0817</v>
      </c>
      <c r="AE1524" s="43" t="n">
        <v>0.6</v>
      </c>
    </row>
    <row r="1525" customFormat="false" ht="16.5" hidden="false" customHeight="true" outlineLevel="0" collapsed="false">
      <c r="A1525" s="111" t="n">
        <f aca="false">ROW(A1514)</f>
        <v>1514</v>
      </c>
      <c r="B1525" s="111" t="s">
        <v>473</v>
      </c>
      <c r="C1525" s="114" t="n">
        <v>1</v>
      </c>
      <c r="D1525" s="85"/>
      <c r="E1525" s="112" t="s">
        <v>3863</v>
      </c>
      <c r="F1525" s="113" t="s">
        <v>3854</v>
      </c>
      <c r="G1525" s="114" t="s">
        <v>3278</v>
      </c>
      <c r="H1525" s="114" t="s">
        <v>3855</v>
      </c>
      <c r="I1525" s="114" t="s">
        <v>136</v>
      </c>
      <c r="J1525" s="112" t="s">
        <v>471</v>
      </c>
      <c r="K1525" s="115" t="s">
        <v>3864</v>
      </c>
      <c r="L1525" s="116" t="n">
        <v>45770</v>
      </c>
      <c r="M1525" s="114" t="n">
        <v>5797</v>
      </c>
      <c r="N1525" s="114" t="n">
        <v>6948</v>
      </c>
      <c r="O1525" s="114" t="n">
        <v>1151</v>
      </c>
      <c r="P1525" s="114" t="n">
        <v>1116</v>
      </c>
      <c r="Q1525" s="114" t="n">
        <f aca="false">ROUND(SUM(P1521:P1525),2)</f>
        <v>3898</v>
      </c>
      <c r="R1525" s="117" t="n">
        <f aca="false">合約與計費!$D$4</f>
        <v>0.296</v>
      </c>
      <c r="S1525" s="118" t="n">
        <f aca="false">ROUND(P1525*R1525,0)</f>
        <v>330</v>
      </c>
      <c r="T1525" s="119" t="n">
        <f aca="false">ROUND(SUM(S1521:S1525),2)</f>
        <v>1154</v>
      </c>
      <c r="U1525" s="114"/>
      <c r="V1525" s="114"/>
      <c r="W1525" s="120"/>
      <c r="X1525" s="114"/>
      <c r="Y1525" s="114" t="n">
        <f aca="false">ROUND(SUM(X1521:X1525),2)</f>
        <v>39</v>
      </c>
      <c r="Z1525" s="121"/>
      <c r="AA1525" s="122"/>
      <c r="AB1525" s="123" t="n">
        <f aca="false">ROUND(SUM(AA1521:AA1525),2)</f>
        <v>109</v>
      </c>
      <c r="AC1525" s="124"/>
      <c r="AD1525" s="42" t="n">
        <v>0.0915</v>
      </c>
      <c r="AE1525" s="43" t="n">
        <v>0.5</v>
      </c>
    </row>
    <row r="1526" customFormat="false" ht="16.5" hidden="false" customHeight="true" outlineLevel="0" collapsed="false">
      <c r="A1526" s="84" t="n">
        <f aca="false">ROW(A1515)</f>
        <v>1515</v>
      </c>
      <c r="B1526" s="84" t="s">
        <v>455</v>
      </c>
      <c r="C1526" s="32" t="n">
        <v>1</v>
      </c>
      <c r="D1526" s="85" t="n">
        <v>140</v>
      </c>
      <c r="E1526" s="86" t="s">
        <v>3865</v>
      </c>
      <c r="F1526" s="87" t="s">
        <v>3866</v>
      </c>
      <c r="G1526" s="32" t="s">
        <v>3278</v>
      </c>
      <c r="H1526" s="32" t="s">
        <v>3855</v>
      </c>
      <c r="I1526" s="172" t="s">
        <v>138</v>
      </c>
      <c r="J1526" s="86" t="s">
        <v>460</v>
      </c>
      <c r="K1526" s="88" t="s">
        <v>3867</v>
      </c>
      <c r="L1526" s="89" t="n">
        <v>45763</v>
      </c>
      <c r="M1526" s="32" t="n">
        <v>160</v>
      </c>
      <c r="N1526" s="32" t="n">
        <v>202</v>
      </c>
      <c r="O1526" s="32" t="n">
        <v>42</v>
      </c>
      <c r="P1526" s="32" t="n">
        <v>41</v>
      </c>
      <c r="Q1526" s="32"/>
      <c r="R1526" s="90" t="n">
        <f aca="false">合約與計費!$D$4</f>
        <v>0.296</v>
      </c>
      <c r="S1526" s="91" t="n">
        <f aca="false">ROUND(P1526*R1526,0)</f>
        <v>12</v>
      </c>
      <c r="T1526" s="92"/>
      <c r="U1526" s="32" t="n">
        <v>382</v>
      </c>
      <c r="V1526" s="32" t="n">
        <v>424</v>
      </c>
      <c r="W1526" s="32" t="n">
        <v>42</v>
      </c>
      <c r="X1526" s="32" t="n">
        <v>41</v>
      </c>
      <c r="Y1526" s="32"/>
      <c r="Z1526" s="93" t="n">
        <f aca="false">合約與計費!$E$4</f>
        <v>2.8</v>
      </c>
      <c r="AA1526" s="94" t="n">
        <f aca="false">ROUND(X1526*Z1526,0)</f>
        <v>115</v>
      </c>
      <c r="AB1526" s="95"/>
      <c r="AC1526" s="96"/>
      <c r="AD1526" s="42"/>
      <c r="AE1526" s="43"/>
    </row>
    <row r="1527" customFormat="false" ht="16.5" hidden="false" customHeight="true" outlineLevel="0" collapsed="false">
      <c r="A1527" s="97" t="n">
        <f aca="false">ROW(A1516)</f>
        <v>1516</v>
      </c>
      <c r="B1527" s="97" t="s">
        <v>462</v>
      </c>
      <c r="C1527" s="100" t="n">
        <v>1</v>
      </c>
      <c r="D1527" s="85"/>
      <c r="E1527" s="98" t="s">
        <v>3868</v>
      </c>
      <c r="F1527" s="99" t="s">
        <v>3866</v>
      </c>
      <c r="G1527" s="100" t="s">
        <v>3278</v>
      </c>
      <c r="H1527" s="100" t="s">
        <v>3855</v>
      </c>
      <c r="I1527" s="175" t="s">
        <v>138</v>
      </c>
      <c r="J1527" s="98" t="s">
        <v>464</v>
      </c>
      <c r="K1527" s="101" t="s">
        <v>3869</v>
      </c>
      <c r="L1527" s="102" t="n">
        <v>45875</v>
      </c>
      <c r="M1527" s="100" t="n">
        <v>699</v>
      </c>
      <c r="N1527" s="100" t="n">
        <v>750</v>
      </c>
      <c r="O1527" s="100" t="n">
        <v>51</v>
      </c>
      <c r="P1527" s="100" t="n">
        <v>49</v>
      </c>
      <c r="Q1527" s="100"/>
      <c r="R1527" s="103" t="n">
        <f aca="false">合約與計費!$D$4</f>
        <v>0.296</v>
      </c>
      <c r="S1527" s="104" t="n">
        <f aca="false">ROUND(P1527*R1527,0)</f>
        <v>15</v>
      </c>
      <c r="T1527" s="105"/>
      <c r="U1527" s="100"/>
      <c r="V1527" s="100"/>
      <c r="W1527" s="106"/>
      <c r="X1527" s="100"/>
      <c r="Y1527" s="100"/>
      <c r="Z1527" s="107"/>
      <c r="AA1527" s="108"/>
      <c r="AB1527" s="109"/>
      <c r="AC1527" s="110"/>
      <c r="AD1527" s="42" t="n">
        <v>0.0542</v>
      </c>
      <c r="AE1527" s="43" t="n">
        <v>0.7</v>
      </c>
    </row>
    <row r="1528" customFormat="false" ht="16.5" hidden="false" customHeight="true" outlineLevel="0" collapsed="false">
      <c r="A1528" s="97" t="n">
        <f aca="false">ROW(A1517)</f>
        <v>1517</v>
      </c>
      <c r="B1528" s="97" t="s">
        <v>466</v>
      </c>
      <c r="C1528" s="100" t="n">
        <v>1</v>
      </c>
      <c r="D1528" s="85"/>
      <c r="E1528" s="98" t="s">
        <v>3870</v>
      </c>
      <c r="F1528" s="99" t="s">
        <v>3866</v>
      </c>
      <c r="G1528" s="100" t="s">
        <v>3278</v>
      </c>
      <c r="H1528" s="100" t="s">
        <v>3855</v>
      </c>
      <c r="I1528" s="175" t="s">
        <v>138</v>
      </c>
      <c r="J1528" s="98" t="s">
        <v>527</v>
      </c>
      <c r="K1528" s="101" t="s">
        <v>3871</v>
      </c>
      <c r="L1528" s="102" t="n">
        <v>45763</v>
      </c>
      <c r="M1528" s="100" t="n">
        <v>4554</v>
      </c>
      <c r="N1528" s="100" t="n">
        <v>5598</v>
      </c>
      <c r="O1528" s="100" t="n">
        <v>1044</v>
      </c>
      <c r="P1528" s="100" t="n">
        <v>1013</v>
      </c>
      <c r="Q1528" s="100"/>
      <c r="R1528" s="103" t="n">
        <f aca="false">合約與計費!$D$4</f>
        <v>0.296</v>
      </c>
      <c r="S1528" s="104" t="n">
        <f aca="false">ROUND(P1528*R1528,0)</f>
        <v>300</v>
      </c>
      <c r="T1528" s="105"/>
      <c r="U1528" s="100"/>
      <c r="V1528" s="100"/>
      <c r="W1528" s="106"/>
      <c r="X1528" s="100"/>
      <c r="Y1528" s="100"/>
      <c r="Z1528" s="107"/>
      <c r="AA1528" s="108"/>
      <c r="AB1528" s="109"/>
      <c r="AC1528" s="110"/>
      <c r="AD1528" s="42"/>
      <c r="AE1528" s="43"/>
    </row>
    <row r="1529" customFormat="false" ht="16.5" hidden="false" customHeight="true" outlineLevel="0" collapsed="false">
      <c r="A1529" s="97" t="n">
        <f aca="false">ROW(A1518)</f>
        <v>1518</v>
      </c>
      <c r="B1529" s="97" t="s">
        <v>469</v>
      </c>
      <c r="C1529" s="100" t="n">
        <v>1</v>
      </c>
      <c r="D1529" s="85"/>
      <c r="E1529" s="98" t="s">
        <v>3872</v>
      </c>
      <c r="F1529" s="99" t="s">
        <v>3866</v>
      </c>
      <c r="G1529" s="100" t="s">
        <v>3278</v>
      </c>
      <c r="H1529" s="100" t="s">
        <v>3855</v>
      </c>
      <c r="I1529" s="175" t="s">
        <v>138</v>
      </c>
      <c r="J1529" s="98" t="s">
        <v>527</v>
      </c>
      <c r="K1529" s="101" t="s">
        <v>3873</v>
      </c>
      <c r="L1529" s="102" t="n">
        <v>45763</v>
      </c>
      <c r="M1529" s="100" t="n">
        <v>503</v>
      </c>
      <c r="N1529" s="100" t="n">
        <v>878</v>
      </c>
      <c r="O1529" s="100" t="n">
        <v>375</v>
      </c>
      <c r="P1529" s="100" t="n">
        <v>364</v>
      </c>
      <c r="Q1529" s="100"/>
      <c r="R1529" s="103" t="n">
        <f aca="false">合約與計費!$D$4</f>
        <v>0.296</v>
      </c>
      <c r="S1529" s="104" t="n">
        <f aca="false">ROUND(P1529*R1529,0)</f>
        <v>108</v>
      </c>
      <c r="T1529" s="105"/>
      <c r="U1529" s="100"/>
      <c r="V1529" s="100"/>
      <c r="W1529" s="106"/>
      <c r="X1529" s="100"/>
      <c r="Y1529" s="100"/>
      <c r="Z1529" s="107"/>
      <c r="AA1529" s="108"/>
      <c r="AB1529" s="109"/>
      <c r="AC1529" s="110"/>
      <c r="AD1529" s="42"/>
      <c r="AE1529" s="43"/>
    </row>
    <row r="1530" customFormat="false" ht="16.5" hidden="false" customHeight="true" outlineLevel="0" collapsed="false">
      <c r="A1530" s="97" t="n">
        <f aca="false">ROW(A1519)</f>
        <v>1519</v>
      </c>
      <c r="B1530" s="97" t="s">
        <v>473</v>
      </c>
      <c r="C1530" s="100" t="n">
        <v>1</v>
      </c>
      <c r="D1530" s="85"/>
      <c r="E1530" s="98" t="s">
        <v>3874</v>
      </c>
      <c r="F1530" s="99" t="s">
        <v>3866</v>
      </c>
      <c r="G1530" s="100" t="s">
        <v>3278</v>
      </c>
      <c r="H1530" s="100" t="s">
        <v>3855</v>
      </c>
      <c r="I1530" s="175" t="s">
        <v>138</v>
      </c>
      <c r="J1530" s="98" t="s">
        <v>527</v>
      </c>
      <c r="K1530" s="101" t="s">
        <v>3875</v>
      </c>
      <c r="L1530" s="102" t="n">
        <v>45763</v>
      </c>
      <c r="M1530" s="100" t="n">
        <v>4296</v>
      </c>
      <c r="N1530" s="100" t="n">
        <v>4777</v>
      </c>
      <c r="O1530" s="100" t="n">
        <v>481</v>
      </c>
      <c r="P1530" s="100" t="n">
        <v>467</v>
      </c>
      <c r="Q1530" s="100"/>
      <c r="R1530" s="103" t="n">
        <f aca="false">合約與計費!$D$4</f>
        <v>0.296</v>
      </c>
      <c r="S1530" s="104" t="n">
        <f aca="false">ROUND(P1530*R1530,0)</f>
        <v>138</v>
      </c>
      <c r="T1530" s="105"/>
      <c r="U1530" s="100"/>
      <c r="V1530" s="100"/>
      <c r="W1530" s="106"/>
      <c r="X1530" s="100"/>
      <c r="Y1530" s="100"/>
      <c r="Z1530" s="107"/>
      <c r="AA1530" s="108"/>
      <c r="AB1530" s="109"/>
      <c r="AC1530" s="110"/>
      <c r="AD1530" s="42"/>
      <c r="AE1530" s="43"/>
    </row>
    <row r="1531" customFormat="false" ht="16.5" hidden="false" customHeight="true" outlineLevel="0" collapsed="false">
      <c r="A1531" s="97" t="n">
        <f aca="false">ROW(A1520)</f>
        <v>1520</v>
      </c>
      <c r="B1531" s="97" t="s">
        <v>476</v>
      </c>
      <c r="C1531" s="100" t="n">
        <v>1</v>
      </c>
      <c r="D1531" s="85"/>
      <c r="E1531" s="98" t="s">
        <v>3876</v>
      </c>
      <c r="F1531" s="99" t="s">
        <v>3866</v>
      </c>
      <c r="G1531" s="100" t="s">
        <v>3278</v>
      </c>
      <c r="H1531" s="100" t="s">
        <v>3855</v>
      </c>
      <c r="I1531" s="175" t="s">
        <v>138</v>
      </c>
      <c r="J1531" s="98" t="s">
        <v>527</v>
      </c>
      <c r="K1531" s="101" t="s">
        <v>3877</v>
      </c>
      <c r="L1531" s="102" t="n">
        <v>45763</v>
      </c>
      <c r="M1531" s="100" t="n">
        <v>4907</v>
      </c>
      <c r="N1531" s="100" t="n">
        <v>6041</v>
      </c>
      <c r="O1531" s="100" t="n">
        <v>1134</v>
      </c>
      <c r="P1531" s="100" t="n">
        <v>1100</v>
      </c>
      <c r="Q1531" s="100"/>
      <c r="R1531" s="103" t="n">
        <f aca="false">合約與計費!$D$4</f>
        <v>0.296</v>
      </c>
      <c r="S1531" s="104" t="n">
        <f aca="false">ROUND(P1531*R1531,0)</f>
        <v>326</v>
      </c>
      <c r="T1531" s="105"/>
      <c r="U1531" s="100"/>
      <c r="V1531" s="100"/>
      <c r="W1531" s="106"/>
      <c r="X1531" s="100"/>
      <c r="Y1531" s="100"/>
      <c r="Z1531" s="107"/>
      <c r="AA1531" s="108"/>
      <c r="AB1531" s="109"/>
      <c r="AC1531" s="110"/>
      <c r="AD1531" s="42"/>
      <c r="AE1531" s="43"/>
    </row>
    <row r="1532" customFormat="false" ht="16.5" hidden="false" customHeight="true" outlineLevel="0" collapsed="false">
      <c r="A1532" s="97" t="n">
        <f aca="false">ROW(A1521)</f>
        <v>1521</v>
      </c>
      <c r="B1532" s="97" t="s">
        <v>479</v>
      </c>
      <c r="C1532" s="100" t="n">
        <v>1</v>
      </c>
      <c r="D1532" s="85"/>
      <c r="E1532" s="98" t="s">
        <v>3878</v>
      </c>
      <c r="F1532" s="99" t="s">
        <v>3866</v>
      </c>
      <c r="G1532" s="100" t="s">
        <v>3278</v>
      </c>
      <c r="H1532" s="100" t="s">
        <v>3855</v>
      </c>
      <c r="I1532" s="175" t="s">
        <v>138</v>
      </c>
      <c r="J1532" s="98" t="s">
        <v>527</v>
      </c>
      <c r="K1532" s="101" t="s">
        <v>3879</v>
      </c>
      <c r="L1532" s="102" t="n">
        <v>45763</v>
      </c>
      <c r="M1532" s="100" t="n">
        <v>1909</v>
      </c>
      <c r="N1532" s="100" t="n">
        <v>2059</v>
      </c>
      <c r="O1532" s="100" t="n">
        <v>150</v>
      </c>
      <c r="P1532" s="100" t="n">
        <v>146</v>
      </c>
      <c r="Q1532" s="100"/>
      <c r="R1532" s="103" t="n">
        <f aca="false">合約與計費!$D$4</f>
        <v>0.296</v>
      </c>
      <c r="S1532" s="104" t="n">
        <f aca="false">ROUND(P1532*R1532,0)</f>
        <v>43</v>
      </c>
      <c r="T1532" s="105"/>
      <c r="U1532" s="100"/>
      <c r="V1532" s="100"/>
      <c r="W1532" s="106"/>
      <c r="X1532" s="100"/>
      <c r="Y1532" s="100"/>
      <c r="Z1532" s="107"/>
      <c r="AA1532" s="108"/>
      <c r="AB1532" s="109"/>
      <c r="AC1532" s="110"/>
      <c r="AD1532" s="42"/>
      <c r="AE1532" s="43"/>
    </row>
    <row r="1533" customFormat="false" ht="16.5" hidden="false" customHeight="true" outlineLevel="0" collapsed="false">
      <c r="A1533" s="97" t="n">
        <f aca="false">ROW(A1522)</f>
        <v>1522</v>
      </c>
      <c r="B1533" s="97" t="s">
        <v>482</v>
      </c>
      <c r="C1533" s="100" t="n">
        <v>1</v>
      </c>
      <c r="D1533" s="85"/>
      <c r="E1533" s="98" t="s">
        <v>3880</v>
      </c>
      <c r="F1533" s="99" t="s">
        <v>3866</v>
      </c>
      <c r="G1533" s="100" t="s">
        <v>3278</v>
      </c>
      <c r="H1533" s="100" t="s">
        <v>3855</v>
      </c>
      <c r="I1533" s="175" t="s">
        <v>138</v>
      </c>
      <c r="J1533" s="98" t="s">
        <v>527</v>
      </c>
      <c r="K1533" s="101" t="s">
        <v>3881</v>
      </c>
      <c r="L1533" s="102" t="n">
        <v>45763</v>
      </c>
      <c r="M1533" s="100" t="n">
        <v>6483</v>
      </c>
      <c r="N1533" s="100" t="n">
        <v>7870</v>
      </c>
      <c r="O1533" s="100" t="n">
        <v>1387</v>
      </c>
      <c r="P1533" s="100" t="n">
        <v>1345</v>
      </c>
      <c r="Q1533" s="100"/>
      <c r="R1533" s="103" t="n">
        <f aca="false">合約與計費!$D$4</f>
        <v>0.296</v>
      </c>
      <c r="S1533" s="104" t="n">
        <f aca="false">ROUND(P1533*R1533,0)</f>
        <v>398</v>
      </c>
      <c r="T1533" s="105"/>
      <c r="U1533" s="100"/>
      <c r="V1533" s="100"/>
      <c r="W1533" s="106"/>
      <c r="X1533" s="100"/>
      <c r="Y1533" s="100"/>
      <c r="Z1533" s="107"/>
      <c r="AA1533" s="108"/>
      <c r="AB1533" s="109"/>
      <c r="AC1533" s="110"/>
      <c r="AD1533" s="42"/>
      <c r="AE1533" s="43"/>
    </row>
    <row r="1534" customFormat="false" ht="16.5" hidden="false" customHeight="true" outlineLevel="0" collapsed="false">
      <c r="A1534" s="97" t="n">
        <f aca="false">ROW(A1523)</f>
        <v>1523</v>
      </c>
      <c r="B1534" s="97" t="s">
        <v>485</v>
      </c>
      <c r="C1534" s="100" t="n">
        <v>1</v>
      </c>
      <c r="D1534" s="85"/>
      <c r="E1534" s="98" t="s">
        <v>3882</v>
      </c>
      <c r="F1534" s="99" t="s">
        <v>3866</v>
      </c>
      <c r="G1534" s="100" t="s">
        <v>3278</v>
      </c>
      <c r="H1534" s="100" t="s">
        <v>3855</v>
      </c>
      <c r="I1534" s="175" t="s">
        <v>138</v>
      </c>
      <c r="J1534" s="98" t="s">
        <v>527</v>
      </c>
      <c r="K1534" s="101" t="s">
        <v>3883</v>
      </c>
      <c r="L1534" s="102" t="n">
        <v>45763</v>
      </c>
      <c r="M1534" s="100" t="n">
        <v>4805</v>
      </c>
      <c r="N1534" s="100" t="n">
        <v>6032</v>
      </c>
      <c r="O1534" s="100" t="n">
        <v>1227</v>
      </c>
      <c r="P1534" s="100" t="n">
        <v>1190</v>
      </c>
      <c r="Q1534" s="100"/>
      <c r="R1534" s="103" t="n">
        <f aca="false">合約與計費!$D$4</f>
        <v>0.296</v>
      </c>
      <c r="S1534" s="104" t="n">
        <f aca="false">ROUND(P1534*R1534,0)</f>
        <v>352</v>
      </c>
      <c r="T1534" s="105"/>
      <c r="U1534" s="100"/>
      <c r="V1534" s="100"/>
      <c r="W1534" s="106"/>
      <c r="X1534" s="100"/>
      <c r="Y1534" s="100"/>
      <c r="Z1534" s="107"/>
      <c r="AA1534" s="108"/>
      <c r="AB1534" s="109"/>
      <c r="AC1534" s="110"/>
      <c r="AD1534" s="42"/>
      <c r="AE1534" s="43"/>
    </row>
    <row r="1535" customFormat="false" ht="16.5" hidden="false" customHeight="true" outlineLevel="0" collapsed="false">
      <c r="A1535" s="97" t="n">
        <f aca="false">ROW(A1524)</f>
        <v>1524</v>
      </c>
      <c r="B1535" s="97" t="n">
        <v>10</v>
      </c>
      <c r="C1535" s="100" t="n">
        <v>1</v>
      </c>
      <c r="D1535" s="85"/>
      <c r="E1535" s="98" t="s">
        <v>3884</v>
      </c>
      <c r="F1535" s="99" t="s">
        <v>3866</v>
      </c>
      <c r="G1535" s="100" t="s">
        <v>3278</v>
      </c>
      <c r="H1535" s="100" t="s">
        <v>3855</v>
      </c>
      <c r="I1535" s="175" t="s">
        <v>138</v>
      </c>
      <c r="J1535" s="98" t="s">
        <v>527</v>
      </c>
      <c r="K1535" s="101" t="s">
        <v>3885</v>
      </c>
      <c r="L1535" s="102" t="n">
        <v>45763</v>
      </c>
      <c r="M1535" s="100" t="n">
        <v>4035</v>
      </c>
      <c r="N1535" s="100" t="n">
        <v>4911</v>
      </c>
      <c r="O1535" s="100" t="n">
        <v>876</v>
      </c>
      <c r="P1535" s="100" t="n">
        <v>850</v>
      </c>
      <c r="Q1535" s="100"/>
      <c r="R1535" s="103" t="n">
        <f aca="false">合約與計費!$D$4</f>
        <v>0.296</v>
      </c>
      <c r="S1535" s="104" t="n">
        <f aca="false">ROUND(P1535*R1535,0)</f>
        <v>252</v>
      </c>
      <c r="T1535" s="105"/>
      <c r="U1535" s="100"/>
      <c r="V1535" s="100"/>
      <c r="W1535" s="106"/>
      <c r="X1535" s="100"/>
      <c r="Y1535" s="100"/>
      <c r="Z1535" s="107"/>
      <c r="AA1535" s="108"/>
      <c r="AB1535" s="109"/>
      <c r="AC1535" s="110"/>
      <c r="AD1535" s="42"/>
      <c r="AE1535" s="43"/>
    </row>
    <row r="1536" customFormat="false" ht="16.5" hidden="false" customHeight="true" outlineLevel="0" collapsed="false">
      <c r="A1536" s="111" t="n">
        <f aca="false">ROW(A1525)</f>
        <v>1525</v>
      </c>
      <c r="B1536" s="111" t="n">
        <v>11</v>
      </c>
      <c r="C1536" s="114" t="n">
        <v>1</v>
      </c>
      <c r="D1536" s="85"/>
      <c r="E1536" s="112" t="s">
        <v>3886</v>
      </c>
      <c r="F1536" s="113" t="s">
        <v>3866</v>
      </c>
      <c r="G1536" s="114" t="s">
        <v>3278</v>
      </c>
      <c r="H1536" s="114" t="s">
        <v>3855</v>
      </c>
      <c r="I1536" s="173" t="s">
        <v>138</v>
      </c>
      <c r="J1536" s="98" t="s">
        <v>527</v>
      </c>
      <c r="K1536" s="101" t="s">
        <v>3887</v>
      </c>
      <c r="L1536" s="102" t="n">
        <v>45763</v>
      </c>
      <c r="M1536" s="100" t="n">
        <v>3222</v>
      </c>
      <c r="N1536" s="100" t="n">
        <v>3845</v>
      </c>
      <c r="O1536" s="100" t="n">
        <v>623</v>
      </c>
      <c r="P1536" s="100" t="n">
        <v>604</v>
      </c>
      <c r="Q1536" s="100" t="n">
        <f aca="false">ROUND(SUM(P1526:P1536),2)</f>
        <v>7169</v>
      </c>
      <c r="R1536" s="103" t="n">
        <f aca="false">合約與計費!$D$4</f>
        <v>0.296</v>
      </c>
      <c r="S1536" s="104" t="n">
        <f aca="false">ROUND(P1536*R1536,0)</f>
        <v>179</v>
      </c>
      <c r="T1536" s="105" t="n">
        <f aca="false">ROUND(SUM(S1526:S1536),2)</f>
        <v>2123</v>
      </c>
      <c r="U1536" s="100"/>
      <c r="V1536" s="100"/>
      <c r="W1536" s="106"/>
      <c r="X1536" s="100"/>
      <c r="Y1536" s="100" t="n">
        <f aca="false">ROUND(SUM(X1526:X1536),2)</f>
        <v>41</v>
      </c>
      <c r="Z1536" s="107"/>
      <c r="AA1536" s="108"/>
      <c r="AB1536" s="109" t="n">
        <f aca="false">ROUND(SUM(AA1526:AA1536),2)</f>
        <v>115</v>
      </c>
      <c r="AC1536" s="110"/>
      <c r="AD1536" s="42"/>
      <c r="AE1536" s="43"/>
    </row>
    <row r="1537" customFormat="false" ht="16.5" hidden="false" customHeight="true" outlineLevel="0" collapsed="false">
      <c r="A1537" s="84" t="n">
        <f aca="false">ROW(A1526)</f>
        <v>1526</v>
      </c>
      <c r="B1537" s="84" t="s">
        <v>455</v>
      </c>
      <c r="C1537" s="32" t="n">
        <v>1</v>
      </c>
      <c r="D1537" s="85" t="n">
        <v>142</v>
      </c>
      <c r="E1537" s="86" t="s">
        <v>3888</v>
      </c>
      <c r="F1537" s="87" t="s">
        <v>3889</v>
      </c>
      <c r="G1537" s="32" t="s">
        <v>3278</v>
      </c>
      <c r="H1537" s="32" t="s">
        <v>3855</v>
      </c>
      <c r="I1537" s="32" t="s">
        <v>151</v>
      </c>
      <c r="J1537" s="86" t="s">
        <v>460</v>
      </c>
      <c r="K1537" s="88" t="s">
        <v>3890</v>
      </c>
      <c r="L1537" s="89" t="n">
        <v>45770</v>
      </c>
      <c r="M1537" s="32" t="n">
        <v>430</v>
      </c>
      <c r="N1537" s="32" t="n">
        <v>480</v>
      </c>
      <c r="O1537" s="32" t="n">
        <v>50</v>
      </c>
      <c r="P1537" s="32" t="n">
        <v>49</v>
      </c>
      <c r="Q1537" s="32"/>
      <c r="R1537" s="90" t="n">
        <f aca="false">合約與計費!$D$4</f>
        <v>0.296</v>
      </c>
      <c r="S1537" s="91" t="n">
        <f aca="false">ROUND(P1537*R1537,0)</f>
        <v>15</v>
      </c>
      <c r="T1537" s="92"/>
      <c r="U1537" s="32" t="n">
        <v>357</v>
      </c>
      <c r="V1537" s="32" t="n">
        <v>422</v>
      </c>
      <c r="W1537" s="32" t="n">
        <v>65</v>
      </c>
      <c r="X1537" s="32" t="n">
        <v>63</v>
      </c>
      <c r="Y1537" s="32"/>
      <c r="Z1537" s="93" t="n">
        <f aca="false">合約與計費!$E$4</f>
        <v>2.8</v>
      </c>
      <c r="AA1537" s="94" t="n">
        <f aca="false">ROUND(X1537*Z1537,0)</f>
        <v>176</v>
      </c>
      <c r="AB1537" s="95"/>
      <c r="AC1537" s="96"/>
      <c r="AD1537" s="42"/>
      <c r="AE1537" s="43"/>
    </row>
    <row r="1538" customFormat="false" ht="16.5" hidden="false" customHeight="true" outlineLevel="0" collapsed="false">
      <c r="A1538" s="97" t="n">
        <f aca="false">ROW(A1527)</f>
        <v>1527</v>
      </c>
      <c r="B1538" s="97" t="s">
        <v>462</v>
      </c>
      <c r="C1538" s="100" t="n">
        <v>1</v>
      </c>
      <c r="D1538" s="85"/>
      <c r="E1538" s="98" t="s">
        <v>3891</v>
      </c>
      <c r="F1538" s="99" t="s">
        <v>3889</v>
      </c>
      <c r="G1538" s="100" t="s">
        <v>3278</v>
      </c>
      <c r="H1538" s="100" t="s">
        <v>3855</v>
      </c>
      <c r="I1538" s="100" t="s">
        <v>151</v>
      </c>
      <c r="J1538" s="98" t="s">
        <v>471</v>
      </c>
      <c r="K1538" s="101" t="s">
        <v>3892</v>
      </c>
      <c r="L1538" s="102" t="n">
        <v>45770</v>
      </c>
      <c r="M1538" s="100" t="n">
        <v>5527</v>
      </c>
      <c r="N1538" s="100" t="n">
        <v>7137</v>
      </c>
      <c r="O1538" s="100" t="n">
        <v>1610</v>
      </c>
      <c r="P1538" s="100" t="n">
        <v>1562</v>
      </c>
      <c r="Q1538" s="100"/>
      <c r="R1538" s="103" t="n">
        <f aca="false">合約與計費!$D$4</f>
        <v>0.296</v>
      </c>
      <c r="S1538" s="104" t="n">
        <f aca="false">ROUND(P1538*R1538,0)</f>
        <v>462</v>
      </c>
      <c r="T1538" s="105"/>
      <c r="U1538" s="100"/>
      <c r="V1538" s="100"/>
      <c r="W1538" s="106"/>
      <c r="X1538" s="100"/>
      <c r="Y1538" s="100"/>
      <c r="Z1538" s="107"/>
      <c r="AA1538" s="108"/>
      <c r="AB1538" s="109"/>
      <c r="AC1538" s="110"/>
      <c r="AD1538" s="42" t="n">
        <v>0.0806</v>
      </c>
      <c r="AE1538" s="43" t="n">
        <v>0.5</v>
      </c>
    </row>
    <row r="1539" customFormat="false" ht="16.5" hidden="false" customHeight="true" outlineLevel="0" collapsed="false">
      <c r="A1539" s="97" t="n">
        <f aca="false">ROW(A1528)</f>
        <v>1528</v>
      </c>
      <c r="B1539" s="97" t="s">
        <v>466</v>
      </c>
      <c r="C1539" s="100" t="n">
        <v>1</v>
      </c>
      <c r="D1539" s="85"/>
      <c r="E1539" s="98" t="s">
        <v>3893</v>
      </c>
      <c r="F1539" s="99" t="s">
        <v>3889</v>
      </c>
      <c r="G1539" s="100" t="s">
        <v>3278</v>
      </c>
      <c r="H1539" s="100" t="s">
        <v>3855</v>
      </c>
      <c r="I1539" s="100" t="s">
        <v>151</v>
      </c>
      <c r="J1539" s="98" t="s">
        <v>471</v>
      </c>
      <c r="K1539" s="101" t="s">
        <v>3894</v>
      </c>
      <c r="L1539" s="102" t="n">
        <v>45770</v>
      </c>
      <c r="M1539" s="100" t="n">
        <v>2488</v>
      </c>
      <c r="N1539" s="100" t="n">
        <v>2967</v>
      </c>
      <c r="O1539" s="100" t="n">
        <v>479</v>
      </c>
      <c r="P1539" s="100" t="n">
        <v>465</v>
      </c>
      <c r="Q1539" s="100"/>
      <c r="R1539" s="103" t="n">
        <f aca="false">合約與計費!$D$4</f>
        <v>0.296</v>
      </c>
      <c r="S1539" s="104" t="n">
        <f aca="false">ROUND(P1539*R1539,0)</f>
        <v>138</v>
      </c>
      <c r="T1539" s="105"/>
      <c r="U1539" s="100"/>
      <c r="V1539" s="100"/>
      <c r="W1539" s="106"/>
      <c r="X1539" s="100"/>
      <c r="Y1539" s="100"/>
      <c r="Z1539" s="107"/>
      <c r="AA1539" s="108"/>
      <c r="AB1539" s="109"/>
      <c r="AC1539" s="110"/>
      <c r="AD1539" s="42" t="n">
        <v>0.0424</v>
      </c>
      <c r="AE1539" s="43" t="n">
        <v>0.1</v>
      </c>
    </row>
    <row r="1540" customFormat="false" ht="16.5" hidden="false" customHeight="true" outlineLevel="0" collapsed="false">
      <c r="A1540" s="111" t="n">
        <f aca="false">ROW(A1529)</f>
        <v>1529</v>
      </c>
      <c r="B1540" s="111" t="s">
        <v>469</v>
      </c>
      <c r="C1540" s="114" t="n">
        <v>1</v>
      </c>
      <c r="D1540" s="85"/>
      <c r="E1540" s="112" t="s">
        <v>3895</v>
      </c>
      <c r="F1540" s="113" t="s">
        <v>3889</v>
      </c>
      <c r="G1540" s="114" t="s">
        <v>3278</v>
      </c>
      <c r="H1540" s="114" t="s">
        <v>3855</v>
      </c>
      <c r="I1540" s="114" t="s">
        <v>151</v>
      </c>
      <c r="J1540" s="112" t="s">
        <v>471</v>
      </c>
      <c r="K1540" s="115" t="s">
        <v>3896</v>
      </c>
      <c r="L1540" s="116" t="n">
        <v>45770</v>
      </c>
      <c r="M1540" s="114" t="n">
        <v>13502</v>
      </c>
      <c r="N1540" s="114" t="n">
        <v>16451</v>
      </c>
      <c r="O1540" s="114" t="n">
        <v>2949</v>
      </c>
      <c r="P1540" s="114" t="n">
        <v>2861</v>
      </c>
      <c r="Q1540" s="114" t="n">
        <f aca="false">ROUND(SUM(P1537:P1540),2)</f>
        <v>4937</v>
      </c>
      <c r="R1540" s="117" t="n">
        <f aca="false">合約與計費!$D$4</f>
        <v>0.296</v>
      </c>
      <c r="S1540" s="118" t="n">
        <f aca="false">ROUND(P1540*R1540,0)</f>
        <v>847</v>
      </c>
      <c r="T1540" s="119" t="n">
        <f aca="false">ROUND(SUM(S1537:S1540),2)</f>
        <v>1462</v>
      </c>
      <c r="U1540" s="114"/>
      <c r="V1540" s="114"/>
      <c r="W1540" s="120"/>
      <c r="X1540" s="114"/>
      <c r="Y1540" s="114" t="n">
        <f aca="false">ROUND(SUM(X1537:X1540),2)</f>
        <v>63</v>
      </c>
      <c r="Z1540" s="121"/>
      <c r="AA1540" s="122"/>
      <c r="AB1540" s="123" t="n">
        <f aca="false">ROUND(SUM(AA1537:AA1540),2)</f>
        <v>176</v>
      </c>
      <c r="AC1540" s="124"/>
      <c r="AD1540" s="42" t="n">
        <v>0.0824</v>
      </c>
      <c r="AE1540" s="43" t="n">
        <v>0.5</v>
      </c>
    </row>
    <row r="1541" customFormat="false" ht="16.5" hidden="false" customHeight="true" outlineLevel="0" collapsed="false">
      <c r="A1541" s="84" t="n">
        <f aca="false">ROW(A1530)</f>
        <v>1530</v>
      </c>
      <c r="B1541" s="84" t="s">
        <v>455</v>
      </c>
      <c r="C1541" s="32" t="n">
        <v>1</v>
      </c>
      <c r="D1541" s="85" t="n">
        <v>143</v>
      </c>
      <c r="E1541" s="86" t="s">
        <v>3897</v>
      </c>
      <c r="F1541" s="87" t="s">
        <v>3898</v>
      </c>
      <c r="G1541" s="32" t="s">
        <v>3278</v>
      </c>
      <c r="H1541" s="32" t="s">
        <v>3855</v>
      </c>
      <c r="I1541" s="32" t="s">
        <v>172</v>
      </c>
      <c r="J1541" s="86" t="s">
        <v>460</v>
      </c>
      <c r="K1541" s="88" t="s">
        <v>3899</v>
      </c>
      <c r="L1541" s="89" t="n">
        <v>45771</v>
      </c>
      <c r="M1541" s="32" t="n">
        <v>33</v>
      </c>
      <c r="N1541" s="32" t="n">
        <v>48</v>
      </c>
      <c r="O1541" s="32" t="n">
        <v>15</v>
      </c>
      <c r="P1541" s="32" t="n">
        <v>15</v>
      </c>
      <c r="Q1541" s="32"/>
      <c r="R1541" s="90" t="n">
        <f aca="false">合約與計費!$D$4</f>
        <v>0.296</v>
      </c>
      <c r="S1541" s="91" t="n">
        <f aca="false">ROUND(P1541*R1541,0)</f>
        <v>4</v>
      </c>
      <c r="T1541" s="92"/>
      <c r="U1541" s="32" t="n">
        <v>279</v>
      </c>
      <c r="V1541" s="32" t="n">
        <v>321</v>
      </c>
      <c r="W1541" s="32" t="n">
        <v>42</v>
      </c>
      <c r="X1541" s="32" t="n">
        <v>41</v>
      </c>
      <c r="Y1541" s="32"/>
      <c r="Z1541" s="93" t="n">
        <f aca="false">合約與計費!$E$4</f>
        <v>2.8</v>
      </c>
      <c r="AA1541" s="94" t="n">
        <f aca="false">ROUND(X1541*Z1541,0)</f>
        <v>115</v>
      </c>
      <c r="AB1541" s="95"/>
      <c r="AC1541" s="96"/>
      <c r="AD1541" s="42"/>
      <c r="AE1541" s="43"/>
    </row>
    <row r="1542" customFormat="false" ht="16.5" hidden="false" customHeight="true" outlineLevel="0" collapsed="false">
      <c r="A1542" s="97" t="n">
        <f aca="false">ROW(A1531)</f>
        <v>1531</v>
      </c>
      <c r="B1542" s="97" t="s">
        <v>462</v>
      </c>
      <c r="C1542" s="100" t="n">
        <v>1</v>
      </c>
      <c r="D1542" s="85"/>
      <c r="E1542" s="98" t="s">
        <v>3900</v>
      </c>
      <c r="F1542" s="99" t="s">
        <v>3898</v>
      </c>
      <c r="G1542" s="100" t="s">
        <v>3278</v>
      </c>
      <c r="H1542" s="100" t="s">
        <v>3855</v>
      </c>
      <c r="I1542" s="100" t="s">
        <v>172</v>
      </c>
      <c r="J1542" s="98" t="s">
        <v>471</v>
      </c>
      <c r="K1542" s="101" t="s">
        <v>3901</v>
      </c>
      <c r="L1542" s="102" t="n">
        <v>45771</v>
      </c>
      <c r="M1542" s="100" t="n">
        <v>1376</v>
      </c>
      <c r="N1542" s="100" t="n">
        <v>1618</v>
      </c>
      <c r="O1542" s="100" t="n">
        <v>242</v>
      </c>
      <c r="P1542" s="100" t="n">
        <v>235</v>
      </c>
      <c r="Q1542" s="100"/>
      <c r="R1542" s="103" t="n">
        <f aca="false">合約與計費!$D$4</f>
        <v>0.296</v>
      </c>
      <c r="S1542" s="104" t="n">
        <f aca="false">ROUND(P1542*R1542,0)</f>
        <v>70</v>
      </c>
      <c r="T1542" s="105"/>
      <c r="U1542" s="100"/>
      <c r="V1542" s="100"/>
      <c r="W1542" s="106"/>
      <c r="X1542" s="100"/>
      <c r="Y1542" s="100"/>
      <c r="Z1542" s="107"/>
      <c r="AA1542" s="108"/>
      <c r="AB1542" s="109"/>
      <c r="AC1542" s="110"/>
      <c r="AD1542" s="42" t="n">
        <v>0.0397</v>
      </c>
      <c r="AE1542" s="43" t="n">
        <v>0.3</v>
      </c>
    </row>
    <row r="1543" customFormat="false" ht="16.5" hidden="false" customHeight="true" outlineLevel="0" collapsed="false">
      <c r="A1543" s="97" t="n">
        <f aca="false">ROW(A1532)</f>
        <v>1532</v>
      </c>
      <c r="B1543" s="97" t="s">
        <v>466</v>
      </c>
      <c r="C1543" s="100" t="n">
        <v>1</v>
      </c>
      <c r="D1543" s="85"/>
      <c r="E1543" s="98" t="s">
        <v>3902</v>
      </c>
      <c r="F1543" s="99" t="s">
        <v>3898</v>
      </c>
      <c r="G1543" s="100" t="s">
        <v>3278</v>
      </c>
      <c r="H1543" s="100" t="s">
        <v>3855</v>
      </c>
      <c r="I1543" s="100" t="s">
        <v>172</v>
      </c>
      <c r="J1543" s="98" t="s">
        <v>471</v>
      </c>
      <c r="K1543" s="101" t="s">
        <v>3903</v>
      </c>
      <c r="L1543" s="102" t="n">
        <v>45771</v>
      </c>
      <c r="M1543" s="100" t="n">
        <v>1454</v>
      </c>
      <c r="N1543" s="100" t="n">
        <v>1796</v>
      </c>
      <c r="O1543" s="100" t="n">
        <v>342</v>
      </c>
      <c r="P1543" s="100" t="n">
        <v>332</v>
      </c>
      <c r="Q1543" s="100"/>
      <c r="R1543" s="103" t="n">
        <f aca="false">合約與計費!$D$4</f>
        <v>0.296</v>
      </c>
      <c r="S1543" s="104" t="n">
        <f aca="false">ROUND(P1543*R1543,0)</f>
        <v>98</v>
      </c>
      <c r="T1543" s="105"/>
      <c r="U1543" s="100"/>
      <c r="V1543" s="100"/>
      <c r="W1543" s="106"/>
      <c r="X1543" s="100"/>
      <c r="Y1543" s="100"/>
      <c r="Z1543" s="107"/>
      <c r="AA1543" s="108"/>
      <c r="AB1543" s="109"/>
      <c r="AC1543" s="110"/>
      <c r="AD1543" s="42" t="n">
        <v>0.077</v>
      </c>
      <c r="AE1543" s="43" t="n">
        <v>1</v>
      </c>
    </row>
    <row r="1544" customFormat="false" ht="16.5" hidden="false" customHeight="true" outlineLevel="0" collapsed="false">
      <c r="A1544" s="97" t="n">
        <f aca="false">ROW(A1533)</f>
        <v>1533</v>
      </c>
      <c r="B1544" s="97" t="s">
        <v>469</v>
      </c>
      <c r="C1544" s="100" t="n">
        <v>1</v>
      </c>
      <c r="D1544" s="85"/>
      <c r="E1544" s="98" t="s">
        <v>3904</v>
      </c>
      <c r="F1544" s="99" t="s">
        <v>3898</v>
      </c>
      <c r="G1544" s="100" t="s">
        <v>3278</v>
      </c>
      <c r="H1544" s="100" t="s">
        <v>3855</v>
      </c>
      <c r="I1544" s="100" t="s">
        <v>172</v>
      </c>
      <c r="J1544" s="98" t="s">
        <v>471</v>
      </c>
      <c r="K1544" s="101" t="s">
        <v>3905</v>
      </c>
      <c r="L1544" s="102" t="n">
        <v>45771</v>
      </c>
      <c r="M1544" s="100" t="n">
        <v>13358</v>
      </c>
      <c r="N1544" s="100" t="n">
        <v>16405</v>
      </c>
      <c r="O1544" s="100" t="n">
        <v>3047</v>
      </c>
      <c r="P1544" s="100" t="n">
        <v>2956</v>
      </c>
      <c r="Q1544" s="100"/>
      <c r="R1544" s="103" t="n">
        <f aca="false">合約與計費!$D$4</f>
        <v>0.296</v>
      </c>
      <c r="S1544" s="104" t="n">
        <f aca="false">ROUND(P1544*R1544,0)</f>
        <v>875</v>
      </c>
      <c r="T1544" s="105"/>
      <c r="U1544" s="100"/>
      <c r="V1544" s="100"/>
      <c r="W1544" s="106"/>
      <c r="X1544" s="100"/>
      <c r="Y1544" s="100"/>
      <c r="Z1544" s="107"/>
      <c r="AA1544" s="108"/>
      <c r="AB1544" s="109"/>
      <c r="AC1544" s="110"/>
      <c r="AD1544" s="42" t="n">
        <v>0.0804</v>
      </c>
      <c r="AE1544" s="43" t="n">
        <v>0.9</v>
      </c>
    </row>
    <row r="1545" customFormat="false" ht="16.5" hidden="false" customHeight="true" outlineLevel="0" collapsed="false">
      <c r="A1545" s="111" t="n">
        <f aca="false">ROW(A1534)</f>
        <v>1534</v>
      </c>
      <c r="B1545" s="111" t="s">
        <v>473</v>
      </c>
      <c r="C1545" s="114" t="n">
        <v>1</v>
      </c>
      <c r="D1545" s="85"/>
      <c r="E1545" s="112" t="s">
        <v>3906</v>
      </c>
      <c r="F1545" s="113" t="s">
        <v>3898</v>
      </c>
      <c r="G1545" s="114" t="s">
        <v>3278</v>
      </c>
      <c r="H1545" s="114" t="s">
        <v>3855</v>
      </c>
      <c r="I1545" s="114" t="s">
        <v>172</v>
      </c>
      <c r="J1545" s="112" t="s">
        <v>471</v>
      </c>
      <c r="K1545" s="115" t="s">
        <v>3907</v>
      </c>
      <c r="L1545" s="116" t="n">
        <v>45771</v>
      </c>
      <c r="M1545" s="114" t="n">
        <v>8126</v>
      </c>
      <c r="N1545" s="114" t="n">
        <v>9532</v>
      </c>
      <c r="O1545" s="100" t="n">
        <v>1406</v>
      </c>
      <c r="P1545" s="100" t="n">
        <v>1364</v>
      </c>
      <c r="Q1545" s="100" t="n">
        <f aca="false">ROUND(SUM(P1541:P1545),2)</f>
        <v>4902</v>
      </c>
      <c r="R1545" s="117" t="n">
        <f aca="false">合約與計費!$D$4</f>
        <v>0.296</v>
      </c>
      <c r="S1545" s="118" t="n">
        <f aca="false">ROUND(P1545*R1545,0)</f>
        <v>404</v>
      </c>
      <c r="T1545" s="105" t="n">
        <f aca="false">ROUND(SUM(S1541:S1545),2)</f>
        <v>1451</v>
      </c>
      <c r="U1545" s="114"/>
      <c r="V1545" s="114"/>
      <c r="W1545" s="120"/>
      <c r="X1545" s="114"/>
      <c r="Y1545" s="100" t="n">
        <f aca="false">ROUND(SUM(X1541:X1545),2)</f>
        <v>41</v>
      </c>
      <c r="Z1545" s="121"/>
      <c r="AA1545" s="108"/>
      <c r="AB1545" s="109" t="n">
        <f aca="false">ROUND(SUM(AA1541:AA1545),2)</f>
        <v>115</v>
      </c>
      <c r="AC1545" s="124"/>
      <c r="AD1545" s="42" t="n">
        <v>0.0934</v>
      </c>
      <c r="AE1545" s="43" t="n">
        <v>0.9</v>
      </c>
    </row>
    <row r="1546" customFormat="false" ht="16.5" hidden="false" customHeight="true" outlineLevel="0" collapsed="false">
      <c r="A1546" s="84" t="n">
        <f aca="false">ROW(A1535)</f>
        <v>1535</v>
      </c>
      <c r="B1546" s="84" t="s">
        <v>455</v>
      </c>
      <c r="C1546" s="32" t="n">
        <v>1</v>
      </c>
      <c r="D1546" s="85" t="n">
        <v>146</v>
      </c>
      <c r="E1546" s="86" t="s">
        <v>3908</v>
      </c>
      <c r="F1546" s="87" t="s">
        <v>3909</v>
      </c>
      <c r="G1546" s="32" t="s">
        <v>3278</v>
      </c>
      <c r="H1546" s="32" t="s">
        <v>3855</v>
      </c>
      <c r="I1546" s="32" t="s">
        <v>30</v>
      </c>
      <c r="J1546" s="86" t="s">
        <v>460</v>
      </c>
      <c r="K1546" s="88" t="s">
        <v>3910</v>
      </c>
      <c r="L1546" s="89" t="n">
        <v>45762</v>
      </c>
      <c r="M1546" s="32" t="n">
        <v>158</v>
      </c>
      <c r="N1546" s="32" t="n">
        <v>193</v>
      </c>
      <c r="O1546" s="32" t="n">
        <v>35</v>
      </c>
      <c r="P1546" s="32" t="n">
        <v>34</v>
      </c>
      <c r="Q1546" s="32"/>
      <c r="R1546" s="90" t="n">
        <f aca="false">合約與計費!$D$4</f>
        <v>0.296</v>
      </c>
      <c r="S1546" s="91" t="n">
        <f aca="false">ROUND(P1546*R1546,0)</f>
        <v>10</v>
      </c>
      <c r="T1546" s="92"/>
      <c r="U1546" s="32" t="n">
        <v>248</v>
      </c>
      <c r="V1546" s="32" t="n">
        <v>294</v>
      </c>
      <c r="W1546" s="32" t="n">
        <v>46</v>
      </c>
      <c r="X1546" s="32" t="n">
        <v>45</v>
      </c>
      <c r="Y1546" s="32"/>
      <c r="Z1546" s="93" t="n">
        <f aca="false">合約與計費!$E$4</f>
        <v>2.8</v>
      </c>
      <c r="AA1546" s="94" t="n">
        <f aca="false">ROUND(X1546*Z1546,0)</f>
        <v>126</v>
      </c>
      <c r="AB1546" s="95"/>
      <c r="AC1546" s="96"/>
      <c r="AD1546" s="42"/>
      <c r="AE1546" s="43"/>
    </row>
    <row r="1547" customFormat="false" ht="16.5" hidden="false" customHeight="true" outlineLevel="0" collapsed="false">
      <c r="A1547" s="97" t="n">
        <f aca="false">ROW(A1536)</f>
        <v>1536</v>
      </c>
      <c r="B1547" s="97" t="s">
        <v>462</v>
      </c>
      <c r="C1547" s="100" t="n">
        <v>1</v>
      </c>
      <c r="D1547" s="85"/>
      <c r="E1547" s="98" t="s">
        <v>3911</v>
      </c>
      <c r="F1547" s="99" t="s">
        <v>3909</v>
      </c>
      <c r="G1547" s="100" t="s">
        <v>3278</v>
      </c>
      <c r="H1547" s="100" t="s">
        <v>3855</v>
      </c>
      <c r="I1547" s="100" t="s">
        <v>30</v>
      </c>
      <c r="J1547" s="98" t="s">
        <v>464</v>
      </c>
      <c r="K1547" s="101" t="s">
        <v>3912</v>
      </c>
      <c r="L1547" s="102" t="n">
        <v>45762</v>
      </c>
      <c r="M1547" s="100" t="n">
        <v>156</v>
      </c>
      <c r="N1547" s="100" t="n">
        <v>182</v>
      </c>
      <c r="O1547" s="100" t="n">
        <v>26</v>
      </c>
      <c r="P1547" s="100" t="n">
        <v>25</v>
      </c>
      <c r="Q1547" s="100"/>
      <c r="R1547" s="103" t="n">
        <f aca="false">合約與計費!$D$4</f>
        <v>0.296</v>
      </c>
      <c r="S1547" s="104" t="n">
        <f aca="false">ROUND(P1547*R1547,0)</f>
        <v>7</v>
      </c>
      <c r="T1547" s="105"/>
      <c r="U1547" s="100"/>
      <c r="V1547" s="100"/>
      <c r="W1547" s="106"/>
      <c r="X1547" s="100"/>
      <c r="Y1547" s="100"/>
      <c r="Z1547" s="107"/>
      <c r="AA1547" s="108"/>
      <c r="AB1547" s="109"/>
      <c r="AC1547" s="110"/>
      <c r="AD1547" s="42" t="n">
        <v>0.025</v>
      </c>
      <c r="AE1547" s="43" t="n">
        <v>0.9</v>
      </c>
    </row>
    <row r="1548" customFormat="false" ht="16.5" hidden="false" customHeight="true" outlineLevel="0" collapsed="false">
      <c r="A1548" s="97" t="n">
        <f aca="false">ROW(A1537)</f>
        <v>1537</v>
      </c>
      <c r="B1548" s="97" t="s">
        <v>466</v>
      </c>
      <c r="C1548" s="100" t="n">
        <v>1</v>
      </c>
      <c r="D1548" s="85"/>
      <c r="E1548" s="98" t="s">
        <v>3913</v>
      </c>
      <c r="F1548" s="99" t="s">
        <v>3909</v>
      </c>
      <c r="G1548" s="100" t="s">
        <v>3278</v>
      </c>
      <c r="H1548" s="100" t="s">
        <v>3855</v>
      </c>
      <c r="I1548" s="100" t="s">
        <v>30</v>
      </c>
      <c r="J1548" s="98" t="s">
        <v>471</v>
      </c>
      <c r="K1548" s="101" t="s">
        <v>3914</v>
      </c>
      <c r="L1548" s="102" t="n">
        <v>45762</v>
      </c>
      <c r="M1548" s="100" t="n">
        <v>4013</v>
      </c>
      <c r="N1548" s="100" t="n">
        <v>5070</v>
      </c>
      <c r="O1548" s="100" t="n">
        <v>1057</v>
      </c>
      <c r="P1548" s="100" t="n">
        <v>1025</v>
      </c>
      <c r="Q1548" s="100"/>
      <c r="R1548" s="103" t="n">
        <f aca="false">合約與計費!$D$4</f>
        <v>0.296</v>
      </c>
      <c r="S1548" s="104" t="n">
        <f aca="false">ROUND(P1548*R1548,0)</f>
        <v>303</v>
      </c>
      <c r="T1548" s="105"/>
      <c r="U1548" s="100"/>
      <c r="V1548" s="100"/>
      <c r="W1548" s="106"/>
      <c r="X1548" s="100"/>
      <c r="Y1548" s="100"/>
      <c r="Z1548" s="107"/>
      <c r="AA1548" s="108"/>
      <c r="AB1548" s="109"/>
      <c r="AC1548" s="110"/>
      <c r="AD1548" s="42" t="n">
        <v>0.065</v>
      </c>
      <c r="AE1548" s="43" t="n">
        <v>0.8</v>
      </c>
    </row>
    <row r="1549" customFormat="false" ht="16.5" hidden="false" customHeight="true" outlineLevel="0" collapsed="false">
      <c r="A1549" s="97" t="n">
        <f aca="false">ROW(A1538)</f>
        <v>1538</v>
      </c>
      <c r="B1549" s="97" t="s">
        <v>469</v>
      </c>
      <c r="C1549" s="100" t="n">
        <v>1</v>
      </c>
      <c r="D1549" s="85"/>
      <c r="E1549" s="98" t="s">
        <v>3915</v>
      </c>
      <c r="F1549" s="99" t="s">
        <v>3909</v>
      </c>
      <c r="G1549" s="100" t="s">
        <v>3278</v>
      </c>
      <c r="H1549" s="100" t="s">
        <v>3855</v>
      </c>
      <c r="I1549" s="100" t="s">
        <v>30</v>
      </c>
      <c r="J1549" s="98" t="s">
        <v>471</v>
      </c>
      <c r="K1549" s="101" t="s">
        <v>3916</v>
      </c>
      <c r="L1549" s="102" t="n">
        <v>45762</v>
      </c>
      <c r="M1549" s="100" t="n">
        <v>3790</v>
      </c>
      <c r="N1549" s="100" t="n">
        <v>4581</v>
      </c>
      <c r="O1549" s="100" t="n">
        <v>791</v>
      </c>
      <c r="P1549" s="100" t="n">
        <v>767</v>
      </c>
      <c r="Q1549" s="100"/>
      <c r="R1549" s="103" t="n">
        <f aca="false">合約與計費!$D$4</f>
        <v>0.296</v>
      </c>
      <c r="S1549" s="104" t="n">
        <f aca="false">ROUND(P1549*R1549,0)</f>
        <v>227</v>
      </c>
      <c r="T1549" s="105"/>
      <c r="U1549" s="100"/>
      <c r="V1549" s="100"/>
      <c r="W1549" s="106"/>
      <c r="X1549" s="100"/>
      <c r="Y1549" s="100"/>
      <c r="Z1549" s="107"/>
      <c r="AA1549" s="108"/>
      <c r="AB1549" s="109"/>
      <c r="AC1549" s="110"/>
      <c r="AD1549" s="42" t="n">
        <v>0.0778</v>
      </c>
      <c r="AE1549" s="43" t="n">
        <v>0.8</v>
      </c>
    </row>
    <row r="1550" customFormat="false" ht="16.5" hidden="false" customHeight="true" outlineLevel="0" collapsed="false">
      <c r="A1550" s="97" t="n">
        <f aca="false">ROW(A1539)</f>
        <v>1539</v>
      </c>
      <c r="B1550" s="97" t="s">
        <v>473</v>
      </c>
      <c r="C1550" s="100" t="n">
        <v>1</v>
      </c>
      <c r="D1550" s="85"/>
      <c r="E1550" s="98" t="s">
        <v>3917</v>
      </c>
      <c r="F1550" s="99" t="s">
        <v>3909</v>
      </c>
      <c r="G1550" s="100" t="s">
        <v>3278</v>
      </c>
      <c r="H1550" s="100" t="s">
        <v>3855</v>
      </c>
      <c r="I1550" s="100" t="s">
        <v>30</v>
      </c>
      <c r="J1550" s="98" t="s">
        <v>471</v>
      </c>
      <c r="K1550" s="101" t="s">
        <v>3918</v>
      </c>
      <c r="L1550" s="102" t="n">
        <v>45762</v>
      </c>
      <c r="M1550" s="100" t="n">
        <v>899</v>
      </c>
      <c r="N1550" s="100" t="n">
        <v>1046</v>
      </c>
      <c r="O1550" s="100" t="n">
        <v>147</v>
      </c>
      <c r="P1550" s="100" t="n">
        <v>143</v>
      </c>
      <c r="Q1550" s="100"/>
      <c r="R1550" s="103" t="n">
        <f aca="false">合約與計費!$D$4</f>
        <v>0.296</v>
      </c>
      <c r="S1550" s="104" t="n">
        <f aca="false">ROUND(P1550*R1550,0)</f>
        <v>42</v>
      </c>
      <c r="T1550" s="105"/>
      <c r="U1550" s="100"/>
      <c r="V1550" s="100"/>
      <c r="W1550" s="106"/>
      <c r="X1550" s="100"/>
      <c r="Y1550" s="100"/>
      <c r="Z1550" s="107"/>
      <c r="AA1550" s="108"/>
      <c r="AB1550" s="109"/>
      <c r="AC1550" s="110"/>
      <c r="AD1550" s="42" t="n">
        <v>0.039</v>
      </c>
      <c r="AE1550" s="43" t="n">
        <v>0.6</v>
      </c>
    </row>
    <row r="1551" customFormat="false" ht="16.5" hidden="false" customHeight="true" outlineLevel="0" collapsed="false">
      <c r="A1551" s="97" t="n">
        <f aca="false">ROW(A1540)</f>
        <v>1540</v>
      </c>
      <c r="B1551" s="97" t="s">
        <v>476</v>
      </c>
      <c r="C1551" s="100" t="n">
        <v>1</v>
      </c>
      <c r="D1551" s="85"/>
      <c r="E1551" s="98" t="s">
        <v>3919</v>
      </c>
      <c r="F1551" s="99" t="s">
        <v>3909</v>
      </c>
      <c r="G1551" s="100" t="s">
        <v>3278</v>
      </c>
      <c r="H1551" s="100" t="s">
        <v>3855</v>
      </c>
      <c r="I1551" s="100" t="s">
        <v>30</v>
      </c>
      <c r="J1551" s="98" t="s">
        <v>471</v>
      </c>
      <c r="K1551" s="101" t="s">
        <v>3920</v>
      </c>
      <c r="L1551" s="102" t="n">
        <v>45762</v>
      </c>
      <c r="M1551" s="100" t="n">
        <v>1889</v>
      </c>
      <c r="N1551" s="100" t="n">
        <v>2416</v>
      </c>
      <c r="O1551" s="100" t="n">
        <v>527</v>
      </c>
      <c r="P1551" s="100" t="n">
        <v>511</v>
      </c>
      <c r="Q1551" s="100"/>
      <c r="R1551" s="103" t="n">
        <f aca="false">合約與計費!$D$4</f>
        <v>0.296</v>
      </c>
      <c r="S1551" s="104" t="n">
        <f aca="false">ROUND(P1551*R1551,0)</f>
        <v>151</v>
      </c>
      <c r="T1551" s="105"/>
      <c r="U1551" s="100"/>
      <c r="V1551" s="100"/>
      <c r="W1551" s="106"/>
      <c r="X1551" s="100"/>
      <c r="Y1551" s="100"/>
      <c r="Z1551" s="107"/>
      <c r="AA1551" s="108"/>
      <c r="AB1551" s="109"/>
      <c r="AC1551" s="110"/>
      <c r="AD1551" s="42" t="n">
        <v>0.0838</v>
      </c>
      <c r="AE1551" s="43" t="n">
        <v>1</v>
      </c>
    </row>
    <row r="1552" customFormat="false" ht="16.5" hidden="false" customHeight="true" outlineLevel="0" collapsed="false">
      <c r="A1552" s="111" t="n">
        <f aca="false">ROW(A1541)</f>
        <v>1541</v>
      </c>
      <c r="B1552" s="111" t="s">
        <v>479</v>
      </c>
      <c r="C1552" s="114" t="n">
        <v>1</v>
      </c>
      <c r="D1552" s="85"/>
      <c r="E1552" s="112" t="s">
        <v>3921</v>
      </c>
      <c r="F1552" s="113" t="s">
        <v>3909</v>
      </c>
      <c r="G1552" s="114" t="s">
        <v>3278</v>
      </c>
      <c r="H1552" s="114" t="s">
        <v>3855</v>
      </c>
      <c r="I1552" s="114" t="s">
        <v>30</v>
      </c>
      <c r="J1552" s="112" t="s">
        <v>471</v>
      </c>
      <c r="K1552" s="115" t="s">
        <v>3922</v>
      </c>
      <c r="L1552" s="116" t="n">
        <v>45762</v>
      </c>
      <c r="M1552" s="114" t="n">
        <v>2481</v>
      </c>
      <c r="N1552" s="114" t="n">
        <v>3056</v>
      </c>
      <c r="O1552" s="100" t="n">
        <v>575</v>
      </c>
      <c r="P1552" s="100" t="n">
        <v>558</v>
      </c>
      <c r="Q1552" s="100" t="n">
        <f aca="false">ROUND(SUM(P1546:P1552),2)</f>
        <v>3063</v>
      </c>
      <c r="R1552" s="117" t="n">
        <f aca="false">合約與計費!$D$4</f>
        <v>0.296</v>
      </c>
      <c r="S1552" s="118" t="n">
        <f aca="false">ROUND(P1552*R1552,0)</f>
        <v>165</v>
      </c>
      <c r="T1552" s="105" t="n">
        <f aca="false">ROUND(SUM(S1546:S1552),2)</f>
        <v>905</v>
      </c>
      <c r="U1552" s="114"/>
      <c r="V1552" s="114"/>
      <c r="W1552" s="120"/>
      <c r="X1552" s="114"/>
      <c r="Y1552" s="100" t="n">
        <f aca="false">ROUND(SUM(X1546:X1552),2)</f>
        <v>45</v>
      </c>
      <c r="Z1552" s="121"/>
      <c r="AA1552" s="108"/>
      <c r="AB1552" s="109" t="n">
        <f aca="false">ROUND(SUM(AA1546:AA1552),2)</f>
        <v>126</v>
      </c>
      <c r="AC1552" s="124"/>
      <c r="AD1552" s="42" t="n">
        <v>0.0835</v>
      </c>
      <c r="AE1552" s="43" t="n">
        <v>0.9</v>
      </c>
    </row>
    <row r="1553" customFormat="false" ht="16.5" hidden="false" customHeight="true" outlineLevel="0" collapsed="false">
      <c r="A1553" s="84" t="n">
        <f aca="false">ROW(A1542)</f>
        <v>1542</v>
      </c>
      <c r="B1553" s="84" t="s">
        <v>455</v>
      </c>
      <c r="C1553" s="32" t="n">
        <v>1</v>
      </c>
      <c r="D1553" s="85" t="n">
        <v>279</v>
      </c>
      <c r="E1553" s="86" t="s">
        <v>3923</v>
      </c>
      <c r="F1553" s="87" t="s">
        <v>3924</v>
      </c>
      <c r="G1553" s="32" t="s">
        <v>3278</v>
      </c>
      <c r="H1553" s="32" t="s">
        <v>3855</v>
      </c>
      <c r="I1553" s="172" t="s">
        <v>150</v>
      </c>
      <c r="J1553" s="86" t="s">
        <v>460</v>
      </c>
      <c r="K1553" s="88" t="s">
        <v>3925</v>
      </c>
      <c r="L1553" s="89" t="n">
        <v>45770</v>
      </c>
      <c r="M1553" s="32" t="n">
        <v>102</v>
      </c>
      <c r="N1553" s="32" t="n">
        <v>110</v>
      </c>
      <c r="O1553" s="32" t="n">
        <v>8</v>
      </c>
      <c r="P1553" s="32" t="n">
        <v>8</v>
      </c>
      <c r="Q1553" s="32"/>
      <c r="R1553" s="90" t="n">
        <f aca="false">合約與計費!$D$4</f>
        <v>0.296</v>
      </c>
      <c r="S1553" s="91" t="n">
        <f aca="false">ROUND(P1553*R1553,0)</f>
        <v>2</v>
      </c>
      <c r="T1553" s="92"/>
      <c r="U1553" s="32" t="n">
        <v>319</v>
      </c>
      <c r="V1553" s="32" t="n">
        <v>385</v>
      </c>
      <c r="W1553" s="32" t="n">
        <v>66</v>
      </c>
      <c r="X1553" s="32" t="n">
        <v>64</v>
      </c>
      <c r="Y1553" s="32"/>
      <c r="Z1553" s="93" t="n">
        <f aca="false">合約與計費!$E$4</f>
        <v>2.8</v>
      </c>
      <c r="AA1553" s="94" t="n">
        <f aca="false">ROUND(X1553*Z1553,0)</f>
        <v>179</v>
      </c>
      <c r="AB1553" s="95"/>
      <c r="AC1553" s="254" t="s">
        <v>3926</v>
      </c>
      <c r="AD1553" s="42"/>
      <c r="AE1553" s="43"/>
    </row>
    <row r="1554" customFormat="false" ht="16.5" hidden="false" customHeight="true" outlineLevel="0" collapsed="false">
      <c r="A1554" s="97" t="n">
        <f aca="false">ROW(A1543)</f>
        <v>1543</v>
      </c>
      <c r="B1554" s="97" t="s">
        <v>462</v>
      </c>
      <c r="C1554" s="100" t="n">
        <v>1</v>
      </c>
      <c r="D1554" s="85"/>
      <c r="E1554" s="98" t="s">
        <v>3927</v>
      </c>
      <c r="F1554" s="99" t="s">
        <v>3924</v>
      </c>
      <c r="G1554" s="100" t="s">
        <v>3278</v>
      </c>
      <c r="H1554" s="100" t="s">
        <v>3855</v>
      </c>
      <c r="I1554" s="175" t="s">
        <v>150</v>
      </c>
      <c r="J1554" s="98" t="s">
        <v>464</v>
      </c>
      <c r="K1554" s="101" t="s">
        <v>3928</v>
      </c>
      <c r="L1554" s="102" t="n">
        <v>45798</v>
      </c>
      <c r="M1554" s="100" t="n">
        <v>1417</v>
      </c>
      <c r="N1554" s="100" t="n">
        <v>1770</v>
      </c>
      <c r="O1554" s="100" t="n">
        <v>353</v>
      </c>
      <c r="P1554" s="100" t="n">
        <v>342</v>
      </c>
      <c r="Q1554" s="100"/>
      <c r="R1554" s="103" t="n">
        <f aca="false">合約與計費!$D$4</f>
        <v>0.296</v>
      </c>
      <c r="S1554" s="104" t="n">
        <f aca="false">ROUND(P1554*R1554,0)</f>
        <v>101</v>
      </c>
      <c r="T1554" s="105"/>
      <c r="U1554" s="100"/>
      <c r="V1554" s="100"/>
      <c r="W1554" s="106"/>
      <c r="X1554" s="100"/>
      <c r="Y1554" s="100"/>
      <c r="Z1554" s="107"/>
      <c r="AA1554" s="108"/>
      <c r="AB1554" s="109"/>
      <c r="AC1554" s="110"/>
      <c r="AD1554" s="42" t="n">
        <v>0.0651</v>
      </c>
      <c r="AE1554" s="43" t="n">
        <v>0.1</v>
      </c>
    </row>
    <row r="1555" customFormat="false" ht="16.5" hidden="false" customHeight="true" outlineLevel="0" collapsed="false">
      <c r="A1555" s="97" t="n">
        <f aca="false">ROW(A1544)</f>
        <v>1544</v>
      </c>
      <c r="B1555" s="97" t="s">
        <v>466</v>
      </c>
      <c r="C1555" s="100" t="n">
        <v>1</v>
      </c>
      <c r="D1555" s="85"/>
      <c r="E1555" s="98" t="s">
        <v>3929</v>
      </c>
      <c r="F1555" s="99" t="s">
        <v>3924</v>
      </c>
      <c r="G1555" s="100" t="s">
        <v>3278</v>
      </c>
      <c r="H1555" s="100" t="s">
        <v>3855</v>
      </c>
      <c r="I1555" s="175" t="s">
        <v>150</v>
      </c>
      <c r="J1555" s="98" t="s">
        <v>471</v>
      </c>
      <c r="K1555" s="101" t="s">
        <v>3930</v>
      </c>
      <c r="L1555" s="102" t="n">
        <v>45770</v>
      </c>
      <c r="M1555" s="100" t="n">
        <v>10623</v>
      </c>
      <c r="N1555" s="100" t="n">
        <v>12544</v>
      </c>
      <c r="O1555" s="100" t="n">
        <v>1921</v>
      </c>
      <c r="P1555" s="100" t="n">
        <v>1863</v>
      </c>
      <c r="Q1555" s="100"/>
      <c r="R1555" s="103" t="n">
        <f aca="false">合約與計費!$D$4</f>
        <v>0.296</v>
      </c>
      <c r="S1555" s="104" t="n">
        <f aca="false">ROUND(P1555*R1555,0)</f>
        <v>551</v>
      </c>
      <c r="T1555" s="105"/>
      <c r="U1555" s="100"/>
      <c r="V1555" s="100"/>
      <c r="W1555" s="106"/>
      <c r="X1555" s="100"/>
      <c r="Y1555" s="100"/>
      <c r="Z1555" s="107"/>
      <c r="AA1555" s="108"/>
      <c r="AB1555" s="109"/>
      <c r="AC1555" s="110"/>
      <c r="AD1555" s="42" t="n">
        <v>0.1448</v>
      </c>
      <c r="AE1555" s="43" t="n">
        <v>0.1</v>
      </c>
    </row>
    <row r="1556" customFormat="false" ht="16.5" hidden="false" customHeight="true" outlineLevel="0" collapsed="false">
      <c r="A1556" s="97" t="n">
        <f aca="false">ROW(A1545)</f>
        <v>1545</v>
      </c>
      <c r="B1556" s="97" t="s">
        <v>469</v>
      </c>
      <c r="C1556" s="100" t="n">
        <v>1</v>
      </c>
      <c r="D1556" s="85"/>
      <c r="E1556" s="98" t="s">
        <v>3931</v>
      </c>
      <c r="F1556" s="99" t="s">
        <v>3924</v>
      </c>
      <c r="G1556" s="100" t="s">
        <v>3278</v>
      </c>
      <c r="H1556" s="100" t="s">
        <v>3855</v>
      </c>
      <c r="I1556" s="175" t="s">
        <v>150</v>
      </c>
      <c r="J1556" s="98" t="s">
        <v>471</v>
      </c>
      <c r="K1556" s="101" t="s">
        <v>3932</v>
      </c>
      <c r="L1556" s="102" t="n">
        <v>45770</v>
      </c>
      <c r="M1556" s="100" t="n">
        <v>3417</v>
      </c>
      <c r="N1556" s="100" t="n">
        <v>4172</v>
      </c>
      <c r="O1556" s="100" t="n">
        <v>755</v>
      </c>
      <c r="P1556" s="100" t="n">
        <v>732</v>
      </c>
      <c r="Q1556" s="100"/>
      <c r="R1556" s="103" t="n">
        <f aca="false">合約與計費!$D$4</f>
        <v>0.296</v>
      </c>
      <c r="S1556" s="104" t="n">
        <f aca="false">ROUND(P1556*R1556,0)</f>
        <v>217</v>
      </c>
      <c r="T1556" s="105"/>
      <c r="U1556" s="100"/>
      <c r="V1556" s="100"/>
      <c r="W1556" s="106"/>
      <c r="X1556" s="100"/>
      <c r="Y1556" s="100"/>
      <c r="Z1556" s="107"/>
      <c r="AA1556" s="108"/>
      <c r="AB1556" s="109"/>
      <c r="AC1556" s="110"/>
      <c r="AD1556" s="42" t="n">
        <v>0.096</v>
      </c>
      <c r="AE1556" s="43" t="n">
        <v>0.7</v>
      </c>
    </row>
    <row r="1557" customFormat="false" ht="16.5" hidden="false" customHeight="true" outlineLevel="0" collapsed="false">
      <c r="A1557" s="97" t="n">
        <f aca="false">ROW(A1546)</f>
        <v>1546</v>
      </c>
      <c r="B1557" s="97" t="s">
        <v>473</v>
      </c>
      <c r="C1557" s="100" t="n">
        <v>1</v>
      </c>
      <c r="D1557" s="85"/>
      <c r="E1557" s="98" t="s">
        <v>3933</v>
      </c>
      <c r="F1557" s="99" t="s">
        <v>3924</v>
      </c>
      <c r="G1557" s="100" t="s">
        <v>3278</v>
      </c>
      <c r="H1557" s="100" t="s">
        <v>3855</v>
      </c>
      <c r="I1557" s="175" t="s">
        <v>150</v>
      </c>
      <c r="J1557" s="98" t="s">
        <v>471</v>
      </c>
      <c r="K1557" s="101" t="s">
        <v>3934</v>
      </c>
      <c r="L1557" s="102" t="n">
        <v>45770</v>
      </c>
      <c r="M1557" s="100" t="n">
        <v>6255</v>
      </c>
      <c r="N1557" s="100" t="n">
        <v>7085</v>
      </c>
      <c r="O1557" s="100" t="n">
        <v>830</v>
      </c>
      <c r="P1557" s="100" t="n">
        <v>805</v>
      </c>
      <c r="Q1557" s="100"/>
      <c r="R1557" s="103" t="n">
        <f aca="false">合約與計費!$D$4</f>
        <v>0.296</v>
      </c>
      <c r="S1557" s="104" t="n">
        <f aca="false">ROUND(P1557*R1557,0)</f>
        <v>238</v>
      </c>
      <c r="T1557" s="105"/>
      <c r="U1557" s="100"/>
      <c r="V1557" s="100"/>
      <c r="W1557" s="106"/>
      <c r="X1557" s="100"/>
      <c r="Y1557" s="100"/>
      <c r="Z1557" s="107"/>
      <c r="AA1557" s="108"/>
      <c r="AB1557" s="109"/>
      <c r="AC1557" s="110"/>
      <c r="AD1557" s="42" t="n">
        <v>0.0882</v>
      </c>
      <c r="AE1557" s="43" t="n">
        <v>0.3</v>
      </c>
    </row>
    <row r="1558" customFormat="false" ht="16.5" hidden="false" customHeight="true" outlineLevel="0" collapsed="false">
      <c r="A1558" s="97" t="n">
        <f aca="false">ROW(A1547)</f>
        <v>1547</v>
      </c>
      <c r="B1558" s="97" t="s">
        <v>476</v>
      </c>
      <c r="C1558" s="100" t="n">
        <v>1</v>
      </c>
      <c r="D1558" s="85"/>
      <c r="E1558" s="98" t="s">
        <v>3935</v>
      </c>
      <c r="F1558" s="99" t="s">
        <v>3924</v>
      </c>
      <c r="G1558" s="100" t="s">
        <v>3278</v>
      </c>
      <c r="H1558" s="100" t="s">
        <v>3855</v>
      </c>
      <c r="I1558" s="175" t="s">
        <v>150</v>
      </c>
      <c r="J1558" s="98" t="s">
        <v>471</v>
      </c>
      <c r="K1558" s="101" t="s">
        <v>3936</v>
      </c>
      <c r="L1558" s="102" t="n">
        <v>45770</v>
      </c>
      <c r="M1558" s="100" t="n">
        <v>12830</v>
      </c>
      <c r="N1558" s="100" t="n">
        <v>15712</v>
      </c>
      <c r="O1558" s="100" t="n">
        <v>2882</v>
      </c>
      <c r="P1558" s="100" t="n">
        <v>2796</v>
      </c>
      <c r="Q1558" s="100"/>
      <c r="R1558" s="103" t="n">
        <f aca="false">合約與計費!$D$4</f>
        <v>0.296</v>
      </c>
      <c r="S1558" s="104" t="n">
        <f aca="false">ROUND(P1558*R1558,0)</f>
        <v>828</v>
      </c>
      <c r="T1558" s="105"/>
      <c r="U1558" s="100"/>
      <c r="V1558" s="100"/>
      <c r="W1558" s="106"/>
      <c r="X1558" s="100"/>
      <c r="Y1558" s="100"/>
      <c r="Z1558" s="107"/>
      <c r="AA1558" s="108"/>
      <c r="AB1558" s="109"/>
      <c r="AC1558" s="110"/>
      <c r="AD1558" s="42" t="n">
        <v>0.0956</v>
      </c>
      <c r="AE1558" s="43" t="n">
        <v>0.1</v>
      </c>
    </row>
    <row r="1559" customFormat="false" ht="16.5" hidden="false" customHeight="true" outlineLevel="0" collapsed="false">
      <c r="A1559" s="111" t="n">
        <f aca="false">ROW(A1548)</f>
        <v>1548</v>
      </c>
      <c r="B1559" s="111" t="s">
        <v>479</v>
      </c>
      <c r="C1559" s="114" t="n">
        <v>1</v>
      </c>
      <c r="D1559" s="85"/>
      <c r="E1559" s="112" t="s">
        <v>3937</v>
      </c>
      <c r="F1559" s="113" t="s">
        <v>3924</v>
      </c>
      <c r="G1559" s="114" t="s">
        <v>3278</v>
      </c>
      <c r="H1559" s="114" t="s">
        <v>3855</v>
      </c>
      <c r="I1559" s="173" t="s">
        <v>150</v>
      </c>
      <c r="J1559" s="112" t="s">
        <v>471</v>
      </c>
      <c r="K1559" s="115" t="s">
        <v>3938</v>
      </c>
      <c r="L1559" s="116" t="n">
        <v>45770</v>
      </c>
      <c r="M1559" s="114" t="n">
        <v>4002</v>
      </c>
      <c r="N1559" s="114" t="n">
        <v>5417</v>
      </c>
      <c r="O1559" s="100" t="n">
        <v>1415</v>
      </c>
      <c r="P1559" s="100" t="n">
        <v>1373</v>
      </c>
      <c r="Q1559" s="100" t="n">
        <f aca="false">ROUND(SUM(P1553:P1559),2)</f>
        <v>7919</v>
      </c>
      <c r="R1559" s="117" t="n">
        <f aca="false">合約與計費!$D$4</f>
        <v>0.296</v>
      </c>
      <c r="S1559" s="118" t="n">
        <f aca="false">ROUND(P1559*R1559,0)</f>
        <v>406</v>
      </c>
      <c r="T1559" s="105" t="n">
        <f aca="false">ROUND(SUM(S1553:S1559),2)</f>
        <v>2343</v>
      </c>
      <c r="U1559" s="114"/>
      <c r="V1559" s="114"/>
      <c r="W1559" s="120"/>
      <c r="X1559" s="114"/>
      <c r="Y1559" s="100" t="n">
        <f aca="false">ROUND(SUM(X1553:X1559),2)</f>
        <v>64</v>
      </c>
      <c r="Z1559" s="121"/>
      <c r="AA1559" s="108"/>
      <c r="AB1559" s="109" t="n">
        <f aca="false">ROUND(SUM(AA1553:AA1559),2)</f>
        <v>179</v>
      </c>
      <c r="AC1559" s="124"/>
      <c r="AD1559" s="42" t="n">
        <v>0.1734</v>
      </c>
      <c r="AE1559" s="43" t="n">
        <v>0.1</v>
      </c>
    </row>
    <row r="1560" customFormat="false" ht="16.5" hidden="false" customHeight="true" outlineLevel="0" collapsed="false">
      <c r="A1560" s="84" t="n">
        <f aca="false">ROW(A1549)</f>
        <v>1549</v>
      </c>
      <c r="B1560" s="84" t="s">
        <v>455</v>
      </c>
      <c r="C1560" s="32" t="n">
        <v>1</v>
      </c>
      <c r="D1560" s="85" t="n">
        <v>293</v>
      </c>
      <c r="E1560" s="86" t="s">
        <v>3939</v>
      </c>
      <c r="F1560" s="87" t="s">
        <v>3940</v>
      </c>
      <c r="G1560" s="32" t="s">
        <v>3278</v>
      </c>
      <c r="H1560" s="32" t="s">
        <v>3855</v>
      </c>
      <c r="I1560" s="32" t="s">
        <v>410</v>
      </c>
      <c r="J1560" s="86" t="s">
        <v>460</v>
      </c>
      <c r="K1560" s="88" t="s">
        <v>3941</v>
      </c>
      <c r="L1560" s="89" t="n">
        <v>45763</v>
      </c>
      <c r="M1560" s="32" t="n">
        <v>2103</v>
      </c>
      <c r="N1560" s="32" t="n">
        <v>2479</v>
      </c>
      <c r="O1560" s="32" t="n">
        <v>376</v>
      </c>
      <c r="P1560" s="32" t="n">
        <v>365</v>
      </c>
      <c r="Q1560" s="32"/>
      <c r="R1560" s="90" t="n">
        <f aca="false">合約與計費!$D$4</f>
        <v>0.296</v>
      </c>
      <c r="S1560" s="91" t="n">
        <f aca="false">ROUND(P1560*R1560,0)</f>
        <v>108</v>
      </c>
      <c r="T1560" s="92"/>
      <c r="U1560" s="32" t="n">
        <v>223</v>
      </c>
      <c r="V1560" s="32" t="n">
        <v>262</v>
      </c>
      <c r="W1560" s="32" t="n">
        <v>39</v>
      </c>
      <c r="X1560" s="32" t="n">
        <v>38</v>
      </c>
      <c r="Y1560" s="32"/>
      <c r="Z1560" s="93" t="n">
        <f aca="false">合約與計費!$E$4</f>
        <v>2.8</v>
      </c>
      <c r="AA1560" s="94" t="n">
        <f aca="false">ROUND(X1560*Z1560,0)</f>
        <v>106</v>
      </c>
      <c r="AB1560" s="95"/>
      <c r="AC1560" s="254"/>
      <c r="AD1560" s="42"/>
      <c r="AE1560" s="43"/>
    </row>
    <row r="1561" customFormat="false" ht="16.5" hidden="false" customHeight="true" outlineLevel="0" collapsed="false">
      <c r="A1561" s="97" t="n">
        <f aca="false">ROW(A1550)</f>
        <v>1550</v>
      </c>
      <c r="B1561" s="97" t="s">
        <v>462</v>
      </c>
      <c r="C1561" s="100" t="n">
        <v>1</v>
      </c>
      <c r="D1561" s="85"/>
      <c r="E1561" s="98" t="s">
        <v>3942</v>
      </c>
      <c r="F1561" s="99" t="s">
        <v>3940</v>
      </c>
      <c r="G1561" s="100" t="s">
        <v>3278</v>
      </c>
      <c r="H1561" s="100" t="s">
        <v>3855</v>
      </c>
      <c r="I1561" s="100" t="s">
        <v>410</v>
      </c>
      <c r="J1561" s="98" t="s">
        <v>464</v>
      </c>
      <c r="K1561" s="101" t="s">
        <v>3943</v>
      </c>
      <c r="L1561" s="102" t="n">
        <v>45763</v>
      </c>
      <c r="M1561" s="100" t="n">
        <v>153</v>
      </c>
      <c r="N1561" s="100" t="n">
        <v>188</v>
      </c>
      <c r="O1561" s="100" t="n">
        <v>35</v>
      </c>
      <c r="P1561" s="100" t="n">
        <v>34</v>
      </c>
      <c r="Q1561" s="100"/>
      <c r="R1561" s="103" t="n">
        <f aca="false">合約與計費!$D$4</f>
        <v>0.296</v>
      </c>
      <c r="S1561" s="104" t="n">
        <f aca="false">ROUND(P1561*R1561,0)</f>
        <v>10</v>
      </c>
      <c r="T1561" s="105"/>
      <c r="U1561" s="100"/>
      <c r="V1561" s="100"/>
      <c r="W1561" s="106"/>
      <c r="X1561" s="100"/>
      <c r="Y1561" s="100"/>
      <c r="Z1561" s="107"/>
      <c r="AA1561" s="108"/>
      <c r="AB1561" s="109"/>
      <c r="AC1561" s="110"/>
      <c r="AD1561" s="42" t="n">
        <v>0.0403</v>
      </c>
      <c r="AE1561" s="43" t="n">
        <v>0.9</v>
      </c>
    </row>
    <row r="1562" customFormat="false" ht="16.5" hidden="false" customHeight="true" outlineLevel="0" collapsed="false">
      <c r="A1562" s="97" t="n">
        <f aca="false">ROW(A1551)</f>
        <v>1551</v>
      </c>
      <c r="B1562" s="97" t="s">
        <v>466</v>
      </c>
      <c r="C1562" s="100" t="n">
        <v>1</v>
      </c>
      <c r="D1562" s="85"/>
      <c r="E1562" s="98" t="s">
        <v>3944</v>
      </c>
      <c r="F1562" s="99" t="s">
        <v>3940</v>
      </c>
      <c r="G1562" s="100" t="s">
        <v>3278</v>
      </c>
      <c r="H1562" s="100" t="s">
        <v>3855</v>
      </c>
      <c r="I1562" s="100" t="s">
        <v>410</v>
      </c>
      <c r="J1562" s="98" t="s">
        <v>527</v>
      </c>
      <c r="K1562" s="101" t="s">
        <v>3945</v>
      </c>
      <c r="L1562" s="102" t="n">
        <v>45763</v>
      </c>
      <c r="M1562" s="100" t="n">
        <v>735</v>
      </c>
      <c r="N1562" s="100" t="n">
        <v>945</v>
      </c>
      <c r="O1562" s="100" t="n">
        <v>210</v>
      </c>
      <c r="P1562" s="100" t="n">
        <v>204</v>
      </c>
      <c r="Q1562" s="100"/>
      <c r="R1562" s="103" t="n">
        <f aca="false">合約與計費!$D$4</f>
        <v>0.296</v>
      </c>
      <c r="S1562" s="104" t="n">
        <f aca="false">ROUND(P1562*R1562,0)</f>
        <v>60</v>
      </c>
      <c r="T1562" s="105"/>
      <c r="U1562" s="100"/>
      <c r="V1562" s="100"/>
      <c r="W1562" s="106"/>
      <c r="X1562" s="100"/>
      <c r="Y1562" s="100"/>
      <c r="Z1562" s="107"/>
      <c r="AA1562" s="108"/>
      <c r="AB1562" s="109"/>
      <c r="AC1562" s="110"/>
      <c r="AD1562" s="42"/>
      <c r="AE1562" s="43"/>
    </row>
    <row r="1563" customFormat="false" ht="16.5" hidden="false" customHeight="true" outlineLevel="0" collapsed="false">
      <c r="A1563" s="97" t="n">
        <f aca="false">ROW(A1552)</f>
        <v>1552</v>
      </c>
      <c r="B1563" s="97" t="s">
        <v>469</v>
      </c>
      <c r="C1563" s="100" t="n">
        <v>1</v>
      </c>
      <c r="D1563" s="85"/>
      <c r="E1563" s="98" t="s">
        <v>3946</v>
      </c>
      <c r="F1563" s="99" t="s">
        <v>3940</v>
      </c>
      <c r="G1563" s="100" t="s">
        <v>3278</v>
      </c>
      <c r="H1563" s="100" t="s">
        <v>3855</v>
      </c>
      <c r="I1563" s="100" t="s">
        <v>410</v>
      </c>
      <c r="J1563" s="98" t="s">
        <v>527</v>
      </c>
      <c r="K1563" s="101" t="s">
        <v>3947</v>
      </c>
      <c r="L1563" s="102" t="n">
        <v>45763</v>
      </c>
      <c r="M1563" s="100" t="n">
        <v>3690</v>
      </c>
      <c r="N1563" s="100" t="n">
        <v>4373</v>
      </c>
      <c r="O1563" s="100" t="n">
        <v>683</v>
      </c>
      <c r="P1563" s="100" t="n">
        <v>663</v>
      </c>
      <c r="Q1563" s="100"/>
      <c r="R1563" s="103" t="n">
        <f aca="false">合約與計費!$D$4</f>
        <v>0.296</v>
      </c>
      <c r="S1563" s="104" t="n">
        <f aca="false">ROUND(P1563*R1563,0)</f>
        <v>196</v>
      </c>
      <c r="T1563" s="105"/>
      <c r="U1563" s="100"/>
      <c r="V1563" s="100"/>
      <c r="W1563" s="106"/>
      <c r="X1563" s="100"/>
      <c r="Y1563" s="100"/>
      <c r="Z1563" s="107"/>
      <c r="AA1563" s="108"/>
      <c r="AB1563" s="109"/>
      <c r="AC1563" s="110"/>
      <c r="AD1563" s="42"/>
      <c r="AE1563" s="43"/>
    </row>
    <row r="1564" customFormat="false" ht="16.5" hidden="false" customHeight="true" outlineLevel="0" collapsed="false">
      <c r="A1564" s="111" t="n">
        <f aca="false">ROW(A1553)</f>
        <v>1553</v>
      </c>
      <c r="B1564" s="111" t="s">
        <v>473</v>
      </c>
      <c r="C1564" s="114" t="n">
        <v>1</v>
      </c>
      <c r="D1564" s="85"/>
      <c r="E1564" s="112" t="s">
        <v>3948</v>
      </c>
      <c r="F1564" s="113" t="s">
        <v>3940</v>
      </c>
      <c r="G1564" s="114" t="s">
        <v>3278</v>
      </c>
      <c r="H1564" s="114" t="s">
        <v>3855</v>
      </c>
      <c r="I1564" s="114" t="s">
        <v>410</v>
      </c>
      <c r="J1564" s="112" t="s">
        <v>527</v>
      </c>
      <c r="K1564" s="115" t="s">
        <v>3949</v>
      </c>
      <c r="L1564" s="116" t="n">
        <v>45763</v>
      </c>
      <c r="M1564" s="114" t="n">
        <v>9102</v>
      </c>
      <c r="N1564" s="114" t="n">
        <v>10960</v>
      </c>
      <c r="O1564" s="100" t="n">
        <v>1858</v>
      </c>
      <c r="P1564" s="100" t="n">
        <v>1802</v>
      </c>
      <c r="Q1564" s="100" t="n">
        <f aca="false">ROUND(SUM(P1560:P1564),2)</f>
        <v>3068</v>
      </c>
      <c r="R1564" s="117" t="n">
        <f aca="false">合約與計費!$D$4</f>
        <v>0.296</v>
      </c>
      <c r="S1564" s="118" t="n">
        <f aca="false">ROUND(P1564*R1564,0)</f>
        <v>533</v>
      </c>
      <c r="T1564" s="105" t="n">
        <f aca="false">ROUND(SUM(S1560:S1564),2)</f>
        <v>907</v>
      </c>
      <c r="U1564" s="114"/>
      <c r="V1564" s="114"/>
      <c r="W1564" s="120"/>
      <c r="X1564" s="114"/>
      <c r="Y1564" s="100" t="n">
        <f aca="false">ROUND(SUM(X1560:X1564),2)</f>
        <v>38</v>
      </c>
      <c r="Z1564" s="121"/>
      <c r="AA1564" s="108"/>
      <c r="AB1564" s="109" t="n">
        <f aca="false">ROUND(SUM(AA1560:AA1564),2)</f>
        <v>106</v>
      </c>
      <c r="AC1564" s="124"/>
      <c r="AD1564" s="42"/>
      <c r="AE1564" s="43"/>
    </row>
    <row r="1565" customFormat="false" ht="16.5" hidden="false" customHeight="true" outlineLevel="0" collapsed="false">
      <c r="A1565" s="84" t="n">
        <f aca="false">ROW(A1554)</f>
        <v>1554</v>
      </c>
      <c r="B1565" s="84" t="s">
        <v>455</v>
      </c>
      <c r="C1565" s="32" t="n">
        <v>1</v>
      </c>
      <c r="D1565" s="85" t="n">
        <v>309</v>
      </c>
      <c r="E1565" s="233" t="s">
        <v>3950</v>
      </c>
      <c r="F1565" s="87" t="s">
        <v>3951</v>
      </c>
      <c r="G1565" s="32" t="s">
        <v>3278</v>
      </c>
      <c r="H1565" s="32" t="s">
        <v>3855</v>
      </c>
      <c r="I1565" s="172" t="s">
        <v>71</v>
      </c>
      <c r="J1565" s="86" t="s">
        <v>460</v>
      </c>
      <c r="K1565" s="88" t="s">
        <v>3952</v>
      </c>
      <c r="L1565" s="89" t="n">
        <v>45762</v>
      </c>
      <c r="M1565" s="32" t="n">
        <v>370</v>
      </c>
      <c r="N1565" s="32" t="n">
        <v>446</v>
      </c>
      <c r="O1565" s="32" t="n">
        <v>76</v>
      </c>
      <c r="P1565" s="32" t="n">
        <v>74</v>
      </c>
      <c r="Q1565" s="32"/>
      <c r="R1565" s="90" t="n">
        <f aca="false">合約與計費!$D$4</f>
        <v>0.296</v>
      </c>
      <c r="S1565" s="91" t="n">
        <f aca="false">ROUND(P1565*R1565,0)</f>
        <v>22</v>
      </c>
      <c r="T1565" s="92"/>
      <c r="U1565" s="32" t="n">
        <v>79</v>
      </c>
      <c r="V1565" s="32" t="n">
        <v>115</v>
      </c>
      <c r="W1565" s="32" t="n">
        <v>36</v>
      </c>
      <c r="X1565" s="32" t="n">
        <v>35</v>
      </c>
      <c r="Y1565" s="32"/>
      <c r="Z1565" s="93" t="n">
        <f aca="false">合約與計費!$E$4</f>
        <v>2.8</v>
      </c>
      <c r="AA1565" s="94" t="n">
        <f aca="false">ROUND(X1565*Z1565,0)</f>
        <v>98</v>
      </c>
      <c r="AB1565" s="95"/>
      <c r="AC1565" s="254"/>
      <c r="AD1565" s="42"/>
      <c r="AE1565" s="43"/>
    </row>
    <row r="1566" customFormat="false" ht="16.5" hidden="false" customHeight="true" outlineLevel="0" collapsed="false">
      <c r="A1566" s="97" t="n">
        <f aca="false">ROW(A1555)</f>
        <v>1555</v>
      </c>
      <c r="B1566" s="97" t="s">
        <v>462</v>
      </c>
      <c r="C1566" s="100" t="n">
        <v>1</v>
      </c>
      <c r="D1566" s="85"/>
      <c r="E1566" s="234" t="s">
        <v>3953</v>
      </c>
      <c r="F1566" s="99" t="s">
        <v>3951</v>
      </c>
      <c r="G1566" s="100" t="s">
        <v>3278</v>
      </c>
      <c r="H1566" s="100" t="s">
        <v>3855</v>
      </c>
      <c r="I1566" s="175" t="s">
        <v>71</v>
      </c>
      <c r="J1566" s="98" t="s">
        <v>527</v>
      </c>
      <c r="K1566" s="101" t="s">
        <v>3954</v>
      </c>
      <c r="L1566" s="102" t="n">
        <v>45762</v>
      </c>
      <c r="M1566" s="100" t="n">
        <v>5179</v>
      </c>
      <c r="N1566" s="100" t="n">
        <v>6343</v>
      </c>
      <c r="O1566" s="100" t="n">
        <v>1164</v>
      </c>
      <c r="P1566" s="100" t="n">
        <v>1129</v>
      </c>
      <c r="Q1566" s="100"/>
      <c r="R1566" s="103" t="n">
        <f aca="false">合約與計費!$D$4</f>
        <v>0.296</v>
      </c>
      <c r="S1566" s="104" t="n">
        <f aca="false">ROUND(P1566*R1566,0)</f>
        <v>334</v>
      </c>
      <c r="T1566" s="105"/>
      <c r="U1566" s="100"/>
      <c r="V1566" s="100"/>
      <c r="W1566" s="106"/>
      <c r="X1566" s="100"/>
      <c r="Y1566" s="100"/>
      <c r="Z1566" s="107"/>
      <c r="AA1566" s="108"/>
      <c r="AB1566" s="109"/>
      <c r="AC1566" s="110"/>
      <c r="AD1566" s="42"/>
      <c r="AE1566" s="43"/>
    </row>
    <row r="1567" customFormat="false" ht="16.5" hidden="false" customHeight="true" outlineLevel="0" collapsed="false">
      <c r="A1567" s="111" t="n">
        <f aca="false">ROW(A1556)</f>
        <v>1556</v>
      </c>
      <c r="B1567" s="111" t="s">
        <v>466</v>
      </c>
      <c r="C1567" s="114" t="n">
        <v>1</v>
      </c>
      <c r="D1567" s="85"/>
      <c r="E1567" s="235" t="s">
        <v>3955</v>
      </c>
      <c r="F1567" s="113" t="s">
        <v>3951</v>
      </c>
      <c r="G1567" s="114" t="s">
        <v>3278</v>
      </c>
      <c r="H1567" s="114" t="s">
        <v>3855</v>
      </c>
      <c r="I1567" s="173" t="s">
        <v>71</v>
      </c>
      <c r="J1567" s="112" t="s">
        <v>527</v>
      </c>
      <c r="K1567" s="115" t="s">
        <v>3956</v>
      </c>
      <c r="L1567" s="116" t="n">
        <v>45762</v>
      </c>
      <c r="M1567" s="114" t="n">
        <v>12205</v>
      </c>
      <c r="N1567" s="114" t="n">
        <v>14878</v>
      </c>
      <c r="O1567" s="114" t="n">
        <v>2673</v>
      </c>
      <c r="P1567" s="114" t="n">
        <v>2593</v>
      </c>
      <c r="Q1567" s="114" t="n">
        <f aca="false">ROUND(SUM(P1565:P1567),2)</f>
        <v>3796</v>
      </c>
      <c r="R1567" s="117" t="n">
        <f aca="false">合約與計費!$D$4</f>
        <v>0.296</v>
      </c>
      <c r="S1567" s="118" t="n">
        <f aca="false">ROUND(P1567*R1567,0)</f>
        <v>768</v>
      </c>
      <c r="T1567" s="119" t="n">
        <f aca="false">ROUND(SUM(S1565:S1567),2)</f>
        <v>1124</v>
      </c>
      <c r="U1567" s="114"/>
      <c r="V1567" s="114"/>
      <c r="W1567" s="120"/>
      <c r="X1567" s="114"/>
      <c r="Y1567" s="114" t="n">
        <f aca="false">ROUND(SUM(X1565:X1567),2)</f>
        <v>35</v>
      </c>
      <c r="Z1567" s="121"/>
      <c r="AA1567" s="122"/>
      <c r="AB1567" s="123" t="n">
        <f aca="false">ROUND(SUM(AA1565:AA1567),2)</f>
        <v>98</v>
      </c>
      <c r="AC1567" s="124"/>
      <c r="AD1567" s="42"/>
      <c r="AE1567" s="43"/>
    </row>
    <row r="1568" customFormat="false" ht="16.5" hidden="false" customHeight="true" outlineLevel="0" collapsed="false">
      <c r="A1568" s="84" t="n">
        <f aca="false">ROW(A1557)</f>
        <v>1557</v>
      </c>
      <c r="B1568" s="84" t="s">
        <v>455</v>
      </c>
      <c r="C1568" s="32" t="n">
        <v>1</v>
      </c>
      <c r="D1568" s="85" t="n">
        <v>352</v>
      </c>
      <c r="E1568" s="86" t="s">
        <v>3957</v>
      </c>
      <c r="F1568" s="87" t="s">
        <v>3958</v>
      </c>
      <c r="G1568" s="32" t="s">
        <v>3278</v>
      </c>
      <c r="H1568" s="32" t="s">
        <v>3855</v>
      </c>
      <c r="I1568" s="172" t="s">
        <v>188</v>
      </c>
      <c r="J1568" s="86" t="s">
        <v>460</v>
      </c>
      <c r="K1568" s="88" t="s">
        <v>3959</v>
      </c>
      <c r="L1568" s="89" t="n">
        <v>45783</v>
      </c>
      <c r="M1568" s="32" t="n">
        <v>164</v>
      </c>
      <c r="N1568" s="32" t="n">
        <v>175</v>
      </c>
      <c r="O1568" s="32" t="n">
        <v>11</v>
      </c>
      <c r="P1568" s="32" t="n">
        <v>11</v>
      </c>
      <c r="Q1568" s="32"/>
      <c r="R1568" s="90" t="n">
        <f aca="false">合約與計費!$D$4</f>
        <v>0.296</v>
      </c>
      <c r="S1568" s="91" t="n">
        <f aca="false">ROUND(P1568*R1568,0)</f>
        <v>3</v>
      </c>
      <c r="T1568" s="92"/>
      <c r="U1568" s="32" t="n">
        <v>37</v>
      </c>
      <c r="V1568" s="32" t="n">
        <v>41</v>
      </c>
      <c r="W1568" s="32" t="n">
        <v>4</v>
      </c>
      <c r="X1568" s="32" t="n">
        <v>4</v>
      </c>
      <c r="Y1568" s="32"/>
      <c r="Z1568" s="93" t="n">
        <f aca="false">合約與計費!$E$4</f>
        <v>2.8</v>
      </c>
      <c r="AA1568" s="94" t="n">
        <f aca="false">ROUND(X1568*Z1568,0)</f>
        <v>11</v>
      </c>
      <c r="AB1568" s="95"/>
      <c r="AC1568" s="254"/>
      <c r="AD1568" s="42"/>
      <c r="AE1568" s="43"/>
    </row>
    <row r="1569" customFormat="false" ht="16.5" hidden="false" customHeight="true" outlineLevel="0" collapsed="false">
      <c r="A1569" s="111" t="n">
        <f aca="false">ROW(A1558)</f>
        <v>1558</v>
      </c>
      <c r="B1569" s="111" t="s">
        <v>462</v>
      </c>
      <c r="C1569" s="114" t="n">
        <v>1</v>
      </c>
      <c r="D1569" s="85"/>
      <c r="E1569" s="112" t="s">
        <v>3960</v>
      </c>
      <c r="F1569" s="113" t="s">
        <v>3958</v>
      </c>
      <c r="G1569" s="114" t="s">
        <v>3278</v>
      </c>
      <c r="H1569" s="114" t="s">
        <v>3855</v>
      </c>
      <c r="I1569" s="173" t="s">
        <v>188</v>
      </c>
      <c r="J1569" s="112" t="s">
        <v>464</v>
      </c>
      <c r="K1569" s="115" t="s">
        <v>3961</v>
      </c>
      <c r="L1569" s="116" t="n">
        <v>45938</v>
      </c>
      <c r="M1569" s="114" t="n">
        <v>6</v>
      </c>
      <c r="N1569" s="114" t="n">
        <v>18</v>
      </c>
      <c r="O1569" s="114" t="n">
        <v>12</v>
      </c>
      <c r="P1569" s="114" t="n">
        <v>12</v>
      </c>
      <c r="Q1569" s="114" t="n">
        <f aca="false">ROUND(SUM(P1568:P1569),2)</f>
        <v>23</v>
      </c>
      <c r="R1569" s="117" t="n">
        <f aca="false">合約與計費!$D$4</f>
        <v>0.296</v>
      </c>
      <c r="S1569" s="118" t="n">
        <f aca="false">ROUND(P1569*R1569,0)</f>
        <v>4</v>
      </c>
      <c r="T1569" s="119" t="n">
        <f aca="false">ROUND(SUM(S1568:S1569),2)</f>
        <v>7</v>
      </c>
      <c r="U1569" s="114"/>
      <c r="V1569" s="114"/>
      <c r="W1569" s="120"/>
      <c r="X1569" s="114"/>
      <c r="Y1569" s="114" t="n">
        <f aca="false">ROUND(SUM(X1568:X1569),2)</f>
        <v>4</v>
      </c>
      <c r="Z1569" s="121"/>
      <c r="AA1569" s="122"/>
      <c r="AB1569" s="123" t="n">
        <f aca="false">ROUND(SUM(AA1568:AA1569),2)</f>
        <v>11</v>
      </c>
      <c r="AC1569" s="124"/>
      <c r="AD1569" s="42" t="n">
        <v>0.025</v>
      </c>
      <c r="AE1569" s="43" t="n">
        <v>1</v>
      </c>
    </row>
    <row r="1570" customFormat="false" ht="16.5" hidden="false" customHeight="true" outlineLevel="0" collapsed="false">
      <c r="A1570" s="84" t="n">
        <f aca="false">ROW(A1559)</f>
        <v>1559</v>
      </c>
      <c r="B1570" s="84" t="s">
        <v>455</v>
      </c>
      <c r="C1570" s="32" t="n">
        <v>1</v>
      </c>
      <c r="D1570" s="85" t="n">
        <v>374</v>
      </c>
      <c r="E1570" s="86" t="s">
        <v>3962</v>
      </c>
      <c r="F1570" s="87" t="s">
        <v>3963</v>
      </c>
      <c r="G1570" s="32" t="s">
        <v>3278</v>
      </c>
      <c r="H1570" s="32" t="s">
        <v>3855</v>
      </c>
      <c r="I1570" s="32" t="s">
        <v>417</v>
      </c>
      <c r="J1570" s="86" t="s">
        <v>460</v>
      </c>
      <c r="K1570" s="88" t="s">
        <v>3964</v>
      </c>
      <c r="L1570" s="89" t="n">
        <v>45762</v>
      </c>
      <c r="M1570" s="32" t="n">
        <v>9</v>
      </c>
      <c r="N1570" s="32" t="n">
        <v>12</v>
      </c>
      <c r="O1570" s="32" t="n">
        <v>3</v>
      </c>
      <c r="P1570" s="32" t="n">
        <v>3</v>
      </c>
      <c r="Q1570" s="32"/>
      <c r="R1570" s="90" t="n">
        <f aca="false">合約與計費!$D$4</f>
        <v>0.296</v>
      </c>
      <c r="S1570" s="91" t="n">
        <f aca="false">ROUND(P1570*R1570,0)</f>
        <v>1</v>
      </c>
      <c r="T1570" s="92"/>
      <c r="U1570" s="32" t="n">
        <v>70</v>
      </c>
      <c r="V1570" s="32" t="n">
        <v>85</v>
      </c>
      <c r="W1570" s="32" t="n">
        <v>15</v>
      </c>
      <c r="X1570" s="32" t="n">
        <v>15</v>
      </c>
      <c r="Y1570" s="32"/>
      <c r="Z1570" s="93" t="n">
        <f aca="false">合約與計費!$E$4</f>
        <v>2.8</v>
      </c>
      <c r="AA1570" s="94" t="n">
        <f aca="false">ROUND(X1570*Z1570,0)</f>
        <v>42</v>
      </c>
      <c r="AB1570" s="95"/>
      <c r="AC1570" s="254"/>
      <c r="AD1570" s="42"/>
      <c r="AE1570" s="43"/>
    </row>
    <row r="1571" customFormat="false" ht="16.5" hidden="false" customHeight="true" outlineLevel="0" collapsed="false">
      <c r="A1571" s="97" t="n">
        <f aca="false">ROW(A1560)</f>
        <v>1560</v>
      </c>
      <c r="B1571" s="97" t="s">
        <v>462</v>
      </c>
      <c r="C1571" s="100" t="n">
        <v>1</v>
      </c>
      <c r="D1571" s="85"/>
      <c r="E1571" s="98" t="s">
        <v>3965</v>
      </c>
      <c r="F1571" s="99" t="s">
        <v>3963</v>
      </c>
      <c r="G1571" s="100" t="s">
        <v>3278</v>
      </c>
      <c r="H1571" s="100" t="s">
        <v>3855</v>
      </c>
      <c r="I1571" s="100" t="s">
        <v>417</v>
      </c>
      <c r="J1571" s="98" t="s">
        <v>464</v>
      </c>
      <c r="K1571" s="101" t="s">
        <v>3966</v>
      </c>
      <c r="L1571" s="102" t="n">
        <v>45762</v>
      </c>
      <c r="M1571" s="100" t="n">
        <v>554</v>
      </c>
      <c r="N1571" s="100" t="n">
        <v>1004</v>
      </c>
      <c r="O1571" s="100" t="n">
        <v>450</v>
      </c>
      <c r="P1571" s="100" t="n">
        <v>437</v>
      </c>
      <c r="Q1571" s="100"/>
      <c r="R1571" s="103" t="n">
        <f aca="false">合約與計費!$D$4</f>
        <v>0.296</v>
      </c>
      <c r="S1571" s="104" t="n">
        <f aca="false">ROUND(P1571*R1571,0)</f>
        <v>129</v>
      </c>
      <c r="T1571" s="105"/>
      <c r="U1571" s="100"/>
      <c r="V1571" s="100"/>
      <c r="W1571" s="106"/>
      <c r="X1571" s="100"/>
      <c r="Y1571" s="100"/>
      <c r="Z1571" s="107"/>
      <c r="AA1571" s="108"/>
      <c r="AB1571" s="109"/>
      <c r="AC1571" s="110"/>
      <c r="AD1571" s="42" t="n">
        <v>0.0932</v>
      </c>
      <c r="AE1571" s="43" t="n">
        <v>0.3</v>
      </c>
    </row>
    <row r="1572" customFormat="false" ht="16.5" hidden="false" customHeight="true" outlineLevel="0" collapsed="false">
      <c r="A1572" s="97" t="n">
        <f aca="false">ROW(A1561)</f>
        <v>1561</v>
      </c>
      <c r="B1572" s="97" t="s">
        <v>466</v>
      </c>
      <c r="C1572" s="100" t="n">
        <v>1</v>
      </c>
      <c r="D1572" s="85"/>
      <c r="E1572" s="98" t="s">
        <v>3967</v>
      </c>
      <c r="F1572" s="99" t="s">
        <v>3963</v>
      </c>
      <c r="G1572" s="100" t="s">
        <v>3278</v>
      </c>
      <c r="H1572" s="100" t="s">
        <v>3855</v>
      </c>
      <c r="I1572" s="100" t="s">
        <v>417</v>
      </c>
      <c r="J1572" s="98" t="s">
        <v>527</v>
      </c>
      <c r="K1572" s="101" t="s">
        <v>3968</v>
      </c>
      <c r="L1572" s="102" t="n">
        <v>45762</v>
      </c>
      <c r="M1572" s="100" t="n">
        <v>9199</v>
      </c>
      <c r="N1572" s="100" t="n">
        <v>10805</v>
      </c>
      <c r="O1572" s="100" t="n">
        <v>1606</v>
      </c>
      <c r="P1572" s="100" t="n">
        <v>1558</v>
      </c>
      <c r="Q1572" s="100"/>
      <c r="R1572" s="103" t="n">
        <f aca="false">合約與計費!$D$4</f>
        <v>0.296</v>
      </c>
      <c r="S1572" s="104" t="n">
        <f aca="false">ROUND(P1572*R1572,0)</f>
        <v>461</v>
      </c>
      <c r="T1572" s="105"/>
      <c r="U1572" s="100"/>
      <c r="V1572" s="100"/>
      <c r="W1572" s="106"/>
      <c r="X1572" s="100"/>
      <c r="Y1572" s="100"/>
      <c r="Z1572" s="107"/>
      <c r="AA1572" s="108"/>
      <c r="AB1572" s="109"/>
      <c r="AC1572" s="110"/>
      <c r="AD1572" s="42"/>
      <c r="AE1572" s="43"/>
    </row>
    <row r="1573" customFormat="false" ht="16.5" hidden="false" customHeight="true" outlineLevel="0" collapsed="false">
      <c r="A1573" s="97" t="n">
        <f aca="false">ROW(A1562)</f>
        <v>1562</v>
      </c>
      <c r="B1573" s="97" t="s">
        <v>469</v>
      </c>
      <c r="C1573" s="100" t="n">
        <v>1</v>
      </c>
      <c r="D1573" s="85"/>
      <c r="E1573" s="98" t="s">
        <v>3969</v>
      </c>
      <c r="F1573" s="99" t="s">
        <v>3963</v>
      </c>
      <c r="G1573" s="100" t="s">
        <v>3278</v>
      </c>
      <c r="H1573" s="100" t="s">
        <v>3855</v>
      </c>
      <c r="I1573" s="100" t="s">
        <v>417</v>
      </c>
      <c r="J1573" s="98" t="s">
        <v>527</v>
      </c>
      <c r="K1573" s="101" t="s">
        <v>3970</v>
      </c>
      <c r="L1573" s="102" t="n">
        <v>45762</v>
      </c>
      <c r="M1573" s="100" t="n">
        <v>475</v>
      </c>
      <c r="N1573" s="100" t="n">
        <v>704</v>
      </c>
      <c r="O1573" s="100" t="n">
        <v>229</v>
      </c>
      <c r="P1573" s="100" t="n">
        <v>222</v>
      </c>
      <c r="Q1573" s="100"/>
      <c r="R1573" s="103" t="n">
        <f aca="false">合約與計費!$D$4</f>
        <v>0.296</v>
      </c>
      <c r="S1573" s="104" t="n">
        <f aca="false">ROUND(P1573*R1573,0)</f>
        <v>66</v>
      </c>
      <c r="T1573" s="105"/>
      <c r="U1573" s="100"/>
      <c r="V1573" s="100"/>
      <c r="W1573" s="106"/>
      <c r="X1573" s="100"/>
      <c r="Y1573" s="100"/>
      <c r="Z1573" s="107"/>
      <c r="AA1573" s="108"/>
      <c r="AB1573" s="109"/>
      <c r="AC1573" s="110"/>
      <c r="AD1573" s="42"/>
      <c r="AE1573" s="43"/>
    </row>
    <row r="1574" customFormat="false" ht="16.5" hidden="false" customHeight="true" outlineLevel="0" collapsed="false">
      <c r="A1574" s="111" t="n">
        <f aca="false">ROW(A1563)</f>
        <v>1563</v>
      </c>
      <c r="B1574" s="111" t="s">
        <v>473</v>
      </c>
      <c r="C1574" s="114" t="n">
        <v>1</v>
      </c>
      <c r="D1574" s="85"/>
      <c r="E1574" s="112" t="s">
        <v>3971</v>
      </c>
      <c r="F1574" s="113" t="s">
        <v>3963</v>
      </c>
      <c r="G1574" s="114" t="s">
        <v>3278</v>
      </c>
      <c r="H1574" s="114" t="s">
        <v>3855</v>
      </c>
      <c r="I1574" s="114" t="s">
        <v>417</v>
      </c>
      <c r="J1574" s="112" t="s">
        <v>527</v>
      </c>
      <c r="K1574" s="115" t="s">
        <v>3972</v>
      </c>
      <c r="L1574" s="116" t="n">
        <v>45798</v>
      </c>
      <c r="M1574" s="114" t="n">
        <v>348</v>
      </c>
      <c r="N1574" s="114" t="n">
        <v>422</v>
      </c>
      <c r="O1574" s="114" t="n">
        <v>74</v>
      </c>
      <c r="P1574" s="114" t="n">
        <v>72</v>
      </c>
      <c r="Q1574" s="114" t="n">
        <f aca="false">ROUND(SUM(P1570:P1574),2)</f>
        <v>2292</v>
      </c>
      <c r="R1574" s="117" t="n">
        <f aca="false">合約與計費!$D$4</f>
        <v>0.296</v>
      </c>
      <c r="S1574" s="118" t="n">
        <f aca="false">ROUND(P1574*R1574,0)</f>
        <v>21</v>
      </c>
      <c r="T1574" s="119" t="n">
        <f aca="false">ROUND(SUM(S1570:S1574),2)</f>
        <v>678</v>
      </c>
      <c r="U1574" s="114"/>
      <c r="V1574" s="114"/>
      <c r="W1574" s="120"/>
      <c r="X1574" s="114"/>
      <c r="Y1574" s="114" t="n">
        <f aca="false">ROUND(SUM(X1570:X1574),2)</f>
        <v>15</v>
      </c>
      <c r="Z1574" s="121"/>
      <c r="AA1574" s="122"/>
      <c r="AB1574" s="123" t="n">
        <f aca="false">ROUND(SUM(AA1570:AA1574),2)</f>
        <v>42</v>
      </c>
      <c r="AC1574" s="124"/>
      <c r="AD1574" s="42"/>
      <c r="AE1574" s="43"/>
    </row>
    <row r="1575" customFormat="false" ht="16.5" hidden="false" customHeight="true" outlineLevel="0" collapsed="false">
      <c r="A1575" s="84" t="n">
        <f aca="false">ROW(A1564)</f>
        <v>1564</v>
      </c>
      <c r="B1575" s="84" t="s">
        <v>455</v>
      </c>
      <c r="C1575" s="32" t="n">
        <v>1</v>
      </c>
      <c r="D1575" s="85" t="n">
        <v>141</v>
      </c>
      <c r="E1575" s="86" t="s">
        <v>3973</v>
      </c>
      <c r="F1575" s="87" t="s">
        <v>3974</v>
      </c>
      <c r="G1575" s="32" t="s">
        <v>3278</v>
      </c>
      <c r="H1575" s="32" t="s">
        <v>3975</v>
      </c>
      <c r="I1575" s="32" t="s">
        <v>139</v>
      </c>
      <c r="J1575" s="86" t="s">
        <v>460</v>
      </c>
      <c r="K1575" s="88" t="s">
        <v>3976</v>
      </c>
      <c r="L1575" s="89" t="n">
        <v>45771</v>
      </c>
      <c r="M1575" s="32" t="n">
        <v>157</v>
      </c>
      <c r="N1575" s="32" t="n">
        <v>172</v>
      </c>
      <c r="O1575" s="32" t="n">
        <v>15</v>
      </c>
      <c r="P1575" s="32" t="n">
        <v>15</v>
      </c>
      <c r="Q1575" s="32"/>
      <c r="R1575" s="90" t="n">
        <f aca="false">合約與計費!$D$4</f>
        <v>0.296</v>
      </c>
      <c r="S1575" s="91" t="n">
        <f aca="false">ROUND(P1575*R1575,0)</f>
        <v>4</v>
      </c>
      <c r="T1575" s="92"/>
      <c r="U1575" s="32" t="n">
        <v>672</v>
      </c>
      <c r="V1575" s="32" t="n">
        <v>771</v>
      </c>
      <c r="W1575" s="32" t="n">
        <v>99</v>
      </c>
      <c r="X1575" s="32" t="n">
        <v>96</v>
      </c>
      <c r="Y1575" s="32"/>
      <c r="Z1575" s="93" t="n">
        <f aca="false">合約與計費!$E$4</f>
        <v>2.8</v>
      </c>
      <c r="AA1575" s="94" t="n">
        <f aca="false">ROUND(X1575*Z1575,0)</f>
        <v>269</v>
      </c>
      <c r="AB1575" s="95"/>
      <c r="AC1575" s="254"/>
      <c r="AD1575" s="42"/>
      <c r="AE1575" s="43"/>
    </row>
    <row r="1576" customFormat="false" ht="16.5" hidden="false" customHeight="true" outlineLevel="0" collapsed="false">
      <c r="A1576" s="97" t="n">
        <f aca="false">ROW(A1565)</f>
        <v>1565</v>
      </c>
      <c r="B1576" s="97" t="s">
        <v>462</v>
      </c>
      <c r="C1576" s="100" t="n">
        <v>1</v>
      </c>
      <c r="D1576" s="85"/>
      <c r="E1576" s="98" t="s">
        <v>3977</v>
      </c>
      <c r="F1576" s="99" t="s">
        <v>3974</v>
      </c>
      <c r="G1576" s="100" t="s">
        <v>3278</v>
      </c>
      <c r="H1576" s="100" t="s">
        <v>3975</v>
      </c>
      <c r="I1576" s="100" t="s">
        <v>139</v>
      </c>
      <c r="J1576" s="98" t="s">
        <v>464</v>
      </c>
      <c r="K1576" s="101" t="s">
        <v>3978</v>
      </c>
      <c r="L1576" s="102" t="n">
        <v>45771</v>
      </c>
      <c r="M1576" s="100" t="n">
        <v>164</v>
      </c>
      <c r="N1576" s="100" t="n">
        <v>202</v>
      </c>
      <c r="O1576" s="100" t="n">
        <v>38</v>
      </c>
      <c r="P1576" s="100" t="n">
        <v>37</v>
      </c>
      <c r="Q1576" s="100"/>
      <c r="R1576" s="103" t="n">
        <f aca="false">合約與計費!$D$4</f>
        <v>0.296</v>
      </c>
      <c r="S1576" s="104" t="n">
        <f aca="false">ROUND(P1576*R1576,0)</f>
        <v>11</v>
      </c>
      <c r="T1576" s="105"/>
      <c r="U1576" s="100"/>
      <c r="V1576" s="100"/>
      <c r="W1576" s="106"/>
      <c r="X1576" s="100"/>
      <c r="Y1576" s="100"/>
      <c r="Z1576" s="107"/>
      <c r="AA1576" s="108"/>
      <c r="AB1576" s="109"/>
      <c r="AC1576" s="110"/>
      <c r="AD1576" s="42" t="n">
        <v>0.0327</v>
      </c>
      <c r="AE1576" s="43" t="n">
        <v>0.9</v>
      </c>
    </row>
    <row r="1577" customFormat="false" ht="16.5" hidden="false" customHeight="true" outlineLevel="0" collapsed="false">
      <c r="A1577" s="97" t="n">
        <f aca="false">ROW(A1566)</f>
        <v>1566</v>
      </c>
      <c r="B1577" s="97" t="s">
        <v>466</v>
      </c>
      <c r="C1577" s="100" t="n">
        <v>1</v>
      </c>
      <c r="D1577" s="85"/>
      <c r="E1577" s="98" t="s">
        <v>3979</v>
      </c>
      <c r="F1577" s="99" t="s">
        <v>3974</v>
      </c>
      <c r="G1577" s="100" t="s">
        <v>3278</v>
      </c>
      <c r="H1577" s="100" t="s">
        <v>3975</v>
      </c>
      <c r="I1577" s="100" t="s">
        <v>139</v>
      </c>
      <c r="J1577" s="98" t="s">
        <v>471</v>
      </c>
      <c r="K1577" s="101" t="s">
        <v>3980</v>
      </c>
      <c r="L1577" s="102" t="n">
        <v>45771</v>
      </c>
      <c r="M1577" s="100" t="n">
        <v>1897</v>
      </c>
      <c r="N1577" s="100" t="n">
        <v>2222</v>
      </c>
      <c r="O1577" s="100" t="n">
        <v>325</v>
      </c>
      <c r="P1577" s="100" t="n">
        <v>315</v>
      </c>
      <c r="Q1577" s="100"/>
      <c r="R1577" s="103" t="n">
        <f aca="false">合約與計費!$D$4</f>
        <v>0.296</v>
      </c>
      <c r="S1577" s="104" t="n">
        <f aca="false">ROUND(P1577*R1577,0)</f>
        <v>93</v>
      </c>
      <c r="T1577" s="105"/>
      <c r="U1577" s="100"/>
      <c r="V1577" s="100"/>
      <c r="W1577" s="106"/>
      <c r="X1577" s="100"/>
      <c r="Y1577" s="100"/>
      <c r="Z1577" s="107"/>
      <c r="AA1577" s="108"/>
      <c r="AB1577" s="109"/>
      <c r="AC1577" s="110"/>
      <c r="AD1577" s="42" t="n">
        <v>0.0699</v>
      </c>
      <c r="AE1577" s="43" t="n">
        <v>1</v>
      </c>
    </row>
    <row r="1578" customFormat="false" ht="16.5" hidden="false" customHeight="true" outlineLevel="0" collapsed="false">
      <c r="A1578" s="97" t="n">
        <f aca="false">ROW(A1567)</f>
        <v>1567</v>
      </c>
      <c r="B1578" s="97" t="s">
        <v>469</v>
      </c>
      <c r="C1578" s="100" t="n">
        <v>1</v>
      </c>
      <c r="D1578" s="85"/>
      <c r="E1578" s="98" t="s">
        <v>3981</v>
      </c>
      <c r="F1578" s="99" t="s">
        <v>3974</v>
      </c>
      <c r="G1578" s="100" t="s">
        <v>3278</v>
      </c>
      <c r="H1578" s="100" t="s">
        <v>3975</v>
      </c>
      <c r="I1578" s="100" t="s">
        <v>139</v>
      </c>
      <c r="J1578" s="98" t="s">
        <v>471</v>
      </c>
      <c r="K1578" s="101" t="s">
        <v>3982</v>
      </c>
      <c r="L1578" s="102" t="n">
        <v>45771</v>
      </c>
      <c r="M1578" s="100" t="n">
        <v>7671</v>
      </c>
      <c r="N1578" s="100" t="n">
        <v>9397</v>
      </c>
      <c r="O1578" s="100" t="n">
        <v>1726</v>
      </c>
      <c r="P1578" s="100" t="n">
        <v>1674</v>
      </c>
      <c r="Q1578" s="100"/>
      <c r="R1578" s="103" t="n">
        <f aca="false">合約與計費!$D$4</f>
        <v>0.296</v>
      </c>
      <c r="S1578" s="104" t="n">
        <f aca="false">ROUND(P1578*R1578,0)</f>
        <v>496</v>
      </c>
      <c r="T1578" s="105"/>
      <c r="U1578" s="100"/>
      <c r="V1578" s="100"/>
      <c r="W1578" s="106"/>
      <c r="X1578" s="100"/>
      <c r="Y1578" s="100"/>
      <c r="Z1578" s="107"/>
      <c r="AA1578" s="108"/>
      <c r="AB1578" s="109"/>
      <c r="AC1578" s="110"/>
      <c r="AD1578" s="42" t="n">
        <v>0.1168</v>
      </c>
      <c r="AE1578" s="43" t="n">
        <v>0.2</v>
      </c>
    </row>
    <row r="1579" customFormat="false" ht="16.5" hidden="false" customHeight="true" outlineLevel="0" collapsed="false">
      <c r="A1579" s="97" t="n">
        <f aca="false">ROW(A1568)</f>
        <v>1568</v>
      </c>
      <c r="B1579" s="97" t="s">
        <v>473</v>
      </c>
      <c r="C1579" s="100" t="n">
        <v>1</v>
      </c>
      <c r="D1579" s="85"/>
      <c r="E1579" s="98" t="s">
        <v>3983</v>
      </c>
      <c r="F1579" s="99" t="s">
        <v>3974</v>
      </c>
      <c r="G1579" s="100" t="s">
        <v>3278</v>
      </c>
      <c r="H1579" s="100" t="s">
        <v>3975</v>
      </c>
      <c r="I1579" s="100" t="s">
        <v>139</v>
      </c>
      <c r="J1579" s="98" t="s">
        <v>471</v>
      </c>
      <c r="K1579" s="101" t="s">
        <v>3984</v>
      </c>
      <c r="L1579" s="102" t="n">
        <v>45771</v>
      </c>
      <c r="M1579" s="100" t="n">
        <v>8381</v>
      </c>
      <c r="N1579" s="100" t="n">
        <v>10042</v>
      </c>
      <c r="O1579" s="100" t="n">
        <v>1661</v>
      </c>
      <c r="P1579" s="100" t="n">
        <v>1611</v>
      </c>
      <c r="Q1579" s="100"/>
      <c r="R1579" s="103" t="n">
        <f aca="false">合約與計費!$D$4</f>
        <v>0.296</v>
      </c>
      <c r="S1579" s="104" t="n">
        <f aca="false">ROUND(P1579*R1579,0)</f>
        <v>477</v>
      </c>
      <c r="T1579" s="105"/>
      <c r="U1579" s="100"/>
      <c r="V1579" s="100"/>
      <c r="W1579" s="106"/>
      <c r="X1579" s="100"/>
      <c r="Y1579" s="100"/>
      <c r="Z1579" s="107"/>
      <c r="AA1579" s="108"/>
      <c r="AB1579" s="109"/>
      <c r="AC1579" s="110"/>
      <c r="AD1579" s="42" t="n">
        <v>0.2212</v>
      </c>
      <c r="AE1579" s="43" t="n">
        <v>0.1</v>
      </c>
    </row>
    <row r="1580" customFormat="false" ht="16.5" hidden="false" customHeight="true" outlineLevel="0" collapsed="false">
      <c r="A1580" s="97" t="n">
        <f aca="false">ROW(A1569)</f>
        <v>1569</v>
      </c>
      <c r="B1580" s="97" t="s">
        <v>476</v>
      </c>
      <c r="C1580" s="100" t="n">
        <v>1</v>
      </c>
      <c r="D1580" s="85"/>
      <c r="E1580" s="98" t="s">
        <v>3985</v>
      </c>
      <c r="F1580" s="99" t="s">
        <v>3974</v>
      </c>
      <c r="G1580" s="100" t="s">
        <v>3278</v>
      </c>
      <c r="H1580" s="100" t="s">
        <v>3975</v>
      </c>
      <c r="I1580" s="100" t="s">
        <v>139</v>
      </c>
      <c r="J1580" s="98" t="s">
        <v>471</v>
      </c>
      <c r="K1580" s="101" t="s">
        <v>3986</v>
      </c>
      <c r="L1580" s="102" t="n">
        <v>45771</v>
      </c>
      <c r="M1580" s="100" t="n">
        <v>7689</v>
      </c>
      <c r="N1580" s="100" t="n">
        <v>9317</v>
      </c>
      <c r="O1580" s="100" t="n">
        <v>1628</v>
      </c>
      <c r="P1580" s="100" t="n">
        <v>1579</v>
      </c>
      <c r="Q1580" s="100"/>
      <c r="R1580" s="103" t="n">
        <f aca="false">合約與計費!$D$4</f>
        <v>0.296</v>
      </c>
      <c r="S1580" s="104" t="n">
        <f aca="false">ROUND(P1580*R1580,0)</f>
        <v>467</v>
      </c>
      <c r="T1580" s="105"/>
      <c r="U1580" s="100"/>
      <c r="V1580" s="100"/>
      <c r="W1580" s="106"/>
      <c r="X1580" s="100"/>
      <c r="Y1580" s="100"/>
      <c r="Z1580" s="107"/>
      <c r="AA1580" s="108"/>
      <c r="AB1580" s="109"/>
      <c r="AC1580" s="110"/>
      <c r="AD1580" s="42" t="n">
        <v>0.1038</v>
      </c>
      <c r="AE1580" s="43" t="n">
        <v>0.3</v>
      </c>
    </row>
    <row r="1581" customFormat="false" ht="16.5" hidden="false" customHeight="true" outlineLevel="0" collapsed="false">
      <c r="A1581" s="111" t="n">
        <f aca="false">ROW(A1570)</f>
        <v>1570</v>
      </c>
      <c r="B1581" s="111" t="s">
        <v>479</v>
      </c>
      <c r="C1581" s="114" t="n">
        <v>1</v>
      </c>
      <c r="D1581" s="85"/>
      <c r="E1581" s="112" t="s">
        <v>3987</v>
      </c>
      <c r="F1581" s="113" t="s">
        <v>3974</v>
      </c>
      <c r="G1581" s="114" t="s">
        <v>3278</v>
      </c>
      <c r="H1581" s="114" t="s">
        <v>3975</v>
      </c>
      <c r="I1581" s="114" t="s">
        <v>139</v>
      </c>
      <c r="J1581" s="112" t="s">
        <v>471</v>
      </c>
      <c r="K1581" s="115" t="s">
        <v>3988</v>
      </c>
      <c r="L1581" s="116" t="n">
        <v>45771</v>
      </c>
      <c r="M1581" s="114" t="n">
        <v>7750</v>
      </c>
      <c r="N1581" s="114" t="n">
        <v>9543</v>
      </c>
      <c r="O1581" s="100" t="n">
        <v>1793</v>
      </c>
      <c r="P1581" s="100" t="n">
        <v>1739</v>
      </c>
      <c r="Q1581" s="100" t="n">
        <f aca="false">ROUND(SUM(P1575:P1581),2)</f>
        <v>6970</v>
      </c>
      <c r="R1581" s="117" t="n">
        <f aca="false">合約與計費!$D$4</f>
        <v>0.296</v>
      </c>
      <c r="S1581" s="118" t="n">
        <f aca="false">ROUND(P1581*R1581,0)</f>
        <v>515</v>
      </c>
      <c r="T1581" s="105" t="n">
        <f aca="false">ROUND(SUM(S1575:S1581),2)</f>
        <v>2063</v>
      </c>
      <c r="U1581" s="114"/>
      <c r="V1581" s="114"/>
      <c r="W1581" s="120"/>
      <c r="X1581" s="114"/>
      <c r="Y1581" s="100" t="n">
        <f aca="false">ROUND(SUM(X1575:X1581),2)</f>
        <v>96</v>
      </c>
      <c r="Z1581" s="121"/>
      <c r="AA1581" s="108"/>
      <c r="AB1581" s="109" t="n">
        <f aca="false">ROUND(SUM(AA1575:AA1581),2)</f>
        <v>269</v>
      </c>
      <c r="AC1581" s="124"/>
      <c r="AD1581" s="42" t="n">
        <v>0.0737</v>
      </c>
      <c r="AE1581" s="43" t="n">
        <v>0.9</v>
      </c>
    </row>
    <row r="1582" customFormat="false" ht="16.5" hidden="false" customHeight="true" outlineLevel="0" collapsed="false">
      <c r="A1582" s="84" t="n">
        <f aca="false">ROW(A1571)</f>
        <v>1571</v>
      </c>
      <c r="B1582" s="84" t="s">
        <v>455</v>
      </c>
      <c r="C1582" s="32" t="n">
        <v>1</v>
      </c>
      <c r="D1582" s="85" t="n">
        <v>147</v>
      </c>
      <c r="E1582" s="86" t="s">
        <v>3989</v>
      </c>
      <c r="F1582" s="87" t="s">
        <v>3990</v>
      </c>
      <c r="G1582" s="32" t="s">
        <v>3278</v>
      </c>
      <c r="H1582" s="32" t="s">
        <v>3975</v>
      </c>
      <c r="I1582" s="32" t="s">
        <v>88</v>
      </c>
      <c r="J1582" s="86" t="s">
        <v>460</v>
      </c>
      <c r="K1582" s="88" t="s">
        <v>3991</v>
      </c>
      <c r="L1582" s="89" t="n">
        <v>45768</v>
      </c>
      <c r="M1582" s="32" t="n">
        <v>1013</v>
      </c>
      <c r="N1582" s="32" t="n">
        <v>1199</v>
      </c>
      <c r="O1582" s="32" t="n">
        <v>186</v>
      </c>
      <c r="P1582" s="32" t="n">
        <v>180</v>
      </c>
      <c r="Q1582" s="32"/>
      <c r="R1582" s="90" t="n">
        <f aca="false">合約與計費!$D$4</f>
        <v>0.296</v>
      </c>
      <c r="S1582" s="91" t="n">
        <f aca="false">ROUND(P1582*R1582,0)</f>
        <v>53</v>
      </c>
      <c r="T1582" s="92"/>
      <c r="U1582" s="32" t="n">
        <v>643</v>
      </c>
      <c r="V1582" s="32" t="n">
        <v>733</v>
      </c>
      <c r="W1582" s="32" t="n">
        <v>90</v>
      </c>
      <c r="X1582" s="32" t="n">
        <v>87</v>
      </c>
      <c r="Y1582" s="32"/>
      <c r="Z1582" s="93" t="n">
        <f aca="false">合約與計費!$E$4</f>
        <v>2.8</v>
      </c>
      <c r="AA1582" s="94" t="n">
        <f aca="false">ROUND(X1582*Z1582,0)</f>
        <v>244</v>
      </c>
      <c r="AB1582" s="95"/>
      <c r="AC1582" s="254"/>
      <c r="AD1582" s="42"/>
      <c r="AE1582" s="43"/>
    </row>
    <row r="1583" customFormat="false" ht="16.5" hidden="false" customHeight="true" outlineLevel="0" collapsed="false">
      <c r="A1583" s="97" t="n">
        <f aca="false">ROW(A1572)</f>
        <v>1572</v>
      </c>
      <c r="B1583" s="97" t="s">
        <v>462</v>
      </c>
      <c r="C1583" s="100" t="n">
        <v>1</v>
      </c>
      <c r="D1583" s="85"/>
      <c r="E1583" s="98" t="s">
        <v>3992</v>
      </c>
      <c r="F1583" s="99" t="s">
        <v>3990</v>
      </c>
      <c r="G1583" s="100" t="s">
        <v>3278</v>
      </c>
      <c r="H1583" s="100" t="s">
        <v>3975</v>
      </c>
      <c r="I1583" s="100" t="s">
        <v>88</v>
      </c>
      <c r="J1583" s="98" t="s">
        <v>464</v>
      </c>
      <c r="K1583" s="101" t="s">
        <v>3993</v>
      </c>
      <c r="L1583" s="102" t="n">
        <v>45768</v>
      </c>
      <c r="M1583" s="100" t="n">
        <v>542</v>
      </c>
      <c r="N1583" s="100" t="n">
        <v>733</v>
      </c>
      <c r="O1583" s="100" t="n">
        <v>191</v>
      </c>
      <c r="P1583" s="100" t="n">
        <v>185</v>
      </c>
      <c r="Q1583" s="100"/>
      <c r="R1583" s="103" t="n">
        <f aca="false">合約與計費!$D$4</f>
        <v>0.296</v>
      </c>
      <c r="S1583" s="104" t="n">
        <f aca="false">ROUND(P1583*R1583,0)</f>
        <v>55</v>
      </c>
      <c r="T1583" s="105"/>
      <c r="U1583" s="100"/>
      <c r="V1583" s="100"/>
      <c r="W1583" s="106"/>
      <c r="X1583" s="100"/>
      <c r="Y1583" s="100"/>
      <c r="Z1583" s="107"/>
      <c r="AA1583" s="108"/>
      <c r="AB1583" s="109"/>
      <c r="AC1583" s="110"/>
      <c r="AD1583" s="42" t="n">
        <v>0.0712</v>
      </c>
      <c r="AE1583" s="43" t="n">
        <v>0.7</v>
      </c>
    </row>
    <row r="1584" customFormat="false" ht="16.5" hidden="false" customHeight="true" outlineLevel="0" collapsed="false">
      <c r="A1584" s="97" t="n">
        <f aca="false">ROW(A1573)</f>
        <v>1573</v>
      </c>
      <c r="B1584" s="97" t="s">
        <v>466</v>
      </c>
      <c r="C1584" s="100" t="n">
        <v>1</v>
      </c>
      <c r="D1584" s="85"/>
      <c r="E1584" s="98" t="s">
        <v>3994</v>
      </c>
      <c r="F1584" s="99" t="s">
        <v>3990</v>
      </c>
      <c r="G1584" s="100" t="s">
        <v>3278</v>
      </c>
      <c r="H1584" s="100" t="s">
        <v>3975</v>
      </c>
      <c r="I1584" s="100" t="s">
        <v>88</v>
      </c>
      <c r="J1584" s="98" t="s">
        <v>471</v>
      </c>
      <c r="K1584" s="101" t="s">
        <v>3995</v>
      </c>
      <c r="L1584" s="102" t="n">
        <v>45768</v>
      </c>
      <c r="M1584" s="100" t="n">
        <v>3972</v>
      </c>
      <c r="N1584" s="100" t="n">
        <v>4951</v>
      </c>
      <c r="O1584" s="100" t="n">
        <v>979</v>
      </c>
      <c r="P1584" s="100" t="n">
        <v>950</v>
      </c>
      <c r="Q1584" s="100"/>
      <c r="R1584" s="103" t="n">
        <f aca="false">合約與計費!$D$4</f>
        <v>0.296</v>
      </c>
      <c r="S1584" s="104" t="n">
        <f aca="false">ROUND(P1584*R1584,0)</f>
        <v>281</v>
      </c>
      <c r="T1584" s="105"/>
      <c r="U1584" s="100"/>
      <c r="V1584" s="100"/>
      <c r="W1584" s="106"/>
      <c r="X1584" s="100"/>
      <c r="Y1584" s="100"/>
      <c r="Z1584" s="107"/>
      <c r="AA1584" s="108"/>
      <c r="AB1584" s="109"/>
      <c r="AC1584" s="110"/>
      <c r="AD1584" s="42" t="n">
        <v>0.0789</v>
      </c>
      <c r="AE1584" s="43" t="n">
        <v>0.8</v>
      </c>
    </row>
    <row r="1585" customFormat="false" ht="16.5" hidden="false" customHeight="true" outlineLevel="0" collapsed="false">
      <c r="A1585" s="97" t="n">
        <f aca="false">ROW(A1574)</f>
        <v>1574</v>
      </c>
      <c r="B1585" s="97" t="s">
        <v>469</v>
      </c>
      <c r="C1585" s="100" t="n">
        <v>1</v>
      </c>
      <c r="D1585" s="85"/>
      <c r="E1585" s="98" t="s">
        <v>3996</v>
      </c>
      <c r="F1585" s="99" t="s">
        <v>3990</v>
      </c>
      <c r="G1585" s="100" t="s">
        <v>3278</v>
      </c>
      <c r="H1585" s="100" t="s">
        <v>3975</v>
      </c>
      <c r="I1585" s="100" t="s">
        <v>88</v>
      </c>
      <c r="J1585" s="98" t="s">
        <v>471</v>
      </c>
      <c r="K1585" s="101" t="s">
        <v>3997</v>
      </c>
      <c r="L1585" s="102" t="n">
        <v>45768</v>
      </c>
      <c r="M1585" s="100" t="n">
        <v>4799</v>
      </c>
      <c r="N1585" s="100" t="n">
        <v>6280</v>
      </c>
      <c r="O1585" s="100" t="n">
        <v>1481</v>
      </c>
      <c r="P1585" s="100" t="n">
        <v>1437</v>
      </c>
      <c r="Q1585" s="100"/>
      <c r="R1585" s="103" t="n">
        <f aca="false">合約與計費!$D$4</f>
        <v>0.296</v>
      </c>
      <c r="S1585" s="104" t="n">
        <f aca="false">ROUND(P1585*R1585,0)</f>
        <v>425</v>
      </c>
      <c r="T1585" s="105"/>
      <c r="U1585" s="100"/>
      <c r="V1585" s="100"/>
      <c r="W1585" s="106"/>
      <c r="X1585" s="100"/>
      <c r="Y1585" s="100"/>
      <c r="Z1585" s="107"/>
      <c r="AA1585" s="108"/>
      <c r="AB1585" s="109"/>
      <c r="AC1585" s="110"/>
      <c r="AD1585" s="42" t="n">
        <v>0.0864</v>
      </c>
      <c r="AE1585" s="43" t="n">
        <v>0.5</v>
      </c>
    </row>
    <row r="1586" customFormat="false" ht="16.5" hidden="false" customHeight="true" outlineLevel="0" collapsed="false">
      <c r="A1586" s="97" t="n">
        <f aca="false">ROW(A1575)</f>
        <v>1575</v>
      </c>
      <c r="B1586" s="97" t="s">
        <v>473</v>
      </c>
      <c r="C1586" s="100" t="n">
        <v>1</v>
      </c>
      <c r="D1586" s="85"/>
      <c r="E1586" s="98" t="s">
        <v>3998</v>
      </c>
      <c r="F1586" s="99" t="s">
        <v>3990</v>
      </c>
      <c r="G1586" s="100" t="s">
        <v>3278</v>
      </c>
      <c r="H1586" s="100" t="s">
        <v>3975</v>
      </c>
      <c r="I1586" s="100" t="s">
        <v>88</v>
      </c>
      <c r="J1586" s="98" t="s">
        <v>471</v>
      </c>
      <c r="K1586" s="101" t="s">
        <v>3999</v>
      </c>
      <c r="L1586" s="102" t="n">
        <v>45768</v>
      </c>
      <c r="M1586" s="100" t="n">
        <v>3910</v>
      </c>
      <c r="N1586" s="100" t="n">
        <v>4944</v>
      </c>
      <c r="O1586" s="100" t="n">
        <v>1034</v>
      </c>
      <c r="P1586" s="100" t="n">
        <v>1003</v>
      </c>
      <c r="Q1586" s="100"/>
      <c r="R1586" s="103" t="n">
        <f aca="false">合約與計費!$D$4</f>
        <v>0.296</v>
      </c>
      <c r="S1586" s="104" t="n">
        <f aca="false">ROUND(P1586*R1586,0)</f>
        <v>297</v>
      </c>
      <c r="T1586" s="105"/>
      <c r="U1586" s="100"/>
      <c r="V1586" s="100"/>
      <c r="W1586" s="106"/>
      <c r="X1586" s="100"/>
      <c r="Y1586" s="100"/>
      <c r="Z1586" s="107"/>
      <c r="AA1586" s="108"/>
      <c r="AB1586" s="109"/>
      <c r="AC1586" s="110"/>
      <c r="AD1586" s="42" t="n">
        <v>0.0935</v>
      </c>
      <c r="AE1586" s="43" t="n">
        <v>0.7</v>
      </c>
    </row>
    <row r="1587" customFormat="false" ht="16.5" hidden="false" customHeight="true" outlineLevel="0" collapsed="false">
      <c r="A1587" s="97" t="n">
        <f aca="false">ROW(A1576)</f>
        <v>1576</v>
      </c>
      <c r="B1587" s="97" t="s">
        <v>476</v>
      </c>
      <c r="C1587" s="100" t="n">
        <v>1</v>
      </c>
      <c r="D1587" s="85"/>
      <c r="E1587" s="98" t="s">
        <v>4000</v>
      </c>
      <c r="F1587" s="99" t="s">
        <v>3990</v>
      </c>
      <c r="G1587" s="100" t="s">
        <v>3278</v>
      </c>
      <c r="H1587" s="100" t="s">
        <v>3975</v>
      </c>
      <c r="I1587" s="100" t="s">
        <v>88</v>
      </c>
      <c r="J1587" s="98" t="s">
        <v>471</v>
      </c>
      <c r="K1587" s="101" t="s">
        <v>4001</v>
      </c>
      <c r="L1587" s="102" t="n">
        <v>45768</v>
      </c>
      <c r="M1587" s="100" t="n">
        <v>1425</v>
      </c>
      <c r="N1587" s="100" t="n">
        <v>1656</v>
      </c>
      <c r="O1587" s="100" t="n">
        <v>231</v>
      </c>
      <c r="P1587" s="100" t="n">
        <v>224</v>
      </c>
      <c r="Q1587" s="100"/>
      <c r="R1587" s="103" t="n">
        <f aca="false">合約與計費!$D$4</f>
        <v>0.296</v>
      </c>
      <c r="S1587" s="104" t="n">
        <f aca="false">ROUND(P1587*R1587,0)</f>
        <v>66</v>
      </c>
      <c r="T1587" s="105"/>
      <c r="U1587" s="100"/>
      <c r="V1587" s="100"/>
      <c r="W1587" s="106"/>
      <c r="X1587" s="100"/>
      <c r="Y1587" s="100"/>
      <c r="Z1587" s="107"/>
      <c r="AA1587" s="108"/>
      <c r="AB1587" s="109"/>
      <c r="AC1587" s="110"/>
      <c r="AD1587" s="42" t="n">
        <v>0.0526</v>
      </c>
      <c r="AE1587" s="43" t="n">
        <v>1</v>
      </c>
    </row>
    <row r="1588" customFormat="false" ht="16.5" hidden="false" customHeight="true" outlineLevel="0" collapsed="false">
      <c r="A1588" s="111" t="n">
        <f aca="false">ROW(A1577)</f>
        <v>1577</v>
      </c>
      <c r="B1588" s="111" t="s">
        <v>479</v>
      </c>
      <c r="C1588" s="114" t="n">
        <v>1</v>
      </c>
      <c r="D1588" s="85"/>
      <c r="E1588" s="112" t="s">
        <v>4002</v>
      </c>
      <c r="F1588" s="113" t="s">
        <v>3990</v>
      </c>
      <c r="G1588" s="114" t="s">
        <v>3278</v>
      </c>
      <c r="H1588" s="114" t="s">
        <v>3975</v>
      </c>
      <c r="I1588" s="114" t="s">
        <v>88</v>
      </c>
      <c r="J1588" s="112" t="s">
        <v>471</v>
      </c>
      <c r="K1588" s="115" t="s">
        <v>4003</v>
      </c>
      <c r="L1588" s="116" t="n">
        <v>45768</v>
      </c>
      <c r="M1588" s="114" t="n">
        <v>4855</v>
      </c>
      <c r="N1588" s="114" t="n">
        <v>5363</v>
      </c>
      <c r="O1588" s="114" t="n">
        <v>508</v>
      </c>
      <c r="P1588" s="114" t="n">
        <v>493</v>
      </c>
      <c r="Q1588" s="114" t="n">
        <f aca="false">ROUND(SUM(P1582:P1588),2)</f>
        <v>4472</v>
      </c>
      <c r="R1588" s="117" t="n">
        <f aca="false">合約與計費!$D$4</f>
        <v>0.296</v>
      </c>
      <c r="S1588" s="118" t="n">
        <f aca="false">ROUND(P1588*R1588,0)</f>
        <v>146</v>
      </c>
      <c r="T1588" s="119" t="n">
        <f aca="false">ROUND(SUM(S1582:S1588),2)</f>
        <v>1323</v>
      </c>
      <c r="U1588" s="114"/>
      <c r="V1588" s="114"/>
      <c r="W1588" s="120"/>
      <c r="X1588" s="114"/>
      <c r="Y1588" s="114" t="n">
        <f aca="false">ROUND(SUM(X1582:X1588),2)</f>
        <v>87</v>
      </c>
      <c r="Z1588" s="121"/>
      <c r="AA1588" s="122"/>
      <c r="AB1588" s="123" t="n">
        <f aca="false">ROUND(SUM(AA1582:AA1588),2)</f>
        <v>244</v>
      </c>
      <c r="AC1588" s="124"/>
      <c r="AD1588" s="42" t="n">
        <v>0.0835</v>
      </c>
      <c r="AE1588" s="43" t="n">
        <v>0.7</v>
      </c>
    </row>
    <row r="1589" customFormat="false" ht="16.5" hidden="false" customHeight="true" outlineLevel="0" collapsed="false">
      <c r="A1589" s="84" t="n">
        <f aca="false">ROW(A1578)</f>
        <v>1578</v>
      </c>
      <c r="B1589" s="84" t="s">
        <v>455</v>
      </c>
      <c r="C1589" s="32" t="n">
        <v>1</v>
      </c>
      <c r="D1589" s="85" t="n">
        <v>148</v>
      </c>
      <c r="E1589" s="86" t="s">
        <v>4004</v>
      </c>
      <c r="F1589" s="87" t="s">
        <v>4005</v>
      </c>
      <c r="G1589" s="32" t="s">
        <v>3278</v>
      </c>
      <c r="H1589" s="32" t="s">
        <v>3975</v>
      </c>
      <c r="I1589" s="32" t="s">
        <v>137</v>
      </c>
      <c r="J1589" s="86" t="s">
        <v>460</v>
      </c>
      <c r="K1589" s="88" t="s">
        <v>4006</v>
      </c>
      <c r="L1589" s="89" t="n">
        <v>45771</v>
      </c>
      <c r="M1589" s="32" t="n">
        <v>212</v>
      </c>
      <c r="N1589" s="32" t="n">
        <v>253</v>
      </c>
      <c r="O1589" s="32" t="n">
        <v>41</v>
      </c>
      <c r="P1589" s="32" t="n">
        <v>40</v>
      </c>
      <c r="Q1589" s="32"/>
      <c r="R1589" s="90" t="n">
        <f aca="false">合約與計費!$D$4</f>
        <v>0.296</v>
      </c>
      <c r="S1589" s="91" t="n">
        <f aca="false">ROUND(P1589*R1589,0)</f>
        <v>12</v>
      </c>
      <c r="T1589" s="92"/>
      <c r="U1589" s="32" t="n">
        <v>352</v>
      </c>
      <c r="V1589" s="32" t="n">
        <v>422</v>
      </c>
      <c r="W1589" s="32" t="n">
        <v>70</v>
      </c>
      <c r="X1589" s="32" t="n">
        <v>68</v>
      </c>
      <c r="Y1589" s="32"/>
      <c r="Z1589" s="93" t="n">
        <f aca="false">合約與計費!$E$4</f>
        <v>2.8</v>
      </c>
      <c r="AA1589" s="94" t="n">
        <f aca="false">ROUND(X1589*Z1589,0)</f>
        <v>190</v>
      </c>
      <c r="AB1589" s="95"/>
      <c r="AC1589" s="254"/>
      <c r="AD1589" s="42"/>
      <c r="AE1589" s="43"/>
    </row>
    <row r="1590" customFormat="false" ht="16.5" hidden="false" customHeight="true" outlineLevel="0" collapsed="false">
      <c r="A1590" s="97" t="n">
        <f aca="false">ROW(A1579)</f>
        <v>1579</v>
      </c>
      <c r="B1590" s="97" t="s">
        <v>462</v>
      </c>
      <c r="C1590" s="100" t="n">
        <v>1</v>
      </c>
      <c r="D1590" s="85"/>
      <c r="E1590" s="98" t="s">
        <v>4007</v>
      </c>
      <c r="F1590" s="99" t="s">
        <v>4005</v>
      </c>
      <c r="G1590" s="100" t="s">
        <v>3278</v>
      </c>
      <c r="H1590" s="100" t="s">
        <v>3975</v>
      </c>
      <c r="I1590" s="100" t="s">
        <v>137</v>
      </c>
      <c r="J1590" s="98" t="s">
        <v>464</v>
      </c>
      <c r="K1590" s="101" t="s">
        <v>4008</v>
      </c>
      <c r="L1590" s="102" t="n">
        <v>45771</v>
      </c>
      <c r="M1590" s="100" t="n">
        <v>589</v>
      </c>
      <c r="N1590" s="100" t="n">
        <v>723</v>
      </c>
      <c r="O1590" s="100" t="n">
        <v>134</v>
      </c>
      <c r="P1590" s="100" t="n">
        <v>130</v>
      </c>
      <c r="Q1590" s="100"/>
      <c r="R1590" s="103" t="n">
        <f aca="false">合約與計費!$D$4</f>
        <v>0.296</v>
      </c>
      <c r="S1590" s="104" t="n">
        <f aca="false">ROUND(P1590*R1590,0)</f>
        <v>38</v>
      </c>
      <c r="T1590" s="105"/>
      <c r="U1590" s="100"/>
      <c r="V1590" s="100"/>
      <c r="W1590" s="106"/>
      <c r="X1590" s="100"/>
      <c r="Y1590" s="100"/>
      <c r="Z1590" s="107"/>
      <c r="AA1590" s="108"/>
      <c r="AB1590" s="109"/>
      <c r="AC1590" s="110"/>
      <c r="AD1590" s="42" t="n">
        <v>0.0664</v>
      </c>
      <c r="AE1590" s="43" t="n">
        <v>0.7</v>
      </c>
    </row>
    <row r="1591" customFormat="false" ht="16.5" hidden="false" customHeight="true" outlineLevel="0" collapsed="false">
      <c r="A1591" s="97" t="n">
        <f aca="false">ROW(A1580)</f>
        <v>1580</v>
      </c>
      <c r="B1591" s="97" t="s">
        <v>466</v>
      </c>
      <c r="C1591" s="100" t="n">
        <v>1</v>
      </c>
      <c r="D1591" s="85"/>
      <c r="E1591" s="98" t="s">
        <v>4009</v>
      </c>
      <c r="F1591" s="99" t="s">
        <v>4005</v>
      </c>
      <c r="G1591" s="100" t="s">
        <v>3278</v>
      </c>
      <c r="H1591" s="100" t="s">
        <v>3975</v>
      </c>
      <c r="I1591" s="100" t="s">
        <v>137</v>
      </c>
      <c r="J1591" s="98" t="s">
        <v>471</v>
      </c>
      <c r="K1591" s="101" t="s">
        <v>4010</v>
      </c>
      <c r="L1591" s="102" t="n">
        <v>45771</v>
      </c>
      <c r="M1591" s="100" t="n">
        <v>4975</v>
      </c>
      <c r="N1591" s="100" t="n">
        <v>6080</v>
      </c>
      <c r="O1591" s="100" t="n">
        <v>1105</v>
      </c>
      <c r="P1591" s="100" t="n">
        <v>1072</v>
      </c>
      <c r="Q1591" s="100"/>
      <c r="R1591" s="103" t="n">
        <f aca="false">合約與計費!$D$4</f>
        <v>0.296</v>
      </c>
      <c r="S1591" s="104" t="n">
        <f aca="false">ROUND(P1591*R1591,0)</f>
        <v>317</v>
      </c>
      <c r="T1591" s="105"/>
      <c r="U1591" s="100"/>
      <c r="V1591" s="100"/>
      <c r="W1591" s="106"/>
      <c r="X1591" s="100"/>
      <c r="Y1591" s="100"/>
      <c r="Z1591" s="107"/>
      <c r="AA1591" s="108"/>
      <c r="AB1591" s="109"/>
      <c r="AC1591" s="110"/>
      <c r="AD1591" s="42" t="n">
        <v>0.0792</v>
      </c>
      <c r="AE1591" s="43" t="n">
        <v>1</v>
      </c>
    </row>
    <row r="1592" customFormat="false" ht="16.5" hidden="false" customHeight="true" outlineLevel="0" collapsed="false">
      <c r="A1592" s="97" t="n">
        <f aca="false">ROW(A1581)</f>
        <v>1581</v>
      </c>
      <c r="B1592" s="97" t="s">
        <v>469</v>
      </c>
      <c r="C1592" s="100" t="n">
        <v>1</v>
      </c>
      <c r="D1592" s="85"/>
      <c r="E1592" s="98" t="s">
        <v>4011</v>
      </c>
      <c r="F1592" s="99" t="s">
        <v>4005</v>
      </c>
      <c r="G1592" s="100" t="s">
        <v>3278</v>
      </c>
      <c r="H1592" s="100" t="s">
        <v>3975</v>
      </c>
      <c r="I1592" s="100" t="s">
        <v>137</v>
      </c>
      <c r="J1592" s="98" t="s">
        <v>471</v>
      </c>
      <c r="K1592" s="101" t="s">
        <v>4012</v>
      </c>
      <c r="L1592" s="102" t="n">
        <v>45771</v>
      </c>
      <c r="M1592" s="100" t="n">
        <v>1203</v>
      </c>
      <c r="N1592" s="100" t="n">
        <v>1429</v>
      </c>
      <c r="O1592" s="100" t="n">
        <v>226</v>
      </c>
      <c r="P1592" s="100" t="n">
        <v>219</v>
      </c>
      <c r="Q1592" s="100"/>
      <c r="R1592" s="103" t="n">
        <f aca="false">合約與計費!$D$4</f>
        <v>0.296</v>
      </c>
      <c r="S1592" s="104" t="n">
        <f aca="false">ROUND(P1592*R1592,0)</f>
        <v>65</v>
      </c>
      <c r="T1592" s="105"/>
      <c r="U1592" s="100"/>
      <c r="V1592" s="100"/>
      <c r="W1592" s="106"/>
      <c r="X1592" s="100"/>
      <c r="Y1592" s="100"/>
      <c r="Z1592" s="107"/>
      <c r="AA1592" s="108"/>
      <c r="AB1592" s="109"/>
      <c r="AC1592" s="110"/>
      <c r="AD1592" s="42" t="n">
        <v>0.2466</v>
      </c>
      <c r="AE1592" s="43" t="n">
        <v>0.8</v>
      </c>
    </row>
    <row r="1593" customFormat="false" ht="16.5" hidden="false" customHeight="true" outlineLevel="0" collapsed="false">
      <c r="A1593" s="111" t="n">
        <f aca="false">ROW(A1582)</f>
        <v>1582</v>
      </c>
      <c r="B1593" s="111" t="s">
        <v>473</v>
      </c>
      <c r="C1593" s="114" t="n">
        <v>1</v>
      </c>
      <c r="D1593" s="85"/>
      <c r="E1593" s="112" t="s">
        <v>4013</v>
      </c>
      <c r="F1593" s="113" t="s">
        <v>4005</v>
      </c>
      <c r="G1593" s="114" t="s">
        <v>3278</v>
      </c>
      <c r="H1593" s="114" t="s">
        <v>3975</v>
      </c>
      <c r="I1593" s="114" t="s">
        <v>137</v>
      </c>
      <c r="J1593" s="112" t="s">
        <v>471</v>
      </c>
      <c r="K1593" s="115" t="s">
        <v>4014</v>
      </c>
      <c r="L1593" s="116" t="n">
        <v>45771</v>
      </c>
      <c r="M1593" s="114" t="n">
        <v>11296</v>
      </c>
      <c r="N1593" s="114" t="n">
        <v>13557</v>
      </c>
      <c r="O1593" s="114" t="n">
        <v>2261</v>
      </c>
      <c r="P1593" s="114" t="n">
        <v>2193</v>
      </c>
      <c r="Q1593" s="114" t="n">
        <f aca="false">ROUND(SUM(P1589:P1593),2)</f>
        <v>3654</v>
      </c>
      <c r="R1593" s="117" t="n">
        <f aca="false">合約與計費!$D$4</f>
        <v>0.296</v>
      </c>
      <c r="S1593" s="118" t="n">
        <f aca="false">ROUND(P1593*R1593,0)</f>
        <v>649</v>
      </c>
      <c r="T1593" s="119" t="n">
        <f aca="false">ROUND(SUM(S1589:S1593),2)</f>
        <v>1081</v>
      </c>
      <c r="U1593" s="114"/>
      <c r="V1593" s="114"/>
      <c r="W1593" s="120"/>
      <c r="X1593" s="114"/>
      <c r="Y1593" s="114" t="n">
        <f aca="false">ROUND(SUM(X1589:X1593),2)</f>
        <v>68</v>
      </c>
      <c r="Z1593" s="121"/>
      <c r="AA1593" s="122"/>
      <c r="AB1593" s="123" t="n">
        <f aca="false">ROUND(SUM(AA1589:AA1593),2)</f>
        <v>190</v>
      </c>
      <c r="AC1593" s="124"/>
      <c r="AD1593" s="42" t="n">
        <v>0.1443</v>
      </c>
      <c r="AE1593" s="43" t="n">
        <v>1</v>
      </c>
    </row>
    <row r="1594" customFormat="false" ht="16.5" hidden="false" customHeight="true" outlineLevel="0" collapsed="false">
      <c r="A1594" s="84" t="n">
        <f aca="false">ROW(A1583)</f>
        <v>1583</v>
      </c>
      <c r="B1594" s="84" t="s">
        <v>455</v>
      </c>
      <c r="C1594" s="32" t="n">
        <v>1</v>
      </c>
      <c r="D1594" s="85" t="n">
        <v>149</v>
      </c>
      <c r="E1594" s="86" t="s">
        <v>4015</v>
      </c>
      <c r="F1594" s="87" t="s">
        <v>4016</v>
      </c>
      <c r="G1594" s="32" t="s">
        <v>3278</v>
      </c>
      <c r="H1594" s="32" t="s">
        <v>3975</v>
      </c>
      <c r="I1594" s="32" t="s">
        <v>168</v>
      </c>
      <c r="J1594" s="86" t="s">
        <v>460</v>
      </c>
      <c r="K1594" s="88" t="s">
        <v>4017</v>
      </c>
      <c r="L1594" s="89" t="n">
        <v>45783</v>
      </c>
      <c r="M1594" s="32" t="n">
        <v>261</v>
      </c>
      <c r="N1594" s="32" t="n">
        <v>312</v>
      </c>
      <c r="O1594" s="32" t="n">
        <v>51</v>
      </c>
      <c r="P1594" s="32" t="n">
        <v>49</v>
      </c>
      <c r="Q1594" s="32"/>
      <c r="R1594" s="90" t="n">
        <f aca="false">合約與計費!$D$4</f>
        <v>0.296</v>
      </c>
      <c r="S1594" s="91" t="n">
        <f aca="false">ROUND(P1594*R1594,0)</f>
        <v>15</v>
      </c>
      <c r="T1594" s="92"/>
      <c r="U1594" s="32" t="n">
        <v>175</v>
      </c>
      <c r="V1594" s="32" t="n">
        <v>219</v>
      </c>
      <c r="W1594" s="32" t="n">
        <v>44</v>
      </c>
      <c r="X1594" s="32" t="n">
        <v>43</v>
      </c>
      <c r="Y1594" s="32"/>
      <c r="Z1594" s="93" t="n">
        <f aca="false">合約與計費!$E$4</f>
        <v>2.8</v>
      </c>
      <c r="AA1594" s="94" t="n">
        <f aca="false">ROUND(X1594*Z1594,0)</f>
        <v>120</v>
      </c>
      <c r="AB1594" s="95"/>
      <c r="AC1594" s="254"/>
      <c r="AD1594" s="42"/>
      <c r="AE1594" s="43"/>
    </row>
    <row r="1595" customFormat="false" ht="16.5" hidden="false" customHeight="true" outlineLevel="0" collapsed="false">
      <c r="A1595" s="97" t="n">
        <f aca="false">ROW(A1584)</f>
        <v>1584</v>
      </c>
      <c r="B1595" s="97" t="s">
        <v>462</v>
      </c>
      <c r="C1595" s="100" t="n">
        <v>1</v>
      </c>
      <c r="D1595" s="85"/>
      <c r="E1595" s="98" t="s">
        <v>4018</v>
      </c>
      <c r="F1595" s="99" t="s">
        <v>4016</v>
      </c>
      <c r="G1595" s="100" t="s">
        <v>3278</v>
      </c>
      <c r="H1595" s="100" t="s">
        <v>3975</v>
      </c>
      <c r="I1595" s="100" t="s">
        <v>168</v>
      </c>
      <c r="J1595" s="98" t="s">
        <v>464</v>
      </c>
      <c r="K1595" s="101" t="s">
        <v>4019</v>
      </c>
      <c r="L1595" s="102" t="n">
        <v>45783</v>
      </c>
      <c r="M1595" s="100" t="n">
        <v>946</v>
      </c>
      <c r="N1595" s="100" t="n">
        <v>1081</v>
      </c>
      <c r="O1595" s="100" t="n">
        <v>135</v>
      </c>
      <c r="P1595" s="100" t="n">
        <v>131</v>
      </c>
      <c r="Q1595" s="100"/>
      <c r="R1595" s="103" t="n">
        <f aca="false">合約與計費!$D$4</f>
        <v>0.296</v>
      </c>
      <c r="S1595" s="104" t="n">
        <f aca="false">ROUND(P1595*R1595,0)</f>
        <v>39</v>
      </c>
      <c r="T1595" s="105"/>
      <c r="U1595" s="100"/>
      <c r="V1595" s="100"/>
      <c r="W1595" s="106"/>
      <c r="X1595" s="100"/>
      <c r="Y1595" s="100"/>
      <c r="Z1595" s="107"/>
      <c r="AA1595" s="108"/>
      <c r="AB1595" s="109"/>
      <c r="AC1595" s="110"/>
      <c r="AD1595" s="42" t="n">
        <v>0.066</v>
      </c>
      <c r="AE1595" s="43" t="n">
        <v>0.4</v>
      </c>
    </row>
    <row r="1596" customFormat="false" ht="16.5" hidden="false" customHeight="true" outlineLevel="0" collapsed="false">
      <c r="A1596" s="97" t="n">
        <f aca="false">ROW(A1585)</f>
        <v>1585</v>
      </c>
      <c r="B1596" s="97" t="s">
        <v>466</v>
      </c>
      <c r="C1596" s="100" t="n">
        <v>1</v>
      </c>
      <c r="D1596" s="85"/>
      <c r="E1596" s="98" t="s">
        <v>4020</v>
      </c>
      <c r="F1596" s="99" t="s">
        <v>4016</v>
      </c>
      <c r="G1596" s="100" t="s">
        <v>3278</v>
      </c>
      <c r="H1596" s="100" t="s">
        <v>3975</v>
      </c>
      <c r="I1596" s="100" t="s">
        <v>168</v>
      </c>
      <c r="J1596" s="98" t="s">
        <v>471</v>
      </c>
      <c r="K1596" s="101" t="s">
        <v>4021</v>
      </c>
      <c r="L1596" s="102" t="n">
        <v>45783</v>
      </c>
      <c r="M1596" s="100" t="n">
        <v>3464</v>
      </c>
      <c r="N1596" s="100" t="n">
        <v>3925</v>
      </c>
      <c r="O1596" s="100" t="n">
        <v>461</v>
      </c>
      <c r="P1596" s="100" t="n">
        <v>447</v>
      </c>
      <c r="Q1596" s="100"/>
      <c r="R1596" s="103" t="n">
        <f aca="false">合約與計費!$D$4</f>
        <v>0.296</v>
      </c>
      <c r="S1596" s="104" t="n">
        <f aca="false">ROUND(P1596*R1596,0)</f>
        <v>132</v>
      </c>
      <c r="T1596" s="105"/>
      <c r="U1596" s="100"/>
      <c r="V1596" s="100"/>
      <c r="W1596" s="106"/>
      <c r="X1596" s="100"/>
      <c r="Y1596" s="100"/>
      <c r="Z1596" s="107"/>
      <c r="AA1596" s="108"/>
      <c r="AB1596" s="109"/>
      <c r="AC1596" s="110"/>
      <c r="AD1596" s="42" t="n">
        <v>0.0517</v>
      </c>
      <c r="AE1596" s="43" t="n">
        <v>0.9</v>
      </c>
    </row>
    <row r="1597" customFormat="false" ht="16.5" hidden="false" customHeight="true" outlineLevel="0" collapsed="false">
      <c r="A1597" s="97" t="n">
        <f aca="false">ROW(A1586)</f>
        <v>1586</v>
      </c>
      <c r="B1597" s="97" t="s">
        <v>469</v>
      </c>
      <c r="C1597" s="100" t="n">
        <v>1</v>
      </c>
      <c r="D1597" s="85"/>
      <c r="E1597" s="98" t="s">
        <v>4022</v>
      </c>
      <c r="F1597" s="99" t="s">
        <v>4016</v>
      </c>
      <c r="G1597" s="100" t="s">
        <v>3278</v>
      </c>
      <c r="H1597" s="100" t="s">
        <v>3975</v>
      </c>
      <c r="I1597" s="100" t="s">
        <v>168</v>
      </c>
      <c r="J1597" s="98" t="s">
        <v>471</v>
      </c>
      <c r="K1597" s="101" t="s">
        <v>4023</v>
      </c>
      <c r="L1597" s="102" t="n">
        <v>45783</v>
      </c>
      <c r="M1597" s="100" t="n">
        <v>4483</v>
      </c>
      <c r="N1597" s="100" t="n">
        <v>5479</v>
      </c>
      <c r="O1597" s="100" t="n">
        <v>996</v>
      </c>
      <c r="P1597" s="100" t="n">
        <v>966</v>
      </c>
      <c r="Q1597" s="100"/>
      <c r="R1597" s="103" t="n">
        <f aca="false">合約與計費!$D$4</f>
        <v>0.296</v>
      </c>
      <c r="S1597" s="104" t="n">
        <f aca="false">ROUND(P1597*R1597,0)</f>
        <v>286</v>
      </c>
      <c r="T1597" s="105"/>
      <c r="U1597" s="100"/>
      <c r="V1597" s="100"/>
      <c r="W1597" s="106"/>
      <c r="X1597" s="100"/>
      <c r="Y1597" s="100"/>
      <c r="Z1597" s="107"/>
      <c r="AA1597" s="108"/>
      <c r="AB1597" s="109"/>
      <c r="AC1597" s="110"/>
      <c r="AD1597" s="42" t="n">
        <v>0.0853</v>
      </c>
      <c r="AE1597" s="43" t="n">
        <v>0.7</v>
      </c>
    </row>
    <row r="1598" customFormat="false" ht="16.5" hidden="false" customHeight="true" outlineLevel="0" collapsed="false">
      <c r="A1598" s="111" t="n">
        <f aca="false">ROW(A1587)</f>
        <v>1587</v>
      </c>
      <c r="B1598" s="111" t="s">
        <v>473</v>
      </c>
      <c r="C1598" s="114" t="n">
        <v>1</v>
      </c>
      <c r="D1598" s="85"/>
      <c r="E1598" s="112" t="s">
        <v>4024</v>
      </c>
      <c r="F1598" s="113" t="s">
        <v>4016</v>
      </c>
      <c r="G1598" s="114" t="s">
        <v>3278</v>
      </c>
      <c r="H1598" s="114" t="s">
        <v>3975</v>
      </c>
      <c r="I1598" s="114" t="s">
        <v>168</v>
      </c>
      <c r="J1598" s="112" t="s">
        <v>471</v>
      </c>
      <c r="K1598" s="115" t="s">
        <v>4025</v>
      </c>
      <c r="L1598" s="116" t="n">
        <v>45783</v>
      </c>
      <c r="M1598" s="114" t="n">
        <v>4612</v>
      </c>
      <c r="N1598" s="114" t="n">
        <v>5625</v>
      </c>
      <c r="O1598" s="114" t="n">
        <v>1013</v>
      </c>
      <c r="P1598" s="114" t="n">
        <v>983</v>
      </c>
      <c r="Q1598" s="114" t="n">
        <f aca="false">ROUND(SUM(P1594:P1598),2)</f>
        <v>2576</v>
      </c>
      <c r="R1598" s="117" t="n">
        <f aca="false">合約與計費!$D$4</f>
        <v>0.296</v>
      </c>
      <c r="S1598" s="118" t="n">
        <f aca="false">ROUND(P1598*R1598,0)</f>
        <v>291</v>
      </c>
      <c r="T1598" s="119" t="n">
        <f aca="false">ROUND(SUM(S1594:S1598),2)</f>
        <v>763</v>
      </c>
      <c r="U1598" s="114"/>
      <c r="V1598" s="114"/>
      <c r="W1598" s="120"/>
      <c r="X1598" s="114"/>
      <c r="Y1598" s="114" t="n">
        <f aca="false">ROUND(SUM(X1594:X1598),2)</f>
        <v>43</v>
      </c>
      <c r="Z1598" s="121"/>
      <c r="AA1598" s="122"/>
      <c r="AB1598" s="123" t="n">
        <f aca="false">ROUND(SUM(AA1594:AA1598),2)</f>
        <v>120</v>
      </c>
      <c r="AC1598" s="124"/>
      <c r="AD1598" s="42" t="n">
        <v>0.0824</v>
      </c>
      <c r="AE1598" s="43" t="n">
        <v>0.6</v>
      </c>
    </row>
    <row r="1599" customFormat="false" ht="16.5" hidden="false" customHeight="true" outlineLevel="0" collapsed="false">
      <c r="A1599" s="84" t="n">
        <f aca="false">ROW(A1588)</f>
        <v>1588</v>
      </c>
      <c r="B1599" s="84" t="s">
        <v>455</v>
      </c>
      <c r="C1599" s="32" t="n">
        <v>1</v>
      </c>
      <c r="D1599" s="85" t="n">
        <v>150</v>
      </c>
      <c r="E1599" s="86" t="s">
        <v>4026</v>
      </c>
      <c r="F1599" s="87" t="s">
        <v>4027</v>
      </c>
      <c r="G1599" s="32" t="s">
        <v>3278</v>
      </c>
      <c r="H1599" s="32" t="s">
        <v>3975</v>
      </c>
      <c r="I1599" s="32" t="s">
        <v>169</v>
      </c>
      <c r="J1599" s="86" t="s">
        <v>460</v>
      </c>
      <c r="K1599" s="88" t="s">
        <v>4028</v>
      </c>
      <c r="L1599" s="89" t="n">
        <v>45783</v>
      </c>
      <c r="M1599" s="32" t="n">
        <v>292</v>
      </c>
      <c r="N1599" s="32" t="n">
        <v>357</v>
      </c>
      <c r="O1599" s="32" t="n">
        <v>65</v>
      </c>
      <c r="P1599" s="32" t="n">
        <v>63</v>
      </c>
      <c r="Q1599" s="32"/>
      <c r="R1599" s="90" t="n">
        <f aca="false">合約與計費!$D$4</f>
        <v>0.296</v>
      </c>
      <c r="S1599" s="91" t="n">
        <f aca="false">ROUND(P1599*R1599,0)</f>
        <v>19</v>
      </c>
      <c r="T1599" s="92"/>
      <c r="U1599" s="32" t="n">
        <v>479</v>
      </c>
      <c r="V1599" s="32" t="n">
        <v>575</v>
      </c>
      <c r="W1599" s="32" t="n">
        <v>96</v>
      </c>
      <c r="X1599" s="32" t="n">
        <v>93</v>
      </c>
      <c r="Y1599" s="32"/>
      <c r="Z1599" s="93" t="n">
        <f aca="false">合約與計費!$E$4</f>
        <v>2.8</v>
      </c>
      <c r="AA1599" s="94" t="n">
        <f aca="false">ROUND(X1599*Z1599,0)</f>
        <v>260</v>
      </c>
      <c r="AB1599" s="95"/>
      <c r="AC1599" s="254"/>
      <c r="AD1599" s="42"/>
      <c r="AE1599" s="43"/>
    </row>
    <row r="1600" customFormat="false" ht="16.5" hidden="false" customHeight="true" outlineLevel="0" collapsed="false">
      <c r="A1600" s="97" t="n">
        <f aca="false">ROW(A1589)</f>
        <v>1589</v>
      </c>
      <c r="B1600" s="97" t="s">
        <v>462</v>
      </c>
      <c r="C1600" s="100" t="n">
        <v>1</v>
      </c>
      <c r="D1600" s="85"/>
      <c r="E1600" s="98" t="s">
        <v>4029</v>
      </c>
      <c r="F1600" s="99" t="s">
        <v>4027</v>
      </c>
      <c r="G1600" s="100" t="s">
        <v>3278</v>
      </c>
      <c r="H1600" s="100" t="s">
        <v>3975</v>
      </c>
      <c r="I1600" s="100" t="s">
        <v>169</v>
      </c>
      <c r="J1600" s="98" t="s">
        <v>464</v>
      </c>
      <c r="K1600" s="101" t="s">
        <v>4030</v>
      </c>
      <c r="L1600" s="102" t="n">
        <v>45783</v>
      </c>
      <c r="M1600" s="100" t="n">
        <v>990</v>
      </c>
      <c r="N1600" s="100" t="n">
        <v>1148</v>
      </c>
      <c r="O1600" s="100" t="n">
        <v>158</v>
      </c>
      <c r="P1600" s="100" t="n">
        <v>153</v>
      </c>
      <c r="Q1600" s="100"/>
      <c r="R1600" s="103" t="n">
        <f aca="false">合約與計費!$D$4</f>
        <v>0.296</v>
      </c>
      <c r="S1600" s="104" t="n">
        <f aca="false">ROUND(P1600*R1600,0)</f>
        <v>45</v>
      </c>
      <c r="T1600" s="105"/>
      <c r="U1600" s="100"/>
      <c r="V1600" s="100"/>
      <c r="W1600" s="106"/>
      <c r="X1600" s="100"/>
      <c r="Y1600" s="100"/>
      <c r="Z1600" s="107"/>
      <c r="AA1600" s="108"/>
      <c r="AB1600" s="109"/>
      <c r="AC1600" s="110"/>
      <c r="AD1600" s="42" t="n">
        <v>0.1557</v>
      </c>
      <c r="AE1600" s="43" t="n">
        <v>0.5</v>
      </c>
    </row>
    <row r="1601" customFormat="false" ht="16.5" hidden="false" customHeight="true" outlineLevel="0" collapsed="false">
      <c r="A1601" s="97" t="n">
        <f aca="false">ROW(A1590)</f>
        <v>1590</v>
      </c>
      <c r="B1601" s="97" t="s">
        <v>466</v>
      </c>
      <c r="C1601" s="100" t="n">
        <v>1</v>
      </c>
      <c r="D1601" s="85"/>
      <c r="E1601" s="98" t="s">
        <v>4031</v>
      </c>
      <c r="F1601" s="99" t="s">
        <v>4027</v>
      </c>
      <c r="G1601" s="100" t="s">
        <v>3278</v>
      </c>
      <c r="H1601" s="100" t="s">
        <v>3975</v>
      </c>
      <c r="I1601" s="100" t="s">
        <v>169</v>
      </c>
      <c r="J1601" s="98" t="s">
        <v>471</v>
      </c>
      <c r="K1601" s="101" t="s">
        <v>4032</v>
      </c>
      <c r="L1601" s="102" t="n">
        <v>45783</v>
      </c>
      <c r="M1601" s="100" t="n">
        <v>2998</v>
      </c>
      <c r="N1601" s="100" t="n">
        <v>3608</v>
      </c>
      <c r="O1601" s="100" t="n">
        <v>610</v>
      </c>
      <c r="P1601" s="100" t="n">
        <v>592</v>
      </c>
      <c r="Q1601" s="100"/>
      <c r="R1601" s="103" t="n">
        <f aca="false">合約與計費!$D$4</f>
        <v>0.296</v>
      </c>
      <c r="S1601" s="104" t="n">
        <f aca="false">ROUND(P1601*R1601,0)</f>
        <v>175</v>
      </c>
      <c r="T1601" s="105"/>
      <c r="U1601" s="100"/>
      <c r="V1601" s="100"/>
      <c r="W1601" s="106"/>
      <c r="X1601" s="100"/>
      <c r="Y1601" s="100"/>
      <c r="Z1601" s="107"/>
      <c r="AA1601" s="108"/>
      <c r="AB1601" s="109"/>
      <c r="AC1601" s="110"/>
      <c r="AD1601" s="42" t="n">
        <v>0.0819</v>
      </c>
      <c r="AE1601" s="43" t="n">
        <v>0.9</v>
      </c>
    </row>
    <row r="1602" customFormat="false" ht="16.5" hidden="false" customHeight="true" outlineLevel="0" collapsed="false">
      <c r="A1602" s="97" t="n">
        <f aca="false">ROW(A1591)</f>
        <v>1591</v>
      </c>
      <c r="B1602" s="97" t="s">
        <v>469</v>
      </c>
      <c r="C1602" s="100" t="n">
        <v>1</v>
      </c>
      <c r="D1602" s="85"/>
      <c r="E1602" s="98" t="s">
        <v>4033</v>
      </c>
      <c r="F1602" s="99" t="s">
        <v>4027</v>
      </c>
      <c r="G1602" s="100" t="s">
        <v>3278</v>
      </c>
      <c r="H1602" s="100" t="s">
        <v>3975</v>
      </c>
      <c r="I1602" s="100" t="s">
        <v>169</v>
      </c>
      <c r="J1602" s="98" t="s">
        <v>471</v>
      </c>
      <c r="K1602" s="101" t="s">
        <v>4034</v>
      </c>
      <c r="L1602" s="102" t="n">
        <v>45783</v>
      </c>
      <c r="M1602" s="100" t="n">
        <v>3277</v>
      </c>
      <c r="N1602" s="100" t="n">
        <v>3844</v>
      </c>
      <c r="O1602" s="100" t="n">
        <v>567</v>
      </c>
      <c r="P1602" s="100" t="n">
        <v>550</v>
      </c>
      <c r="Q1602" s="100"/>
      <c r="R1602" s="103" t="n">
        <f aca="false">合約與計費!$D$4</f>
        <v>0.296</v>
      </c>
      <c r="S1602" s="104" t="n">
        <f aca="false">ROUND(P1602*R1602,0)</f>
        <v>163</v>
      </c>
      <c r="T1602" s="105"/>
      <c r="U1602" s="100"/>
      <c r="V1602" s="100"/>
      <c r="W1602" s="106"/>
      <c r="X1602" s="100"/>
      <c r="Y1602" s="100"/>
      <c r="Z1602" s="107"/>
      <c r="AA1602" s="108"/>
      <c r="AB1602" s="109"/>
      <c r="AC1602" s="110"/>
      <c r="AD1602" s="42" t="n">
        <v>0.1564</v>
      </c>
      <c r="AE1602" s="43" t="n">
        <v>0.9</v>
      </c>
    </row>
    <row r="1603" customFormat="false" ht="16.5" hidden="false" customHeight="true" outlineLevel="0" collapsed="false">
      <c r="A1603" s="97" t="n">
        <f aca="false">ROW(A1592)</f>
        <v>1592</v>
      </c>
      <c r="B1603" s="97" t="s">
        <v>473</v>
      </c>
      <c r="C1603" s="100" t="n">
        <v>1</v>
      </c>
      <c r="D1603" s="85"/>
      <c r="E1603" s="98" t="s">
        <v>4035</v>
      </c>
      <c r="F1603" s="99" t="s">
        <v>4027</v>
      </c>
      <c r="G1603" s="100" t="s">
        <v>3278</v>
      </c>
      <c r="H1603" s="100" t="s">
        <v>3975</v>
      </c>
      <c r="I1603" s="100" t="s">
        <v>169</v>
      </c>
      <c r="J1603" s="98" t="s">
        <v>471</v>
      </c>
      <c r="K1603" s="101" t="s">
        <v>4036</v>
      </c>
      <c r="L1603" s="102" t="n">
        <v>45783</v>
      </c>
      <c r="M1603" s="100" t="n">
        <v>2523</v>
      </c>
      <c r="N1603" s="100" t="n">
        <v>3033</v>
      </c>
      <c r="O1603" s="100" t="n">
        <v>510</v>
      </c>
      <c r="P1603" s="100" t="n">
        <v>495</v>
      </c>
      <c r="Q1603" s="100"/>
      <c r="R1603" s="103" t="n">
        <f aca="false">合約與計費!$D$4</f>
        <v>0.296</v>
      </c>
      <c r="S1603" s="104" t="n">
        <f aca="false">ROUND(P1603*R1603,0)</f>
        <v>147</v>
      </c>
      <c r="T1603" s="105"/>
      <c r="U1603" s="100"/>
      <c r="V1603" s="100"/>
      <c r="W1603" s="106"/>
      <c r="X1603" s="100"/>
      <c r="Y1603" s="100"/>
      <c r="Z1603" s="107"/>
      <c r="AA1603" s="108"/>
      <c r="AB1603" s="109"/>
      <c r="AC1603" s="110"/>
      <c r="AD1603" s="42" t="n">
        <v>0.0845</v>
      </c>
      <c r="AE1603" s="43" t="n">
        <v>0.9</v>
      </c>
    </row>
    <row r="1604" customFormat="false" ht="16.5" hidden="false" customHeight="true" outlineLevel="0" collapsed="false">
      <c r="A1604" s="97" t="n">
        <f aca="false">ROW(A1593)</f>
        <v>1593</v>
      </c>
      <c r="B1604" s="97" t="s">
        <v>476</v>
      </c>
      <c r="C1604" s="100" t="n">
        <v>1</v>
      </c>
      <c r="D1604" s="85"/>
      <c r="E1604" s="98" t="s">
        <v>4037</v>
      </c>
      <c r="F1604" s="99" t="s">
        <v>4027</v>
      </c>
      <c r="G1604" s="100" t="s">
        <v>3278</v>
      </c>
      <c r="H1604" s="100" t="s">
        <v>3975</v>
      </c>
      <c r="I1604" s="100" t="s">
        <v>169</v>
      </c>
      <c r="J1604" s="98" t="s">
        <v>471</v>
      </c>
      <c r="K1604" s="101" t="s">
        <v>4038</v>
      </c>
      <c r="L1604" s="102" t="n">
        <v>45783</v>
      </c>
      <c r="M1604" s="100" t="n">
        <v>2654</v>
      </c>
      <c r="N1604" s="100" t="n">
        <v>3134</v>
      </c>
      <c r="O1604" s="100" t="n">
        <v>480</v>
      </c>
      <c r="P1604" s="100" t="n">
        <v>466</v>
      </c>
      <c r="Q1604" s="100"/>
      <c r="R1604" s="103" t="n">
        <f aca="false">合約與計費!$D$4</f>
        <v>0.296</v>
      </c>
      <c r="S1604" s="104" t="n">
        <f aca="false">ROUND(P1604*R1604,0)</f>
        <v>138</v>
      </c>
      <c r="T1604" s="105"/>
      <c r="U1604" s="100"/>
      <c r="V1604" s="100"/>
      <c r="W1604" s="106"/>
      <c r="X1604" s="100"/>
      <c r="Y1604" s="100"/>
      <c r="Z1604" s="107"/>
      <c r="AA1604" s="108"/>
      <c r="AB1604" s="109"/>
      <c r="AC1604" s="110"/>
      <c r="AD1604" s="42" t="n">
        <v>0.0778</v>
      </c>
      <c r="AE1604" s="43" t="n">
        <v>0.9</v>
      </c>
    </row>
    <row r="1605" customFormat="false" ht="16.5" hidden="false" customHeight="true" outlineLevel="0" collapsed="false">
      <c r="A1605" s="97" t="n">
        <f aca="false">ROW(A1594)</f>
        <v>1594</v>
      </c>
      <c r="B1605" s="97" t="s">
        <v>479</v>
      </c>
      <c r="C1605" s="100" t="n">
        <v>1</v>
      </c>
      <c r="D1605" s="85"/>
      <c r="E1605" s="98" t="s">
        <v>4039</v>
      </c>
      <c r="F1605" s="99" t="s">
        <v>4027</v>
      </c>
      <c r="G1605" s="100" t="s">
        <v>3278</v>
      </c>
      <c r="H1605" s="100" t="s">
        <v>3975</v>
      </c>
      <c r="I1605" s="100" t="s">
        <v>169</v>
      </c>
      <c r="J1605" s="98" t="s">
        <v>471</v>
      </c>
      <c r="K1605" s="101" t="s">
        <v>4040</v>
      </c>
      <c r="L1605" s="102" t="n">
        <v>45783</v>
      </c>
      <c r="M1605" s="100" t="n">
        <v>2758</v>
      </c>
      <c r="N1605" s="100" t="n">
        <v>3388</v>
      </c>
      <c r="O1605" s="100" t="n">
        <v>630</v>
      </c>
      <c r="P1605" s="100" t="n">
        <v>611</v>
      </c>
      <c r="Q1605" s="100"/>
      <c r="R1605" s="103" t="n">
        <f aca="false">合約與計費!$D$4</f>
        <v>0.296</v>
      </c>
      <c r="S1605" s="104" t="n">
        <f aca="false">ROUND(P1605*R1605,0)</f>
        <v>181</v>
      </c>
      <c r="T1605" s="105"/>
      <c r="U1605" s="100"/>
      <c r="V1605" s="100"/>
      <c r="W1605" s="106"/>
      <c r="X1605" s="100"/>
      <c r="Y1605" s="100"/>
      <c r="Z1605" s="107"/>
      <c r="AA1605" s="108"/>
      <c r="AB1605" s="109"/>
      <c r="AC1605" s="110"/>
      <c r="AD1605" s="42" t="n">
        <v>0.1605</v>
      </c>
      <c r="AE1605" s="43" t="n">
        <v>0.9</v>
      </c>
    </row>
    <row r="1606" customFormat="false" ht="16.5" hidden="false" customHeight="true" outlineLevel="0" collapsed="false">
      <c r="A1606" s="97" t="n">
        <f aca="false">ROW(A1595)</f>
        <v>1595</v>
      </c>
      <c r="B1606" s="97" t="s">
        <v>482</v>
      </c>
      <c r="C1606" s="100" t="n">
        <v>1</v>
      </c>
      <c r="D1606" s="85"/>
      <c r="E1606" s="98" t="s">
        <v>4041</v>
      </c>
      <c r="F1606" s="99" t="s">
        <v>4027</v>
      </c>
      <c r="G1606" s="100" t="s">
        <v>3278</v>
      </c>
      <c r="H1606" s="100" t="s">
        <v>3975</v>
      </c>
      <c r="I1606" s="100" t="s">
        <v>169</v>
      </c>
      <c r="J1606" s="98" t="s">
        <v>471</v>
      </c>
      <c r="K1606" s="101" t="s">
        <v>4042</v>
      </c>
      <c r="L1606" s="102" t="n">
        <v>45783</v>
      </c>
      <c r="M1606" s="100" t="n">
        <v>2306</v>
      </c>
      <c r="N1606" s="100" t="n">
        <v>2888</v>
      </c>
      <c r="O1606" s="100" t="n">
        <v>582</v>
      </c>
      <c r="P1606" s="100" t="n">
        <v>565</v>
      </c>
      <c r="Q1606" s="100"/>
      <c r="R1606" s="103" t="n">
        <f aca="false">合約與計費!$D$4</f>
        <v>0.296</v>
      </c>
      <c r="S1606" s="104" t="n">
        <f aca="false">ROUND(P1606*R1606,0)</f>
        <v>167</v>
      </c>
      <c r="T1606" s="105"/>
      <c r="U1606" s="100"/>
      <c r="V1606" s="100"/>
      <c r="W1606" s="106"/>
      <c r="X1606" s="100"/>
      <c r="Y1606" s="100"/>
      <c r="Z1606" s="107"/>
      <c r="AA1606" s="108"/>
      <c r="AB1606" s="109"/>
      <c r="AC1606" s="110"/>
      <c r="AD1606" s="42" t="n">
        <v>0.076</v>
      </c>
      <c r="AE1606" s="43" t="n">
        <v>0.9</v>
      </c>
    </row>
    <row r="1607" customFormat="false" ht="16.5" hidden="false" customHeight="true" outlineLevel="0" collapsed="false">
      <c r="A1607" s="97" t="n">
        <f aca="false">ROW(A1596)</f>
        <v>1596</v>
      </c>
      <c r="B1607" s="97" t="s">
        <v>485</v>
      </c>
      <c r="C1607" s="100" t="n">
        <v>1</v>
      </c>
      <c r="D1607" s="85"/>
      <c r="E1607" s="98" t="s">
        <v>4043</v>
      </c>
      <c r="F1607" s="99" t="s">
        <v>4027</v>
      </c>
      <c r="G1607" s="100" t="s">
        <v>3278</v>
      </c>
      <c r="H1607" s="100" t="s">
        <v>3975</v>
      </c>
      <c r="I1607" s="100" t="s">
        <v>169</v>
      </c>
      <c r="J1607" s="98" t="s">
        <v>471</v>
      </c>
      <c r="K1607" s="101" t="s">
        <v>4044</v>
      </c>
      <c r="L1607" s="102" t="n">
        <v>45783</v>
      </c>
      <c r="M1607" s="100" t="n">
        <v>2979</v>
      </c>
      <c r="N1607" s="100" t="n">
        <v>3610</v>
      </c>
      <c r="O1607" s="100" t="n">
        <v>631</v>
      </c>
      <c r="P1607" s="100" t="n">
        <v>612</v>
      </c>
      <c r="Q1607" s="100"/>
      <c r="R1607" s="103" t="n">
        <f aca="false">合約與計費!$D$4</f>
        <v>0.296</v>
      </c>
      <c r="S1607" s="104" t="n">
        <f aca="false">ROUND(P1607*R1607,0)</f>
        <v>181</v>
      </c>
      <c r="T1607" s="105"/>
      <c r="U1607" s="100"/>
      <c r="V1607" s="100"/>
      <c r="W1607" s="106"/>
      <c r="X1607" s="100"/>
      <c r="Y1607" s="100"/>
      <c r="Z1607" s="107"/>
      <c r="AA1607" s="108"/>
      <c r="AB1607" s="109"/>
      <c r="AC1607" s="110"/>
      <c r="AD1607" s="42" t="n">
        <v>0.0714</v>
      </c>
      <c r="AE1607" s="43" t="n">
        <v>1</v>
      </c>
    </row>
    <row r="1608" customFormat="false" ht="16.5" hidden="false" customHeight="true" outlineLevel="0" collapsed="false">
      <c r="A1608" s="111" t="n">
        <f aca="false">ROW(A1597)</f>
        <v>1597</v>
      </c>
      <c r="B1608" s="111" t="n">
        <v>10</v>
      </c>
      <c r="C1608" s="114" t="n">
        <v>1</v>
      </c>
      <c r="D1608" s="85"/>
      <c r="E1608" s="112" t="s">
        <v>4045</v>
      </c>
      <c r="F1608" s="113" t="s">
        <v>4027</v>
      </c>
      <c r="G1608" s="114" t="s">
        <v>3278</v>
      </c>
      <c r="H1608" s="114" t="s">
        <v>3975</v>
      </c>
      <c r="I1608" s="114" t="s">
        <v>169</v>
      </c>
      <c r="J1608" s="112" t="s">
        <v>471</v>
      </c>
      <c r="K1608" s="115" t="s">
        <v>4046</v>
      </c>
      <c r="L1608" s="116" t="n">
        <v>45783</v>
      </c>
      <c r="M1608" s="114" t="n">
        <v>1986</v>
      </c>
      <c r="N1608" s="114" t="n">
        <v>2223</v>
      </c>
      <c r="O1608" s="114" t="n">
        <v>237</v>
      </c>
      <c r="P1608" s="114" t="n">
        <v>230</v>
      </c>
      <c r="Q1608" s="114" t="n">
        <f aca="false">ROUND(SUM(P1599:P1608),2)</f>
        <v>4337</v>
      </c>
      <c r="R1608" s="117" t="n">
        <f aca="false">合約與計費!$D$4</f>
        <v>0.296</v>
      </c>
      <c r="S1608" s="118" t="n">
        <f aca="false">ROUND(P1608*R1608,0)</f>
        <v>68</v>
      </c>
      <c r="T1608" s="119" t="n">
        <f aca="false">ROUND(SUM(S1599:S1608),2)</f>
        <v>1284</v>
      </c>
      <c r="U1608" s="114"/>
      <c r="V1608" s="114"/>
      <c r="W1608" s="120"/>
      <c r="X1608" s="114"/>
      <c r="Y1608" s="114" t="n">
        <f aca="false">ROUND(SUM(X1599:X1608),2)</f>
        <v>93</v>
      </c>
      <c r="Z1608" s="121"/>
      <c r="AA1608" s="122"/>
      <c r="AB1608" s="123" t="n">
        <f aca="false">ROUND(SUM(AA1599:AA1608),2)</f>
        <v>260</v>
      </c>
      <c r="AC1608" s="124"/>
      <c r="AD1608" s="42" t="n">
        <v>0.0741</v>
      </c>
      <c r="AE1608" s="43" t="n">
        <v>1</v>
      </c>
    </row>
    <row r="1609" customFormat="false" ht="16.5" hidden="false" customHeight="true" outlineLevel="0" collapsed="false">
      <c r="A1609" s="176" t="n">
        <f aca="false">ROW(A1598)</f>
        <v>1598</v>
      </c>
      <c r="B1609" s="176" t="s">
        <v>455</v>
      </c>
      <c r="C1609" s="100" t="n">
        <v>1</v>
      </c>
      <c r="D1609" s="85" t="n">
        <v>151</v>
      </c>
      <c r="E1609" s="98" t="s">
        <v>4047</v>
      </c>
      <c r="F1609" s="99" t="s">
        <v>4048</v>
      </c>
      <c r="G1609" s="100" t="s">
        <v>3278</v>
      </c>
      <c r="H1609" s="100" t="s">
        <v>3975</v>
      </c>
      <c r="I1609" s="100" t="s">
        <v>196</v>
      </c>
      <c r="J1609" s="98" t="s">
        <v>460</v>
      </c>
      <c r="K1609" s="171" t="s">
        <v>4049</v>
      </c>
      <c r="L1609" s="102" t="n">
        <v>45743</v>
      </c>
      <c r="M1609" s="100" t="n">
        <v>300</v>
      </c>
      <c r="N1609" s="100" t="n">
        <v>338</v>
      </c>
      <c r="O1609" s="32" t="n">
        <v>38</v>
      </c>
      <c r="P1609" s="32" t="n">
        <v>37</v>
      </c>
      <c r="Q1609" s="32"/>
      <c r="R1609" s="90" t="n">
        <f aca="false">合約與計費!$D$4</f>
        <v>0.296</v>
      </c>
      <c r="S1609" s="91" t="n">
        <f aca="false">ROUND(P1609*R1609,0)</f>
        <v>11</v>
      </c>
      <c r="T1609" s="92"/>
      <c r="U1609" s="100" t="n">
        <v>159</v>
      </c>
      <c r="V1609" s="100" t="n">
        <v>199</v>
      </c>
      <c r="W1609" s="100" t="n">
        <v>40</v>
      </c>
      <c r="X1609" s="100" t="n">
        <v>39</v>
      </c>
      <c r="Y1609" s="32"/>
      <c r="Z1609" s="93" t="n">
        <f aca="false">合約與計費!$E$4</f>
        <v>2.8</v>
      </c>
      <c r="AA1609" s="94" t="n">
        <f aca="false">ROUND(X1609*Z1609,0)</f>
        <v>109</v>
      </c>
      <c r="AB1609" s="95"/>
      <c r="AC1609" s="110"/>
      <c r="AD1609" s="42"/>
      <c r="AE1609" s="43"/>
    </row>
    <row r="1610" customFormat="false" ht="16.5" hidden="false" customHeight="true" outlineLevel="0" collapsed="false">
      <c r="A1610" s="97" t="n">
        <f aca="false">ROW(A1599)</f>
        <v>1599</v>
      </c>
      <c r="B1610" s="97" t="s">
        <v>462</v>
      </c>
      <c r="C1610" s="100" t="n">
        <v>1</v>
      </c>
      <c r="D1610" s="85"/>
      <c r="E1610" s="98" t="s">
        <v>4050</v>
      </c>
      <c r="F1610" s="99" t="s">
        <v>4048</v>
      </c>
      <c r="G1610" s="100" t="s">
        <v>3278</v>
      </c>
      <c r="H1610" s="100" t="s">
        <v>3975</v>
      </c>
      <c r="I1610" s="100" t="s">
        <v>196</v>
      </c>
      <c r="J1610" s="98" t="s">
        <v>464</v>
      </c>
      <c r="K1610" s="171" t="s">
        <v>4051</v>
      </c>
      <c r="L1610" s="102" t="n">
        <v>45743</v>
      </c>
      <c r="M1610" s="100" t="n">
        <v>996</v>
      </c>
      <c r="N1610" s="100" t="n">
        <v>1033</v>
      </c>
      <c r="O1610" s="100" t="n">
        <v>37</v>
      </c>
      <c r="P1610" s="100" t="n">
        <v>36</v>
      </c>
      <c r="Q1610" s="100"/>
      <c r="R1610" s="103" t="n">
        <f aca="false">合約與計費!$D$4</f>
        <v>0.296</v>
      </c>
      <c r="S1610" s="104" t="n">
        <f aca="false">ROUND(P1610*R1610,0)</f>
        <v>11</v>
      </c>
      <c r="T1610" s="105"/>
      <c r="U1610" s="100"/>
      <c r="V1610" s="100"/>
      <c r="W1610" s="106"/>
      <c r="X1610" s="100"/>
      <c r="Y1610" s="100"/>
      <c r="Z1610" s="107"/>
      <c r="AA1610" s="108"/>
      <c r="AB1610" s="109"/>
      <c r="AC1610" s="110"/>
      <c r="AD1610" s="42" t="n">
        <v>0.0958</v>
      </c>
      <c r="AE1610" s="43" t="n">
        <v>0.7</v>
      </c>
    </row>
    <row r="1611" customFormat="false" ht="16.5" hidden="false" customHeight="true" outlineLevel="0" collapsed="false">
      <c r="A1611" s="97" t="n">
        <f aca="false">ROW(A1600)</f>
        <v>1600</v>
      </c>
      <c r="B1611" s="97" t="s">
        <v>466</v>
      </c>
      <c r="C1611" s="100" t="n">
        <v>1</v>
      </c>
      <c r="D1611" s="85"/>
      <c r="E1611" s="98" t="s">
        <v>4052</v>
      </c>
      <c r="F1611" s="99" t="s">
        <v>4048</v>
      </c>
      <c r="G1611" s="100" t="s">
        <v>3278</v>
      </c>
      <c r="H1611" s="100" t="s">
        <v>3975</v>
      </c>
      <c r="I1611" s="100" t="s">
        <v>196</v>
      </c>
      <c r="J1611" s="98" t="s">
        <v>471</v>
      </c>
      <c r="K1611" s="101" t="s">
        <v>4053</v>
      </c>
      <c r="L1611" s="102" t="n">
        <v>45743</v>
      </c>
      <c r="M1611" s="100" t="n">
        <v>4577</v>
      </c>
      <c r="N1611" s="100" t="n">
        <v>5291</v>
      </c>
      <c r="O1611" s="100" t="n">
        <v>714</v>
      </c>
      <c r="P1611" s="100" t="n">
        <v>693</v>
      </c>
      <c r="Q1611" s="100"/>
      <c r="R1611" s="103" t="n">
        <f aca="false">合約與計費!$D$4</f>
        <v>0.296</v>
      </c>
      <c r="S1611" s="104" t="n">
        <f aca="false">ROUND(P1611*R1611,0)</f>
        <v>205</v>
      </c>
      <c r="T1611" s="105"/>
      <c r="U1611" s="100"/>
      <c r="V1611" s="100"/>
      <c r="W1611" s="106"/>
      <c r="X1611" s="100"/>
      <c r="Y1611" s="100"/>
      <c r="Z1611" s="107"/>
      <c r="AA1611" s="108"/>
      <c r="AB1611" s="109"/>
      <c r="AC1611" s="110"/>
      <c r="AD1611" s="42" t="n">
        <v>0.0889</v>
      </c>
      <c r="AE1611" s="43" t="n">
        <v>0.7</v>
      </c>
    </row>
    <row r="1612" customFormat="false" ht="16.5" hidden="false" customHeight="true" outlineLevel="0" collapsed="false">
      <c r="A1612" s="97" t="n">
        <f aca="false">ROW(A1601)</f>
        <v>1601</v>
      </c>
      <c r="B1612" s="97" t="s">
        <v>469</v>
      </c>
      <c r="C1612" s="100" t="n">
        <v>1</v>
      </c>
      <c r="D1612" s="85"/>
      <c r="E1612" s="98" t="s">
        <v>4054</v>
      </c>
      <c r="F1612" s="99" t="s">
        <v>4048</v>
      </c>
      <c r="G1612" s="100" t="s">
        <v>3278</v>
      </c>
      <c r="H1612" s="100" t="s">
        <v>3975</v>
      </c>
      <c r="I1612" s="100" t="s">
        <v>196</v>
      </c>
      <c r="J1612" s="98" t="s">
        <v>471</v>
      </c>
      <c r="K1612" s="101" t="s">
        <v>4055</v>
      </c>
      <c r="L1612" s="102" t="n">
        <v>45743</v>
      </c>
      <c r="M1612" s="100" t="n">
        <v>148</v>
      </c>
      <c r="N1612" s="100" t="n">
        <v>203</v>
      </c>
      <c r="O1612" s="100" t="n">
        <v>55</v>
      </c>
      <c r="P1612" s="100" t="n">
        <v>53</v>
      </c>
      <c r="Q1612" s="100"/>
      <c r="R1612" s="103" t="n">
        <f aca="false">合約與計費!$D$4</f>
        <v>0.296</v>
      </c>
      <c r="S1612" s="104" t="n">
        <f aca="false">ROUND(P1612*R1612,0)</f>
        <v>16</v>
      </c>
      <c r="T1612" s="105"/>
      <c r="U1612" s="100"/>
      <c r="V1612" s="100"/>
      <c r="W1612" s="106"/>
      <c r="X1612" s="100"/>
      <c r="Y1612" s="100"/>
      <c r="Z1612" s="107"/>
      <c r="AA1612" s="108"/>
      <c r="AB1612" s="109"/>
      <c r="AC1612" s="110"/>
      <c r="AD1612" s="42" t="n">
        <v>0.0569</v>
      </c>
      <c r="AE1612" s="43" t="n">
        <v>1</v>
      </c>
    </row>
    <row r="1613" customFormat="false" ht="16.5" hidden="false" customHeight="true" outlineLevel="0" collapsed="false">
      <c r="A1613" s="97" t="n">
        <f aca="false">ROW(A1602)</f>
        <v>1602</v>
      </c>
      <c r="B1613" s="97" t="s">
        <v>473</v>
      </c>
      <c r="C1613" s="100" t="n">
        <v>1</v>
      </c>
      <c r="D1613" s="85"/>
      <c r="E1613" s="98" t="s">
        <v>4056</v>
      </c>
      <c r="F1613" s="99" t="s">
        <v>4048</v>
      </c>
      <c r="G1613" s="100" t="s">
        <v>3278</v>
      </c>
      <c r="H1613" s="100" t="s">
        <v>3975</v>
      </c>
      <c r="I1613" s="100" t="s">
        <v>196</v>
      </c>
      <c r="J1613" s="98" t="s">
        <v>471</v>
      </c>
      <c r="K1613" s="101" t="s">
        <v>4057</v>
      </c>
      <c r="L1613" s="102" t="n">
        <v>45743</v>
      </c>
      <c r="M1613" s="100" t="n">
        <v>4144</v>
      </c>
      <c r="N1613" s="100" t="n">
        <v>4865</v>
      </c>
      <c r="O1613" s="100" t="n">
        <v>721</v>
      </c>
      <c r="P1613" s="100" t="n">
        <v>699</v>
      </c>
      <c r="Q1613" s="100"/>
      <c r="R1613" s="103" t="n">
        <f aca="false">合約與計費!$D$4</f>
        <v>0.296</v>
      </c>
      <c r="S1613" s="104" t="n">
        <f aca="false">ROUND(P1613*R1613,0)</f>
        <v>207</v>
      </c>
      <c r="T1613" s="105"/>
      <c r="U1613" s="100"/>
      <c r="V1613" s="100"/>
      <c r="W1613" s="106"/>
      <c r="X1613" s="100"/>
      <c r="Y1613" s="100"/>
      <c r="Z1613" s="107"/>
      <c r="AA1613" s="108"/>
      <c r="AB1613" s="109"/>
      <c r="AC1613" s="110"/>
      <c r="AD1613" s="42" t="n">
        <v>0.0826</v>
      </c>
      <c r="AE1613" s="43" t="n">
        <v>0.7</v>
      </c>
    </row>
    <row r="1614" customFormat="false" ht="16.5" hidden="false" customHeight="true" outlineLevel="0" collapsed="false">
      <c r="A1614" s="97" t="n">
        <f aca="false">ROW(A1603)</f>
        <v>1603</v>
      </c>
      <c r="B1614" s="97" t="s">
        <v>476</v>
      </c>
      <c r="C1614" s="100" t="n">
        <v>1</v>
      </c>
      <c r="D1614" s="85"/>
      <c r="E1614" s="98" t="s">
        <v>4058</v>
      </c>
      <c r="F1614" s="238" t="s">
        <v>4048</v>
      </c>
      <c r="G1614" s="239" t="s">
        <v>3278</v>
      </c>
      <c r="H1614" s="239" t="s">
        <v>3975</v>
      </c>
      <c r="I1614" s="239" t="s">
        <v>196</v>
      </c>
      <c r="J1614" s="237" t="s">
        <v>471</v>
      </c>
      <c r="K1614" s="255" t="s">
        <v>4059</v>
      </c>
      <c r="L1614" s="256" t="n">
        <v>45743</v>
      </c>
      <c r="M1614" s="239" t="n">
        <v>4104</v>
      </c>
      <c r="N1614" s="239" t="n">
        <v>4798</v>
      </c>
      <c r="O1614" s="239" t="n">
        <v>694</v>
      </c>
      <c r="P1614" s="239" t="n">
        <v>673</v>
      </c>
      <c r="Q1614" s="239"/>
      <c r="R1614" s="257" t="n">
        <f aca="false">合約與計費!$D$4</f>
        <v>0.296</v>
      </c>
      <c r="S1614" s="258" t="n">
        <f aca="false">ROUND(P1614*R1614,0)</f>
        <v>199</v>
      </c>
      <c r="T1614" s="259"/>
      <c r="U1614" s="239"/>
      <c r="V1614" s="239"/>
      <c r="W1614" s="260"/>
      <c r="X1614" s="239"/>
      <c r="Y1614" s="239"/>
      <c r="Z1614" s="261"/>
      <c r="AA1614" s="262"/>
      <c r="AB1614" s="263"/>
      <c r="AC1614" s="264"/>
      <c r="AD1614" s="42" t="n">
        <v>0.0851</v>
      </c>
      <c r="AE1614" s="43" t="n">
        <v>0.7</v>
      </c>
    </row>
    <row r="1615" customFormat="false" ht="16.5" hidden="false" customHeight="true" outlineLevel="0" collapsed="false">
      <c r="A1615" s="97" t="n">
        <f aca="false">ROW(A1604)</f>
        <v>1604</v>
      </c>
      <c r="B1615" s="97" t="s">
        <v>479</v>
      </c>
      <c r="C1615" s="100" t="n">
        <v>1</v>
      </c>
      <c r="D1615" s="85"/>
      <c r="E1615" s="98" t="s">
        <v>4060</v>
      </c>
      <c r="F1615" s="99" t="s">
        <v>4048</v>
      </c>
      <c r="G1615" s="100" t="s">
        <v>3278</v>
      </c>
      <c r="H1615" s="100" t="s">
        <v>3975</v>
      </c>
      <c r="I1615" s="100" t="s">
        <v>196</v>
      </c>
      <c r="J1615" s="98" t="s">
        <v>471</v>
      </c>
      <c r="K1615" s="101" t="s">
        <v>4061</v>
      </c>
      <c r="L1615" s="102" t="n">
        <v>45743</v>
      </c>
      <c r="M1615" s="100" t="n">
        <v>813</v>
      </c>
      <c r="N1615" s="100" t="n">
        <v>942</v>
      </c>
      <c r="O1615" s="100" t="n">
        <v>129</v>
      </c>
      <c r="P1615" s="100" t="n">
        <v>125</v>
      </c>
      <c r="Q1615" s="100"/>
      <c r="R1615" s="103" t="n">
        <f aca="false">合約與計費!$D$4</f>
        <v>0.296</v>
      </c>
      <c r="S1615" s="104" t="n">
        <f aca="false">ROUND(P1615*R1615,0)</f>
        <v>37</v>
      </c>
      <c r="T1615" s="105"/>
      <c r="U1615" s="100"/>
      <c r="V1615" s="100"/>
      <c r="W1615" s="106"/>
      <c r="X1615" s="100"/>
      <c r="Y1615" s="100"/>
      <c r="Z1615" s="107"/>
      <c r="AA1615" s="108"/>
      <c r="AB1615" s="109"/>
      <c r="AC1615" s="110"/>
      <c r="AD1615" s="42" t="n">
        <v>0.0476</v>
      </c>
      <c r="AE1615" s="43" t="n">
        <v>0.7</v>
      </c>
    </row>
    <row r="1616" customFormat="false" ht="17.25" hidden="false" customHeight="false" outlineLevel="0" collapsed="false">
      <c r="A1616" s="97" t="n">
        <f aca="false">ROW(A1605)</f>
        <v>1605</v>
      </c>
      <c r="B1616" s="97" t="s">
        <v>482</v>
      </c>
      <c r="C1616" s="100" t="n">
        <v>1</v>
      </c>
      <c r="D1616" s="85"/>
      <c r="E1616" s="98" t="s">
        <v>4062</v>
      </c>
      <c r="F1616" s="99" t="s">
        <v>4048</v>
      </c>
      <c r="G1616" s="100" t="s">
        <v>3278</v>
      </c>
      <c r="H1616" s="100" t="s">
        <v>3975</v>
      </c>
      <c r="I1616" s="100" t="s">
        <v>196</v>
      </c>
      <c r="J1616" s="98" t="s">
        <v>471</v>
      </c>
      <c r="K1616" s="265" t="s">
        <v>4063</v>
      </c>
      <c r="L1616" s="102" t="n">
        <v>45743</v>
      </c>
      <c r="M1616" s="266" t="n">
        <v>1581</v>
      </c>
      <c r="N1616" s="266" t="n">
        <v>2219</v>
      </c>
      <c r="O1616" s="100" t="n">
        <v>638</v>
      </c>
      <c r="P1616" s="100" t="n">
        <v>619</v>
      </c>
      <c r="Q1616" s="100" t="n">
        <f aca="false">ROUND(SUM(P1609:P1616),2)</f>
        <v>2935</v>
      </c>
      <c r="R1616" s="103" t="n">
        <f aca="false">合約與計費!$D$4</f>
        <v>0.296</v>
      </c>
      <c r="S1616" s="104" t="n">
        <f aca="false">ROUND(P1616*R1616,0)</f>
        <v>183</v>
      </c>
      <c r="T1616" s="105" t="n">
        <f aca="false">ROUND(SUM(S1609:S1616),2)</f>
        <v>869</v>
      </c>
      <c r="U1616" s="266"/>
      <c r="V1616" s="266"/>
      <c r="W1616" s="106"/>
      <c r="X1616" s="100"/>
      <c r="Y1616" s="100" t="n">
        <f aca="false">ROUND(SUM(X1609:X1616),2)</f>
        <v>39</v>
      </c>
      <c r="Z1616" s="107"/>
      <c r="AA1616" s="108"/>
      <c r="AB1616" s="109" t="n">
        <f aca="false">ROUND(SUM(AA1609:AA1616),2)</f>
        <v>109</v>
      </c>
      <c r="AC1616" s="267" t="s">
        <v>4064</v>
      </c>
      <c r="AD1616" s="42" t="n">
        <v>0.0874</v>
      </c>
      <c r="AE1616" s="43" t="n">
        <v>1</v>
      </c>
    </row>
    <row r="1617" customFormat="false" ht="16.5" hidden="false" customHeight="true" outlineLevel="0" collapsed="false">
      <c r="A1617" s="84" t="n">
        <f aca="false">ROW(A1606)</f>
        <v>1606</v>
      </c>
      <c r="B1617" s="84" t="s">
        <v>455</v>
      </c>
      <c r="C1617" s="32" t="n">
        <v>1</v>
      </c>
      <c r="D1617" s="85" t="n">
        <v>295</v>
      </c>
      <c r="E1617" s="86" t="s">
        <v>4065</v>
      </c>
      <c r="F1617" s="87" t="s">
        <v>4066</v>
      </c>
      <c r="G1617" s="32" t="s">
        <v>3278</v>
      </c>
      <c r="H1617" s="32" t="s">
        <v>3975</v>
      </c>
      <c r="I1617" s="172" t="s">
        <v>297</v>
      </c>
      <c r="J1617" s="86" t="s">
        <v>460</v>
      </c>
      <c r="K1617" s="88" t="s">
        <v>4067</v>
      </c>
      <c r="L1617" s="89" t="n">
        <v>45743</v>
      </c>
      <c r="M1617" s="32" t="n">
        <v>294</v>
      </c>
      <c r="N1617" s="32" t="n">
        <v>329</v>
      </c>
      <c r="O1617" s="32" t="n">
        <v>35</v>
      </c>
      <c r="P1617" s="32" t="n">
        <v>34</v>
      </c>
      <c r="Q1617" s="32"/>
      <c r="R1617" s="90" t="n">
        <f aca="false">合約與計費!$D$4</f>
        <v>0.296</v>
      </c>
      <c r="S1617" s="91" t="n">
        <f aca="false">ROUND(P1617*R1617,0)</f>
        <v>10</v>
      </c>
      <c r="T1617" s="92"/>
      <c r="U1617" s="32" t="n">
        <v>191</v>
      </c>
      <c r="V1617" s="32" t="n">
        <v>222</v>
      </c>
      <c r="W1617" s="32" t="n">
        <v>31</v>
      </c>
      <c r="X1617" s="32" t="n">
        <v>30</v>
      </c>
      <c r="Y1617" s="32"/>
      <c r="Z1617" s="93" t="n">
        <f aca="false">合約與計費!$E$4</f>
        <v>2.8</v>
      </c>
      <c r="AA1617" s="94" t="n">
        <f aca="false">ROUND(X1617*Z1617,0)</f>
        <v>84</v>
      </c>
      <c r="AB1617" s="95"/>
      <c r="AC1617" s="254"/>
      <c r="AD1617" s="42"/>
      <c r="AE1617" s="43"/>
    </row>
    <row r="1618" customFormat="false" ht="16.5" hidden="false" customHeight="true" outlineLevel="0" collapsed="false">
      <c r="A1618" s="97" t="n">
        <f aca="false">ROW(A1607)</f>
        <v>1607</v>
      </c>
      <c r="B1618" s="97" t="s">
        <v>462</v>
      </c>
      <c r="C1618" s="100" t="n">
        <v>1</v>
      </c>
      <c r="D1618" s="85"/>
      <c r="E1618" s="98" t="s">
        <v>4068</v>
      </c>
      <c r="F1618" s="99" t="s">
        <v>4066</v>
      </c>
      <c r="G1618" s="100" t="s">
        <v>3278</v>
      </c>
      <c r="H1618" s="100" t="s">
        <v>3975</v>
      </c>
      <c r="I1618" s="175" t="s">
        <v>297</v>
      </c>
      <c r="J1618" s="98" t="s">
        <v>471</v>
      </c>
      <c r="K1618" s="101" t="s">
        <v>4069</v>
      </c>
      <c r="L1618" s="102" t="n">
        <v>45743</v>
      </c>
      <c r="M1618" s="100" t="n">
        <v>2138</v>
      </c>
      <c r="N1618" s="100" t="n">
        <v>2587</v>
      </c>
      <c r="O1618" s="100" t="n">
        <v>449</v>
      </c>
      <c r="P1618" s="100" t="n">
        <v>436</v>
      </c>
      <c r="Q1618" s="100"/>
      <c r="R1618" s="103" t="n">
        <f aca="false">合約與計費!$D$4</f>
        <v>0.296</v>
      </c>
      <c r="S1618" s="104" t="n">
        <f aca="false">ROUND(P1618*R1618,0)</f>
        <v>129</v>
      </c>
      <c r="T1618" s="105"/>
      <c r="U1618" s="100"/>
      <c r="V1618" s="100"/>
      <c r="W1618" s="106"/>
      <c r="X1618" s="100"/>
      <c r="Y1618" s="100"/>
      <c r="Z1618" s="107"/>
      <c r="AA1618" s="108"/>
      <c r="AB1618" s="109"/>
      <c r="AC1618" s="110"/>
      <c r="AD1618" s="42" t="n">
        <v>0.0744</v>
      </c>
      <c r="AE1618" s="43" t="n">
        <v>1</v>
      </c>
    </row>
    <row r="1619" customFormat="false" ht="16.5" hidden="false" customHeight="true" outlineLevel="0" collapsed="false">
      <c r="A1619" s="111" t="n">
        <f aca="false">ROW(A1608)</f>
        <v>1608</v>
      </c>
      <c r="B1619" s="111" t="s">
        <v>466</v>
      </c>
      <c r="C1619" s="114" t="n">
        <v>1</v>
      </c>
      <c r="D1619" s="85"/>
      <c r="E1619" s="112" t="s">
        <v>4070</v>
      </c>
      <c r="F1619" s="113" t="s">
        <v>4066</v>
      </c>
      <c r="G1619" s="114" t="s">
        <v>3278</v>
      </c>
      <c r="H1619" s="114" t="s">
        <v>3975</v>
      </c>
      <c r="I1619" s="173" t="s">
        <v>297</v>
      </c>
      <c r="J1619" s="112" t="s">
        <v>471</v>
      </c>
      <c r="K1619" s="115" t="s">
        <v>4071</v>
      </c>
      <c r="L1619" s="116" t="n">
        <v>45743</v>
      </c>
      <c r="M1619" s="114" t="n">
        <v>199</v>
      </c>
      <c r="N1619" s="114" t="n">
        <v>203</v>
      </c>
      <c r="O1619" s="114" t="n">
        <v>4</v>
      </c>
      <c r="P1619" s="114" t="n">
        <v>4</v>
      </c>
      <c r="Q1619" s="114" t="n">
        <f aca="false">ROUND(SUM(P1617:P1619),2)</f>
        <v>474</v>
      </c>
      <c r="R1619" s="117" t="n">
        <f aca="false">合約與計費!$D$4</f>
        <v>0.296</v>
      </c>
      <c r="S1619" s="118" t="n">
        <f aca="false">ROUND(P1619*R1619,0)</f>
        <v>1</v>
      </c>
      <c r="T1619" s="119" t="n">
        <f aca="false">ROUND(SUM(S1617:S1619),2)</f>
        <v>140</v>
      </c>
      <c r="U1619" s="114"/>
      <c r="V1619" s="114"/>
      <c r="W1619" s="120"/>
      <c r="X1619" s="114"/>
      <c r="Y1619" s="114" t="n">
        <f aca="false">ROUND(SUM(X1617:X1619),2)</f>
        <v>30</v>
      </c>
      <c r="Z1619" s="121"/>
      <c r="AA1619" s="122"/>
      <c r="AB1619" s="123" t="n">
        <f aca="false">ROUND(SUM(AA1617:AA1619),2)</f>
        <v>84</v>
      </c>
      <c r="AC1619" s="124"/>
      <c r="AD1619" s="42" t="n">
        <v>0.0868</v>
      </c>
      <c r="AE1619" s="43" t="n">
        <v>0.9</v>
      </c>
    </row>
    <row r="1620" customFormat="false" ht="16.5" hidden="false" customHeight="true" outlineLevel="0" collapsed="false">
      <c r="A1620" s="85" t="n">
        <f aca="false">ROW(A1609)</f>
        <v>1609</v>
      </c>
      <c r="B1620" s="85" t="s">
        <v>455</v>
      </c>
      <c r="C1620" s="216" t="n">
        <v>1</v>
      </c>
      <c r="D1620" s="85" t="n">
        <v>297</v>
      </c>
      <c r="E1620" s="214" t="s">
        <v>4072</v>
      </c>
      <c r="F1620" s="215" t="s">
        <v>4073</v>
      </c>
      <c r="G1620" s="216" t="s">
        <v>3278</v>
      </c>
      <c r="H1620" s="216" t="s">
        <v>3975</v>
      </c>
      <c r="I1620" s="246" t="s">
        <v>394</v>
      </c>
      <c r="J1620" s="214" t="s">
        <v>460</v>
      </c>
      <c r="K1620" s="217" t="s">
        <v>4074</v>
      </c>
      <c r="L1620" s="218" t="n">
        <v>45776</v>
      </c>
      <c r="M1620" s="216" t="n">
        <v>1582</v>
      </c>
      <c r="N1620" s="216" t="n">
        <v>1883</v>
      </c>
      <c r="O1620" s="114" t="n">
        <v>301</v>
      </c>
      <c r="P1620" s="114" t="n">
        <v>292</v>
      </c>
      <c r="Q1620" s="114" t="n">
        <f aca="false">ROUND(SUM(P1620),2)</f>
        <v>292</v>
      </c>
      <c r="R1620" s="219" t="n">
        <f aca="false">合約與計費!$D$4</f>
        <v>0.296</v>
      </c>
      <c r="S1620" s="220" t="n">
        <f aca="false">ROUND(P1620*R1620,0)</f>
        <v>86</v>
      </c>
      <c r="T1620" s="119" t="n">
        <f aca="false">ROUND(SUM(S1620),2)</f>
        <v>86</v>
      </c>
      <c r="U1620" s="216" t="n">
        <v>1434</v>
      </c>
      <c r="V1620" s="216" t="n">
        <v>1590</v>
      </c>
      <c r="W1620" s="216" t="n">
        <v>156</v>
      </c>
      <c r="X1620" s="216" t="n">
        <v>151</v>
      </c>
      <c r="Y1620" s="216" t="n">
        <f aca="false">ROUND(SUM(X1620),2)</f>
        <v>151</v>
      </c>
      <c r="Z1620" s="221" t="n">
        <f aca="false">合約與計費!$E$4</f>
        <v>2.8</v>
      </c>
      <c r="AA1620" s="222" t="n">
        <f aca="false">ROUND(X1620*Z1620,0)</f>
        <v>423</v>
      </c>
      <c r="AB1620" s="223" t="n">
        <f aca="false">ROUND(SUM(AA1620),2)</f>
        <v>423</v>
      </c>
      <c r="AC1620" s="224"/>
      <c r="AD1620" s="42"/>
      <c r="AE1620" s="43"/>
    </row>
    <row r="1621" customFormat="false" ht="16.5" hidden="false" customHeight="true" outlineLevel="0" collapsed="false">
      <c r="A1621" s="84" t="n">
        <f aca="false">ROW(A1610)</f>
        <v>1610</v>
      </c>
      <c r="B1621" s="84" t="s">
        <v>455</v>
      </c>
      <c r="C1621" s="32" t="n">
        <v>1</v>
      </c>
      <c r="D1621" s="85" t="n">
        <v>305</v>
      </c>
      <c r="E1621" s="233" t="s">
        <v>4075</v>
      </c>
      <c r="F1621" s="87" t="s">
        <v>4076</v>
      </c>
      <c r="G1621" s="32" t="s">
        <v>3278</v>
      </c>
      <c r="H1621" s="32" t="s">
        <v>3975</v>
      </c>
      <c r="I1621" s="172" t="s">
        <v>135</v>
      </c>
      <c r="J1621" s="86" t="s">
        <v>460</v>
      </c>
      <c r="K1621" s="88" t="s">
        <v>4077</v>
      </c>
      <c r="L1621" s="89" t="n">
        <v>45768</v>
      </c>
      <c r="M1621" s="32" t="n">
        <v>57</v>
      </c>
      <c r="N1621" s="32" t="n">
        <v>61</v>
      </c>
      <c r="O1621" s="32" t="n">
        <v>4</v>
      </c>
      <c r="P1621" s="32" t="n">
        <v>4</v>
      </c>
      <c r="Q1621" s="32"/>
      <c r="R1621" s="90" t="n">
        <f aca="false">合約與計費!$D$4</f>
        <v>0.296</v>
      </c>
      <c r="S1621" s="91" t="n">
        <f aca="false">ROUND(P1621*R1621,0)</f>
        <v>1</v>
      </c>
      <c r="T1621" s="92"/>
      <c r="U1621" s="32" t="n">
        <v>292</v>
      </c>
      <c r="V1621" s="32" t="n">
        <v>321</v>
      </c>
      <c r="W1621" s="32" t="n">
        <v>29</v>
      </c>
      <c r="X1621" s="32" t="n">
        <v>28</v>
      </c>
      <c r="Y1621" s="32"/>
      <c r="Z1621" s="93" t="n">
        <f aca="false">合約與計費!$E$4</f>
        <v>2.8</v>
      </c>
      <c r="AA1621" s="94" t="n">
        <f aca="false">ROUND(X1621*Z1621,0)</f>
        <v>78</v>
      </c>
      <c r="AB1621" s="95"/>
      <c r="AC1621" s="254"/>
      <c r="AD1621" s="42"/>
      <c r="AE1621" s="43"/>
    </row>
    <row r="1622" customFormat="false" ht="16.5" hidden="false" customHeight="true" outlineLevel="0" collapsed="false">
      <c r="A1622" s="111" t="n">
        <f aca="false">ROW(A1611)</f>
        <v>1611</v>
      </c>
      <c r="B1622" s="111" t="s">
        <v>462</v>
      </c>
      <c r="C1622" s="114" t="n">
        <v>1</v>
      </c>
      <c r="D1622" s="85"/>
      <c r="E1622" s="235" t="s">
        <v>4078</v>
      </c>
      <c r="F1622" s="113" t="s">
        <v>4076</v>
      </c>
      <c r="G1622" s="114" t="s">
        <v>3278</v>
      </c>
      <c r="H1622" s="114" t="s">
        <v>3975</v>
      </c>
      <c r="I1622" s="173" t="s">
        <v>135</v>
      </c>
      <c r="J1622" s="112" t="s">
        <v>464</v>
      </c>
      <c r="K1622" s="115" t="s">
        <v>4079</v>
      </c>
      <c r="L1622" s="116" t="n">
        <v>45768</v>
      </c>
      <c r="M1622" s="114" t="n">
        <v>2816</v>
      </c>
      <c r="N1622" s="114" t="n">
        <v>3289</v>
      </c>
      <c r="O1622" s="114" t="n">
        <v>473</v>
      </c>
      <c r="P1622" s="114" t="n">
        <v>459</v>
      </c>
      <c r="Q1622" s="114" t="n">
        <f aca="false">ROUND(SUM(P1621:P1622),2)</f>
        <v>463</v>
      </c>
      <c r="R1622" s="117" t="n">
        <f aca="false">合約與計費!$D$4</f>
        <v>0.296</v>
      </c>
      <c r="S1622" s="118" t="n">
        <f aca="false">ROUND(P1622*R1622,0)</f>
        <v>136</v>
      </c>
      <c r="T1622" s="119" t="n">
        <f aca="false">ROUND(SUM(S1621:S1622),2)</f>
        <v>137</v>
      </c>
      <c r="U1622" s="114"/>
      <c r="V1622" s="114"/>
      <c r="W1622" s="120"/>
      <c r="X1622" s="114"/>
      <c r="Y1622" s="114" t="n">
        <f aca="false">ROUND(SUM(X1621:X1622),2)</f>
        <v>28</v>
      </c>
      <c r="Z1622" s="121"/>
      <c r="AA1622" s="122"/>
      <c r="AB1622" s="123" t="n">
        <f aca="false">ROUND(SUM(AA1621:AA1622),2)</f>
        <v>78</v>
      </c>
      <c r="AC1622" s="124"/>
      <c r="AD1622" s="42" t="n">
        <v>0.0569</v>
      </c>
      <c r="AE1622" s="43" t="n">
        <v>1</v>
      </c>
    </row>
    <row r="1623" customFormat="false" ht="16.5" hidden="false" customHeight="true" outlineLevel="0" collapsed="false">
      <c r="A1623" s="84" t="n">
        <f aca="false">ROW(A1612)</f>
        <v>1612</v>
      </c>
      <c r="B1623" s="84" t="s">
        <v>455</v>
      </c>
      <c r="C1623" s="32" t="n">
        <v>1</v>
      </c>
      <c r="D1623" s="85" t="n">
        <v>423</v>
      </c>
      <c r="E1623" s="86" t="s">
        <v>4080</v>
      </c>
      <c r="F1623" s="87" t="s">
        <v>4081</v>
      </c>
      <c r="G1623" s="32" t="s">
        <v>3278</v>
      </c>
      <c r="H1623" s="32" t="s">
        <v>3975</v>
      </c>
      <c r="I1623" s="32" t="s">
        <v>4082</v>
      </c>
      <c r="J1623" s="86" t="s">
        <v>460</v>
      </c>
      <c r="K1623" s="88" t="s">
        <v>4083</v>
      </c>
      <c r="L1623" s="89" t="n">
        <v>45798</v>
      </c>
      <c r="M1623" s="32" t="n">
        <v>574</v>
      </c>
      <c r="N1623" s="32" t="n">
        <v>669</v>
      </c>
      <c r="O1623" s="32" t="n">
        <v>95</v>
      </c>
      <c r="P1623" s="32" t="n">
        <v>92</v>
      </c>
      <c r="Q1623" s="32"/>
      <c r="R1623" s="90" t="n">
        <f aca="false">合約與計費!$D$4</f>
        <v>0.296</v>
      </c>
      <c r="S1623" s="91" t="n">
        <f aca="false">ROUND(P1623*R1623,0)</f>
        <v>27</v>
      </c>
      <c r="T1623" s="92"/>
      <c r="U1623" s="32" t="n">
        <v>147</v>
      </c>
      <c r="V1623" s="32" t="n">
        <v>208</v>
      </c>
      <c r="W1623" s="32" t="n">
        <v>61</v>
      </c>
      <c r="X1623" s="32" t="n">
        <v>59</v>
      </c>
      <c r="Y1623" s="32"/>
      <c r="Z1623" s="93" t="n">
        <f aca="false">合約與計費!$E$4</f>
        <v>2.8</v>
      </c>
      <c r="AA1623" s="94" t="n">
        <f aca="false">ROUND(X1623*Z1623,0)</f>
        <v>165</v>
      </c>
      <c r="AB1623" s="95"/>
      <c r="AC1623" s="254"/>
      <c r="AD1623" s="42"/>
      <c r="AE1623" s="43"/>
    </row>
    <row r="1624" customFormat="false" ht="16.5" hidden="false" customHeight="true" outlineLevel="0" collapsed="false">
      <c r="A1624" s="97" t="n">
        <f aca="false">ROW(A1613)</f>
        <v>1613</v>
      </c>
      <c r="B1624" s="97" t="s">
        <v>462</v>
      </c>
      <c r="C1624" s="100" t="n">
        <v>1</v>
      </c>
      <c r="D1624" s="85"/>
      <c r="E1624" s="98" t="s">
        <v>4084</v>
      </c>
      <c r="F1624" s="99" t="s">
        <v>4081</v>
      </c>
      <c r="G1624" s="100" t="s">
        <v>3278</v>
      </c>
      <c r="H1624" s="100" t="s">
        <v>3975</v>
      </c>
      <c r="I1624" s="100" t="s">
        <v>4082</v>
      </c>
      <c r="J1624" s="98" t="s">
        <v>471</v>
      </c>
      <c r="K1624" s="101" t="s">
        <v>4085</v>
      </c>
      <c r="L1624" s="102" t="n">
        <v>45798</v>
      </c>
      <c r="M1624" s="100" t="n">
        <v>1383</v>
      </c>
      <c r="N1624" s="100" t="n">
        <v>1835</v>
      </c>
      <c r="O1624" s="100" t="n">
        <v>452</v>
      </c>
      <c r="P1624" s="100" t="n">
        <v>438</v>
      </c>
      <c r="Q1624" s="100"/>
      <c r="R1624" s="103" t="n">
        <f aca="false">合約與計費!$D$4</f>
        <v>0.296</v>
      </c>
      <c r="S1624" s="104" t="n">
        <f aca="false">ROUND(P1624*R1624,0)</f>
        <v>130</v>
      </c>
      <c r="T1624" s="105"/>
      <c r="U1624" s="100"/>
      <c r="V1624" s="100"/>
      <c r="W1624" s="106"/>
      <c r="X1624" s="100"/>
      <c r="Y1624" s="100"/>
      <c r="Z1624" s="107"/>
      <c r="AA1624" s="108"/>
      <c r="AB1624" s="109"/>
      <c r="AC1624" s="110"/>
      <c r="AD1624" s="42" t="n">
        <v>0.0849</v>
      </c>
      <c r="AE1624" s="43" t="n">
        <v>1</v>
      </c>
    </row>
    <row r="1625" customFormat="false" ht="16.5" hidden="false" customHeight="true" outlineLevel="0" collapsed="false">
      <c r="A1625" s="97" t="n">
        <f aca="false">ROW(A1614)</f>
        <v>1614</v>
      </c>
      <c r="B1625" s="97" t="s">
        <v>466</v>
      </c>
      <c r="C1625" s="100" t="n">
        <v>1</v>
      </c>
      <c r="D1625" s="85"/>
      <c r="E1625" s="98" t="s">
        <v>4086</v>
      </c>
      <c r="F1625" s="99" t="s">
        <v>4081</v>
      </c>
      <c r="G1625" s="100" t="s">
        <v>3278</v>
      </c>
      <c r="H1625" s="100" t="s">
        <v>3975</v>
      </c>
      <c r="I1625" s="100" t="s">
        <v>4082</v>
      </c>
      <c r="J1625" s="98" t="s">
        <v>471</v>
      </c>
      <c r="K1625" s="101" t="s">
        <v>4087</v>
      </c>
      <c r="L1625" s="102" t="n">
        <v>45908</v>
      </c>
      <c r="M1625" s="100" t="n">
        <v>138</v>
      </c>
      <c r="N1625" s="100" t="n">
        <v>1470</v>
      </c>
      <c r="O1625" s="100" t="n">
        <v>1470</v>
      </c>
      <c r="P1625" s="100" t="n">
        <v>1426</v>
      </c>
      <c r="Q1625" s="100"/>
      <c r="R1625" s="103" t="n">
        <f aca="false">合約與計費!$D$4</f>
        <v>0.296</v>
      </c>
      <c r="S1625" s="104" t="n">
        <f aca="false">ROUND(P1625*R1625,0)</f>
        <v>422</v>
      </c>
      <c r="T1625" s="105"/>
      <c r="U1625" s="100"/>
      <c r="V1625" s="100"/>
      <c r="W1625" s="106"/>
      <c r="X1625" s="100"/>
      <c r="Y1625" s="100"/>
      <c r="Z1625" s="107"/>
      <c r="AA1625" s="108"/>
      <c r="AB1625" s="109"/>
      <c r="AC1625" s="110"/>
      <c r="AD1625" s="42" t="n">
        <v>0.183</v>
      </c>
      <c r="AE1625" s="43" t="n">
        <v>0.9</v>
      </c>
    </row>
    <row r="1626" customFormat="false" ht="16.5" hidden="false" customHeight="true" outlineLevel="0" collapsed="false">
      <c r="A1626" s="97" t="n">
        <f aca="false">ROW(A1615)</f>
        <v>1615</v>
      </c>
      <c r="B1626" s="97" t="s">
        <v>469</v>
      </c>
      <c r="C1626" s="100" t="n">
        <v>1</v>
      </c>
      <c r="D1626" s="85"/>
      <c r="E1626" s="98" t="s">
        <v>4088</v>
      </c>
      <c r="F1626" s="99" t="s">
        <v>4081</v>
      </c>
      <c r="G1626" s="100" t="s">
        <v>3278</v>
      </c>
      <c r="H1626" s="100" t="s">
        <v>3975</v>
      </c>
      <c r="I1626" s="100" t="s">
        <v>4082</v>
      </c>
      <c r="J1626" s="98" t="s">
        <v>471</v>
      </c>
      <c r="K1626" s="101" t="s">
        <v>4089</v>
      </c>
      <c r="L1626" s="102" t="n">
        <v>45908</v>
      </c>
      <c r="M1626" s="100" t="n">
        <v>35</v>
      </c>
      <c r="N1626" s="100" t="n">
        <v>358</v>
      </c>
      <c r="O1626" s="100" t="n">
        <v>358</v>
      </c>
      <c r="P1626" s="100" t="n">
        <v>347</v>
      </c>
      <c r="Q1626" s="100"/>
      <c r="R1626" s="103" t="n">
        <f aca="false">合約與計費!$D$4</f>
        <v>0.296</v>
      </c>
      <c r="S1626" s="104" t="n">
        <f aca="false">ROUND(P1626*R1626,0)</f>
        <v>103</v>
      </c>
      <c r="T1626" s="105"/>
      <c r="U1626" s="100"/>
      <c r="V1626" s="100"/>
      <c r="W1626" s="106"/>
      <c r="X1626" s="100"/>
      <c r="Y1626" s="100"/>
      <c r="Z1626" s="107"/>
      <c r="AA1626" s="108"/>
      <c r="AB1626" s="109"/>
      <c r="AC1626" s="110"/>
      <c r="AD1626" s="42" t="n">
        <v>0.1587</v>
      </c>
      <c r="AE1626" s="43" t="n">
        <v>0.8</v>
      </c>
    </row>
    <row r="1627" customFormat="false" ht="16.5" hidden="false" customHeight="true" outlineLevel="0" collapsed="false">
      <c r="A1627" s="111" t="n">
        <f aca="false">ROW(A1616)</f>
        <v>1616</v>
      </c>
      <c r="B1627" s="111" t="s">
        <v>473</v>
      </c>
      <c r="C1627" s="114" t="n">
        <v>1</v>
      </c>
      <c r="D1627" s="85"/>
      <c r="E1627" s="112" t="s">
        <v>4090</v>
      </c>
      <c r="F1627" s="113" t="s">
        <v>4081</v>
      </c>
      <c r="G1627" s="114" t="s">
        <v>3278</v>
      </c>
      <c r="H1627" s="114" t="s">
        <v>3975</v>
      </c>
      <c r="I1627" s="114" t="s">
        <v>4082</v>
      </c>
      <c r="J1627" s="112" t="s">
        <v>471</v>
      </c>
      <c r="K1627" s="115" t="s">
        <v>4091</v>
      </c>
      <c r="L1627" s="116" t="n">
        <v>45908</v>
      </c>
      <c r="M1627" s="114" t="n">
        <v>41</v>
      </c>
      <c r="N1627" s="114" t="n">
        <v>338</v>
      </c>
      <c r="O1627" s="100" t="n">
        <v>338</v>
      </c>
      <c r="P1627" s="100" t="n">
        <v>328</v>
      </c>
      <c r="Q1627" s="100" t="n">
        <f aca="false">ROUND(SUM(P1623:P1627),2)</f>
        <v>2631</v>
      </c>
      <c r="R1627" s="103" t="n">
        <f aca="false">合約與計費!$D$4</f>
        <v>0.296</v>
      </c>
      <c r="S1627" s="104" t="n">
        <f aca="false">ROUND(P1627*R1627,0)</f>
        <v>97</v>
      </c>
      <c r="T1627" s="105" t="n">
        <f aca="false">ROUND(SUM(S1623:S1627),2)</f>
        <v>779</v>
      </c>
      <c r="U1627" s="114"/>
      <c r="V1627" s="114"/>
      <c r="W1627" s="106"/>
      <c r="X1627" s="114"/>
      <c r="Y1627" s="100" t="n">
        <f aca="false">ROUND(SUM(X1623:X1627),2)</f>
        <v>59</v>
      </c>
      <c r="Z1627" s="107"/>
      <c r="AA1627" s="108"/>
      <c r="AB1627" s="109" t="n">
        <f aca="false">ROUND(SUM(AA1623:AA1627),2)</f>
        <v>165</v>
      </c>
      <c r="AC1627" s="124"/>
      <c r="AD1627" s="42" t="n">
        <v>0.2375</v>
      </c>
      <c r="AE1627" s="43" t="n">
        <v>0.8</v>
      </c>
    </row>
    <row r="1628" customFormat="false" ht="16.5" hidden="false" customHeight="true" outlineLevel="0" collapsed="false">
      <c r="A1628" s="84" t="n">
        <f aca="false">ROW(A1617)</f>
        <v>1617</v>
      </c>
      <c r="B1628" s="84" t="s">
        <v>455</v>
      </c>
      <c r="C1628" s="32" t="n">
        <v>1</v>
      </c>
      <c r="D1628" s="85" t="n">
        <v>424</v>
      </c>
      <c r="E1628" s="233" t="s">
        <v>4092</v>
      </c>
      <c r="F1628" s="87" t="s">
        <v>4093</v>
      </c>
      <c r="G1628" s="32" t="s">
        <v>3278</v>
      </c>
      <c r="H1628" s="32" t="s">
        <v>3975</v>
      </c>
      <c r="I1628" s="172" t="s">
        <v>4094</v>
      </c>
      <c r="J1628" s="86" t="s">
        <v>460</v>
      </c>
      <c r="K1628" s="225" t="s">
        <v>4095</v>
      </c>
      <c r="L1628" s="89" t="n">
        <v>45804</v>
      </c>
      <c r="M1628" s="32" t="n">
        <v>2062</v>
      </c>
      <c r="N1628" s="32" t="n">
        <v>2463</v>
      </c>
      <c r="O1628" s="32" t="n">
        <v>401</v>
      </c>
      <c r="P1628" s="32" t="n">
        <v>389</v>
      </c>
      <c r="Q1628" s="32"/>
      <c r="R1628" s="90" t="n">
        <f aca="false">合約與計費!$D$4</f>
        <v>0.296</v>
      </c>
      <c r="S1628" s="91" t="n">
        <f aca="false">ROUND(P1628*R1628,0)</f>
        <v>115</v>
      </c>
      <c r="T1628" s="92"/>
      <c r="U1628" s="32" t="n">
        <v>156</v>
      </c>
      <c r="V1628" s="32" t="n">
        <v>220</v>
      </c>
      <c r="W1628" s="32" t="n">
        <v>64</v>
      </c>
      <c r="X1628" s="32" t="n">
        <v>62</v>
      </c>
      <c r="Y1628" s="32"/>
      <c r="Z1628" s="93" t="n">
        <f aca="false">合約與計費!$E$4</f>
        <v>2.8</v>
      </c>
      <c r="AA1628" s="94" t="n">
        <f aca="false">ROUND(X1628*Z1628,0)</f>
        <v>174</v>
      </c>
      <c r="AB1628" s="95"/>
      <c r="AC1628" s="254"/>
      <c r="AD1628" s="42"/>
      <c r="AE1628" s="43"/>
    </row>
    <row r="1629" customFormat="false" ht="16.5" hidden="false" customHeight="true" outlineLevel="0" collapsed="false">
      <c r="A1629" s="111" t="n">
        <f aca="false">ROW(A1618)</f>
        <v>1618</v>
      </c>
      <c r="B1629" s="111" t="s">
        <v>462</v>
      </c>
      <c r="C1629" s="114" t="n">
        <v>1</v>
      </c>
      <c r="D1629" s="85"/>
      <c r="E1629" s="235" t="s">
        <v>4096</v>
      </c>
      <c r="F1629" s="113" t="s">
        <v>4093</v>
      </c>
      <c r="G1629" s="114" t="s">
        <v>3278</v>
      </c>
      <c r="H1629" s="114" t="s">
        <v>3975</v>
      </c>
      <c r="I1629" s="173" t="s">
        <v>4094</v>
      </c>
      <c r="J1629" s="112" t="s">
        <v>464</v>
      </c>
      <c r="K1629" s="236" t="s">
        <v>4097</v>
      </c>
      <c r="L1629" s="116" t="n">
        <v>45804</v>
      </c>
      <c r="M1629" s="114" t="n">
        <v>80</v>
      </c>
      <c r="N1629" s="114" t="n">
        <v>98</v>
      </c>
      <c r="O1629" s="114" t="n">
        <v>18</v>
      </c>
      <c r="P1629" s="114" t="n">
        <v>17</v>
      </c>
      <c r="Q1629" s="114" t="n">
        <f aca="false">ROUND(SUM(P1628:P1629),2)</f>
        <v>406</v>
      </c>
      <c r="R1629" s="117" t="n">
        <f aca="false">合約與計費!$D$4</f>
        <v>0.296</v>
      </c>
      <c r="S1629" s="118" t="n">
        <f aca="false">ROUND(P1629*R1629,0)</f>
        <v>5</v>
      </c>
      <c r="T1629" s="119" t="n">
        <f aca="false">ROUND(SUM(S1628:S1629),2)</f>
        <v>120</v>
      </c>
      <c r="U1629" s="114"/>
      <c r="V1629" s="114"/>
      <c r="W1629" s="120"/>
      <c r="X1629" s="114"/>
      <c r="Y1629" s="114" t="n">
        <f aca="false">ROUND(SUM(X1628:X1629),2)</f>
        <v>62</v>
      </c>
      <c r="Z1629" s="121"/>
      <c r="AA1629" s="122"/>
      <c r="AB1629" s="123" t="n">
        <f aca="false">ROUND(SUM(AA1628:AA1629),2)</f>
        <v>174</v>
      </c>
      <c r="AC1629" s="124"/>
      <c r="AD1629" s="42" t="n">
        <v>0.0261</v>
      </c>
      <c r="AE1629" s="43" t="n">
        <v>1</v>
      </c>
    </row>
    <row r="1630" customFormat="false" ht="16.5" hidden="false" customHeight="true" outlineLevel="0" collapsed="false">
      <c r="A1630" s="84" t="n">
        <f aca="false">ROW(A1619)</f>
        <v>1619</v>
      </c>
      <c r="B1630" s="84" t="s">
        <v>455</v>
      </c>
      <c r="C1630" s="32" t="n">
        <v>1</v>
      </c>
      <c r="D1630" s="85" t="n">
        <v>155</v>
      </c>
      <c r="E1630" s="86" t="s">
        <v>4098</v>
      </c>
      <c r="F1630" s="87" t="s">
        <v>4099</v>
      </c>
      <c r="G1630" s="32" t="s">
        <v>4100</v>
      </c>
      <c r="H1630" s="32" t="s">
        <v>4101</v>
      </c>
      <c r="I1630" s="32" t="s">
        <v>68</v>
      </c>
      <c r="J1630" s="86" t="s">
        <v>460</v>
      </c>
      <c r="K1630" s="88" t="s">
        <v>4102</v>
      </c>
      <c r="L1630" s="89" t="n">
        <v>45741</v>
      </c>
      <c r="M1630" s="32" t="n">
        <v>108</v>
      </c>
      <c r="N1630" s="32" t="n">
        <v>148</v>
      </c>
      <c r="O1630" s="32" t="n">
        <v>40</v>
      </c>
      <c r="P1630" s="32" t="n">
        <v>39</v>
      </c>
      <c r="Q1630" s="32"/>
      <c r="R1630" s="90" t="n">
        <f aca="false">合約與計費!$D$4</f>
        <v>0.296</v>
      </c>
      <c r="S1630" s="91" t="n">
        <f aca="false">ROUND(P1630*R1630,0)</f>
        <v>12</v>
      </c>
      <c r="T1630" s="92"/>
      <c r="U1630" s="32" t="n">
        <v>138</v>
      </c>
      <c r="V1630" s="32" t="n">
        <v>163</v>
      </c>
      <c r="W1630" s="32" t="n">
        <v>25</v>
      </c>
      <c r="X1630" s="32" t="n">
        <v>24</v>
      </c>
      <c r="Y1630" s="32"/>
      <c r="Z1630" s="93" t="n">
        <f aca="false">合約與計費!$E$4</f>
        <v>2.8</v>
      </c>
      <c r="AA1630" s="94" t="n">
        <f aca="false">ROUND(X1630*Z1630,0)</f>
        <v>67</v>
      </c>
      <c r="AB1630" s="95"/>
      <c r="AC1630" s="254"/>
      <c r="AD1630" s="42"/>
      <c r="AE1630" s="43"/>
    </row>
    <row r="1631" customFormat="false" ht="16.5" hidden="false" customHeight="true" outlineLevel="0" collapsed="false">
      <c r="A1631" s="97" t="n">
        <f aca="false">ROW(A1620)</f>
        <v>1620</v>
      </c>
      <c r="B1631" s="97" t="s">
        <v>462</v>
      </c>
      <c r="C1631" s="100" t="n">
        <v>1</v>
      </c>
      <c r="D1631" s="85"/>
      <c r="E1631" s="98" t="s">
        <v>4103</v>
      </c>
      <c r="F1631" s="99" t="s">
        <v>4099</v>
      </c>
      <c r="G1631" s="100" t="s">
        <v>4100</v>
      </c>
      <c r="H1631" s="100" t="s">
        <v>4101</v>
      </c>
      <c r="I1631" s="100" t="s">
        <v>68</v>
      </c>
      <c r="J1631" s="98" t="s">
        <v>464</v>
      </c>
      <c r="K1631" s="101" t="s">
        <v>4104</v>
      </c>
      <c r="L1631" s="102" t="n">
        <v>45741</v>
      </c>
      <c r="M1631" s="100" t="n">
        <v>105</v>
      </c>
      <c r="N1631" s="100" t="n">
        <v>124</v>
      </c>
      <c r="O1631" s="100" t="n">
        <v>19</v>
      </c>
      <c r="P1631" s="100" t="n">
        <v>18</v>
      </c>
      <c r="Q1631" s="100"/>
      <c r="R1631" s="103" t="n">
        <f aca="false">合約與計費!$D$4</f>
        <v>0.296</v>
      </c>
      <c r="S1631" s="104" t="n">
        <f aca="false">ROUND(P1631*R1631,0)</f>
        <v>5</v>
      </c>
      <c r="T1631" s="105"/>
      <c r="U1631" s="100"/>
      <c r="V1631" s="100"/>
      <c r="W1631" s="106"/>
      <c r="X1631" s="100"/>
      <c r="Y1631" s="100"/>
      <c r="Z1631" s="107"/>
      <c r="AA1631" s="108"/>
      <c r="AB1631" s="109"/>
      <c r="AC1631" s="110"/>
      <c r="AD1631" s="42" t="n">
        <v>0.0322</v>
      </c>
      <c r="AE1631" s="43" t="n">
        <v>1</v>
      </c>
    </row>
    <row r="1632" customFormat="false" ht="16.5" hidden="false" customHeight="true" outlineLevel="0" collapsed="false">
      <c r="A1632" s="97" t="n">
        <f aca="false">ROW(A1621)</f>
        <v>1621</v>
      </c>
      <c r="B1632" s="97" t="s">
        <v>466</v>
      </c>
      <c r="C1632" s="100" t="n">
        <v>1</v>
      </c>
      <c r="D1632" s="85"/>
      <c r="E1632" s="98" t="s">
        <v>4105</v>
      </c>
      <c r="F1632" s="99" t="s">
        <v>4099</v>
      </c>
      <c r="G1632" s="100" t="s">
        <v>4100</v>
      </c>
      <c r="H1632" s="100" t="s">
        <v>4101</v>
      </c>
      <c r="I1632" s="100" t="s">
        <v>68</v>
      </c>
      <c r="J1632" s="98" t="s">
        <v>471</v>
      </c>
      <c r="K1632" s="101" t="s">
        <v>4106</v>
      </c>
      <c r="L1632" s="102" t="n">
        <v>45741</v>
      </c>
      <c r="M1632" s="100" t="n">
        <v>3886</v>
      </c>
      <c r="N1632" s="100" t="n">
        <v>4825</v>
      </c>
      <c r="O1632" s="100" t="n">
        <v>939</v>
      </c>
      <c r="P1632" s="100" t="n">
        <v>911</v>
      </c>
      <c r="Q1632" s="100"/>
      <c r="R1632" s="103" t="n">
        <f aca="false">合約與計費!$D$4</f>
        <v>0.296</v>
      </c>
      <c r="S1632" s="104" t="n">
        <f aca="false">ROUND(P1632*R1632,0)</f>
        <v>270</v>
      </c>
      <c r="T1632" s="105"/>
      <c r="U1632" s="100"/>
      <c r="V1632" s="100"/>
      <c r="W1632" s="106"/>
      <c r="X1632" s="100"/>
      <c r="Y1632" s="100"/>
      <c r="Z1632" s="107"/>
      <c r="AA1632" s="108"/>
      <c r="AB1632" s="109"/>
      <c r="AC1632" s="110"/>
      <c r="AD1632" s="42" t="n">
        <v>0.1239</v>
      </c>
      <c r="AE1632" s="43" t="n">
        <v>0.4</v>
      </c>
    </row>
    <row r="1633" customFormat="false" ht="16.5" hidden="false" customHeight="true" outlineLevel="0" collapsed="false">
      <c r="A1633" s="97" t="n">
        <f aca="false">ROW(A1622)</f>
        <v>1622</v>
      </c>
      <c r="B1633" s="97" t="s">
        <v>469</v>
      </c>
      <c r="C1633" s="100" t="n">
        <v>1</v>
      </c>
      <c r="D1633" s="85"/>
      <c r="E1633" s="98" t="s">
        <v>4107</v>
      </c>
      <c r="F1633" s="99" t="s">
        <v>4099</v>
      </c>
      <c r="G1633" s="100" t="s">
        <v>4100</v>
      </c>
      <c r="H1633" s="100" t="s">
        <v>4101</v>
      </c>
      <c r="I1633" s="100" t="s">
        <v>68</v>
      </c>
      <c r="J1633" s="98" t="s">
        <v>471</v>
      </c>
      <c r="K1633" s="101" t="s">
        <v>4108</v>
      </c>
      <c r="L1633" s="102" t="n">
        <v>45741</v>
      </c>
      <c r="M1633" s="100" t="n">
        <v>7827</v>
      </c>
      <c r="N1633" s="100" t="n">
        <v>9051</v>
      </c>
      <c r="O1633" s="100" t="n">
        <v>1224</v>
      </c>
      <c r="P1633" s="100" t="n">
        <v>1187</v>
      </c>
      <c r="Q1633" s="100"/>
      <c r="R1633" s="103" t="n">
        <f aca="false">合約與計費!$D$4</f>
        <v>0.296</v>
      </c>
      <c r="S1633" s="104" t="n">
        <f aca="false">ROUND(P1633*R1633,0)</f>
        <v>351</v>
      </c>
      <c r="T1633" s="105"/>
      <c r="U1633" s="100"/>
      <c r="V1633" s="100"/>
      <c r="W1633" s="106"/>
      <c r="X1633" s="100"/>
      <c r="Y1633" s="100"/>
      <c r="Z1633" s="107"/>
      <c r="AA1633" s="108"/>
      <c r="AB1633" s="109"/>
      <c r="AC1633" s="110"/>
      <c r="AD1633" s="42" t="n">
        <v>0.145</v>
      </c>
      <c r="AE1633" s="43" t="n">
        <v>0.9</v>
      </c>
    </row>
    <row r="1634" customFormat="false" ht="16.5" hidden="false" customHeight="true" outlineLevel="0" collapsed="false">
      <c r="A1634" s="97" t="n">
        <f aca="false">ROW(A1623)</f>
        <v>1623</v>
      </c>
      <c r="B1634" s="97" t="s">
        <v>473</v>
      </c>
      <c r="C1634" s="100" t="n">
        <v>1</v>
      </c>
      <c r="D1634" s="85"/>
      <c r="E1634" s="98" t="s">
        <v>4109</v>
      </c>
      <c r="F1634" s="99" t="s">
        <v>4099</v>
      </c>
      <c r="G1634" s="100" t="s">
        <v>4100</v>
      </c>
      <c r="H1634" s="100" t="s">
        <v>4101</v>
      </c>
      <c r="I1634" s="100" t="s">
        <v>68</v>
      </c>
      <c r="J1634" s="98" t="s">
        <v>471</v>
      </c>
      <c r="K1634" s="101" t="s">
        <v>4110</v>
      </c>
      <c r="L1634" s="102" t="n">
        <v>45741</v>
      </c>
      <c r="M1634" s="100" t="n">
        <v>1300</v>
      </c>
      <c r="N1634" s="100" t="n">
        <v>1546</v>
      </c>
      <c r="O1634" s="100" t="n">
        <v>246</v>
      </c>
      <c r="P1634" s="100" t="n">
        <v>239</v>
      </c>
      <c r="Q1634" s="100"/>
      <c r="R1634" s="103" t="n">
        <f aca="false">合約與計費!$D$4</f>
        <v>0.296</v>
      </c>
      <c r="S1634" s="104" t="n">
        <f aca="false">ROUND(P1634*R1634,0)</f>
        <v>71</v>
      </c>
      <c r="T1634" s="105"/>
      <c r="U1634" s="100"/>
      <c r="V1634" s="100"/>
      <c r="W1634" s="106"/>
      <c r="X1634" s="100"/>
      <c r="Y1634" s="100"/>
      <c r="Z1634" s="107"/>
      <c r="AA1634" s="108"/>
      <c r="AB1634" s="109"/>
      <c r="AC1634" s="110"/>
      <c r="AD1634" s="42" t="n">
        <v>0.047</v>
      </c>
      <c r="AE1634" s="43" t="n">
        <v>0.4</v>
      </c>
    </row>
    <row r="1635" customFormat="false" ht="16.5" hidden="false" customHeight="true" outlineLevel="0" collapsed="false">
      <c r="A1635" s="97" t="n">
        <f aca="false">ROW(A1624)</f>
        <v>1624</v>
      </c>
      <c r="B1635" s="97" t="s">
        <v>476</v>
      </c>
      <c r="C1635" s="100" t="n">
        <v>1</v>
      </c>
      <c r="D1635" s="85"/>
      <c r="E1635" s="98" t="s">
        <v>4111</v>
      </c>
      <c r="F1635" s="99" t="s">
        <v>4099</v>
      </c>
      <c r="G1635" s="100" t="s">
        <v>4100</v>
      </c>
      <c r="H1635" s="100" t="s">
        <v>4101</v>
      </c>
      <c r="I1635" s="100" t="s">
        <v>68</v>
      </c>
      <c r="J1635" s="98" t="s">
        <v>471</v>
      </c>
      <c r="K1635" s="101" t="s">
        <v>4112</v>
      </c>
      <c r="L1635" s="102" t="n">
        <v>45741</v>
      </c>
      <c r="M1635" s="100" t="n">
        <v>7205</v>
      </c>
      <c r="N1635" s="100" t="n">
        <v>8569</v>
      </c>
      <c r="O1635" s="100" t="n">
        <v>1364</v>
      </c>
      <c r="P1635" s="100" t="n">
        <v>1323</v>
      </c>
      <c r="Q1635" s="100"/>
      <c r="R1635" s="103" t="n">
        <f aca="false">合約與計費!$D$4</f>
        <v>0.296</v>
      </c>
      <c r="S1635" s="104" t="n">
        <f aca="false">ROUND(P1635*R1635,0)</f>
        <v>392</v>
      </c>
      <c r="T1635" s="105"/>
      <c r="U1635" s="100"/>
      <c r="V1635" s="100"/>
      <c r="W1635" s="106"/>
      <c r="X1635" s="100"/>
      <c r="Y1635" s="100"/>
      <c r="Z1635" s="107"/>
      <c r="AA1635" s="108"/>
      <c r="AB1635" s="109"/>
      <c r="AC1635" s="110"/>
      <c r="AD1635" s="42" t="n">
        <v>0.1226</v>
      </c>
      <c r="AE1635" s="43" t="n">
        <v>0.9</v>
      </c>
    </row>
    <row r="1636" customFormat="false" ht="16.5" hidden="false" customHeight="true" outlineLevel="0" collapsed="false">
      <c r="A1636" s="97" t="n">
        <f aca="false">ROW(A1625)</f>
        <v>1625</v>
      </c>
      <c r="B1636" s="97" t="s">
        <v>479</v>
      </c>
      <c r="C1636" s="100" t="n">
        <v>1</v>
      </c>
      <c r="D1636" s="85"/>
      <c r="E1636" s="98" t="s">
        <v>4113</v>
      </c>
      <c r="F1636" s="99" t="s">
        <v>4099</v>
      </c>
      <c r="G1636" s="100" t="s">
        <v>4100</v>
      </c>
      <c r="H1636" s="100" t="s">
        <v>4101</v>
      </c>
      <c r="I1636" s="100" t="s">
        <v>68</v>
      </c>
      <c r="J1636" s="98" t="s">
        <v>471</v>
      </c>
      <c r="K1636" s="101" t="s">
        <v>4114</v>
      </c>
      <c r="L1636" s="102" t="n">
        <v>45741</v>
      </c>
      <c r="M1636" s="100" t="n">
        <v>6329</v>
      </c>
      <c r="N1636" s="100" t="n">
        <v>7266</v>
      </c>
      <c r="O1636" s="100" t="n">
        <v>937</v>
      </c>
      <c r="P1636" s="100" t="n">
        <v>909</v>
      </c>
      <c r="Q1636" s="100"/>
      <c r="R1636" s="103" t="n">
        <f aca="false">合約與計費!$D$4</f>
        <v>0.296</v>
      </c>
      <c r="S1636" s="104" t="n">
        <f aca="false">ROUND(P1636*R1636,0)</f>
        <v>269</v>
      </c>
      <c r="T1636" s="105"/>
      <c r="U1636" s="100"/>
      <c r="V1636" s="100"/>
      <c r="W1636" s="106"/>
      <c r="X1636" s="100"/>
      <c r="Y1636" s="100"/>
      <c r="Z1636" s="107"/>
      <c r="AA1636" s="108"/>
      <c r="AB1636" s="109"/>
      <c r="AC1636" s="110"/>
      <c r="AD1636" s="42" t="n">
        <v>0.1599</v>
      </c>
      <c r="AE1636" s="43" t="n">
        <v>0.9</v>
      </c>
    </row>
    <row r="1637" customFormat="false" ht="16.5" hidden="false" customHeight="true" outlineLevel="0" collapsed="false">
      <c r="A1637" s="111" t="n">
        <f aca="false">ROW(A1626)</f>
        <v>1626</v>
      </c>
      <c r="B1637" s="111" t="s">
        <v>482</v>
      </c>
      <c r="C1637" s="114" t="n">
        <v>1</v>
      </c>
      <c r="D1637" s="85"/>
      <c r="E1637" s="112" t="s">
        <v>4115</v>
      </c>
      <c r="F1637" s="113" t="s">
        <v>4099</v>
      </c>
      <c r="G1637" s="114" t="s">
        <v>4100</v>
      </c>
      <c r="H1637" s="114" t="s">
        <v>4101</v>
      </c>
      <c r="I1637" s="114" t="s">
        <v>68</v>
      </c>
      <c r="J1637" s="112" t="s">
        <v>471</v>
      </c>
      <c r="K1637" s="115" t="s">
        <v>4116</v>
      </c>
      <c r="L1637" s="116" t="n">
        <v>45741</v>
      </c>
      <c r="M1637" s="114" t="n">
        <v>1061</v>
      </c>
      <c r="N1637" s="114" t="n">
        <v>1232</v>
      </c>
      <c r="O1637" s="114" t="n">
        <v>171</v>
      </c>
      <c r="P1637" s="114" t="n">
        <v>166</v>
      </c>
      <c r="Q1637" s="114" t="n">
        <f aca="false">ROUND(SUM(P1630:P1637),2)</f>
        <v>4792</v>
      </c>
      <c r="R1637" s="117" t="n">
        <f aca="false">合約與計費!$D$4</f>
        <v>0.296</v>
      </c>
      <c r="S1637" s="118" t="n">
        <f aca="false">ROUND(P1637*R1637,0)</f>
        <v>49</v>
      </c>
      <c r="T1637" s="119" t="n">
        <f aca="false">ROUND(SUM(S1630:S1637),2)</f>
        <v>1419</v>
      </c>
      <c r="U1637" s="114"/>
      <c r="V1637" s="114"/>
      <c r="W1637" s="120"/>
      <c r="X1637" s="114"/>
      <c r="Y1637" s="114" t="n">
        <f aca="false">ROUND(SUM(X1630:X1637),2)</f>
        <v>24</v>
      </c>
      <c r="Z1637" s="121"/>
      <c r="AA1637" s="122"/>
      <c r="AB1637" s="123" t="n">
        <f aca="false">ROUND(SUM(AA1630:AA1637),2)</f>
        <v>67</v>
      </c>
      <c r="AC1637" s="124"/>
      <c r="AD1637" s="42" t="n">
        <v>0.0697</v>
      </c>
      <c r="AE1637" s="43" t="n">
        <v>0.3</v>
      </c>
    </row>
    <row r="1638" customFormat="false" ht="16.5" hidden="false" customHeight="true" outlineLevel="0" collapsed="false">
      <c r="A1638" s="84" t="n">
        <f aca="false">ROW(A1627)</f>
        <v>1627</v>
      </c>
      <c r="B1638" s="84" t="s">
        <v>455</v>
      </c>
      <c r="C1638" s="32" t="n">
        <v>1</v>
      </c>
      <c r="D1638" s="85" t="n">
        <v>156</v>
      </c>
      <c r="E1638" s="86" t="s">
        <v>4117</v>
      </c>
      <c r="F1638" s="87" t="s">
        <v>4118</v>
      </c>
      <c r="G1638" s="32" t="s">
        <v>4100</v>
      </c>
      <c r="H1638" s="32" t="s">
        <v>4101</v>
      </c>
      <c r="I1638" s="32" t="s">
        <v>140</v>
      </c>
      <c r="J1638" s="86" t="s">
        <v>460</v>
      </c>
      <c r="K1638" s="88" t="s">
        <v>4119</v>
      </c>
      <c r="L1638" s="89" t="n">
        <v>45740</v>
      </c>
      <c r="M1638" s="32" t="n">
        <v>339</v>
      </c>
      <c r="N1638" s="32" t="n">
        <v>435</v>
      </c>
      <c r="O1638" s="32" t="n">
        <v>96</v>
      </c>
      <c r="P1638" s="32" t="n">
        <v>93</v>
      </c>
      <c r="Q1638" s="32"/>
      <c r="R1638" s="90" t="n">
        <f aca="false">合約與計費!$D$4</f>
        <v>0.296</v>
      </c>
      <c r="S1638" s="91" t="n">
        <f aca="false">ROUND(P1638*R1638,0)</f>
        <v>28</v>
      </c>
      <c r="T1638" s="92"/>
      <c r="U1638" s="32" t="n">
        <v>79</v>
      </c>
      <c r="V1638" s="32" t="n">
        <v>101</v>
      </c>
      <c r="W1638" s="32" t="n">
        <v>22</v>
      </c>
      <c r="X1638" s="32" t="n">
        <v>21</v>
      </c>
      <c r="Y1638" s="32"/>
      <c r="Z1638" s="93" t="n">
        <f aca="false">合約與計費!$E$4</f>
        <v>2.8</v>
      </c>
      <c r="AA1638" s="94" t="n">
        <f aca="false">ROUND(X1638*Z1638,0)</f>
        <v>59</v>
      </c>
      <c r="AB1638" s="95"/>
      <c r="AC1638" s="254"/>
      <c r="AD1638" s="42"/>
      <c r="AE1638" s="43"/>
    </row>
    <row r="1639" customFormat="false" ht="16.5" hidden="false" customHeight="true" outlineLevel="0" collapsed="false">
      <c r="A1639" s="97" t="n">
        <f aca="false">ROW(A1628)</f>
        <v>1628</v>
      </c>
      <c r="B1639" s="97" t="s">
        <v>462</v>
      </c>
      <c r="C1639" s="100" t="n">
        <v>1</v>
      </c>
      <c r="D1639" s="85"/>
      <c r="E1639" s="98" t="s">
        <v>4120</v>
      </c>
      <c r="F1639" s="99" t="s">
        <v>4118</v>
      </c>
      <c r="G1639" s="100" t="s">
        <v>4100</v>
      </c>
      <c r="H1639" s="100" t="s">
        <v>4101</v>
      </c>
      <c r="I1639" s="100" t="s">
        <v>140</v>
      </c>
      <c r="J1639" s="98" t="s">
        <v>471</v>
      </c>
      <c r="K1639" s="101" t="s">
        <v>4121</v>
      </c>
      <c r="L1639" s="102" t="n">
        <v>45740</v>
      </c>
      <c r="M1639" s="100" t="n">
        <v>5117</v>
      </c>
      <c r="N1639" s="100" t="n">
        <v>6298</v>
      </c>
      <c r="O1639" s="100" t="n">
        <v>1181</v>
      </c>
      <c r="P1639" s="100" t="n">
        <v>1146</v>
      </c>
      <c r="Q1639" s="100"/>
      <c r="R1639" s="103" t="n">
        <f aca="false">合約與計費!$D$4</f>
        <v>0.296</v>
      </c>
      <c r="S1639" s="104" t="n">
        <f aca="false">ROUND(P1639*R1639,0)</f>
        <v>339</v>
      </c>
      <c r="T1639" s="105"/>
      <c r="U1639" s="100"/>
      <c r="V1639" s="100"/>
      <c r="W1639" s="106"/>
      <c r="X1639" s="100"/>
      <c r="Y1639" s="100"/>
      <c r="Z1639" s="107"/>
      <c r="AA1639" s="108"/>
      <c r="AB1639" s="109"/>
      <c r="AC1639" s="110"/>
      <c r="AD1639" s="42" t="n">
        <v>0.1044</v>
      </c>
      <c r="AE1639" s="43" t="n">
        <v>0.3</v>
      </c>
    </row>
    <row r="1640" customFormat="false" ht="16.5" hidden="false" customHeight="true" outlineLevel="0" collapsed="false">
      <c r="A1640" s="97" t="n">
        <f aca="false">ROW(A1629)</f>
        <v>1629</v>
      </c>
      <c r="B1640" s="97" t="s">
        <v>466</v>
      </c>
      <c r="C1640" s="100" t="n">
        <v>1</v>
      </c>
      <c r="D1640" s="85"/>
      <c r="E1640" s="98" t="s">
        <v>4122</v>
      </c>
      <c r="F1640" s="99" t="s">
        <v>4118</v>
      </c>
      <c r="G1640" s="100" t="s">
        <v>4100</v>
      </c>
      <c r="H1640" s="100" t="s">
        <v>4101</v>
      </c>
      <c r="I1640" s="100" t="s">
        <v>140</v>
      </c>
      <c r="J1640" s="98" t="s">
        <v>471</v>
      </c>
      <c r="K1640" s="101" t="s">
        <v>4123</v>
      </c>
      <c r="L1640" s="102" t="n">
        <v>45740</v>
      </c>
      <c r="M1640" s="100" t="n">
        <v>1565</v>
      </c>
      <c r="N1640" s="100" t="n">
        <v>1878</v>
      </c>
      <c r="O1640" s="100" t="n">
        <v>313</v>
      </c>
      <c r="P1640" s="100" t="n">
        <v>304</v>
      </c>
      <c r="Q1640" s="100"/>
      <c r="R1640" s="103" t="n">
        <f aca="false">合約與計費!$D$4</f>
        <v>0.296</v>
      </c>
      <c r="S1640" s="104" t="n">
        <f aca="false">ROUND(P1640*R1640,0)</f>
        <v>90</v>
      </c>
      <c r="T1640" s="105"/>
      <c r="U1640" s="100"/>
      <c r="V1640" s="100"/>
      <c r="W1640" s="106"/>
      <c r="X1640" s="100"/>
      <c r="Y1640" s="100"/>
      <c r="Z1640" s="107"/>
      <c r="AA1640" s="108"/>
      <c r="AB1640" s="109"/>
      <c r="AC1640" s="110"/>
      <c r="AD1640" s="42" t="n">
        <v>0.0358</v>
      </c>
      <c r="AE1640" s="43" t="n">
        <v>0.3</v>
      </c>
    </row>
    <row r="1641" customFormat="false" ht="16.5" hidden="false" customHeight="true" outlineLevel="0" collapsed="false">
      <c r="A1641" s="97" t="n">
        <f aca="false">ROW(A1630)</f>
        <v>1630</v>
      </c>
      <c r="B1641" s="97" t="s">
        <v>469</v>
      </c>
      <c r="C1641" s="100" t="n">
        <v>1</v>
      </c>
      <c r="D1641" s="85"/>
      <c r="E1641" s="98" t="s">
        <v>4124</v>
      </c>
      <c r="F1641" s="99" t="s">
        <v>4118</v>
      </c>
      <c r="G1641" s="100" t="s">
        <v>4100</v>
      </c>
      <c r="H1641" s="100" t="s">
        <v>4101</v>
      </c>
      <c r="I1641" s="100" t="s">
        <v>140</v>
      </c>
      <c r="J1641" s="98" t="s">
        <v>471</v>
      </c>
      <c r="K1641" s="101" t="s">
        <v>4125</v>
      </c>
      <c r="L1641" s="102" t="n">
        <v>45740</v>
      </c>
      <c r="M1641" s="100" t="n">
        <v>2682</v>
      </c>
      <c r="N1641" s="100" t="n">
        <v>3280</v>
      </c>
      <c r="O1641" s="100" t="n">
        <v>598</v>
      </c>
      <c r="P1641" s="100" t="n">
        <v>580</v>
      </c>
      <c r="Q1641" s="100"/>
      <c r="R1641" s="103" t="n">
        <f aca="false">合約與計費!$D$4</f>
        <v>0.296</v>
      </c>
      <c r="S1641" s="104" t="n">
        <f aca="false">ROUND(P1641*R1641,0)</f>
        <v>172</v>
      </c>
      <c r="T1641" s="105"/>
      <c r="U1641" s="100"/>
      <c r="V1641" s="100"/>
      <c r="W1641" s="106"/>
      <c r="X1641" s="100"/>
      <c r="Y1641" s="100"/>
      <c r="Z1641" s="107"/>
      <c r="AA1641" s="108"/>
      <c r="AB1641" s="109"/>
      <c r="AC1641" s="110"/>
      <c r="AD1641" s="42" t="n">
        <v>0.1722</v>
      </c>
      <c r="AE1641" s="43" t="n">
        <v>0.8</v>
      </c>
    </row>
    <row r="1642" customFormat="false" ht="16.5" hidden="false" customHeight="true" outlineLevel="0" collapsed="false">
      <c r="A1642" s="97" t="n">
        <f aca="false">ROW(A1631)</f>
        <v>1631</v>
      </c>
      <c r="B1642" s="97" t="s">
        <v>473</v>
      </c>
      <c r="C1642" s="100" t="n">
        <v>1</v>
      </c>
      <c r="D1642" s="85"/>
      <c r="E1642" s="98" t="s">
        <v>4126</v>
      </c>
      <c r="F1642" s="99" t="s">
        <v>4118</v>
      </c>
      <c r="G1642" s="100" t="s">
        <v>4100</v>
      </c>
      <c r="H1642" s="100" t="s">
        <v>4101</v>
      </c>
      <c r="I1642" s="100" t="s">
        <v>140</v>
      </c>
      <c r="J1642" s="98" t="s">
        <v>471</v>
      </c>
      <c r="K1642" s="101" t="s">
        <v>4127</v>
      </c>
      <c r="L1642" s="102" t="n">
        <v>45740</v>
      </c>
      <c r="M1642" s="100" t="n">
        <v>3336</v>
      </c>
      <c r="N1642" s="100" t="n">
        <v>3816</v>
      </c>
      <c r="O1642" s="100" t="n">
        <v>480</v>
      </c>
      <c r="P1642" s="100" t="n">
        <v>466</v>
      </c>
      <c r="Q1642" s="100"/>
      <c r="R1642" s="103" t="n">
        <f aca="false">合約與計費!$D$4</f>
        <v>0.296</v>
      </c>
      <c r="S1642" s="104" t="n">
        <f aca="false">ROUND(P1642*R1642,0)</f>
        <v>138</v>
      </c>
      <c r="T1642" s="105"/>
      <c r="U1642" s="100"/>
      <c r="V1642" s="100"/>
      <c r="W1642" s="106"/>
      <c r="X1642" s="100"/>
      <c r="Y1642" s="100"/>
      <c r="Z1642" s="107"/>
      <c r="AA1642" s="108"/>
      <c r="AB1642" s="109"/>
      <c r="AC1642" s="110"/>
      <c r="AD1642" s="42" t="n">
        <v>0.1585</v>
      </c>
      <c r="AE1642" s="43" t="n">
        <v>0.9</v>
      </c>
    </row>
    <row r="1643" customFormat="false" ht="16.5" hidden="false" customHeight="true" outlineLevel="0" collapsed="false">
      <c r="A1643" s="111" t="n">
        <f aca="false">ROW(A1632)</f>
        <v>1632</v>
      </c>
      <c r="B1643" s="111" t="s">
        <v>476</v>
      </c>
      <c r="C1643" s="114" t="n">
        <v>1</v>
      </c>
      <c r="D1643" s="85"/>
      <c r="E1643" s="112" t="s">
        <v>4128</v>
      </c>
      <c r="F1643" s="113" t="s">
        <v>4118</v>
      </c>
      <c r="G1643" s="114" t="s">
        <v>4100</v>
      </c>
      <c r="H1643" s="114" t="s">
        <v>4101</v>
      </c>
      <c r="I1643" s="114" t="s">
        <v>140</v>
      </c>
      <c r="J1643" s="112" t="s">
        <v>471</v>
      </c>
      <c r="K1643" s="115" t="s">
        <v>4129</v>
      </c>
      <c r="L1643" s="116" t="n">
        <v>45740</v>
      </c>
      <c r="M1643" s="114" t="n">
        <v>3095</v>
      </c>
      <c r="N1643" s="114" t="n">
        <v>3695</v>
      </c>
      <c r="O1643" s="114" t="n">
        <v>600</v>
      </c>
      <c r="P1643" s="114" t="n">
        <v>582</v>
      </c>
      <c r="Q1643" s="114" t="n">
        <f aca="false">ROUND(SUM(P1638:P1643),2)</f>
        <v>3171</v>
      </c>
      <c r="R1643" s="117" t="n">
        <f aca="false">合約與計費!$D$4</f>
        <v>0.296</v>
      </c>
      <c r="S1643" s="118" t="n">
        <f aca="false">ROUND(P1643*R1643,0)</f>
        <v>172</v>
      </c>
      <c r="T1643" s="119" t="n">
        <f aca="false">ROUND(SUM(S1638:S1643),2)</f>
        <v>939</v>
      </c>
      <c r="U1643" s="114"/>
      <c r="V1643" s="114"/>
      <c r="W1643" s="120"/>
      <c r="X1643" s="114"/>
      <c r="Y1643" s="114" t="n">
        <f aca="false">ROUND(SUM(X1638:X1643),2)</f>
        <v>21</v>
      </c>
      <c r="Z1643" s="121"/>
      <c r="AA1643" s="122"/>
      <c r="AB1643" s="123" t="n">
        <f aca="false">ROUND(SUM(AA1638:AA1643),2)</f>
        <v>59</v>
      </c>
      <c r="AC1643" s="124"/>
      <c r="AD1643" s="42" t="n">
        <v>0.0785</v>
      </c>
      <c r="AE1643" s="43" t="n">
        <v>0.9</v>
      </c>
    </row>
    <row r="1644" customFormat="false" ht="16.5" hidden="false" customHeight="true" outlineLevel="0" collapsed="false">
      <c r="A1644" s="84" t="n">
        <f aca="false">ROW(A1633)</f>
        <v>1633</v>
      </c>
      <c r="B1644" s="84" t="s">
        <v>455</v>
      </c>
      <c r="C1644" s="32" t="n">
        <v>1</v>
      </c>
      <c r="D1644" s="85" t="n">
        <v>158</v>
      </c>
      <c r="E1644" s="86" t="s">
        <v>4130</v>
      </c>
      <c r="F1644" s="87" t="s">
        <v>4131</v>
      </c>
      <c r="G1644" s="32" t="s">
        <v>4100</v>
      </c>
      <c r="H1644" s="32" t="s">
        <v>4101</v>
      </c>
      <c r="I1644" s="32" t="s">
        <v>286</v>
      </c>
      <c r="J1644" s="86" t="s">
        <v>460</v>
      </c>
      <c r="K1644" s="88" t="s">
        <v>4132</v>
      </c>
      <c r="L1644" s="89" t="n">
        <v>45744</v>
      </c>
      <c r="M1644" s="32" t="n">
        <v>165</v>
      </c>
      <c r="N1644" s="32" t="n">
        <v>274</v>
      </c>
      <c r="O1644" s="32" t="n">
        <v>109</v>
      </c>
      <c r="P1644" s="32" t="n">
        <v>106</v>
      </c>
      <c r="Q1644" s="32"/>
      <c r="R1644" s="90" t="n">
        <f aca="false">合約與計費!$D$4</f>
        <v>0.296</v>
      </c>
      <c r="S1644" s="91" t="n">
        <f aca="false">ROUND(P1644*R1644,0)</f>
        <v>31</v>
      </c>
      <c r="T1644" s="92"/>
      <c r="U1644" s="32" t="n">
        <v>43</v>
      </c>
      <c r="V1644" s="32" t="n">
        <v>86</v>
      </c>
      <c r="W1644" s="32" t="n">
        <v>43</v>
      </c>
      <c r="X1644" s="32" t="n">
        <v>42</v>
      </c>
      <c r="Y1644" s="32"/>
      <c r="Z1644" s="93" t="n">
        <f aca="false">合約與計費!$E$4</f>
        <v>2.8</v>
      </c>
      <c r="AA1644" s="94" t="n">
        <f aca="false">ROUND(X1644*Z1644,0)</f>
        <v>118</v>
      </c>
      <c r="AB1644" s="95"/>
      <c r="AC1644" s="254"/>
      <c r="AD1644" s="42"/>
      <c r="AE1644" s="43"/>
    </row>
    <row r="1645" customFormat="false" ht="16.5" hidden="false" customHeight="true" outlineLevel="0" collapsed="false">
      <c r="A1645" s="97" t="n">
        <f aca="false">ROW(A1634)</f>
        <v>1634</v>
      </c>
      <c r="B1645" s="97" t="s">
        <v>462</v>
      </c>
      <c r="C1645" s="100" t="n">
        <v>1</v>
      </c>
      <c r="D1645" s="85"/>
      <c r="E1645" s="98" t="s">
        <v>4133</v>
      </c>
      <c r="F1645" s="99" t="s">
        <v>4131</v>
      </c>
      <c r="G1645" s="100" t="s">
        <v>4100</v>
      </c>
      <c r="H1645" s="100" t="s">
        <v>4101</v>
      </c>
      <c r="I1645" s="100" t="s">
        <v>286</v>
      </c>
      <c r="J1645" s="98" t="s">
        <v>471</v>
      </c>
      <c r="K1645" s="101" t="s">
        <v>4134</v>
      </c>
      <c r="L1645" s="102" t="n">
        <v>45744</v>
      </c>
      <c r="M1645" s="100" t="n">
        <v>4071</v>
      </c>
      <c r="N1645" s="100" t="n">
        <v>4946</v>
      </c>
      <c r="O1645" s="100" t="n">
        <v>875</v>
      </c>
      <c r="P1645" s="100" t="n">
        <v>849</v>
      </c>
      <c r="Q1645" s="100"/>
      <c r="R1645" s="103" t="n">
        <f aca="false">合約與計費!$D$4</f>
        <v>0.296</v>
      </c>
      <c r="S1645" s="104" t="n">
        <f aca="false">ROUND(P1645*R1645,0)</f>
        <v>251</v>
      </c>
      <c r="T1645" s="105"/>
      <c r="U1645" s="100"/>
      <c r="V1645" s="100"/>
      <c r="W1645" s="106"/>
      <c r="X1645" s="100"/>
      <c r="Y1645" s="100"/>
      <c r="Z1645" s="107"/>
      <c r="AA1645" s="108"/>
      <c r="AB1645" s="109"/>
      <c r="AC1645" s="110"/>
      <c r="AD1645" s="42" t="n">
        <v>0.1585</v>
      </c>
      <c r="AE1645" s="43" t="n">
        <v>0.3</v>
      </c>
    </row>
    <row r="1646" customFormat="false" ht="16.5" hidden="false" customHeight="true" outlineLevel="0" collapsed="false">
      <c r="A1646" s="97" t="n">
        <f aca="false">ROW(A1635)</f>
        <v>1635</v>
      </c>
      <c r="B1646" s="97" t="s">
        <v>466</v>
      </c>
      <c r="C1646" s="100" t="n">
        <v>1</v>
      </c>
      <c r="D1646" s="85"/>
      <c r="E1646" s="98" t="s">
        <v>4135</v>
      </c>
      <c r="F1646" s="99" t="s">
        <v>4131</v>
      </c>
      <c r="G1646" s="100" t="s">
        <v>4100</v>
      </c>
      <c r="H1646" s="100" t="s">
        <v>4101</v>
      </c>
      <c r="I1646" s="100" t="s">
        <v>286</v>
      </c>
      <c r="J1646" s="98" t="s">
        <v>471</v>
      </c>
      <c r="K1646" s="101" t="s">
        <v>4136</v>
      </c>
      <c r="L1646" s="102" t="n">
        <v>45744</v>
      </c>
      <c r="M1646" s="100" t="n">
        <v>2696</v>
      </c>
      <c r="N1646" s="100" t="n">
        <v>3559</v>
      </c>
      <c r="O1646" s="100" t="n">
        <v>863</v>
      </c>
      <c r="P1646" s="100" t="n">
        <v>837</v>
      </c>
      <c r="Q1646" s="100"/>
      <c r="R1646" s="103" t="n">
        <f aca="false">合約與計費!$D$4</f>
        <v>0.296</v>
      </c>
      <c r="S1646" s="104" t="n">
        <f aca="false">ROUND(P1646*R1646,0)</f>
        <v>248</v>
      </c>
      <c r="T1646" s="105"/>
      <c r="U1646" s="100"/>
      <c r="V1646" s="100"/>
      <c r="W1646" s="106"/>
      <c r="X1646" s="100"/>
      <c r="Y1646" s="100"/>
      <c r="Z1646" s="107"/>
      <c r="AA1646" s="108"/>
      <c r="AB1646" s="109"/>
      <c r="AC1646" s="110"/>
      <c r="AD1646" s="42" t="n">
        <v>0.0872</v>
      </c>
      <c r="AE1646" s="43" t="n">
        <v>0.8</v>
      </c>
    </row>
    <row r="1647" customFormat="false" ht="16.5" hidden="false" customHeight="true" outlineLevel="0" collapsed="false">
      <c r="A1647" s="97" t="n">
        <f aca="false">ROW(A1636)</f>
        <v>1636</v>
      </c>
      <c r="B1647" s="97" t="s">
        <v>469</v>
      </c>
      <c r="C1647" s="100" t="n">
        <v>1</v>
      </c>
      <c r="D1647" s="85"/>
      <c r="E1647" s="98" t="s">
        <v>4137</v>
      </c>
      <c r="F1647" s="99" t="s">
        <v>4131</v>
      </c>
      <c r="G1647" s="100" t="s">
        <v>4100</v>
      </c>
      <c r="H1647" s="100" t="s">
        <v>4101</v>
      </c>
      <c r="I1647" s="100" t="s">
        <v>286</v>
      </c>
      <c r="J1647" s="98" t="s">
        <v>471</v>
      </c>
      <c r="K1647" s="101" t="s">
        <v>4138</v>
      </c>
      <c r="L1647" s="102" t="n">
        <v>45744</v>
      </c>
      <c r="M1647" s="100" t="n">
        <v>1524</v>
      </c>
      <c r="N1647" s="100" t="n">
        <v>1653</v>
      </c>
      <c r="O1647" s="100" t="n">
        <v>129</v>
      </c>
      <c r="P1647" s="100" t="n">
        <v>125</v>
      </c>
      <c r="Q1647" s="100"/>
      <c r="R1647" s="103" t="n">
        <f aca="false">合約與計費!$D$4</f>
        <v>0.296</v>
      </c>
      <c r="S1647" s="104" t="n">
        <f aca="false">ROUND(P1647*R1647,0)</f>
        <v>37</v>
      </c>
      <c r="T1647" s="105"/>
      <c r="U1647" s="100"/>
      <c r="V1647" s="100"/>
      <c r="W1647" s="106"/>
      <c r="X1647" s="100"/>
      <c r="Y1647" s="100"/>
      <c r="Z1647" s="107"/>
      <c r="AA1647" s="108"/>
      <c r="AB1647" s="109"/>
      <c r="AC1647" s="110"/>
      <c r="AD1647" s="42" t="n">
        <v>0.0656</v>
      </c>
      <c r="AE1647" s="43" t="n">
        <v>1</v>
      </c>
    </row>
    <row r="1648" customFormat="false" ht="16.5" hidden="false" customHeight="true" outlineLevel="0" collapsed="false">
      <c r="A1648" s="97" t="n">
        <f aca="false">ROW(A1637)</f>
        <v>1637</v>
      </c>
      <c r="B1648" s="97" t="s">
        <v>473</v>
      </c>
      <c r="C1648" s="100" t="n">
        <v>1</v>
      </c>
      <c r="D1648" s="85"/>
      <c r="E1648" s="98" t="s">
        <v>4139</v>
      </c>
      <c r="F1648" s="99" t="s">
        <v>4131</v>
      </c>
      <c r="G1648" s="100" t="s">
        <v>4100</v>
      </c>
      <c r="H1648" s="100" t="s">
        <v>4101</v>
      </c>
      <c r="I1648" s="100" t="s">
        <v>286</v>
      </c>
      <c r="J1648" s="98" t="s">
        <v>471</v>
      </c>
      <c r="K1648" s="101" t="s">
        <v>4140</v>
      </c>
      <c r="L1648" s="102" t="n">
        <v>45744</v>
      </c>
      <c r="M1648" s="100" t="n">
        <v>5546</v>
      </c>
      <c r="N1648" s="100" t="n">
        <v>6638</v>
      </c>
      <c r="O1648" s="100" t="n">
        <v>1092</v>
      </c>
      <c r="P1648" s="100" t="n">
        <v>1059</v>
      </c>
      <c r="Q1648" s="100"/>
      <c r="R1648" s="103" t="n">
        <f aca="false">合約與計費!$D$4</f>
        <v>0.296</v>
      </c>
      <c r="S1648" s="104" t="n">
        <f aca="false">ROUND(P1648*R1648,0)</f>
        <v>313</v>
      </c>
      <c r="T1648" s="105"/>
      <c r="U1648" s="100"/>
      <c r="V1648" s="100"/>
      <c r="W1648" s="106"/>
      <c r="X1648" s="100"/>
      <c r="Y1648" s="100"/>
      <c r="Z1648" s="107"/>
      <c r="AA1648" s="108"/>
      <c r="AB1648" s="109"/>
      <c r="AC1648" s="110"/>
      <c r="AD1648" s="42" t="n">
        <v>0.0851</v>
      </c>
      <c r="AE1648" s="43" t="n">
        <v>0.6</v>
      </c>
    </row>
    <row r="1649" customFormat="false" ht="16.5" hidden="false" customHeight="true" outlineLevel="0" collapsed="false">
      <c r="A1649" s="97" t="n">
        <f aca="false">ROW(A1638)</f>
        <v>1638</v>
      </c>
      <c r="B1649" s="97" t="s">
        <v>476</v>
      </c>
      <c r="C1649" s="100" t="n">
        <v>1</v>
      </c>
      <c r="D1649" s="85"/>
      <c r="E1649" s="98" t="s">
        <v>4141</v>
      </c>
      <c r="F1649" s="99" t="s">
        <v>4131</v>
      </c>
      <c r="G1649" s="100" t="s">
        <v>4100</v>
      </c>
      <c r="H1649" s="100" t="s">
        <v>4101</v>
      </c>
      <c r="I1649" s="100" t="s">
        <v>286</v>
      </c>
      <c r="J1649" s="98" t="s">
        <v>471</v>
      </c>
      <c r="K1649" s="101" t="s">
        <v>4142</v>
      </c>
      <c r="L1649" s="102" t="n">
        <v>45744</v>
      </c>
      <c r="M1649" s="100" t="n">
        <v>1194</v>
      </c>
      <c r="N1649" s="100" t="n">
        <v>1485</v>
      </c>
      <c r="O1649" s="100" t="n">
        <v>291</v>
      </c>
      <c r="P1649" s="100" t="n">
        <v>282</v>
      </c>
      <c r="Q1649" s="100"/>
      <c r="R1649" s="103" t="n">
        <f aca="false">合約與計費!$D$4</f>
        <v>0.296</v>
      </c>
      <c r="S1649" s="104" t="n">
        <f aca="false">ROUND(P1649*R1649,0)</f>
        <v>83</v>
      </c>
      <c r="T1649" s="105"/>
      <c r="U1649" s="100"/>
      <c r="V1649" s="100"/>
      <c r="W1649" s="106"/>
      <c r="X1649" s="100"/>
      <c r="Y1649" s="100"/>
      <c r="Z1649" s="107"/>
      <c r="AA1649" s="108"/>
      <c r="AB1649" s="109"/>
      <c r="AC1649" s="110"/>
      <c r="AD1649" s="42" t="n">
        <v>0.0399</v>
      </c>
      <c r="AE1649" s="43" t="n">
        <v>0.5</v>
      </c>
    </row>
    <row r="1650" customFormat="false" ht="16.5" hidden="false" customHeight="true" outlineLevel="0" collapsed="false">
      <c r="A1650" s="111" t="n">
        <f aca="false">ROW(A1639)</f>
        <v>1639</v>
      </c>
      <c r="B1650" s="111" t="s">
        <v>479</v>
      </c>
      <c r="C1650" s="114" t="n">
        <v>1</v>
      </c>
      <c r="D1650" s="85"/>
      <c r="E1650" s="112" t="s">
        <v>4143</v>
      </c>
      <c r="F1650" s="113" t="s">
        <v>4131</v>
      </c>
      <c r="G1650" s="114" t="s">
        <v>4100</v>
      </c>
      <c r="H1650" s="114" t="s">
        <v>4101</v>
      </c>
      <c r="I1650" s="114" t="s">
        <v>286</v>
      </c>
      <c r="J1650" s="112" t="s">
        <v>471</v>
      </c>
      <c r="K1650" s="115" t="s">
        <v>4144</v>
      </c>
      <c r="L1650" s="116" t="n">
        <v>45744</v>
      </c>
      <c r="M1650" s="114" t="n">
        <v>4667</v>
      </c>
      <c r="N1650" s="114" t="n">
        <v>6334</v>
      </c>
      <c r="O1650" s="114" t="n">
        <v>1667</v>
      </c>
      <c r="P1650" s="114" t="n">
        <v>1617</v>
      </c>
      <c r="Q1650" s="114" t="n">
        <f aca="false">ROUND(SUM(P1644:P1650),2)</f>
        <v>4875</v>
      </c>
      <c r="R1650" s="117" t="n">
        <f aca="false">合約與計費!$D$4</f>
        <v>0.296</v>
      </c>
      <c r="S1650" s="118" t="n">
        <f aca="false">ROUND(P1650*R1650,0)</f>
        <v>479</v>
      </c>
      <c r="T1650" s="119" t="n">
        <f aca="false">ROUND(SUM(S1644:S1650),2)</f>
        <v>1442</v>
      </c>
      <c r="U1650" s="114"/>
      <c r="V1650" s="114"/>
      <c r="W1650" s="120"/>
      <c r="X1650" s="114"/>
      <c r="Y1650" s="114" t="n">
        <f aca="false">ROUND(SUM(X1644:X1650),2)</f>
        <v>42</v>
      </c>
      <c r="Z1650" s="121"/>
      <c r="AA1650" s="122"/>
      <c r="AB1650" s="123" t="n">
        <f aca="false">ROUND(SUM(AA1644:AA1650),2)</f>
        <v>118</v>
      </c>
      <c r="AC1650" s="124"/>
      <c r="AD1650" s="42" t="n">
        <v>0.0818</v>
      </c>
      <c r="AE1650" s="43" t="n">
        <v>0.6</v>
      </c>
    </row>
    <row r="1651" customFormat="false" ht="16.5" hidden="false" customHeight="true" outlineLevel="0" collapsed="false">
      <c r="A1651" s="84" t="n">
        <f aca="false">ROW(A1640)</f>
        <v>1640</v>
      </c>
      <c r="B1651" s="84" t="s">
        <v>455</v>
      </c>
      <c r="C1651" s="32" t="n">
        <v>1</v>
      </c>
      <c r="D1651" s="85" t="n">
        <v>160</v>
      </c>
      <c r="E1651" s="86" t="s">
        <v>4145</v>
      </c>
      <c r="F1651" s="87" t="s">
        <v>4146</v>
      </c>
      <c r="G1651" s="32" t="s">
        <v>4100</v>
      </c>
      <c r="H1651" s="32" t="s">
        <v>4101</v>
      </c>
      <c r="I1651" s="32" t="s">
        <v>333</v>
      </c>
      <c r="J1651" s="86" t="s">
        <v>460</v>
      </c>
      <c r="K1651" s="88" t="s">
        <v>4147</v>
      </c>
      <c r="L1651" s="89" t="n">
        <v>45771</v>
      </c>
      <c r="M1651" s="32" t="n">
        <v>223</v>
      </c>
      <c r="N1651" s="32" t="n">
        <v>239</v>
      </c>
      <c r="O1651" s="32" t="n">
        <v>16</v>
      </c>
      <c r="P1651" s="32" t="n">
        <v>16</v>
      </c>
      <c r="Q1651" s="32"/>
      <c r="R1651" s="90" t="n">
        <f aca="false">合約與計費!$D$4</f>
        <v>0.296</v>
      </c>
      <c r="S1651" s="91" t="n">
        <f aca="false">ROUND(P1651*R1651,0)</f>
        <v>5</v>
      </c>
      <c r="T1651" s="92"/>
      <c r="U1651" s="32" t="n">
        <v>93</v>
      </c>
      <c r="V1651" s="32" t="n">
        <v>129</v>
      </c>
      <c r="W1651" s="32" t="n">
        <v>36</v>
      </c>
      <c r="X1651" s="32" t="n">
        <v>35</v>
      </c>
      <c r="Y1651" s="32"/>
      <c r="Z1651" s="93" t="n">
        <f aca="false">合約與計費!$E$4</f>
        <v>2.8</v>
      </c>
      <c r="AA1651" s="94" t="n">
        <f aca="false">ROUND(X1651*Z1651,0)</f>
        <v>98</v>
      </c>
      <c r="AB1651" s="95"/>
      <c r="AC1651" s="254"/>
      <c r="AD1651" s="42"/>
      <c r="AE1651" s="43"/>
    </row>
    <row r="1652" customFormat="false" ht="16.5" hidden="false" customHeight="true" outlineLevel="0" collapsed="false">
      <c r="A1652" s="97" t="n">
        <f aca="false">ROW(A1641)</f>
        <v>1641</v>
      </c>
      <c r="B1652" s="97" t="s">
        <v>462</v>
      </c>
      <c r="C1652" s="100" t="n">
        <v>1</v>
      </c>
      <c r="D1652" s="85"/>
      <c r="E1652" s="98" t="s">
        <v>4148</v>
      </c>
      <c r="F1652" s="99" t="s">
        <v>4146</v>
      </c>
      <c r="G1652" s="100" t="s">
        <v>4100</v>
      </c>
      <c r="H1652" s="100" t="s">
        <v>4101</v>
      </c>
      <c r="I1652" s="100" t="s">
        <v>333</v>
      </c>
      <c r="J1652" s="98" t="s">
        <v>471</v>
      </c>
      <c r="K1652" s="101" t="s">
        <v>4149</v>
      </c>
      <c r="L1652" s="102" t="n">
        <v>45771</v>
      </c>
      <c r="M1652" s="100" t="n">
        <v>2012</v>
      </c>
      <c r="N1652" s="100" t="n">
        <v>2720</v>
      </c>
      <c r="O1652" s="100" t="n">
        <v>708</v>
      </c>
      <c r="P1652" s="100" t="n">
        <v>687</v>
      </c>
      <c r="Q1652" s="100"/>
      <c r="R1652" s="103" t="n">
        <f aca="false">合約與計費!$D$4</f>
        <v>0.296</v>
      </c>
      <c r="S1652" s="104" t="n">
        <f aca="false">ROUND(P1652*R1652,0)</f>
        <v>203</v>
      </c>
      <c r="T1652" s="105"/>
      <c r="U1652" s="100"/>
      <c r="V1652" s="100"/>
      <c r="W1652" s="106"/>
      <c r="X1652" s="100"/>
      <c r="Y1652" s="100"/>
      <c r="Z1652" s="107"/>
      <c r="AA1652" s="108"/>
      <c r="AB1652" s="109"/>
      <c r="AC1652" s="110"/>
      <c r="AD1652" s="42" t="n">
        <v>0.0912</v>
      </c>
      <c r="AE1652" s="43" t="n">
        <v>0.9</v>
      </c>
    </row>
    <row r="1653" customFormat="false" ht="16.5" hidden="false" customHeight="true" outlineLevel="0" collapsed="false">
      <c r="A1653" s="97" t="n">
        <f aca="false">ROW(A1642)</f>
        <v>1642</v>
      </c>
      <c r="B1653" s="97" t="s">
        <v>466</v>
      </c>
      <c r="C1653" s="100" t="n">
        <v>1</v>
      </c>
      <c r="D1653" s="85"/>
      <c r="E1653" s="98" t="s">
        <v>4150</v>
      </c>
      <c r="F1653" s="99" t="s">
        <v>4146</v>
      </c>
      <c r="G1653" s="100" t="s">
        <v>4100</v>
      </c>
      <c r="H1653" s="100" t="s">
        <v>4101</v>
      </c>
      <c r="I1653" s="100" t="s">
        <v>333</v>
      </c>
      <c r="J1653" s="98" t="s">
        <v>471</v>
      </c>
      <c r="K1653" s="101" t="s">
        <v>4151</v>
      </c>
      <c r="L1653" s="102" t="n">
        <v>45771</v>
      </c>
      <c r="M1653" s="100" t="n">
        <v>4712</v>
      </c>
      <c r="N1653" s="100" t="n">
        <v>5843</v>
      </c>
      <c r="O1653" s="100" t="n">
        <v>1131</v>
      </c>
      <c r="P1653" s="100" t="n">
        <v>1097</v>
      </c>
      <c r="Q1653" s="100"/>
      <c r="R1653" s="103" t="n">
        <f aca="false">合約與計費!$D$4</f>
        <v>0.296</v>
      </c>
      <c r="S1653" s="104" t="n">
        <f aca="false">ROUND(P1653*R1653,0)</f>
        <v>325</v>
      </c>
      <c r="T1653" s="105"/>
      <c r="U1653" s="100"/>
      <c r="V1653" s="100"/>
      <c r="W1653" s="106"/>
      <c r="X1653" s="100"/>
      <c r="Y1653" s="100"/>
      <c r="Z1653" s="107"/>
      <c r="AA1653" s="108"/>
      <c r="AB1653" s="109"/>
      <c r="AC1653" s="110"/>
      <c r="AD1653" s="42" t="n">
        <v>0.1016</v>
      </c>
      <c r="AE1653" s="43" t="n">
        <v>0.5</v>
      </c>
    </row>
    <row r="1654" customFormat="false" ht="16.5" hidden="false" customHeight="true" outlineLevel="0" collapsed="false">
      <c r="A1654" s="97" t="n">
        <f aca="false">ROW(A1643)</f>
        <v>1643</v>
      </c>
      <c r="B1654" s="97" t="s">
        <v>469</v>
      </c>
      <c r="C1654" s="100" t="n">
        <v>1</v>
      </c>
      <c r="D1654" s="85"/>
      <c r="E1654" s="98" t="s">
        <v>4152</v>
      </c>
      <c r="F1654" s="99" t="s">
        <v>4146</v>
      </c>
      <c r="G1654" s="100" t="s">
        <v>4100</v>
      </c>
      <c r="H1654" s="100" t="s">
        <v>4101</v>
      </c>
      <c r="I1654" s="100" t="s">
        <v>333</v>
      </c>
      <c r="J1654" s="98" t="s">
        <v>471</v>
      </c>
      <c r="K1654" s="101" t="s">
        <v>4153</v>
      </c>
      <c r="L1654" s="102" t="n">
        <v>45771</v>
      </c>
      <c r="M1654" s="100" t="n">
        <v>1906</v>
      </c>
      <c r="N1654" s="100" t="n">
        <v>2400</v>
      </c>
      <c r="O1654" s="100" t="n">
        <v>494</v>
      </c>
      <c r="P1654" s="100" t="n">
        <v>479</v>
      </c>
      <c r="Q1654" s="100"/>
      <c r="R1654" s="103" t="n">
        <f aca="false">合約與計費!$D$4</f>
        <v>0.296</v>
      </c>
      <c r="S1654" s="104" t="n">
        <f aca="false">ROUND(P1654*R1654,0)</f>
        <v>142</v>
      </c>
      <c r="T1654" s="105"/>
      <c r="U1654" s="100"/>
      <c r="V1654" s="100"/>
      <c r="W1654" s="106"/>
      <c r="X1654" s="100"/>
      <c r="Y1654" s="100"/>
      <c r="Z1654" s="107"/>
      <c r="AA1654" s="108"/>
      <c r="AB1654" s="109"/>
      <c r="AC1654" s="110"/>
      <c r="AD1654" s="42" t="n">
        <v>0.1008</v>
      </c>
      <c r="AE1654" s="43" t="n">
        <v>0.1</v>
      </c>
    </row>
    <row r="1655" customFormat="false" ht="16.5" hidden="false" customHeight="true" outlineLevel="0" collapsed="false">
      <c r="A1655" s="111" t="n">
        <f aca="false">ROW(A1644)</f>
        <v>1644</v>
      </c>
      <c r="B1655" s="111" t="s">
        <v>473</v>
      </c>
      <c r="C1655" s="114" t="n">
        <v>1</v>
      </c>
      <c r="D1655" s="85"/>
      <c r="E1655" s="112" t="s">
        <v>4154</v>
      </c>
      <c r="F1655" s="113" t="s">
        <v>4146</v>
      </c>
      <c r="G1655" s="114" t="s">
        <v>4100</v>
      </c>
      <c r="H1655" s="114" t="s">
        <v>4101</v>
      </c>
      <c r="I1655" s="114" t="s">
        <v>333</v>
      </c>
      <c r="J1655" s="112" t="s">
        <v>471</v>
      </c>
      <c r="K1655" s="115" t="s">
        <v>4155</v>
      </c>
      <c r="L1655" s="116" t="n">
        <v>45771</v>
      </c>
      <c r="M1655" s="114" t="n">
        <v>5571</v>
      </c>
      <c r="N1655" s="114" t="n">
        <v>7019</v>
      </c>
      <c r="O1655" s="114" t="n">
        <v>1448</v>
      </c>
      <c r="P1655" s="114" t="n">
        <v>1405</v>
      </c>
      <c r="Q1655" s="114" t="n">
        <f aca="false">ROUND(SUM(P1651:P1655),2)</f>
        <v>3684</v>
      </c>
      <c r="R1655" s="117" t="n">
        <f aca="false">合約與計費!$D$4</f>
        <v>0.296</v>
      </c>
      <c r="S1655" s="118" t="n">
        <f aca="false">ROUND(P1655*R1655,0)</f>
        <v>416</v>
      </c>
      <c r="T1655" s="119" t="n">
        <f aca="false">ROUND(SUM(S1651:S1655),2)</f>
        <v>1091</v>
      </c>
      <c r="U1655" s="114"/>
      <c r="V1655" s="114"/>
      <c r="W1655" s="120"/>
      <c r="X1655" s="114"/>
      <c r="Y1655" s="114" t="n">
        <f aca="false">ROUND(SUM(X1651:X1655),2)</f>
        <v>35</v>
      </c>
      <c r="Z1655" s="121"/>
      <c r="AA1655" s="122"/>
      <c r="AB1655" s="123" t="n">
        <f aca="false">ROUND(SUM(AA1651:AA1655),2)</f>
        <v>98</v>
      </c>
      <c r="AC1655" s="124"/>
      <c r="AD1655" s="42" t="n">
        <v>0.1216</v>
      </c>
      <c r="AE1655" s="43" t="n">
        <v>0.3</v>
      </c>
    </row>
    <row r="1656" customFormat="false" ht="16.5" hidden="false" customHeight="true" outlineLevel="0" collapsed="false">
      <c r="A1656" s="84" t="n">
        <f aca="false">ROW(A1645)</f>
        <v>1645</v>
      </c>
      <c r="B1656" s="84" t="s">
        <v>455</v>
      </c>
      <c r="C1656" s="32" t="n">
        <v>1</v>
      </c>
      <c r="D1656" s="85" t="n">
        <v>161</v>
      </c>
      <c r="E1656" s="86" t="s">
        <v>4156</v>
      </c>
      <c r="F1656" s="87" t="s">
        <v>4157</v>
      </c>
      <c r="G1656" s="32" t="s">
        <v>4100</v>
      </c>
      <c r="H1656" s="32" t="s">
        <v>4101</v>
      </c>
      <c r="I1656" s="32" t="s">
        <v>384</v>
      </c>
      <c r="J1656" s="86" t="s">
        <v>460</v>
      </c>
      <c r="K1656" s="88" t="s">
        <v>4158</v>
      </c>
      <c r="L1656" s="89" t="n">
        <v>45741</v>
      </c>
      <c r="M1656" s="32" t="n">
        <v>245</v>
      </c>
      <c r="N1656" s="32" t="n">
        <v>309</v>
      </c>
      <c r="O1656" s="32" t="n">
        <v>64</v>
      </c>
      <c r="P1656" s="32" t="n">
        <v>62</v>
      </c>
      <c r="Q1656" s="32"/>
      <c r="R1656" s="90" t="n">
        <f aca="false">合約與計費!$D$4</f>
        <v>0.296</v>
      </c>
      <c r="S1656" s="91" t="n">
        <f aca="false">ROUND(P1656*R1656,0)</f>
        <v>18</v>
      </c>
      <c r="T1656" s="92"/>
      <c r="U1656" s="32" t="n">
        <v>43</v>
      </c>
      <c r="V1656" s="32" t="n">
        <v>51</v>
      </c>
      <c r="W1656" s="32" t="n">
        <v>8</v>
      </c>
      <c r="X1656" s="32" t="n">
        <v>8</v>
      </c>
      <c r="Y1656" s="32"/>
      <c r="Z1656" s="93" t="n">
        <f aca="false">合約與計費!$E$4</f>
        <v>2.8</v>
      </c>
      <c r="AA1656" s="94" t="n">
        <f aca="false">ROUND(X1656*Z1656,0)</f>
        <v>22</v>
      </c>
      <c r="AB1656" s="95"/>
      <c r="AC1656" s="254"/>
      <c r="AD1656" s="42"/>
      <c r="AE1656" s="43"/>
    </row>
    <row r="1657" customFormat="false" ht="16.5" hidden="false" customHeight="true" outlineLevel="0" collapsed="false">
      <c r="A1657" s="97" t="n">
        <f aca="false">ROW(A1646)</f>
        <v>1646</v>
      </c>
      <c r="B1657" s="97" t="s">
        <v>462</v>
      </c>
      <c r="C1657" s="100" t="n">
        <v>1</v>
      </c>
      <c r="D1657" s="85"/>
      <c r="E1657" s="98" t="s">
        <v>4159</v>
      </c>
      <c r="F1657" s="99" t="s">
        <v>4157</v>
      </c>
      <c r="G1657" s="100" t="s">
        <v>4100</v>
      </c>
      <c r="H1657" s="100" t="s">
        <v>4101</v>
      </c>
      <c r="I1657" s="100" t="s">
        <v>384</v>
      </c>
      <c r="J1657" s="98" t="s">
        <v>471</v>
      </c>
      <c r="K1657" s="101" t="s">
        <v>4160</v>
      </c>
      <c r="L1657" s="102" t="n">
        <v>45741</v>
      </c>
      <c r="M1657" s="100" t="n">
        <v>3285</v>
      </c>
      <c r="N1657" s="100" t="n">
        <v>3981</v>
      </c>
      <c r="O1657" s="100" t="n">
        <v>696</v>
      </c>
      <c r="P1657" s="100" t="n">
        <v>675</v>
      </c>
      <c r="Q1657" s="100"/>
      <c r="R1657" s="103" t="n">
        <f aca="false">合約與計費!$D$4</f>
        <v>0.296</v>
      </c>
      <c r="S1657" s="104" t="n">
        <f aca="false">ROUND(P1657*R1657,0)</f>
        <v>200</v>
      </c>
      <c r="T1657" s="105"/>
      <c r="U1657" s="100"/>
      <c r="V1657" s="100"/>
      <c r="W1657" s="106"/>
      <c r="X1657" s="100"/>
      <c r="Y1657" s="100"/>
      <c r="Z1657" s="107"/>
      <c r="AA1657" s="108"/>
      <c r="AB1657" s="109"/>
      <c r="AC1657" s="110"/>
      <c r="AD1657" s="42" t="n">
        <v>0.0873</v>
      </c>
      <c r="AE1657" s="43" t="n">
        <v>0.8</v>
      </c>
    </row>
    <row r="1658" customFormat="false" ht="16.5" hidden="false" customHeight="true" outlineLevel="0" collapsed="false">
      <c r="A1658" s="97" t="n">
        <f aca="false">ROW(A1647)</f>
        <v>1647</v>
      </c>
      <c r="B1658" s="97" t="s">
        <v>466</v>
      </c>
      <c r="C1658" s="100" t="n">
        <v>1</v>
      </c>
      <c r="D1658" s="85"/>
      <c r="E1658" s="98" t="s">
        <v>4161</v>
      </c>
      <c r="F1658" s="99" t="s">
        <v>4157</v>
      </c>
      <c r="G1658" s="100" t="s">
        <v>4100</v>
      </c>
      <c r="H1658" s="100" t="s">
        <v>4101</v>
      </c>
      <c r="I1658" s="100" t="s">
        <v>384</v>
      </c>
      <c r="J1658" s="98" t="s">
        <v>471</v>
      </c>
      <c r="K1658" s="101" t="s">
        <v>4162</v>
      </c>
      <c r="L1658" s="102" t="n">
        <v>45741</v>
      </c>
      <c r="M1658" s="100" t="n">
        <v>6570</v>
      </c>
      <c r="N1658" s="100" t="n">
        <v>7660</v>
      </c>
      <c r="O1658" s="100" t="n">
        <v>1090</v>
      </c>
      <c r="P1658" s="100" t="n">
        <v>1057</v>
      </c>
      <c r="Q1658" s="100"/>
      <c r="R1658" s="103" t="n">
        <f aca="false">合約與計費!$D$4</f>
        <v>0.296</v>
      </c>
      <c r="S1658" s="104" t="n">
        <f aca="false">ROUND(P1658*R1658,0)</f>
        <v>313</v>
      </c>
      <c r="T1658" s="105"/>
      <c r="U1658" s="100"/>
      <c r="V1658" s="100"/>
      <c r="W1658" s="106"/>
      <c r="X1658" s="100"/>
      <c r="Y1658" s="100"/>
      <c r="Z1658" s="107"/>
      <c r="AA1658" s="108"/>
      <c r="AB1658" s="109"/>
      <c r="AC1658" s="110"/>
      <c r="AD1658" s="42" t="n">
        <v>0.1033</v>
      </c>
      <c r="AE1658" s="43" t="n">
        <v>0.3</v>
      </c>
    </row>
    <row r="1659" customFormat="false" ht="16.5" hidden="false" customHeight="true" outlineLevel="0" collapsed="false">
      <c r="A1659" s="97" t="n">
        <f aca="false">ROW(A1648)</f>
        <v>1648</v>
      </c>
      <c r="B1659" s="97" t="s">
        <v>469</v>
      </c>
      <c r="C1659" s="100" t="n">
        <v>1</v>
      </c>
      <c r="D1659" s="85"/>
      <c r="E1659" s="98" t="s">
        <v>4163</v>
      </c>
      <c r="F1659" s="99" t="s">
        <v>4157</v>
      </c>
      <c r="G1659" s="100" t="s">
        <v>4100</v>
      </c>
      <c r="H1659" s="100" t="s">
        <v>4101</v>
      </c>
      <c r="I1659" s="100" t="s">
        <v>384</v>
      </c>
      <c r="J1659" s="98" t="s">
        <v>471</v>
      </c>
      <c r="K1659" s="101" t="s">
        <v>4164</v>
      </c>
      <c r="L1659" s="102" t="n">
        <v>45741</v>
      </c>
      <c r="M1659" s="100" t="n">
        <v>1609</v>
      </c>
      <c r="N1659" s="100" t="n">
        <v>1914</v>
      </c>
      <c r="O1659" s="100" t="n">
        <v>305</v>
      </c>
      <c r="P1659" s="100" t="n">
        <v>296</v>
      </c>
      <c r="Q1659" s="100"/>
      <c r="R1659" s="103" t="n">
        <f aca="false">合約與計費!$D$4</f>
        <v>0.296</v>
      </c>
      <c r="S1659" s="104" t="n">
        <f aca="false">ROUND(P1659*R1659,0)</f>
        <v>88</v>
      </c>
      <c r="T1659" s="105"/>
      <c r="U1659" s="100"/>
      <c r="V1659" s="100"/>
      <c r="W1659" s="106"/>
      <c r="X1659" s="100"/>
      <c r="Y1659" s="100"/>
      <c r="Z1659" s="107"/>
      <c r="AA1659" s="108"/>
      <c r="AB1659" s="109"/>
      <c r="AC1659" s="110"/>
      <c r="AD1659" s="42" t="n">
        <v>0.0607</v>
      </c>
      <c r="AE1659" s="43" t="n">
        <v>0.3</v>
      </c>
    </row>
    <row r="1660" customFormat="false" ht="16.5" hidden="false" customHeight="true" outlineLevel="0" collapsed="false">
      <c r="A1660" s="97" t="n">
        <f aca="false">ROW(A1649)</f>
        <v>1649</v>
      </c>
      <c r="B1660" s="97" t="s">
        <v>473</v>
      </c>
      <c r="C1660" s="100" t="n">
        <v>1</v>
      </c>
      <c r="D1660" s="85"/>
      <c r="E1660" s="98" t="s">
        <v>4165</v>
      </c>
      <c r="F1660" s="99" t="s">
        <v>4157</v>
      </c>
      <c r="G1660" s="100" t="s">
        <v>4100</v>
      </c>
      <c r="H1660" s="100" t="s">
        <v>4101</v>
      </c>
      <c r="I1660" s="100" t="s">
        <v>384</v>
      </c>
      <c r="J1660" s="98" t="s">
        <v>471</v>
      </c>
      <c r="K1660" s="101" t="s">
        <v>4166</v>
      </c>
      <c r="L1660" s="102" t="n">
        <v>45741</v>
      </c>
      <c r="M1660" s="100" t="n">
        <v>5030</v>
      </c>
      <c r="N1660" s="100" t="n">
        <v>5874</v>
      </c>
      <c r="O1660" s="100" t="n">
        <v>844</v>
      </c>
      <c r="P1660" s="100" t="n">
        <v>819</v>
      </c>
      <c r="Q1660" s="100"/>
      <c r="R1660" s="103" t="n">
        <f aca="false">合約與計費!$D$4</f>
        <v>0.296</v>
      </c>
      <c r="S1660" s="104" t="n">
        <f aca="false">ROUND(P1660*R1660,0)</f>
        <v>242</v>
      </c>
      <c r="T1660" s="105"/>
      <c r="U1660" s="100"/>
      <c r="V1660" s="100"/>
      <c r="W1660" s="106"/>
      <c r="X1660" s="100"/>
      <c r="Y1660" s="100"/>
      <c r="Z1660" s="107"/>
      <c r="AA1660" s="108"/>
      <c r="AB1660" s="109"/>
      <c r="AC1660" s="110"/>
      <c r="AD1660" s="42" t="n">
        <v>0.0908</v>
      </c>
      <c r="AE1660" s="43" t="n">
        <v>0.6</v>
      </c>
    </row>
    <row r="1661" customFormat="false" ht="16.5" hidden="false" customHeight="true" outlineLevel="0" collapsed="false">
      <c r="A1661" s="111" t="n">
        <f aca="false">ROW(A1650)</f>
        <v>1650</v>
      </c>
      <c r="B1661" s="111" t="s">
        <v>476</v>
      </c>
      <c r="C1661" s="114" t="n">
        <v>1</v>
      </c>
      <c r="D1661" s="85"/>
      <c r="E1661" s="112" t="s">
        <v>4167</v>
      </c>
      <c r="F1661" s="113" t="s">
        <v>4157</v>
      </c>
      <c r="G1661" s="114" t="s">
        <v>4100</v>
      </c>
      <c r="H1661" s="114" t="s">
        <v>4101</v>
      </c>
      <c r="I1661" s="114" t="s">
        <v>384</v>
      </c>
      <c r="J1661" s="112" t="s">
        <v>471</v>
      </c>
      <c r="K1661" s="115" t="s">
        <v>4168</v>
      </c>
      <c r="L1661" s="116" t="n">
        <v>45741</v>
      </c>
      <c r="M1661" s="114" t="n">
        <v>4670</v>
      </c>
      <c r="N1661" s="114" t="n">
        <v>5383</v>
      </c>
      <c r="O1661" s="114" t="n">
        <v>713</v>
      </c>
      <c r="P1661" s="114" t="n">
        <v>692</v>
      </c>
      <c r="Q1661" s="114" t="n">
        <f aca="false">ROUND(SUM(P1656:P1661),2)</f>
        <v>3601</v>
      </c>
      <c r="R1661" s="117" t="n">
        <f aca="false">合約與計費!$D$4</f>
        <v>0.296</v>
      </c>
      <c r="S1661" s="118" t="n">
        <f aca="false">ROUND(P1661*R1661,0)</f>
        <v>205</v>
      </c>
      <c r="T1661" s="119" t="n">
        <f aca="false">ROUND(SUM(S1656:S1661),2)</f>
        <v>1066</v>
      </c>
      <c r="U1661" s="114"/>
      <c r="V1661" s="114"/>
      <c r="W1661" s="120"/>
      <c r="X1661" s="114"/>
      <c r="Y1661" s="114" t="n">
        <f aca="false">ROUND(SUM(X1656:X1661),2)</f>
        <v>8</v>
      </c>
      <c r="Z1661" s="121"/>
      <c r="AA1661" s="122"/>
      <c r="AB1661" s="123" t="n">
        <f aca="false">ROUND(SUM(AA1656:AA1661),2)</f>
        <v>22</v>
      </c>
      <c r="AC1661" s="124"/>
      <c r="AD1661" s="42" t="n">
        <v>0.0772</v>
      </c>
      <c r="AE1661" s="43" t="n">
        <v>0.7</v>
      </c>
    </row>
    <row r="1662" customFormat="false" ht="16.5" hidden="false" customHeight="true" outlineLevel="0" collapsed="false">
      <c r="A1662" s="84" t="n">
        <f aca="false">ROW(A1651)</f>
        <v>1651</v>
      </c>
      <c r="B1662" s="84" t="s">
        <v>455</v>
      </c>
      <c r="C1662" s="32" t="n">
        <v>1</v>
      </c>
      <c r="D1662" s="85" t="n">
        <v>169</v>
      </c>
      <c r="E1662" s="86" t="s">
        <v>4169</v>
      </c>
      <c r="F1662" s="87" t="s">
        <v>4170</v>
      </c>
      <c r="G1662" s="32" t="s">
        <v>4100</v>
      </c>
      <c r="H1662" s="32" t="s">
        <v>4101</v>
      </c>
      <c r="I1662" s="32" t="s">
        <v>288</v>
      </c>
      <c r="J1662" s="86" t="s">
        <v>460</v>
      </c>
      <c r="K1662" s="88" t="s">
        <v>4171</v>
      </c>
      <c r="L1662" s="89" t="n">
        <v>45779</v>
      </c>
      <c r="M1662" s="32" t="n">
        <v>2808</v>
      </c>
      <c r="N1662" s="32" t="n">
        <v>3555</v>
      </c>
      <c r="O1662" s="32" t="n">
        <v>747</v>
      </c>
      <c r="P1662" s="32" t="n">
        <v>725</v>
      </c>
      <c r="Q1662" s="32"/>
      <c r="R1662" s="90" t="n">
        <f aca="false">合約與計費!$D$4</f>
        <v>0.296</v>
      </c>
      <c r="S1662" s="91" t="n">
        <f aca="false">ROUND(P1662*R1662,0)</f>
        <v>215</v>
      </c>
      <c r="T1662" s="92"/>
      <c r="U1662" s="32" t="n">
        <v>186</v>
      </c>
      <c r="V1662" s="32" t="n">
        <v>240</v>
      </c>
      <c r="W1662" s="32" t="n">
        <v>54</v>
      </c>
      <c r="X1662" s="32" t="n">
        <v>52</v>
      </c>
      <c r="Y1662" s="32"/>
      <c r="Z1662" s="93" t="n">
        <f aca="false">合約與計費!$E$4</f>
        <v>2.8</v>
      </c>
      <c r="AA1662" s="94" t="n">
        <f aca="false">ROUND(X1662*Z1662,0)</f>
        <v>146</v>
      </c>
      <c r="AB1662" s="95"/>
      <c r="AC1662" s="254"/>
      <c r="AD1662" s="42"/>
      <c r="AE1662" s="43"/>
    </row>
    <row r="1663" customFormat="false" ht="16.5" hidden="false" customHeight="true" outlineLevel="0" collapsed="false">
      <c r="A1663" s="97" t="n">
        <f aca="false">ROW(A1652)</f>
        <v>1652</v>
      </c>
      <c r="B1663" s="97" t="s">
        <v>462</v>
      </c>
      <c r="C1663" s="100" t="n">
        <v>1</v>
      </c>
      <c r="D1663" s="85"/>
      <c r="E1663" s="98" t="s">
        <v>4172</v>
      </c>
      <c r="F1663" s="99" t="s">
        <v>4170</v>
      </c>
      <c r="G1663" s="100" t="s">
        <v>4100</v>
      </c>
      <c r="H1663" s="100" t="s">
        <v>4101</v>
      </c>
      <c r="I1663" s="100" t="s">
        <v>288</v>
      </c>
      <c r="J1663" s="98" t="s">
        <v>471</v>
      </c>
      <c r="K1663" s="101" t="s">
        <v>4173</v>
      </c>
      <c r="L1663" s="102" t="n">
        <v>45779</v>
      </c>
      <c r="M1663" s="100" t="n">
        <v>295</v>
      </c>
      <c r="N1663" s="100" t="n">
        <v>299</v>
      </c>
      <c r="O1663" s="100" t="n">
        <v>4</v>
      </c>
      <c r="P1663" s="100" t="n">
        <v>4</v>
      </c>
      <c r="Q1663" s="100"/>
      <c r="R1663" s="103" t="n">
        <f aca="false">合約與計費!$D$4</f>
        <v>0.296</v>
      </c>
      <c r="S1663" s="104" t="n">
        <f aca="false">ROUND(P1663*R1663,0)</f>
        <v>1</v>
      </c>
      <c r="T1663" s="105"/>
      <c r="U1663" s="100"/>
      <c r="V1663" s="100"/>
      <c r="W1663" s="106"/>
      <c r="X1663" s="100"/>
      <c r="Y1663" s="100"/>
      <c r="Z1663" s="107"/>
      <c r="AA1663" s="108"/>
      <c r="AB1663" s="109"/>
      <c r="AC1663" s="110"/>
      <c r="AD1663" s="42" t="n">
        <v>0.142</v>
      </c>
      <c r="AE1663" s="43" t="n">
        <v>0.7</v>
      </c>
    </row>
    <row r="1664" customFormat="false" ht="16.5" hidden="false" customHeight="true" outlineLevel="0" collapsed="false">
      <c r="A1664" s="97" t="n">
        <f aca="false">ROW(A1653)</f>
        <v>1653</v>
      </c>
      <c r="B1664" s="97" t="s">
        <v>466</v>
      </c>
      <c r="C1664" s="100" t="n">
        <v>1</v>
      </c>
      <c r="D1664" s="85"/>
      <c r="E1664" s="98" t="s">
        <v>4174</v>
      </c>
      <c r="F1664" s="99" t="s">
        <v>4170</v>
      </c>
      <c r="G1664" s="100" t="s">
        <v>4100</v>
      </c>
      <c r="H1664" s="100" t="s">
        <v>4101</v>
      </c>
      <c r="I1664" s="100" t="s">
        <v>288</v>
      </c>
      <c r="J1664" s="98" t="s">
        <v>471</v>
      </c>
      <c r="K1664" s="101" t="s">
        <v>4175</v>
      </c>
      <c r="L1664" s="102" t="n">
        <v>45779</v>
      </c>
      <c r="M1664" s="100" t="n">
        <v>318</v>
      </c>
      <c r="N1664" s="100" t="n">
        <v>494</v>
      </c>
      <c r="O1664" s="100" t="n">
        <v>176</v>
      </c>
      <c r="P1664" s="100" t="n">
        <v>171</v>
      </c>
      <c r="Q1664" s="100"/>
      <c r="R1664" s="103" t="n">
        <f aca="false">合約與計費!$D$4</f>
        <v>0.296</v>
      </c>
      <c r="S1664" s="104" t="n">
        <f aca="false">ROUND(P1664*R1664,0)</f>
        <v>51</v>
      </c>
      <c r="T1664" s="105"/>
      <c r="U1664" s="100"/>
      <c r="V1664" s="100"/>
      <c r="W1664" s="106"/>
      <c r="X1664" s="100"/>
      <c r="Y1664" s="100"/>
      <c r="Z1664" s="107"/>
      <c r="AA1664" s="108"/>
      <c r="AB1664" s="109"/>
      <c r="AC1664" s="110"/>
      <c r="AD1664" s="42" t="n">
        <v>0.0781</v>
      </c>
      <c r="AE1664" s="43" t="n">
        <v>1</v>
      </c>
    </row>
    <row r="1665" customFormat="false" ht="16.5" hidden="false" customHeight="true" outlineLevel="0" collapsed="false">
      <c r="A1665" s="97" t="n">
        <f aca="false">ROW(A1654)</f>
        <v>1654</v>
      </c>
      <c r="B1665" s="97" t="s">
        <v>469</v>
      </c>
      <c r="C1665" s="100" t="n">
        <v>1</v>
      </c>
      <c r="D1665" s="85"/>
      <c r="E1665" s="98" t="s">
        <v>4176</v>
      </c>
      <c r="F1665" s="99" t="s">
        <v>4170</v>
      </c>
      <c r="G1665" s="100" t="s">
        <v>4100</v>
      </c>
      <c r="H1665" s="100" t="s">
        <v>4101</v>
      </c>
      <c r="I1665" s="100" t="s">
        <v>288</v>
      </c>
      <c r="J1665" s="98" t="s">
        <v>471</v>
      </c>
      <c r="K1665" s="101" t="s">
        <v>4177</v>
      </c>
      <c r="L1665" s="102" t="n">
        <v>45779</v>
      </c>
      <c r="M1665" s="100" t="n">
        <v>4221</v>
      </c>
      <c r="N1665" s="100" t="n">
        <v>5526</v>
      </c>
      <c r="O1665" s="100" t="n">
        <v>1305</v>
      </c>
      <c r="P1665" s="100" t="n">
        <v>1266</v>
      </c>
      <c r="Q1665" s="100"/>
      <c r="R1665" s="103" t="n">
        <f aca="false">合約與計費!$D$4</f>
        <v>0.296</v>
      </c>
      <c r="S1665" s="104" t="n">
        <f aca="false">ROUND(P1665*R1665,0)</f>
        <v>375</v>
      </c>
      <c r="T1665" s="105"/>
      <c r="U1665" s="100"/>
      <c r="V1665" s="100"/>
      <c r="W1665" s="106"/>
      <c r="X1665" s="100"/>
      <c r="Y1665" s="100"/>
      <c r="Z1665" s="107"/>
      <c r="AA1665" s="108"/>
      <c r="AB1665" s="109"/>
      <c r="AC1665" s="110"/>
      <c r="AD1665" s="42" t="n">
        <v>0.111</v>
      </c>
      <c r="AE1665" s="43" t="n">
        <v>0.6</v>
      </c>
    </row>
    <row r="1666" customFormat="false" ht="16.5" hidden="false" customHeight="true" outlineLevel="0" collapsed="false">
      <c r="A1666" s="97" t="n">
        <f aca="false">ROW(A1655)</f>
        <v>1655</v>
      </c>
      <c r="B1666" s="97" t="s">
        <v>473</v>
      </c>
      <c r="C1666" s="100" t="n">
        <v>1</v>
      </c>
      <c r="D1666" s="85"/>
      <c r="E1666" s="98" t="s">
        <v>4178</v>
      </c>
      <c r="F1666" s="99" t="s">
        <v>4170</v>
      </c>
      <c r="G1666" s="100" t="s">
        <v>4100</v>
      </c>
      <c r="H1666" s="100" t="s">
        <v>4101</v>
      </c>
      <c r="I1666" s="100" t="s">
        <v>288</v>
      </c>
      <c r="J1666" s="98" t="s">
        <v>471</v>
      </c>
      <c r="K1666" s="101" t="s">
        <v>4179</v>
      </c>
      <c r="L1666" s="102" t="n">
        <v>45779</v>
      </c>
      <c r="M1666" s="100" t="n">
        <v>1289</v>
      </c>
      <c r="N1666" s="100" t="n">
        <v>1657</v>
      </c>
      <c r="O1666" s="100" t="n">
        <v>368</v>
      </c>
      <c r="P1666" s="100" t="n">
        <v>357</v>
      </c>
      <c r="Q1666" s="100"/>
      <c r="R1666" s="103" t="n">
        <f aca="false">合約與計費!$D$4</f>
        <v>0.296</v>
      </c>
      <c r="S1666" s="104" t="n">
        <f aca="false">ROUND(P1666*R1666,0)</f>
        <v>106</v>
      </c>
      <c r="T1666" s="105"/>
      <c r="U1666" s="100"/>
      <c r="V1666" s="100"/>
      <c r="W1666" s="106"/>
      <c r="X1666" s="100"/>
      <c r="Y1666" s="100"/>
      <c r="Z1666" s="107"/>
      <c r="AA1666" s="108"/>
      <c r="AB1666" s="109"/>
      <c r="AC1666" s="110"/>
      <c r="AD1666" s="42" t="n">
        <v>0.0895</v>
      </c>
      <c r="AE1666" s="43" t="n">
        <v>1</v>
      </c>
    </row>
    <row r="1667" customFormat="false" ht="16.5" hidden="false" customHeight="true" outlineLevel="0" collapsed="false">
      <c r="A1667" s="97" t="n">
        <f aca="false">ROW(A1656)</f>
        <v>1656</v>
      </c>
      <c r="B1667" s="97" t="s">
        <v>476</v>
      </c>
      <c r="C1667" s="100" t="n">
        <v>1</v>
      </c>
      <c r="D1667" s="85"/>
      <c r="E1667" s="98" t="s">
        <v>4180</v>
      </c>
      <c r="F1667" s="99" t="s">
        <v>4170</v>
      </c>
      <c r="G1667" s="100" t="s">
        <v>4100</v>
      </c>
      <c r="H1667" s="100" t="s">
        <v>4101</v>
      </c>
      <c r="I1667" s="100" t="s">
        <v>288</v>
      </c>
      <c r="J1667" s="98" t="s">
        <v>471</v>
      </c>
      <c r="K1667" s="101" t="s">
        <v>4181</v>
      </c>
      <c r="L1667" s="102" t="n">
        <v>45779</v>
      </c>
      <c r="M1667" s="100" t="n">
        <v>6243</v>
      </c>
      <c r="N1667" s="100" t="n">
        <v>7978</v>
      </c>
      <c r="O1667" s="100" t="n">
        <v>1735</v>
      </c>
      <c r="P1667" s="100" t="n">
        <v>1683</v>
      </c>
      <c r="Q1667" s="100"/>
      <c r="R1667" s="103" t="n">
        <f aca="false">合約與計費!$D$4</f>
        <v>0.296</v>
      </c>
      <c r="S1667" s="104" t="n">
        <f aca="false">ROUND(P1667*R1667,0)</f>
        <v>498</v>
      </c>
      <c r="T1667" s="105"/>
      <c r="U1667" s="100"/>
      <c r="V1667" s="100"/>
      <c r="W1667" s="106"/>
      <c r="X1667" s="100"/>
      <c r="Y1667" s="100"/>
      <c r="Z1667" s="107"/>
      <c r="AA1667" s="108"/>
      <c r="AB1667" s="109"/>
      <c r="AC1667" s="110"/>
      <c r="AD1667" s="42" t="n">
        <v>0.1057</v>
      </c>
      <c r="AE1667" s="43" t="n">
        <v>0.8</v>
      </c>
    </row>
    <row r="1668" customFormat="false" ht="16.5" hidden="false" customHeight="true" outlineLevel="0" collapsed="false">
      <c r="A1668" s="97" t="n">
        <f aca="false">ROW(A1657)</f>
        <v>1657</v>
      </c>
      <c r="B1668" s="97" t="s">
        <v>479</v>
      </c>
      <c r="C1668" s="100" t="n">
        <v>1</v>
      </c>
      <c r="D1668" s="85"/>
      <c r="E1668" s="98" t="s">
        <v>4182</v>
      </c>
      <c r="F1668" s="99" t="s">
        <v>4170</v>
      </c>
      <c r="G1668" s="100" t="s">
        <v>4100</v>
      </c>
      <c r="H1668" s="100" t="s">
        <v>4101</v>
      </c>
      <c r="I1668" s="100" t="s">
        <v>288</v>
      </c>
      <c r="J1668" s="98" t="s">
        <v>471</v>
      </c>
      <c r="K1668" s="101" t="s">
        <v>4183</v>
      </c>
      <c r="L1668" s="102" t="n">
        <v>45779</v>
      </c>
      <c r="M1668" s="100" t="n">
        <v>6532</v>
      </c>
      <c r="N1668" s="100" t="n">
        <v>8128</v>
      </c>
      <c r="O1668" s="100" t="n">
        <v>1596</v>
      </c>
      <c r="P1668" s="100" t="n">
        <v>1548</v>
      </c>
      <c r="Q1668" s="100"/>
      <c r="R1668" s="103" t="n">
        <f aca="false">合約與計費!$D$4</f>
        <v>0.296</v>
      </c>
      <c r="S1668" s="104" t="n">
        <f aca="false">ROUND(P1668*R1668,0)</f>
        <v>458</v>
      </c>
      <c r="T1668" s="105"/>
      <c r="U1668" s="100"/>
      <c r="V1668" s="100"/>
      <c r="W1668" s="106"/>
      <c r="X1668" s="100"/>
      <c r="Y1668" s="100"/>
      <c r="Z1668" s="107"/>
      <c r="AA1668" s="108"/>
      <c r="AB1668" s="109"/>
      <c r="AC1668" s="110"/>
      <c r="AD1668" s="42" t="n">
        <v>0.1241</v>
      </c>
      <c r="AE1668" s="43" t="n">
        <v>0.8</v>
      </c>
    </row>
    <row r="1669" customFormat="false" ht="16.5" hidden="false" customHeight="true" outlineLevel="0" collapsed="false">
      <c r="A1669" s="111" t="n">
        <f aca="false">ROW(A1658)</f>
        <v>1658</v>
      </c>
      <c r="B1669" s="111" t="s">
        <v>482</v>
      </c>
      <c r="C1669" s="114" t="n">
        <v>1</v>
      </c>
      <c r="D1669" s="85"/>
      <c r="E1669" s="112" t="s">
        <v>4184</v>
      </c>
      <c r="F1669" s="113" t="s">
        <v>4170</v>
      </c>
      <c r="G1669" s="114" t="s">
        <v>4100</v>
      </c>
      <c r="H1669" s="114" t="s">
        <v>4101</v>
      </c>
      <c r="I1669" s="114" t="s">
        <v>288</v>
      </c>
      <c r="J1669" s="112" t="s">
        <v>471</v>
      </c>
      <c r="K1669" s="115" t="s">
        <v>4185</v>
      </c>
      <c r="L1669" s="116" t="n">
        <v>45779</v>
      </c>
      <c r="M1669" s="114" t="n">
        <v>4426</v>
      </c>
      <c r="N1669" s="114" t="n">
        <v>5653</v>
      </c>
      <c r="O1669" s="114" t="n">
        <v>1227</v>
      </c>
      <c r="P1669" s="114" t="n">
        <v>1190</v>
      </c>
      <c r="Q1669" s="114" t="n">
        <f aca="false">ROUND(SUM(P1662:P1669),2)</f>
        <v>6944</v>
      </c>
      <c r="R1669" s="117" t="n">
        <f aca="false">合約與計費!$D$4</f>
        <v>0.296</v>
      </c>
      <c r="S1669" s="118" t="n">
        <f aca="false">ROUND(P1669*R1669,0)</f>
        <v>352</v>
      </c>
      <c r="T1669" s="119" t="n">
        <f aca="false">ROUND(SUM(S1662:S1669),2)</f>
        <v>2056</v>
      </c>
      <c r="U1669" s="114"/>
      <c r="V1669" s="114"/>
      <c r="W1669" s="120"/>
      <c r="X1669" s="114"/>
      <c r="Y1669" s="114" t="n">
        <f aca="false">ROUND(SUM(X1662:X1669),2)</f>
        <v>52</v>
      </c>
      <c r="Z1669" s="121"/>
      <c r="AA1669" s="122"/>
      <c r="AB1669" s="123" t="n">
        <f aca="false">ROUND(SUM(AA1662:AA1669),2)</f>
        <v>146</v>
      </c>
      <c r="AC1669" s="124"/>
      <c r="AD1669" s="42" t="n">
        <v>0.1222</v>
      </c>
      <c r="AE1669" s="43" t="n">
        <v>0.7</v>
      </c>
    </row>
    <row r="1670" customFormat="false" ht="16.5" hidden="false" customHeight="true" outlineLevel="0" collapsed="false">
      <c r="A1670" s="84" t="n">
        <f aca="false">ROW(A1659)</f>
        <v>1659</v>
      </c>
      <c r="B1670" s="84" t="s">
        <v>455</v>
      </c>
      <c r="C1670" s="32" t="n">
        <v>1</v>
      </c>
      <c r="D1670" s="85" t="n">
        <v>175</v>
      </c>
      <c r="E1670" s="86" t="s">
        <v>4186</v>
      </c>
      <c r="F1670" s="87" t="s">
        <v>4187</v>
      </c>
      <c r="G1670" s="32" t="s">
        <v>4100</v>
      </c>
      <c r="H1670" s="32" t="s">
        <v>4101</v>
      </c>
      <c r="I1670" s="32" t="s">
        <v>203</v>
      </c>
      <c r="J1670" s="86" t="s">
        <v>460</v>
      </c>
      <c r="K1670" s="88" t="s">
        <v>4188</v>
      </c>
      <c r="L1670" s="89" t="n">
        <v>45782</v>
      </c>
      <c r="M1670" s="32" t="n">
        <v>48</v>
      </c>
      <c r="N1670" s="32" t="n">
        <v>55</v>
      </c>
      <c r="O1670" s="32" t="n">
        <v>7</v>
      </c>
      <c r="P1670" s="32" t="n">
        <v>7</v>
      </c>
      <c r="Q1670" s="32"/>
      <c r="R1670" s="90" t="n">
        <f aca="false">合約與計費!$D$4</f>
        <v>0.296</v>
      </c>
      <c r="S1670" s="91" t="n">
        <f aca="false">ROUND(P1670*R1670,0)</f>
        <v>2</v>
      </c>
      <c r="T1670" s="92"/>
      <c r="U1670" s="32" t="n">
        <v>55</v>
      </c>
      <c r="V1670" s="32" t="n">
        <v>105</v>
      </c>
      <c r="W1670" s="32" t="n">
        <v>50</v>
      </c>
      <c r="X1670" s="32" t="n">
        <v>49</v>
      </c>
      <c r="Y1670" s="32"/>
      <c r="Z1670" s="93" t="n">
        <f aca="false">合約與計費!$E$4</f>
        <v>2.8</v>
      </c>
      <c r="AA1670" s="94" t="n">
        <f aca="false">ROUND(X1670*Z1670,0)</f>
        <v>137</v>
      </c>
      <c r="AB1670" s="95"/>
      <c r="AC1670" s="254"/>
      <c r="AD1670" s="42"/>
      <c r="AE1670" s="43"/>
    </row>
    <row r="1671" customFormat="false" ht="16.5" hidden="false" customHeight="true" outlineLevel="0" collapsed="false">
      <c r="A1671" s="97" t="n">
        <f aca="false">ROW(A1660)</f>
        <v>1660</v>
      </c>
      <c r="B1671" s="97" t="s">
        <v>462</v>
      </c>
      <c r="C1671" s="100" t="n">
        <v>1</v>
      </c>
      <c r="D1671" s="85"/>
      <c r="E1671" s="98" t="s">
        <v>4189</v>
      </c>
      <c r="F1671" s="99" t="s">
        <v>4187</v>
      </c>
      <c r="G1671" s="100" t="s">
        <v>4100</v>
      </c>
      <c r="H1671" s="100" t="s">
        <v>4101</v>
      </c>
      <c r="I1671" s="100" t="s">
        <v>203</v>
      </c>
      <c r="J1671" s="98" t="s">
        <v>464</v>
      </c>
      <c r="K1671" s="101" t="s">
        <v>4190</v>
      </c>
      <c r="L1671" s="102" t="n">
        <v>45782</v>
      </c>
      <c r="M1671" s="100" t="n">
        <v>1236</v>
      </c>
      <c r="N1671" s="100" t="n">
        <v>1461</v>
      </c>
      <c r="O1671" s="100" t="n">
        <v>225</v>
      </c>
      <c r="P1671" s="100" t="n">
        <v>218</v>
      </c>
      <c r="Q1671" s="100"/>
      <c r="R1671" s="103" t="n">
        <f aca="false">合約與計費!$D$4</f>
        <v>0.296</v>
      </c>
      <c r="S1671" s="104" t="n">
        <f aca="false">ROUND(P1671*R1671,0)</f>
        <v>65</v>
      </c>
      <c r="T1671" s="105"/>
      <c r="U1671" s="100"/>
      <c r="V1671" s="100"/>
      <c r="W1671" s="106"/>
      <c r="X1671" s="100"/>
      <c r="Y1671" s="100"/>
      <c r="Z1671" s="107"/>
      <c r="AA1671" s="108"/>
      <c r="AB1671" s="109"/>
      <c r="AC1671" s="110"/>
      <c r="AD1671" s="42" t="n">
        <v>0.0619</v>
      </c>
      <c r="AE1671" s="43" t="n">
        <v>0.3</v>
      </c>
    </row>
    <row r="1672" customFormat="false" ht="16.5" hidden="false" customHeight="true" outlineLevel="0" collapsed="false">
      <c r="A1672" s="97" t="n">
        <f aca="false">ROW(A1661)</f>
        <v>1661</v>
      </c>
      <c r="B1672" s="97" t="s">
        <v>466</v>
      </c>
      <c r="C1672" s="100" t="n">
        <v>1</v>
      </c>
      <c r="D1672" s="85"/>
      <c r="E1672" s="98" t="s">
        <v>4191</v>
      </c>
      <c r="F1672" s="99" t="s">
        <v>4187</v>
      </c>
      <c r="G1672" s="100" t="s">
        <v>4100</v>
      </c>
      <c r="H1672" s="100" t="s">
        <v>4101</v>
      </c>
      <c r="I1672" s="100" t="s">
        <v>203</v>
      </c>
      <c r="J1672" s="98" t="s">
        <v>471</v>
      </c>
      <c r="K1672" s="101" t="s">
        <v>4192</v>
      </c>
      <c r="L1672" s="102" t="n">
        <v>45782</v>
      </c>
      <c r="M1672" s="100" t="n">
        <v>806</v>
      </c>
      <c r="N1672" s="100" t="n">
        <v>879</v>
      </c>
      <c r="O1672" s="100" t="n">
        <v>73</v>
      </c>
      <c r="P1672" s="100" t="n">
        <v>71</v>
      </c>
      <c r="Q1672" s="100"/>
      <c r="R1672" s="103" t="n">
        <f aca="false">合約與計費!$D$4</f>
        <v>0.296</v>
      </c>
      <c r="S1672" s="104" t="n">
        <f aca="false">ROUND(P1672*R1672,0)</f>
        <v>21</v>
      </c>
      <c r="T1672" s="105"/>
      <c r="U1672" s="100"/>
      <c r="V1672" s="100"/>
      <c r="W1672" s="106"/>
      <c r="X1672" s="100"/>
      <c r="Y1672" s="100"/>
      <c r="Z1672" s="107"/>
      <c r="AA1672" s="108"/>
      <c r="AB1672" s="109"/>
      <c r="AC1672" s="110"/>
      <c r="AD1672" s="42" t="n">
        <v>0.0693</v>
      </c>
      <c r="AE1672" s="43" t="n">
        <v>0.6</v>
      </c>
    </row>
    <row r="1673" customFormat="false" ht="16.5" hidden="false" customHeight="true" outlineLevel="0" collapsed="false">
      <c r="A1673" s="97" t="n">
        <f aca="false">ROW(A1662)</f>
        <v>1662</v>
      </c>
      <c r="B1673" s="97" t="s">
        <v>469</v>
      </c>
      <c r="C1673" s="100" t="n">
        <v>1</v>
      </c>
      <c r="D1673" s="85"/>
      <c r="E1673" s="98" t="s">
        <v>4193</v>
      </c>
      <c r="F1673" s="99" t="s">
        <v>4187</v>
      </c>
      <c r="G1673" s="100" t="s">
        <v>4100</v>
      </c>
      <c r="H1673" s="100" t="s">
        <v>4101</v>
      </c>
      <c r="I1673" s="100" t="s">
        <v>203</v>
      </c>
      <c r="J1673" s="98" t="s">
        <v>471</v>
      </c>
      <c r="K1673" s="101" t="s">
        <v>4194</v>
      </c>
      <c r="L1673" s="102" t="n">
        <v>45782</v>
      </c>
      <c r="M1673" s="100" t="n">
        <v>1213</v>
      </c>
      <c r="N1673" s="100" t="n">
        <v>1493</v>
      </c>
      <c r="O1673" s="100" t="n">
        <v>280</v>
      </c>
      <c r="P1673" s="100" t="n">
        <v>272</v>
      </c>
      <c r="Q1673" s="100"/>
      <c r="R1673" s="103" t="n">
        <f aca="false">合約與計費!$D$4</f>
        <v>0.296</v>
      </c>
      <c r="S1673" s="104" t="n">
        <f aca="false">ROUND(P1673*R1673,0)</f>
        <v>81</v>
      </c>
      <c r="T1673" s="105"/>
      <c r="U1673" s="100"/>
      <c r="V1673" s="100"/>
      <c r="W1673" s="106"/>
      <c r="X1673" s="100"/>
      <c r="Y1673" s="100"/>
      <c r="Z1673" s="107"/>
      <c r="AA1673" s="108"/>
      <c r="AB1673" s="109"/>
      <c r="AC1673" s="110"/>
      <c r="AD1673" s="42" t="n">
        <v>0.0389</v>
      </c>
      <c r="AE1673" s="43" t="n">
        <v>0.5</v>
      </c>
    </row>
    <row r="1674" customFormat="false" ht="16.5" hidden="false" customHeight="true" outlineLevel="0" collapsed="false">
      <c r="A1674" s="97" t="n">
        <f aca="false">ROW(A1663)</f>
        <v>1663</v>
      </c>
      <c r="B1674" s="97" t="s">
        <v>473</v>
      </c>
      <c r="C1674" s="100" t="n">
        <v>1</v>
      </c>
      <c r="D1674" s="85"/>
      <c r="E1674" s="98" t="s">
        <v>4195</v>
      </c>
      <c r="F1674" s="99" t="s">
        <v>4187</v>
      </c>
      <c r="G1674" s="100" t="s">
        <v>4100</v>
      </c>
      <c r="H1674" s="100" t="s">
        <v>4101</v>
      </c>
      <c r="I1674" s="100" t="s">
        <v>203</v>
      </c>
      <c r="J1674" s="98" t="s">
        <v>471</v>
      </c>
      <c r="K1674" s="101" t="s">
        <v>4196</v>
      </c>
      <c r="L1674" s="102" t="n">
        <v>45782</v>
      </c>
      <c r="M1674" s="100" t="n">
        <v>5229</v>
      </c>
      <c r="N1674" s="100" t="n">
        <v>6424</v>
      </c>
      <c r="O1674" s="100" t="n">
        <v>1195</v>
      </c>
      <c r="P1674" s="100" t="n">
        <v>1159</v>
      </c>
      <c r="Q1674" s="100"/>
      <c r="R1674" s="103" t="n">
        <f aca="false">合約與計費!$D$4</f>
        <v>0.296</v>
      </c>
      <c r="S1674" s="104" t="n">
        <f aca="false">ROUND(P1674*R1674,0)</f>
        <v>343</v>
      </c>
      <c r="T1674" s="105"/>
      <c r="U1674" s="100"/>
      <c r="V1674" s="100"/>
      <c r="W1674" s="106"/>
      <c r="X1674" s="100"/>
      <c r="Y1674" s="100"/>
      <c r="Z1674" s="107"/>
      <c r="AA1674" s="108"/>
      <c r="AB1674" s="109"/>
      <c r="AC1674" s="110"/>
      <c r="AD1674" s="42" t="n">
        <v>0.0961</v>
      </c>
      <c r="AE1674" s="43" t="n">
        <v>0.5</v>
      </c>
    </row>
    <row r="1675" customFormat="false" ht="16.5" hidden="false" customHeight="true" outlineLevel="0" collapsed="false">
      <c r="A1675" s="97" t="n">
        <f aca="false">ROW(A1664)</f>
        <v>1664</v>
      </c>
      <c r="B1675" s="97" t="s">
        <v>476</v>
      </c>
      <c r="C1675" s="100" t="n">
        <v>1</v>
      </c>
      <c r="D1675" s="85"/>
      <c r="E1675" s="98" t="s">
        <v>4197</v>
      </c>
      <c r="F1675" s="99" t="s">
        <v>4187</v>
      </c>
      <c r="G1675" s="100" t="s">
        <v>4100</v>
      </c>
      <c r="H1675" s="100" t="s">
        <v>4101</v>
      </c>
      <c r="I1675" s="100" t="s">
        <v>203</v>
      </c>
      <c r="J1675" s="98" t="s">
        <v>471</v>
      </c>
      <c r="K1675" s="101" t="s">
        <v>4198</v>
      </c>
      <c r="L1675" s="102" t="n">
        <v>45782</v>
      </c>
      <c r="M1675" s="100" t="n">
        <v>5424</v>
      </c>
      <c r="N1675" s="100" t="n">
        <v>7111</v>
      </c>
      <c r="O1675" s="100" t="n">
        <v>1687</v>
      </c>
      <c r="P1675" s="100" t="n">
        <v>1636</v>
      </c>
      <c r="Q1675" s="100"/>
      <c r="R1675" s="103" t="n">
        <f aca="false">合約與計費!$D$4</f>
        <v>0.296</v>
      </c>
      <c r="S1675" s="104" t="n">
        <f aca="false">ROUND(P1675*R1675,0)</f>
        <v>484</v>
      </c>
      <c r="T1675" s="105"/>
      <c r="U1675" s="100"/>
      <c r="V1675" s="100"/>
      <c r="W1675" s="106"/>
      <c r="X1675" s="100"/>
      <c r="Y1675" s="100"/>
      <c r="Z1675" s="107"/>
      <c r="AA1675" s="108"/>
      <c r="AB1675" s="109"/>
      <c r="AC1675" s="110"/>
      <c r="AD1675" s="42" t="n">
        <v>0.0938</v>
      </c>
      <c r="AE1675" s="43" t="n">
        <v>0.3</v>
      </c>
    </row>
    <row r="1676" customFormat="false" ht="16.5" hidden="false" customHeight="true" outlineLevel="0" collapsed="false">
      <c r="A1676" s="97" t="n">
        <f aca="false">ROW(A1665)</f>
        <v>1665</v>
      </c>
      <c r="B1676" s="97" t="s">
        <v>479</v>
      </c>
      <c r="C1676" s="100" t="n">
        <v>1</v>
      </c>
      <c r="D1676" s="85"/>
      <c r="E1676" s="98" t="s">
        <v>4199</v>
      </c>
      <c r="F1676" s="99" t="s">
        <v>4187</v>
      </c>
      <c r="G1676" s="100" t="s">
        <v>4100</v>
      </c>
      <c r="H1676" s="100" t="s">
        <v>4101</v>
      </c>
      <c r="I1676" s="100" t="s">
        <v>203</v>
      </c>
      <c r="J1676" s="98" t="s">
        <v>471</v>
      </c>
      <c r="K1676" s="101" t="s">
        <v>4200</v>
      </c>
      <c r="L1676" s="102" t="n">
        <v>45782</v>
      </c>
      <c r="M1676" s="100" t="n">
        <v>5792</v>
      </c>
      <c r="N1676" s="100" t="n">
        <v>6889</v>
      </c>
      <c r="O1676" s="100" t="n">
        <v>1097</v>
      </c>
      <c r="P1676" s="100" t="n">
        <v>1064</v>
      </c>
      <c r="Q1676" s="100"/>
      <c r="R1676" s="103" t="n">
        <f aca="false">合約與計費!$D$4</f>
        <v>0.296</v>
      </c>
      <c r="S1676" s="104" t="n">
        <f aca="false">ROUND(P1676*R1676,0)</f>
        <v>315</v>
      </c>
      <c r="T1676" s="105"/>
      <c r="U1676" s="100"/>
      <c r="V1676" s="100"/>
      <c r="W1676" s="106"/>
      <c r="X1676" s="100"/>
      <c r="Y1676" s="100"/>
      <c r="Z1676" s="107"/>
      <c r="AA1676" s="108"/>
      <c r="AB1676" s="109"/>
      <c r="AC1676" s="110"/>
      <c r="AD1676" s="42" t="n">
        <v>0.0845</v>
      </c>
      <c r="AE1676" s="43" t="n">
        <v>0.5</v>
      </c>
    </row>
    <row r="1677" customFormat="false" ht="16.5" hidden="false" customHeight="true" outlineLevel="0" collapsed="false">
      <c r="A1677" s="111" t="n">
        <f aca="false">ROW(A1666)</f>
        <v>1666</v>
      </c>
      <c r="B1677" s="111" t="s">
        <v>482</v>
      </c>
      <c r="C1677" s="114" t="n">
        <v>1</v>
      </c>
      <c r="D1677" s="85"/>
      <c r="E1677" s="112" t="s">
        <v>4201</v>
      </c>
      <c r="F1677" s="113" t="s">
        <v>4187</v>
      </c>
      <c r="G1677" s="114" t="s">
        <v>4100</v>
      </c>
      <c r="H1677" s="114" t="s">
        <v>4101</v>
      </c>
      <c r="I1677" s="114" t="s">
        <v>203</v>
      </c>
      <c r="J1677" s="112" t="s">
        <v>471</v>
      </c>
      <c r="K1677" s="115" t="s">
        <v>4202</v>
      </c>
      <c r="L1677" s="116" t="n">
        <v>45782</v>
      </c>
      <c r="M1677" s="114" t="n">
        <v>460</v>
      </c>
      <c r="N1677" s="114" t="n">
        <v>560</v>
      </c>
      <c r="O1677" s="114" t="n">
        <v>100</v>
      </c>
      <c r="P1677" s="114" t="n">
        <v>97</v>
      </c>
      <c r="Q1677" s="114" t="n">
        <f aca="false">ROUND(SUM(P1670:P1677),2)</f>
        <v>4524</v>
      </c>
      <c r="R1677" s="117" t="n">
        <f aca="false">合約與計費!$D$4</f>
        <v>0.296</v>
      </c>
      <c r="S1677" s="118" t="n">
        <f aca="false">ROUND(P1677*R1677,0)</f>
        <v>29</v>
      </c>
      <c r="T1677" s="119" t="n">
        <f aca="false">ROUND(SUM(S1670:S1677),2)</f>
        <v>1340</v>
      </c>
      <c r="U1677" s="114"/>
      <c r="V1677" s="114"/>
      <c r="W1677" s="120"/>
      <c r="X1677" s="114"/>
      <c r="Y1677" s="114" t="n">
        <f aca="false">ROUND(SUM(X1670:X1677),2)</f>
        <v>49</v>
      </c>
      <c r="Z1677" s="121"/>
      <c r="AA1677" s="122"/>
      <c r="AB1677" s="123" t="n">
        <f aca="false">ROUND(SUM(AA1670:AA1677),2)</f>
        <v>137</v>
      </c>
      <c r="AC1677" s="124"/>
      <c r="AD1677" s="42" t="n">
        <v>0.0703</v>
      </c>
      <c r="AE1677" s="43" t="n">
        <v>0.7</v>
      </c>
    </row>
    <row r="1678" customFormat="false" ht="16.5" hidden="false" customHeight="true" outlineLevel="0" collapsed="false">
      <c r="A1678" s="84" t="n">
        <f aca="false">ROW(A1667)</f>
        <v>1667</v>
      </c>
      <c r="B1678" s="84" t="s">
        <v>455</v>
      </c>
      <c r="C1678" s="32" t="n">
        <v>1</v>
      </c>
      <c r="D1678" s="85" t="n">
        <v>340</v>
      </c>
      <c r="E1678" s="86" t="s">
        <v>4203</v>
      </c>
      <c r="F1678" s="87" t="s">
        <v>4204</v>
      </c>
      <c r="G1678" s="32" t="s">
        <v>4100</v>
      </c>
      <c r="H1678" s="32" t="s">
        <v>4101</v>
      </c>
      <c r="I1678" s="32" t="s">
        <v>397</v>
      </c>
      <c r="J1678" s="86" t="s">
        <v>464</v>
      </c>
      <c r="K1678" s="88" t="s">
        <v>4205</v>
      </c>
      <c r="L1678" s="89" t="n">
        <v>45741</v>
      </c>
      <c r="M1678" s="32" t="n">
        <v>1078</v>
      </c>
      <c r="N1678" s="32" t="n">
        <v>1396</v>
      </c>
      <c r="O1678" s="32" t="n">
        <v>318</v>
      </c>
      <c r="P1678" s="32" t="n">
        <v>308</v>
      </c>
      <c r="Q1678" s="32"/>
      <c r="R1678" s="90" t="n">
        <f aca="false">合約與計費!$D$4</f>
        <v>0.296</v>
      </c>
      <c r="S1678" s="91" t="n">
        <f aca="false">ROUND(P1678*R1678,0)</f>
        <v>91</v>
      </c>
      <c r="T1678" s="92"/>
      <c r="U1678" s="32"/>
      <c r="V1678" s="32"/>
      <c r="W1678" s="226"/>
      <c r="X1678" s="32"/>
      <c r="Y1678" s="32"/>
      <c r="Z1678" s="93"/>
      <c r="AA1678" s="94"/>
      <c r="AB1678" s="95"/>
      <c r="AC1678" s="254"/>
      <c r="AD1678" s="42" t="n">
        <v>0.0502</v>
      </c>
      <c r="AE1678" s="43" t="n">
        <v>0.4</v>
      </c>
    </row>
    <row r="1679" customFormat="false" ht="16.5" hidden="false" customHeight="true" outlineLevel="0" collapsed="false">
      <c r="A1679" s="97" t="n">
        <f aca="false">ROW(A1668)</f>
        <v>1668</v>
      </c>
      <c r="B1679" s="97" t="s">
        <v>462</v>
      </c>
      <c r="C1679" s="100" t="n">
        <v>1</v>
      </c>
      <c r="D1679" s="85"/>
      <c r="E1679" s="98" t="s">
        <v>4206</v>
      </c>
      <c r="F1679" s="99" t="s">
        <v>4204</v>
      </c>
      <c r="G1679" s="100" t="s">
        <v>4100</v>
      </c>
      <c r="H1679" s="100" t="s">
        <v>4101</v>
      </c>
      <c r="I1679" s="100" t="s">
        <v>397</v>
      </c>
      <c r="J1679" s="98" t="s">
        <v>471</v>
      </c>
      <c r="K1679" s="101" t="s">
        <v>4207</v>
      </c>
      <c r="L1679" s="102" t="n">
        <v>45741</v>
      </c>
      <c r="M1679" s="100" t="n">
        <v>711</v>
      </c>
      <c r="N1679" s="100" t="n">
        <v>834</v>
      </c>
      <c r="O1679" s="100" t="n">
        <v>123</v>
      </c>
      <c r="P1679" s="100" t="n">
        <v>119</v>
      </c>
      <c r="Q1679" s="100"/>
      <c r="R1679" s="103" t="n">
        <f aca="false">合約與計費!$D$4</f>
        <v>0.296</v>
      </c>
      <c r="S1679" s="104" t="n">
        <f aca="false">ROUND(P1679*R1679,0)</f>
        <v>35</v>
      </c>
      <c r="T1679" s="105"/>
      <c r="U1679" s="100"/>
      <c r="V1679" s="100"/>
      <c r="W1679" s="106"/>
      <c r="X1679" s="100"/>
      <c r="Y1679" s="100"/>
      <c r="Z1679" s="107"/>
      <c r="AA1679" s="108"/>
      <c r="AB1679" s="109"/>
      <c r="AC1679" s="110"/>
      <c r="AD1679" s="42" t="n">
        <v>0.0631</v>
      </c>
      <c r="AE1679" s="43" t="n">
        <v>0.7</v>
      </c>
    </row>
    <row r="1680" customFormat="false" ht="16.5" hidden="false" customHeight="true" outlineLevel="0" collapsed="false">
      <c r="A1680" s="97" t="n">
        <f aca="false">ROW(A1669)</f>
        <v>1669</v>
      </c>
      <c r="B1680" s="97" t="s">
        <v>466</v>
      </c>
      <c r="C1680" s="100" t="n">
        <v>1</v>
      </c>
      <c r="D1680" s="85"/>
      <c r="E1680" s="98" t="s">
        <v>4208</v>
      </c>
      <c r="F1680" s="99" t="s">
        <v>4204</v>
      </c>
      <c r="G1680" s="100" t="s">
        <v>4100</v>
      </c>
      <c r="H1680" s="100" t="s">
        <v>4101</v>
      </c>
      <c r="I1680" s="100" t="s">
        <v>397</v>
      </c>
      <c r="J1680" s="98" t="s">
        <v>471</v>
      </c>
      <c r="K1680" s="101" t="s">
        <v>4209</v>
      </c>
      <c r="L1680" s="102" t="n">
        <v>45876</v>
      </c>
      <c r="M1680" s="100" t="n">
        <v>5794</v>
      </c>
      <c r="N1680" s="100" t="n">
        <v>6474</v>
      </c>
      <c r="O1680" s="100" t="n">
        <v>680</v>
      </c>
      <c r="P1680" s="100" t="n">
        <v>660</v>
      </c>
      <c r="Q1680" s="100"/>
      <c r="R1680" s="103" t="n">
        <f aca="false">合約與計費!$D$4</f>
        <v>0.296</v>
      </c>
      <c r="S1680" s="104" t="n">
        <f aca="false">ROUND(P1680*R1680,0)</f>
        <v>195</v>
      </c>
      <c r="T1680" s="105"/>
      <c r="U1680" s="100"/>
      <c r="V1680" s="100"/>
      <c r="W1680" s="106"/>
      <c r="X1680" s="100"/>
      <c r="Y1680" s="100"/>
      <c r="Z1680" s="107"/>
      <c r="AA1680" s="108"/>
      <c r="AB1680" s="109"/>
      <c r="AC1680" s="110"/>
      <c r="AD1680" s="42" t="n">
        <v>0.0971</v>
      </c>
      <c r="AE1680" s="43" t="n">
        <v>0.5</v>
      </c>
    </row>
    <row r="1681" customFormat="false" ht="16.5" hidden="false" customHeight="true" outlineLevel="0" collapsed="false">
      <c r="A1681" s="97" t="n">
        <f aca="false">ROW(A1670)</f>
        <v>1670</v>
      </c>
      <c r="B1681" s="97" t="s">
        <v>469</v>
      </c>
      <c r="C1681" s="100" t="n">
        <v>1</v>
      </c>
      <c r="D1681" s="85"/>
      <c r="E1681" s="98" t="s">
        <v>4210</v>
      </c>
      <c r="F1681" s="99" t="s">
        <v>4204</v>
      </c>
      <c r="G1681" s="100" t="s">
        <v>4100</v>
      </c>
      <c r="H1681" s="100" t="s">
        <v>4101</v>
      </c>
      <c r="I1681" s="100" t="s">
        <v>397</v>
      </c>
      <c r="J1681" s="98" t="s">
        <v>471</v>
      </c>
      <c r="K1681" s="101" t="s">
        <v>4211</v>
      </c>
      <c r="L1681" s="102" t="n">
        <v>45876</v>
      </c>
      <c r="M1681" s="100" t="n">
        <v>7411</v>
      </c>
      <c r="N1681" s="100" t="n">
        <v>7428</v>
      </c>
      <c r="O1681" s="100" t="n">
        <v>17</v>
      </c>
      <c r="P1681" s="100" t="n">
        <v>16</v>
      </c>
      <c r="Q1681" s="100"/>
      <c r="R1681" s="103" t="n">
        <f aca="false">合約與計費!$D$4</f>
        <v>0.296</v>
      </c>
      <c r="S1681" s="104" t="n">
        <f aca="false">ROUND(P1681*R1681,0)</f>
        <v>5</v>
      </c>
      <c r="T1681" s="105"/>
      <c r="U1681" s="100"/>
      <c r="V1681" s="100"/>
      <c r="W1681" s="106"/>
      <c r="X1681" s="100"/>
      <c r="Y1681" s="100"/>
      <c r="Z1681" s="107"/>
      <c r="AA1681" s="108"/>
      <c r="AB1681" s="109"/>
      <c r="AC1681" s="110"/>
      <c r="AD1681" s="42" t="n">
        <v>0.3282</v>
      </c>
      <c r="AE1681" s="43" t="n">
        <v>0.6</v>
      </c>
    </row>
    <row r="1682" customFormat="false" ht="16.5" hidden="false" customHeight="true" outlineLevel="0" collapsed="false">
      <c r="A1682" s="97" t="n">
        <f aca="false">ROW(A1671)</f>
        <v>1671</v>
      </c>
      <c r="B1682" s="97" t="s">
        <v>473</v>
      </c>
      <c r="C1682" s="100" t="n">
        <v>1</v>
      </c>
      <c r="D1682" s="85"/>
      <c r="E1682" s="98" t="s">
        <v>4212</v>
      </c>
      <c r="F1682" s="99" t="s">
        <v>4204</v>
      </c>
      <c r="G1682" s="100" t="s">
        <v>4100</v>
      </c>
      <c r="H1682" s="100" t="s">
        <v>4101</v>
      </c>
      <c r="I1682" s="100" t="s">
        <v>397</v>
      </c>
      <c r="J1682" s="98" t="s">
        <v>471</v>
      </c>
      <c r="K1682" s="101" t="s">
        <v>4213</v>
      </c>
      <c r="L1682" s="102" t="n">
        <v>45876</v>
      </c>
      <c r="M1682" s="100" t="n">
        <v>7246</v>
      </c>
      <c r="N1682" s="100" t="n">
        <v>8476</v>
      </c>
      <c r="O1682" s="100" t="n">
        <v>1230</v>
      </c>
      <c r="P1682" s="100" t="n">
        <v>1193</v>
      </c>
      <c r="Q1682" s="100"/>
      <c r="R1682" s="103" t="n">
        <f aca="false">合約與計費!$D$4</f>
        <v>0.296</v>
      </c>
      <c r="S1682" s="104" t="n">
        <f aca="false">ROUND(P1682*R1682,0)</f>
        <v>353</v>
      </c>
      <c r="T1682" s="105"/>
      <c r="U1682" s="100"/>
      <c r="V1682" s="100"/>
      <c r="W1682" s="106"/>
      <c r="X1682" s="100"/>
      <c r="Y1682" s="100"/>
      <c r="Z1682" s="107"/>
      <c r="AA1682" s="108"/>
      <c r="AB1682" s="109"/>
      <c r="AC1682" s="110"/>
      <c r="AD1682" s="42" t="n">
        <v>0.0959</v>
      </c>
      <c r="AE1682" s="43" t="n">
        <v>0.1</v>
      </c>
    </row>
    <row r="1683" customFormat="false" ht="16.5" hidden="false" customHeight="true" outlineLevel="0" collapsed="false">
      <c r="A1683" s="97" t="n">
        <f aca="false">ROW(A1672)</f>
        <v>1672</v>
      </c>
      <c r="B1683" s="97" t="s">
        <v>476</v>
      </c>
      <c r="C1683" s="100" t="n">
        <v>1</v>
      </c>
      <c r="D1683" s="85"/>
      <c r="E1683" s="98" t="s">
        <v>4214</v>
      </c>
      <c r="F1683" s="99" t="s">
        <v>4204</v>
      </c>
      <c r="G1683" s="100" t="s">
        <v>4100</v>
      </c>
      <c r="H1683" s="100" t="s">
        <v>4101</v>
      </c>
      <c r="I1683" s="100" t="s">
        <v>397</v>
      </c>
      <c r="J1683" s="98" t="s">
        <v>471</v>
      </c>
      <c r="K1683" s="101" t="s">
        <v>4215</v>
      </c>
      <c r="L1683" s="102" t="n">
        <v>45741</v>
      </c>
      <c r="M1683" s="100" t="n">
        <v>4694</v>
      </c>
      <c r="N1683" s="100" t="n">
        <v>6336</v>
      </c>
      <c r="O1683" s="100" t="n">
        <v>1642</v>
      </c>
      <c r="P1683" s="100" t="n">
        <v>1593</v>
      </c>
      <c r="Q1683" s="100"/>
      <c r="R1683" s="103" t="n">
        <f aca="false">合約與計費!$D$4</f>
        <v>0.296</v>
      </c>
      <c r="S1683" s="104" t="n">
        <f aca="false">ROUND(P1683*R1683,0)</f>
        <v>472</v>
      </c>
      <c r="T1683" s="105"/>
      <c r="U1683" s="100"/>
      <c r="V1683" s="100"/>
      <c r="W1683" s="106"/>
      <c r="X1683" s="100"/>
      <c r="Y1683" s="100"/>
      <c r="Z1683" s="107"/>
      <c r="AA1683" s="108"/>
      <c r="AB1683" s="109"/>
      <c r="AC1683" s="110"/>
      <c r="AD1683" s="42" t="n">
        <v>0.0652</v>
      </c>
      <c r="AE1683" s="43" t="n">
        <v>0.7</v>
      </c>
    </row>
    <row r="1684" customFormat="false" ht="16.5" hidden="false" customHeight="true" outlineLevel="0" collapsed="false">
      <c r="A1684" s="111" t="n">
        <f aca="false">ROW(A1673)</f>
        <v>1673</v>
      </c>
      <c r="B1684" s="111" t="s">
        <v>479</v>
      </c>
      <c r="C1684" s="114" t="n">
        <v>1</v>
      </c>
      <c r="D1684" s="85"/>
      <c r="E1684" s="112" t="s">
        <v>4216</v>
      </c>
      <c r="F1684" s="113" t="s">
        <v>4204</v>
      </c>
      <c r="G1684" s="114" t="s">
        <v>4100</v>
      </c>
      <c r="H1684" s="114" t="s">
        <v>4101</v>
      </c>
      <c r="I1684" s="114" t="s">
        <v>397</v>
      </c>
      <c r="J1684" s="112" t="s">
        <v>471</v>
      </c>
      <c r="K1684" s="115" t="s">
        <v>4217</v>
      </c>
      <c r="L1684" s="116" t="n">
        <v>45741</v>
      </c>
      <c r="M1684" s="114" t="n">
        <v>925</v>
      </c>
      <c r="N1684" s="114" t="n">
        <v>1103</v>
      </c>
      <c r="O1684" s="100" t="n">
        <v>178</v>
      </c>
      <c r="P1684" s="100" t="n">
        <v>173</v>
      </c>
      <c r="Q1684" s="100" t="n">
        <f aca="false">ROUND(SUM(P1678:P1684),2)</f>
        <v>4062</v>
      </c>
      <c r="R1684" s="103" t="n">
        <f aca="false">合約與計費!$D$4</f>
        <v>0.296</v>
      </c>
      <c r="S1684" s="104" t="n">
        <f aca="false">ROUND(P1684*R1684,0)</f>
        <v>51</v>
      </c>
      <c r="T1684" s="105" t="n">
        <f aca="false">ROUND(SUM(S1678:S1684),2)</f>
        <v>1202</v>
      </c>
      <c r="U1684" s="114"/>
      <c r="V1684" s="114"/>
      <c r="W1684" s="106"/>
      <c r="X1684" s="100"/>
      <c r="Y1684" s="100"/>
      <c r="Z1684" s="107"/>
      <c r="AA1684" s="108"/>
      <c r="AB1684" s="109"/>
      <c r="AC1684" s="124"/>
      <c r="AD1684" s="42" t="n">
        <v>0.0481</v>
      </c>
      <c r="AE1684" s="43" t="n">
        <v>0.6</v>
      </c>
    </row>
    <row r="1685" customFormat="false" ht="16.5" hidden="false" customHeight="true" outlineLevel="0" collapsed="false">
      <c r="A1685" s="84" t="n">
        <f aca="false">ROW(A1674)</f>
        <v>1674</v>
      </c>
      <c r="B1685" s="84" t="s">
        <v>455</v>
      </c>
      <c r="C1685" s="32" t="n">
        <v>1</v>
      </c>
      <c r="D1685" s="85" t="n">
        <v>359</v>
      </c>
      <c r="E1685" s="86" t="s">
        <v>4218</v>
      </c>
      <c r="F1685" s="87" t="s">
        <v>4219</v>
      </c>
      <c r="G1685" s="32" t="s">
        <v>4100</v>
      </c>
      <c r="H1685" s="32" t="s">
        <v>4101</v>
      </c>
      <c r="I1685" s="172" t="s">
        <v>236</v>
      </c>
      <c r="J1685" s="86" t="s">
        <v>464</v>
      </c>
      <c r="K1685" s="225" t="s">
        <v>4220</v>
      </c>
      <c r="L1685" s="89" t="n">
        <v>45782</v>
      </c>
      <c r="M1685" s="32" t="n">
        <v>202</v>
      </c>
      <c r="N1685" s="32" t="n">
        <v>274</v>
      </c>
      <c r="O1685" s="32" t="n">
        <v>72</v>
      </c>
      <c r="P1685" s="32" t="n">
        <v>70</v>
      </c>
      <c r="Q1685" s="32"/>
      <c r="R1685" s="90" t="n">
        <f aca="false">合約與計費!$D$4</f>
        <v>0.296</v>
      </c>
      <c r="S1685" s="91" t="n">
        <f aca="false">ROUND(P1685*R1685,0)</f>
        <v>21</v>
      </c>
      <c r="T1685" s="92"/>
      <c r="U1685" s="32"/>
      <c r="V1685" s="32"/>
      <c r="W1685" s="226"/>
      <c r="X1685" s="32"/>
      <c r="Y1685" s="32"/>
      <c r="Z1685" s="93"/>
      <c r="AA1685" s="94"/>
      <c r="AB1685" s="95"/>
      <c r="AC1685" s="254"/>
      <c r="AD1685" s="42" t="n">
        <v>0.0448</v>
      </c>
      <c r="AE1685" s="43" t="n">
        <v>0.9</v>
      </c>
    </row>
    <row r="1686" customFormat="false" ht="16.5" hidden="false" customHeight="true" outlineLevel="0" collapsed="false">
      <c r="A1686" s="97" t="n">
        <f aca="false">ROW(A1675)</f>
        <v>1675</v>
      </c>
      <c r="B1686" s="97" t="s">
        <v>462</v>
      </c>
      <c r="C1686" s="100" t="n">
        <v>1</v>
      </c>
      <c r="D1686" s="85"/>
      <c r="E1686" s="98" t="s">
        <v>4221</v>
      </c>
      <c r="F1686" s="99" t="s">
        <v>4219</v>
      </c>
      <c r="G1686" s="100" t="s">
        <v>4100</v>
      </c>
      <c r="H1686" s="100" t="s">
        <v>4101</v>
      </c>
      <c r="I1686" s="175" t="s">
        <v>236</v>
      </c>
      <c r="J1686" s="98" t="s">
        <v>471</v>
      </c>
      <c r="K1686" s="101" t="s">
        <v>4222</v>
      </c>
      <c r="L1686" s="102" t="n">
        <v>45782</v>
      </c>
      <c r="M1686" s="100" t="n">
        <v>3330</v>
      </c>
      <c r="N1686" s="100" t="n">
        <v>4216</v>
      </c>
      <c r="O1686" s="100" t="n">
        <v>886</v>
      </c>
      <c r="P1686" s="100" t="n">
        <v>859</v>
      </c>
      <c r="Q1686" s="100"/>
      <c r="R1686" s="103" t="n">
        <f aca="false">合約與計費!$D$4</f>
        <v>0.296</v>
      </c>
      <c r="S1686" s="104" t="n">
        <f aca="false">ROUND(P1686*R1686,0)</f>
        <v>254</v>
      </c>
      <c r="T1686" s="105"/>
      <c r="U1686" s="100"/>
      <c r="V1686" s="100"/>
      <c r="W1686" s="106"/>
      <c r="X1686" s="100"/>
      <c r="Y1686" s="100"/>
      <c r="Z1686" s="107"/>
      <c r="AA1686" s="108"/>
      <c r="AB1686" s="109"/>
      <c r="AC1686" s="110"/>
      <c r="AD1686" s="42" t="n">
        <v>0.0657</v>
      </c>
      <c r="AE1686" s="43" t="n">
        <v>0.5</v>
      </c>
    </row>
    <row r="1687" customFormat="false" ht="16.5" hidden="false" customHeight="true" outlineLevel="0" collapsed="false">
      <c r="A1687" s="111" t="n">
        <f aca="false">ROW(A1676)</f>
        <v>1676</v>
      </c>
      <c r="B1687" s="111" t="s">
        <v>466</v>
      </c>
      <c r="C1687" s="114" t="n">
        <v>1</v>
      </c>
      <c r="D1687" s="85"/>
      <c r="E1687" s="112" t="s">
        <v>4223</v>
      </c>
      <c r="F1687" s="113" t="s">
        <v>4219</v>
      </c>
      <c r="G1687" s="114" t="s">
        <v>4100</v>
      </c>
      <c r="H1687" s="114" t="s">
        <v>4101</v>
      </c>
      <c r="I1687" s="173" t="s">
        <v>236</v>
      </c>
      <c r="J1687" s="112" t="s">
        <v>471</v>
      </c>
      <c r="K1687" s="115" t="s">
        <v>4224</v>
      </c>
      <c r="L1687" s="116" t="n">
        <v>45782</v>
      </c>
      <c r="M1687" s="114" t="n">
        <v>945</v>
      </c>
      <c r="N1687" s="114" t="n">
        <v>1255</v>
      </c>
      <c r="O1687" s="114" t="n">
        <v>310</v>
      </c>
      <c r="P1687" s="114" t="n">
        <v>301</v>
      </c>
      <c r="Q1687" s="114" t="n">
        <f aca="false">ROUND(SUM(P1685:P1687),2)</f>
        <v>1230</v>
      </c>
      <c r="R1687" s="117" t="n">
        <f aca="false">合約與計費!$D$4</f>
        <v>0.296</v>
      </c>
      <c r="S1687" s="118" t="n">
        <f aca="false">ROUND(P1687*R1687,0)</f>
        <v>89</v>
      </c>
      <c r="T1687" s="119" t="n">
        <f aca="false">ROUND(SUM(S1685:S1687),2)</f>
        <v>364</v>
      </c>
      <c r="U1687" s="114"/>
      <c r="V1687" s="114"/>
      <c r="W1687" s="120"/>
      <c r="X1687" s="114"/>
      <c r="Y1687" s="114"/>
      <c r="Z1687" s="121"/>
      <c r="AA1687" s="122"/>
      <c r="AB1687" s="123"/>
      <c r="AC1687" s="124"/>
      <c r="AD1687" s="42" t="n">
        <v>0.1015</v>
      </c>
      <c r="AE1687" s="43" t="n">
        <v>0.3</v>
      </c>
    </row>
    <row r="1688" customFormat="false" ht="16.5" hidden="false" customHeight="true" outlineLevel="0" collapsed="false">
      <c r="A1688" s="84" t="n">
        <f aca="false">ROW(A1677)</f>
        <v>1677</v>
      </c>
      <c r="B1688" s="84" t="s">
        <v>455</v>
      </c>
      <c r="C1688" s="32" t="n">
        <v>1</v>
      </c>
      <c r="D1688" s="85" t="n">
        <v>390</v>
      </c>
      <c r="E1688" s="86" t="s">
        <v>4225</v>
      </c>
      <c r="F1688" s="87" t="s">
        <v>4226</v>
      </c>
      <c r="G1688" s="32" t="s">
        <v>4100</v>
      </c>
      <c r="H1688" s="32" t="s">
        <v>4101</v>
      </c>
      <c r="I1688" s="32" t="s">
        <v>358</v>
      </c>
      <c r="J1688" s="86" t="s">
        <v>460</v>
      </c>
      <c r="K1688" s="88" t="s">
        <v>4227</v>
      </c>
      <c r="L1688" s="89" t="n">
        <v>45741</v>
      </c>
      <c r="M1688" s="32" t="n">
        <v>112</v>
      </c>
      <c r="N1688" s="32" t="n">
        <v>301</v>
      </c>
      <c r="O1688" s="32" t="n">
        <v>189</v>
      </c>
      <c r="P1688" s="32" t="n">
        <v>183</v>
      </c>
      <c r="Q1688" s="32"/>
      <c r="R1688" s="90" t="n">
        <f aca="false">合約與計費!$D$4</f>
        <v>0.296</v>
      </c>
      <c r="S1688" s="91" t="n">
        <f aca="false">ROUND(P1688*R1688,0)</f>
        <v>54</v>
      </c>
      <c r="T1688" s="92"/>
      <c r="U1688" s="32" t="n">
        <v>152</v>
      </c>
      <c r="V1688" s="32" t="n">
        <v>216</v>
      </c>
      <c r="W1688" s="32" t="n">
        <v>64</v>
      </c>
      <c r="X1688" s="32" t="n">
        <v>62</v>
      </c>
      <c r="Y1688" s="32"/>
      <c r="Z1688" s="93" t="n">
        <f aca="false">合約與計費!$E$4</f>
        <v>2.8</v>
      </c>
      <c r="AA1688" s="94" t="n">
        <f aca="false">ROUND(X1688*Z1688,0)</f>
        <v>174</v>
      </c>
      <c r="AB1688" s="95"/>
      <c r="AC1688" s="254"/>
      <c r="AD1688" s="42"/>
      <c r="AE1688" s="43"/>
    </row>
    <row r="1689" customFormat="false" ht="16.5" hidden="false" customHeight="true" outlineLevel="0" collapsed="false">
      <c r="A1689" s="97" t="n">
        <f aca="false">ROW(A1678)</f>
        <v>1678</v>
      </c>
      <c r="B1689" s="97" t="s">
        <v>462</v>
      </c>
      <c r="C1689" s="100" t="n">
        <v>1</v>
      </c>
      <c r="D1689" s="85"/>
      <c r="E1689" s="98" t="s">
        <v>4228</v>
      </c>
      <c r="F1689" s="99" t="s">
        <v>4226</v>
      </c>
      <c r="G1689" s="100" t="s">
        <v>4100</v>
      </c>
      <c r="H1689" s="100" t="s">
        <v>4101</v>
      </c>
      <c r="I1689" s="100" t="s">
        <v>358</v>
      </c>
      <c r="J1689" s="98" t="s">
        <v>471</v>
      </c>
      <c r="K1689" s="101" t="s">
        <v>4229</v>
      </c>
      <c r="L1689" s="102" t="n">
        <v>45741</v>
      </c>
      <c r="M1689" s="100" t="n">
        <v>9243</v>
      </c>
      <c r="N1689" s="100" t="n">
        <v>10337</v>
      </c>
      <c r="O1689" s="100" t="n">
        <v>1094</v>
      </c>
      <c r="P1689" s="100" t="n">
        <v>1061</v>
      </c>
      <c r="Q1689" s="100"/>
      <c r="R1689" s="103" t="n">
        <f aca="false">合約與計費!$D$4</f>
        <v>0.296</v>
      </c>
      <c r="S1689" s="104" t="n">
        <f aca="false">ROUND(P1689*R1689,0)</f>
        <v>314</v>
      </c>
      <c r="T1689" s="105"/>
      <c r="U1689" s="100"/>
      <c r="V1689" s="100"/>
      <c r="W1689" s="106"/>
      <c r="X1689" s="100"/>
      <c r="Y1689" s="100"/>
      <c r="Z1689" s="107"/>
      <c r="AA1689" s="108"/>
      <c r="AB1689" s="109"/>
      <c r="AC1689" s="110"/>
      <c r="AD1689" s="42" t="n">
        <v>0.1023</v>
      </c>
      <c r="AE1689" s="43" t="n">
        <v>0.1</v>
      </c>
    </row>
    <row r="1690" customFormat="false" ht="16.5" hidden="false" customHeight="true" outlineLevel="0" collapsed="false">
      <c r="A1690" s="97" t="n">
        <f aca="false">ROW(A1679)</f>
        <v>1679</v>
      </c>
      <c r="B1690" s="97" t="s">
        <v>466</v>
      </c>
      <c r="C1690" s="100" t="n">
        <v>1</v>
      </c>
      <c r="D1690" s="85"/>
      <c r="E1690" s="98" t="s">
        <v>4230</v>
      </c>
      <c r="F1690" s="99" t="s">
        <v>4226</v>
      </c>
      <c r="G1690" s="100" t="s">
        <v>4100</v>
      </c>
      <c r="H1690" s="100" t="s">
        <v>4101</v>
      </c>
      <c r="I1690" s="100" t="s">
        <v>358</v>
      </c>
      <c r="J1690" s="98" t="s">
        <v>471</v>
      </c>
      <c r="K1690" s="101" t="s">
        <v>4231</v>
      </c>
      <c r="L1690" s="102" t="n">
        <v>45741</v>
      </c>
      <c r="M1690" s="100" t="n">
        <v>4748</v>
      </c>
      <c r="N1690" s="100" t="n">
        <v>5528</v>
      </c>
      <c r="O1690" s="100" t="n">
        <v>780</v>
      </c>
      <c r="P1690" s="100" t="n">
        <v>757</v>
      </c>
      <c r="Q1690" s="100"/>
      <c r="R1690" s="103" t="n">
        <f aca="false">合約與計費!$D$4</f>
        <v>0.296</v>
      </c>
      <c r="S1690" s="104" t="n">
        <f aca="false">ROUND(P1690*R1690,0)</f>
        <v>224</v>
      </c>
      <c r="T1690" s="105"/>
      <c r="U1690" s="100"/>
      <c r="V1690" s="100"/>
      <c r="W1690" s="106"/>
      <c r="X1690" s="100"/>
      <c r="Y1690" s="100"/>
      <c r="Z1690" s="107"/>
      <c r="AA1690" s="108"/>
      <c r="AB1690" s="109"/>
      <c r="AC1690" s="110"/>
      <c r="AD1690" s="42" t="n">
        <v>0.1666</v>
      </c>
      <c r="AE1690" s="43" t="n">
        <v>0.6</v>
      </c>
    </row>
    <row r="1691" customFormat="false" ht="16.5" hidden="false" customHeight="true" outlineLevel="0" collapsed="false">
      <c r="A1691" s="97" t="n">
        <f aca="false">ROW(A1680)</f>
        <v>1680</v>
      </c>
      <c r="B1691" s="97" t="s">
        <v>469</v>
      </c>
      <c r="C1691" s="100" t="n">
        <v>1</v>
      </c>
      <c r="D1691" s="85"/>
      <c r="E1691" s="98" t="s">
        <v>4232</v>
      </c>
      <c r="F1691" s="99" t="s">
        <v>4226</v>
      </c>
      <c r="G1691" s="100" t="s">
        <v>4100</v>
      </c>
      <c r="H1691" s="100" t="s">
        <v>4101</v>
      </c>
      <c r="I1691" s="100" t="s">
        <v>358</v>
      </c>
      <c r="J1691" s="98" t="s">
        <v>471</v>
      </c>
      <c r="K1691" s="101" t="s">
        <v>4233</v>
      </c>
      <c r="L1691" s="102" t="n">
        <v>45741</v>
      </c>
      <c r="M1691" s="100" t="n">
        <v>6776</v>
      </c>
      <c r="N1691" s="100" t="n">
        <v>7901</v>
      </c>
      <c r="O1691" s="100" t="n">
        <v>1125</v>
      </c>
      <c r="P1691" s="100" t="n">
        <v>1091</v>
      </c>
      <c r="Q1691" s="100"/>
      <c r="R1691" s="103" t="n">
        <f aca="false">合約與計費!$D$4</f>
        <v>0.296</v>
      </c>
      <c r="S1691" s="104" t="n">
        <f aca="false">ROUND(P1691*R1691,0)</f>
        <v>323</v>
      </c>
      <c r="T1691" s="105"/>
      <c r="U1691" s="100"/>
      <c r="V1691" s="100"/>
      <c r="W1691" s="106"/>
      <c r="X1691" s="100"/>
      <c r="Y1691" s="100"/>
      <c r="Z1691" s="107"/>
      <c r="AA1691" s="108"/>
      <c r="AB1691" s="109"/>
      <c r="AC1691" s="110"/>
      <c r="AD1691" s="42" t="n">
        <v>0.0993</v>
      </c>
      <c r="AE1691" s="43" t="n">
        <v>0.6</v>
      </c>
    </row>
    <row r="1692" customFormat="false" ht="16.5" hidden="false" customHeight="true" outlineLevel="0" collapsed="false">
      <c r="A1692" s="97" t="n">
        <f aca="false">ROW(A1681)</f>
        <v>1681</v>
      </c>
      <c r="B1692" s="97" t="s">
        <v>473</v>
      </c>
      <c r="C1692" s="100" t="n">
        <v>1</v>
      </c>
      <c r="D1692" s="85"/>
      <c r="E1692" s="98" t="s">
        <v>4234</v>
      </c>
      <c r="F1692" s="99" t="s">
        <v>4226</v>
      </c>
      <c r="G1692" s="100" t="s">
        <v>4100</v>
      </c>
      <c r="H1692" s="100" t="s">
        <v>4101</v>
      </c>
      <c r="I1692" s="100" t="s">
        <v>358</v>
      </c>
      <c r="J1692" s="98" t="s">
        <v>471</v>
      </c>
      <c r="K1692" s="101" t="s">
        <v>4235</v>
      </c>
      <c r="L1692" s="102" t="n">
        <v>45862</v>
      </c>
      <c r="M1692" s="100" t="n">
        <v>4386</v>
      </c>
      <c r="N1692" s="100" t="n">
        <v>5442</v>
      </c>
      <c r="O1692" s="100" t="n">
        <v>1056</v>
      </c>
      <c r="P1692" s="100" t="n">
        <v>1024</v>
      </c>
      <c r="Q1692" s="100"/>
      <c r="R1692" s="103" t="n">
        <f aca="false">合約與計費!$D$4</f>
        <v>0.296</v>
      </c>
      <c r="S1692" s="104" t="n">
        <f aca="false">ROUND(P1692*R1692,0)</f>
        <v>303</v>
      </c>
      <c r="T1692" s="105"/>
      <c r="U1692" s="100"/>
      <c r="V1692" s="100"/>
      <c r="W1692" s="106"/>
      <c r="X1692" s="100"/>
      <c r="Y1692" s="100"/>
      <c r="Z1692" s="107"/>
      <c r="AA1692" s="108"/>
      <c r="AB1692" s="109"/>
      <c r="AC1692" s="110"/>
      <c r="AD1692" s="42" t="n">
        <v>0.1035</v>
      </c>
      <c r="AE1692" s="43" t="n">
        <v>0.9</v>
      </c>
    </row>
    <row r="1693" customFormat="false" ht="16.5" hidden="false" customHeight="true" outlineLevel="0" collapsed="false">
      <c r="A1693" s="97" t="n">
        <f aca="false">ROW(A1682)</f>
        <v>1682</v>
      </c>
      <c r="B1693" s="97" t="s">
        <v>476</v>
      </c>
      <c r="C1693" s="100" t="n">
        <v>1</v>
      </c>
      <c r="D1693" s="85"/>
      <c r="E1693" s="98" t="s">
        <v>4236</v>
      </c>
      <c r="F1693" s="99" t="s">
        <v>4226</v>
      </c>
      <c r="G1693" s="100" t="s">
        <v>4100</v>
      </c>
      <c r="H1693" s="100" t="s">
        <v>4101</v>
      </c>
      <c r="I1693" s="100" t="s">
        <v>358</v>
      </c>
      <c r="J1693" s="98" t="s">
        <v>471</v>
      </c>
      <c r="K1693" s="101" t="s">
        <v>4237</v>
      </c>
      <c r="L1693" s="102" t="n">
        <v>45925</v>
      </c>
      <c r="M1693" s="100" t="n">
        <v>0</v>
      </c>
      <c r="N1693" s="100" t="n">
        <v>559</v>
      </c>
      <c r="O1693" s="100" t="n">
        <v>559</v>
      </c>
      <c r="P1693" s="100" t="n">
        <v>542</v>
      </c>
      <c r="Q1693" s="100"/>
      <c r="R1693" s="103" t="n">
        <f aca="false">合約與計費!$D$4</f>
        <v>0.296</v>
      </c>
      <c r="S1693" s="104" t="n">
        <f aca="false">ROUND(P1693*R1693,0)</f>
        <v>160</v>
      </c>
      <c r="T1693" s="105"/>
      <c r="U1693" s="100"/>
      <c r="V1693" s="100"/>
      <c r="W1693" s="106"/>
      <c r="X1693" s="100"/>
      <c r="Y1693" s="100"/>
      <c r="Z1693" s="107"/>
      <c r="AA1693" s="108"/>
      <c r="AB1693" s="109"/>
      <c r="AC1693" s="110"/>
      <c r="AD1693" s="42" t="n">
        <v>0.077</v>
      </c>
      <c r="AE1693" s="43" t="n">
        <v>0.7</v>
      </c>
    </row>
    <row r="1694" customFormat="false" ht="16.5" hidden="false" customHeight="true" outlineLevel="0" collapsed="false">
      <c r="A1694" s="97" t="n">
        <f aca="false">ROW(A1683)</f>
        <v>1683</v>
      </c>
      <c r="B1694" s="97" t="s">
        <v>479</v>
      </c>
      <c r="C1694" s="100" t="n">
        <v>1</v>
      </c>
      <c r="D1694" s="85"/>
      <c r="E1694" s="98" t="s">
        <v>4238</v>
      </c>
      <c r="F1694" s="99" t="s">
        <v>4226</v>
      </c>
      <c r="G1694" s="100" t="s">
        <v>4100</v>
      </c>
      <c r="H1694" s="100" t="s">
        <v>4101</v>
      </c>
      <c r="I1694" s="100" t="s">
        <v>358</v>
      </c>
      <c r="J1694" s="98" t="s">
        <v>471</v>
      </c>
      <c r="K1694" s="101" t="s">
        <v>4239</v>
      </c>
      <c r="L1694" s="102" t="n">
        <v>45925</v>
      </c>
      <c r="M1694" s="100" t="n">
        <v>0</v>
      </c>
      <c r="N1694" s="100" t="n">
        <v>150</v>
      </c>
      <c r="O1694" s="100" t="n">
        <v>150</v>
      </c>
      <c r="P1694" s="100" t="n">
        <v>146</v>
      </c>
      <c r="Q1694" s="100"/>
      <c r="R1694" s="103" t="n">
        <f aca="false">合約與計費!$D$4</f>
        <v>0.296</v>
      </c>
      <c r="S1694" s="104" t="n">
        <f aca="false">ROUND(P1694*R1694,0)</f>
        <v>43</v>
      </c>
      <c r="T1694" s="105"/>
      <c r="U1694" s="100"/>
      <c r="V1694" s="100"/>
      <c r="W1694" s="106"/>
      <c r="X1694" s="100"/>
      <c r="Y1694" s="100"/>
      <c r="Z1694" s="107"/>
      <c r="AA1694" s="108"/>
      <c r="AB1694" s="109"/>
      <c r="AC1694" s="110"/>
      <c r="AD1694" s="42" t="n">
        <v>0.0484</v>
      </c>
      <c r="AE1694" s="43" t="n">
        <v>1</v>
      </c>
    </row>
    <row r="1695" customFormat="false" ht="16.5" hidden="false" customHeight="true" outlineLevel="0" collapsed="false">
      <c r="A1695" s="97" t="n">
        <f aca="false">ROW(A1684)</f>
        <v>1684</v>
      </c>
      <c r="B1695" s="97" t="s">
        <v>482</v>
      </c>
      <c r="C1695" s="114" t="n">
        <v>1</v>
      </c>
      <c r="D1695" s="85"/>
      <c r="E1695" s="98" t="s">
        <v>4240</v>
      </c>
      <c r="F1695" s="99" t="s">
        <v>4226</v>
      </c>
      <c r="G1695" s="100" t="s">
        <v>4100</v>
      </c>
      <c r="H1695" s="100" t="s">
        <v>4101</v>
      </c>
      <c r="I1695" s="100" t="s">
        <v>358</v>
      </c>
      <c r="J1695" s="98" t="s">
        <v>471</v>
      </c>
      <c r="K1695" s="115" t="s">
        <v>4241</v>
      </c>
      <c r="L1695" s="102" t="n">
        <v>45925</v>
      </c>
      <c r="M1695" s="114" t="n">
        <v>0</v>
      </c>
      <c r="N1695" s="114" t="n">
        <v>59</v>
      </c>
      <c r="O1695" s="100" t="n">
        <v>59</v>
      </c>
      <c r="P1695" s="100" t="n">
        <v>57</v>
      </c>
      <c r="Q1695" s="100" t="n">
        <f aca="false">ROUND(SUM(P1688:P1695),2)</f>
        <v>4861</v>
      </c>
      <c r="R1695" s="103" t="n">
        <f aca="false">合約與計費!$D$4</f>
        <v>0.296</v>
      </c>
      <c r="S1695" s="104" t="n">
        <f aca="false">ROUND(P1695*R1695,0)</f>
        <v>17</v>
      </c>
      <c r="T1695" s="105" t="n">
        <f aca="false">ROUND(SUM(S1688:S1695),2)</f>
        <v>1438</v>
      </c>
      <c r="U1695" s="114"/>
      <c r="V1695" s="114"/>
      <c r="W1695" s="106"/>
      <c r="X1695" s="114"/>
      <c r="Y1695" s="100" t="n">
        <f aca="false">ROUND(SUM(X1688:X1695),2)</f>
        <v>62</v>
      </c>
      <c r="Z1695" s="121"/>
      <c r="AA1695" s="108"/>
      <c r="AB1695" s="109" t="n">
        <f aca="false">ROUND(SUM(AA1688:AA1695),2)</f>
        <v>174</v>
      </c>
      <c r="AC1695" s="124"/>
      <c r="AD1695" s="42" t="n">
        <v>0.0655</v>
      </c>
      <c r="AE1695" s="43" t="n">
        <v>1</v>
      </c>
    </row>
    <row r="1696" customFormat="false" ht="16.5" hidden="false" customHeight="true" outlineLevel="0" collapsed="false">
      <c r="A1696" s="84" t="n">
        <f aca="false">ROW(A1685)</f>
        <v>1685</v>
      </c>
      <c r="B1696" s="84" t="s">
        <v>455</v>
      </c>
      <c r="C1696" s="32" t="n">
        <v>1</v>
      </c>
      <c r="D1696" s="85" t="n">
        <v>400</v>
      </c>
      <c r="E1696" s="86" t="s">
        <v>4242</v>
      </c>
      <c r="F1696" s="87" t="s">
        <v>4243</v>
      </c>
      <c r="G1696" s="32" t="s">
        <v>4100</v>
      </c>
      <c r="H1696" s="32" t="s">
        <v>4101</v>
      </c>
      <c r="I1696" s="32" t="s">
        <v>202</v>
      </c>
      <c r="J1696" s="86" t="s">
        <v>460</v>
      </c>
      <c r="K1696" s="88" t="s">
        <v>4244</v>
      </c>
      <c r="L1696" s="89" t="n">
        <v>45779</v>
      </c>
      <c r="M1696" s="32" t="n">
        <v>2929</v>
      </c>
      <c r="N1696" s="32" t="n">
        <v>3858</v>
      </c>
      <c r="O1696" s="32" t="n">
        <v>929</v>
      </c>
      <c r="P1696" s="32" t="n">
        <v>901</v>
      </c>
      <c r="Q1696" s="32"/>
      <c r="R1696" s="90" t="n">
        <f aca="false">合約與計費!$D$4</f>
        <v>0.296</v>
      </c>
      <c r="S1696" s="91" t="n">
        <f aca="false">ROUND(P1696*R1696,0)</f>
        <v>267</v>
      </c>
      <c r="T1696" s="92"/>
      <c r="U1696" s="32" t="n">
        <v>139</v>
      </c>
      <c r="V1696" s="32" t="n">
        <v>235</v>
      </c>
      <c r="W1696" s="32" t="n">
        <v>96</v>
      </c>
      <c r="X1696" s="32" t="n">
        <v>93</v>
      </c>
      <c r="Y1696" s="32"/>
      <c r="Z1696" s="93" t="n">
        <f aca="false">合約與計費!$E$4</f>
        <v>2.8</v>
      </c>
      <c r="AA1696" s="94" t="n">
        <f aca="false">ROUND(X1696*Z1696,0)</f>
        <v>260</v>
      </c>
      <c r="AB1696" s="95"/>
      <c r="AC1696" s="254"/>
      <c r="AD1696" s="42"/>
      <c r="AE1696" s="43"/>
    </row>
    <row r="1697" customFormat="false" ht="16.5" hidden="false" customHeight="true" outlineLevel="0" collapsed="false">
      <c r="A1697" s="97" t="n">
        <f aca="false">ROW(A1686)</f>
        <v>1686</v>
      </c>
      <c r="B1697" s="97" t="s">
        <v>462</v>
      </c>
      <c r="C1697" s="100" t="n">
        <v>1</v>
      </c>
      <c r="D1697" s="85"/>
      <c r="E1697" s="98" t="s">
        <v>4245</v>
      </c>
      <c r="F1697" s="99" t="s">
        <v>4243</v>
      </c>
      <c r="G1697" s="100" t="s">
        <v>4100</v>
      </c>
      <c r="H1697" s="100" t="s">
        <v>4101</v>
      </c>
      <c r="I1697" s="100" t="s">
        <v>202</v>
      </c>
      <c r="J1697" s="98" t="s">
        <v>464</v>
      </c>
      <c r="K1697" s="101" t="s">
        <v>4246</v>
      </c>
      <c r="L1697" s="102" t="n">
        <v>45779</v>
      </c>
      <c r="M1697" s="100" t="n">
        <v>1622</v>
      </c>
      <c r="N1697" s="100" t="n">
        <v>1876</v>
      </c>
      <c r="O1697" s="100" t="n">
        <v>254</v>
      </c>
      <c r="P1697" s="100" t="n">
        <v>246</v>
      </c>
      <c r="Q1697" s="100"/>
      <c r="R1697" s="103" t="n">
        <f aca="false">合約與計費!$D$4</f>
        <v>0.296</v>
      </c>
      <c r="S1697" s="104" t="n">
        <f aca="false">ROUND(P1697*R1697,0)</f>
        <v>73</v>
      </c>
      <c r="T1697" s="105"/>
      <c r="U1697" s="100"/>
      <c r="V1697" s="100"/>
      <c r="W1697" s="106"/>
      <c r="X1697" s="100"/>
      <c r="Y1697" s="100"/>
      <c r="Z1697" s="107"/>
      <c r="AA1697" s="108"/>
      <c r="AB1697" s="109"/>
      <c r="AC1697" s="110"/>
      <c r="AD1697" s="42" t="n">
        <v>0.0579</v>
      </c>
      <c r="AE1697" s="43" t="n">
        <v>1</v>
      </c>
    </row>
    <row r="1698" customFormat="false" ht="16.5" hidden="false" customHeight="true" outlineLevel="0" collapsed="false">
      <c r="A1698" s="97" t="n">
        <f aca="false">ROW(A1687)</f>
        <v>1687</v>
      </c>
      <c r="B1698" s="97" t="s">
        <v>466</v>
      </c>
      <c r="C1698" s="100" t="n">
        <v>1</v>
      </c>
      <c r="D1698" s="85"/>
      <c r="E1698" s="98" t="s">
        <v>4247</v>
      </c>
      <c r="F1698" s="99" t="s">
        <v>4243</v>
      </c>
      <c r="G1698" s="100" t="s">
        <v>4100</v>
      </c>
      <c r="H1698" s="100" t="s">
        <v>4101</v>
      </c>
      <c r="I1698" s="100" t="s">
        <v>202</v>
      </c>
      <c r="J1698" s="98" t="s">
        <v>471</v>
      </c>
      <c r="K1698" s="101" t="s">
        <v>4248</v>
      </c>
      <c r="L1698" s="102" t="n">
        <v>45779</v>
      </c>
      <c r="M1698" s="100" t="n">
        <v>123</v>
      </c>
      <c r="N1698" s="100" t="n">
        <v>751</v>
      </c>
      <c r="O1698" s="100" t="n">
        <v>628</v>
      </c>
      <c r="P1698" s="100" t="n">
        <v>609</v>
      </c>
      <c r="Q1698" s="100"/>
      <c r="R1698" s="103" t="n">
        <f aca="false">合約與計費!$D$4</f>
        <v>0.296</v>
      </c>
      <c r="S1698" s="104" t="n">
        <f aca="false">ROUND(P1698*R1698,0)</f>
        <v>180</v>
      </c>
      <c r="T1698" s="105"/>
      <c r="U1698" s="100"/>
      <c r="V1698" s="100"/>
      <c r="W1698" s="106"/>
      <c r="X1698" s="100"/>
      <c r="Y1698" s="100"/>
      <c r="Z1698" s="107"/>
      <c r="AA1698" s="108"/>
      <c r="AB1698" s="109"/>
      <c r="AC1698" s="110"/>
      <c r="AD1698" s="42" t="n">
        <v>0.0715</v>
      </c>
      <c r="AE1698" s="43" t="n">
        <v>0.6</v>
      </c>
    </row>
    <row r="1699" customFormat="false" ht="16.5" hidden="false" customHeight="true" outlineLevel="0" collapsed="false">
      <c r="A1699" s="97" t="n">
        <f aca="false">ROW(A1688)</f>
        <v>1688</v>
      </c>
      <c r="B1699" s="97" t="s">
        <v>469</v>
      </c>
      <c r="C1699" s="100" t="n">
        <v>1</v>
      </c>
      <c r="D1699" s="85"/>
      <c r="E1699" s="98" t="s">
        <v>4249</v>
      </c>
      <c r="F1699" s="99" t="s">
        <v>4243</v>
      </c>
      <c r="G1699" s="100" t="s">
        <v>4100</v>
      </c>
      <c r="H1699" s="100" t="s">
        <v>4101</v>
      </c>
      <c r="I1699" s="100" t="s">
        <v>202</v>
      </c>
      <c r="J1699" s="98" t="s">
        <v>471</v>
      </c>
      <c r="K1699" s="101" t="s">
        <v>4250</v>
      </c>
      <c r="L1699" s="102" t="n">
        <v>45779</v>
      </c>
      <c r="M1699" s="100" t="n">
        <v>3617</v>
      </c>
      <c r="N1699" s="100" t="n">
        <v>4500</v>
      </c>
      <c r="O1699" s="100" t="n">
        <v>883</v>
      </c>
      <c r="P1699" s="100" t="n">
        <v>857</v>
      </c>
      <c r="Q1699" s="100"/>
      <c r="R1699" s="103" t="n">
        <f aca="false">合約與計費!$D$4</f>
        <v>0.296</v>
      </c>
      <c r="S1699" s="104" t="n">
        <f aca="false">ROUND(P1699*R1699,0)</f>
        <v>254</v>
      </c>
      <c r="T1699" s="105"/>
      <c r="U1699" s="100"/>
      <c r="V1699" s="100"/>
      <c r="W1699" s="106"/>
      <c r="X1699" s="100"/>
      <c r="Y1699" s="100"/>
      <c r="Z1699" s="107"/>
      <c r="AA1699" s="108"/>
      <c r="AB1699" s="109"/>
      <c r="AC1699" s="110"/>
      <c r="AD1699" s="42" t="n">
        <v>0.085</v>
      </c>
      <c r="AE1699" s="43" t="n">
        <v>0.7</v>
      </c>
    </row>
    <row r="1700" customFormat="false" ht="16.5" hidden="false" customHeight="true" outlineLevel="0" collapsed="false">
      <c r="A1700" s="97" t="n">
        <f aca="false">ROW(A1689)</f>
        <v>1689</v>
      </c>
      <c r="B1700" s="97" t="s">
        <v>473</v>
      </c>
      <c r="C1700" s="100" t="n">
        <v>1</v>
      </c>
      <c r="D1700" s="85"/>
      <c r="E1700" s="98" t="s">
        <v>4251</v>
      </c>
      <c r="F1700" s="99" t="s">
        <v>4243</v>
      </c>
      <c r="G1700" s="100" t="s">
        <v>4100</v>
      </c>
      <c r="H1700" s="100" t="s">
        <v>4101</v>
      </c>
      <c r="I1700" s="100" t="s">
        <v>202</v>
      </c>
      <c r="J1700" s="98" t="s">
        <v>471</v>
      </c>
      <c r="K1700" s="101" t="s">
        <v>4252</v>
      </c>
      <c r="L1700" s="102" t="n">
        <v>45779</v>
      </c>
      <c r="M1700" s="100" t="n">
        <v>1853</v>
      </c>
      <c r="N1700" s="100" t="n">
        <v>2302</v>
      </c>
      <c r="O1700" s="100" t="n">
        <v>449</v>
      </c>
      <c r="P1700" s="100" t="n">
        <v>436</v>
      </c>
      <c r="Q1700" s="100"/>
      <c r="R1700" s="103" t="n">
        <f aca="false">合約與計費!$D$4</f>
        <v>0.296</v>
      </c>
      <c r="S1700" s="104" t="n">
        <f aca="false">ROUND(P1700*R1700,0)</f>
        <v>129</v>
      </c>
      <c r="T1700" s="105"/>
      <c r="U1700" s="100"/>
      <c r="V1700" s="100"/>
      <c r="W1700" s="106"/>
      <c r="X1700" s="100"/>
      <c r="Y1700" s="100"/>
      <c r="Z1700" s="107"/>
      <c r="AA1700" s="108"/>
      <c r="AB1700" s="109"/>
      <c r="AC1700" s="110"/>
      <c r="AD1700" s="42" t="n">
        <v>0.0742</v>
      </c>
      <c r="AE1700" s="43" t="n">
        <v>1</v>
      </c>
    </row>
    <row r="1701" customFormat="false" ht="16.5" hidden="false" customHeight="true" outlineLevel="0" collapsed="false">
      <c r="A1701" s="97" t="n">
        <f aca="false">ROW(A1690)</f>
        <v>1690</v>
      </c>
      <c r="B1701" s="97" t="s">
        <v>476</v>
      </c>
      <c r="C1701" s="100" t="n">
        <v>1</v>
      </c>
      <c r="D1701" s="85"/>
      <c r="E1701" s="98" t="s">
        <v>4253</v>
      </c>
      <c r="F1701" s="99" t="s">
        <v>4243</v>
      </c>
      <c r="G1701" s="100" t="s">
        <v>4100</v>
      </c>
      <c r="H1701" s="100" t="s">
        <v>4101</v>
      </c>
      <c r="I1701" s="100" t="s">
        <v>202</v>
      </c>
      <c r="J1701" s="98" t="s">
        <v>471</v>
      </c>
      <c r="K1701" s="101" t="s">
        <v>4254</v>
      </c>
      <c r="L1701" s="102" t="n">
        <v>45779</v>
      </c>
      <c r="M1701" s="100" t="n">
        <v>2829</v>
      </c>
      <c r="N1701" s="100" t="n">
        <v>3411</v>
      </c>
      <c r="O1701" s="100" t="n">
        <v>582</v>
      </c>
      <c r="P1701" s="100" t="n">
        <v>565</v>
      </c>
      <c r="Q1701" s="100"/>
      <c r="R1701" s="103" t="n">
        <f aca="false">合約與計費!$D$4</f>
        <v>0.296</v>
      </c>
      <c r="S1701" s="104" t="n">
        <f aca="false">ROUND(P1701*R1701,0)</f>
        <v>167</v>
      </c>
      <c r="T1701" s="105"/>
      <c r="U1701" s="100"/>
      <c r="V1701" s="100"/>
      <c r="W1701" s="106"/>
      <c r="X1701" s="100"/>
      <c r="Y1701" s="100"/>
      <c r="Z1701" s="107"/>
      <c r="AA1701" s="108"/>
      <c r="AB1701" s="109"/>
      <c r="AC1701" s="110"/>
      <c r="AD1701" s="42" t="n">
        <v>0.0897</v>
      </c>
      <c r="AE1701" s="43" t="n">
        <v>0.9</v>
      </c>
    </row>
    <row r="1702" customFormat="false" ht="16.5" hidden="false" customHeight="true" outlineLevel="0" collapsed="false">
      <c r="A1702" s="97" t="n">
        <f aca="false">ROW(A1691)</f>
        <v>1691</v>
      </c>
      <c r="B1702" s="97" t="s">
        <v>479</v>
      </c>
      <c r="C1702" s="100" t="n">
        <v>1</v>
      </c>
      <c r="D1702" s="85"/>
      <c r="E1702" s="98" t="s">
        <v>4255</v>
      </c>
      <c r="F1702" s="99" t="s">
        <v>4243</v>
      </c>
      <c r="G1702" s="100" t="s">
        <v>4100</v>
      </c>
      <c r="H1702" s="100" t="s">
        <v>4101</v>
      </c>
      <c r="I1702" s="100" t="s">
        <v>202</v>
      </c>
      <c r="J1702" s="98" t="s">
        <v>471</v>
      </c>
      <c r="K1702" s="101" t="s">
        <v>4256</v>
      </c>
      <c r="L1702" s="102" t="n">
        <v>45779</v>
      </c>
      <c r="M1702" s="100" t="n">
        <v>2721</v>
      </c>
      <c r="N1702" s="100" t="n">
        <v>3476</v>
      </c>
      <c r="O1702" s="100" t="n">
        <v>755</v>
      </c>
      <c r="P1702" s="100" t="n">
        <v>732</v>
      </c>
      <c r="Q1702" s="100"/>
      <c r="R1702" s="103" t="n">
        <f aca="false">合約與計費!$D$4</f>
        <v>0.296</v>
      </c>
      <c r="S1702" s="104" t="n">
        <f aca="false">ROUND(P1702*R1702,0)</f>
        <v>217</v>
      </c>
      <c r="T1702" s="105"/>
      <c r="U1702" s="100"/>
      <c r="V1702" s="100"/>
      <c r="W1702" s="106"/>
      <c r="X1702" s="100"/>
      <c r="Y1702" s="100"/>
      <c r="Z1702" s="107"/>
      <c r="AA1702" s="108"/>
      <c r="AB1702" s="109"/>
      <c r="AC1702" s="110"/>
      <c r="AD1702" s="42" t="n">
        <v>0.0822</v>
      </c>
      <c r="AE1702" s="43" t="n">
        <v>0.8</v>
      </c>
    </row>
    <row r="1703" customFormat="false" ht="16.5" hidden="false" customHeight="true" outlineLevel="0" collapsed="false">
      <c r="A1703" s="97" t="n">
        <f aca="false">ROW(A1692)</f>
        <v>1692</v>
      </c>
      <c r="B1703" s="97" t="s">
        <v>482</v>
      </c>
      <c r="C1703" s="100" t="n">
        <v>1</v>
      </c>
      <c r="D1703" s="85"/>
      <c r="E1703" s="98" t="s">
        <v>4257</v>
      </c>
      <c r="F1703" s="99" t="s">
        <v>4243</v>
      </c>
      <c r="G1703" s="100" t="s">
        <v>4100</v>
      </c>
      <c r="H1703" s="100" t="s">
        <v>4101</v>
      </c>
      <c r="I1703" s="100" t="s">
        <v>202</v>
      </c>
      <c r="J1703" s="98" t="s">
        <v>471</v>
      </c>
      <c r="K1703" s="101" t="s">
        <v>4258</v>
      </c>
      <c r="L1703" s="102" t="n">
        <v>45903</v>
      </c>
      <c r="M1703" s="100" t="n">
        <v>4769</v>
      </c>
      <c r="N1703" s="100" t="n">
        <v>5351</v>
      </c>
      <c r="O1703" s="100" t="n">
        <v>582</v>
      </c>
      <c r="P1703" s="100" t="n">
        <v>565</v>
      </c>
      <c r="Q1703" s="100"/>
      <c r="R1703" s="103" t="n">
        <f aca="false">合約與計費!$D$4</f>
        <v>0.296</v>
      </c>
      <c r="S1703" s="104" t="n">
        <f aca="false">ROUND(P1703*R1703,0)</f>
        <v>167</v>
      </c>
      <c r="T1703" s="105"/>
      <c r="U1703" s="100"/>
      <c r="V1703" s="100"/>
      <c r="W1703" s="106"/>
      <c r="X1703" s="100"/>
      <c r="Y1703" s="100"/>
      <c r="Z1703" s="107"/>
      <c r="AA1703" s="108"/>
      <c r="AB1703" s="109"/>
      <c r="AC1703" s="110"/>
      <c r="AD1703" s="42" t="n">
        <v>0.0802</v>
      </c>
      <c r="AE1703" s="43" t="n">
        <v>1</v>
      </c>
    </row>
    <row r="1704" customFormat="false" ht="16.5" hidden="false" customHeight="true" outlineLevel="0" collapsed="false">
      <c r="A1704" s="97" t="n">
        <f aca="false">ROW(A1693)</f>
        <v>1693</v>
      </c>
      <c r="B1704" s="97" t="s">
        <v>485</v>
      </c>
      <c r="C1704" s="100" t="n">
        <v>1</v>
      </c>
      <c r="D1704" s="85"/>
      <c r="E1704" s="98" t="s">
        <v>4259</v>
      </c>
      <c r="F1704" s="99" t="s">
        <v>4243</v>
      </c>
      <c r="G1704" s="100" t="s">
        <v>4100</v>
      </c>
      <c r="H1704" s="100" t="s">
        <v>4101</v>
      </c>
      <c r="I1704" s="100" t="s">
        <v>202</v>
      </c>
      <c r="J1704" s="98" t="s">
        <v>471</v>
      </c>
      <c r="K1704" s="101" t="s">
        <v>4260</v>
      </c>
      <c r="L1704" s="102" t="n">
        <v>45903</v>
      </c>
      <c r="M1704" s="100" t="n">
        <v>1368</v>
      </c>
      <c r="N1704" s="100" t="n">
        <v>1747</v>
      </c>
      <c r="O1704" s="100" t="n">
        <v>379</v>
      </c>
      <c r="P1704" s="100" t="n">
        <v>368</v>
      </c>
      <c r="Q1704" s="100"/>
      <c r="R1704" s="103" t="n">
        <f aca="false">合約與計費!$D$4</f>
        <v>0.296</v>
      </c>
      <c r="S1704" s="104" t="n">
        <f aca="false">ROUND(P1704*R1704,0)</f>
        <v>109</v>
      </c>
      <c r="T1704" s="105"/>
      <c r="U1704" s="100"/>
      <c r="V1704" s="100"/>
      <c r="W1704" s="106"/>
      <c r="X1704" s="100"/>
      <c r="Y1704" s="100"/>
      <c r="Z1704" s="107"/>
      <c r="AA1704" s="108"/>
      <c r="AB1704" s="109"/>
      <c r="AC1704" s="110"/>
      <c r="AD1704" s="42" t="n">
        <v>0.0546</v>
      </c>
      <c r="AE1704" s="43" t="n">
        <v>1</v>
      </c>
    </row>
    <row r="1705" customFormat="false" ht="16.5" hidden="false" customHeight="true" outlineLevel="0" collapsed="false">
      <c r="A1705" s="111" t="n">
        <f aca="false">ROW(A1694)</f>
        <v>1694</v>
      </c>
      <c r="B1705" s="111" t="s">
        <v>1779</v>
      </c>
      <c r="C1705" s="114" t="n">
        <v>1</v>
      </c>
      <c r="D1705" s="85"/>
      <c r="E1705" s="112" t="s">
        <v>4261</v>
      </c>
      <c r="F1705" s="113" t="s">
        <v>4243</v>
      </c>
      <c r="G1705" s="114" t="s">
        <v>4100</v>
      </c>
      <c r="H1705" s="114" t="s">
        <v>4101</v>
      </c>
      <c r="I1705" s="114" t="s">
        <v>202</v>
      </c>
      <c r="J1705" s="112" t="s">
        <v>471</v>
      </c>
      <c r="K1705" s="115" t="s">
        <v>4262</v>
      </c>
      <c r="L1705" s="116" t="n">
        <v>45903</v>
      </c>
      <c r="M1705" s="114" t="n">
        <v>360</v>
      </c>
      <c r="N1705" s="114" t="n">
        <v>1100</v>
      </c>
      <c r="O1705" s="100" t="n">
        <v>740</v>
      </c>
      <c r="P1705" s="100" t="n">
        <v>718</v>
      </c>
      <c r="Q1705" s="100" t="n">
        <f aca="false">ROUND(SUM(P1696:P1705),2)</f>
        <v>5997</v>
      </c>
      <c r="R1705" s="103" t="n">
        <f aca="false">合約與計費!$D$4</f>
        <v>0.296</v>
      </c>
      <c r="S1705" s="104" t="n">
        <f aca="false">ROUND(P1705*R1705,0)</f>
        <v>213</v>
      </c>
      <c r="T1705" s="105" t="n">
        <f aca="false">ROUND(SUM(S1696:S1705),2)</f>
        <v>1776</v>
      </c>
      <c r="U1705" s="114"/>
      <c r="V1705" s="114"/>
      <c r="W1705" s="106"/>
      <c r="X1705" s="114"/>
      <c r="Y1705" s="100" t="n">
        <f aca="false">ROUND(SUM(X1696:X1705),2)</f>
        <v>93</v>
      </c>
      <c r="Z1705" s="121"/>
      <c r="AA1705" s="108"/>
      <c r="AB1705" s="109" t="n">
        <f aca="false">ROUND(SUM(AA1696:AA1705),2)</f>
        <v>260</v>
      </c>
      <c r="AC1705" s="124"/>
      <c r="AD1705" s="42" t="n">
        <v>0.0894</v>
      </c>
      <c r="AE1705" s="43" t="n">
        <v>0.9</v>
      </c>
    </row>
    <row r="1706" customFormat="false" ht="16.5" hidden="false" customHeight="true" outlineLevel="0" collapsed="false">
      <c r="A1706" s="84" t="n">
        <f aca="false">ROW(A1695)</f>
        <v>1695</v>
      </c>
      <c r="B1706" s="84" t="s">
        <v>455</v>
      </c>
      <c r="C1706" s="32" t="n">
        <v>1</v>
      </c>
      <c r="D1706" s="85" t="n">
        <v>409</v>
      </c>
      <c r="E1706" s="86" t="s">
        <v>4263</v>
      </c>
      <c r="F1706" s="87" t="s">
        <v>4264</v>
      </c>
      <c r="G1706" s="32" t="s">
        <v>4100</v>
      </c>
      <c r="H1706" s="32" t="s">
        <v>4101</v>
      </c>
      <c r="I1706" s="172" t="s">
        <v>142</v>
      </c>
      <c r="J1706" s="86" t="s">
        <v>460</v>
      </c>
      <c r="K1706" s="225" t="s">
        <v>4265</v>
      </c>
      <c r="L1706" s="89" t="n">
        <v>45902</v>
      </c>
      <c r="M1706" s="32" t="n">
        <v>1527</v>
      </c>
      <c r="N1706" s="32" t="n">
        <v>1901</v>
      </c>
      <c r="O1706" s="32" t="n">
        <v>374</v>
      </c>
      <c r="P1706" s="32" t="n">
        <v>363</v>
      </c>
      <c r="Q1706" s="32"/>
      <c r="R1706" s="90" t="n">
        <f aca="false">合約與計費!$D$4</f>
        <v>0.296</v>
      </c>
      <c r="S1706" s="91" t="n">
        <f aca="false">ROUND(P1706*R1706,0)</f>
        <v>107</v>
      </c>
      <c r="T1706" s="92"/>
      <c r="U1706" s="32" t="n">
        <v>257</v>
      </c>
      <c r="V1706" s="32" t="n">
        <v>408</v>
      </c>
      <c r="W1706" s="32" t="n">
        <v>151</v>
      </c>
      <c r="X1706" s="32" t="n">
        <v>146</v>
      </c>
      <c r="Y1706" s="32"/>
      <c r="Z1706" s="93" t="n">
        <f aca="false">合約與計費!$E$4</f>
        <v>2.8</v>
      </c>
      <c r="AA1706" s="94" t="n">
        <f aca="false">ROUND(X1706*Z1706,0)</f>
        <v>409</v>
      </c>
      <c r="AB1706" s="95"/>
      <c r="AC1706" s="254"/>
      <c r="AD1706" s="42"/>
      <c r="AE1706" s="43"/>
    </row>
    <row r="1707" customFormat="false" ht="16.5" hidden="false" customHeight="true" outlineLevel="0" collapsed="false">
      <c r="A1707" s="111" t="n">
        <f aca="false">ROW(A1696)</f>
        <v>1696</v>
      </c>
      <c r="B1707" s="111" t="s">
        <v>462</v>
      </c>
      <c r="C1707" s="114" t="n">
        <v>1</v>
      </c>
      <c r="D1707" s="85" t="n">
        <v>409</v>
      </c>
      <c r="E1707" s="112" t="s">
        <v>4266</v>
      </c>
      <c r="F1707" s="113" t="s">
        <v>4264</v>
      </c>
      <c r="G1707" s="114" t="s">
        <v>4100</v>
      </c>
      <c r="H1707" s="114" t="s">
        <v>4101</v>
      </c>
      <c r="I1707" s="173" t="s">
        <v>142</v>
      </c>
      <c r="J1707" s="112" t="s">
        <v>464</v>
      </c>
      <c r="K1707" s="115" t="s">
        <v>4267</v>
      </c>
      <c r="L1707" s="116" t="n">
        <v>45747</v>
      </c>
      <c r="M1707" s="114" t="n">
        <v>598</v>
      </c>
      <c r="N1707" s="114" t="n">
        <v>681</v>
      </c>
      <c r="O1707" s="114" t="n">
        <v>83</v>
      </c>
      <c r="P1707" s="114" t="n">
        <v>81</v>
      </c>
      <c r="Q1707" s="114" t="n">
        <f aca="false">ROUND(SUM(P1706:P1707),2)</f>
        <v>444</v>
      </c>
      <c r="R1707" s="103" t="n">
        <f aca="false">合約與計費!$D$4</f>
        <v>0.296</v>
      </c>
      <c r="S1707" s="104" t="n">
        <f aca="false">ROUND(P1707*R1707,0)</f>
        <v>24</v>
      </c>
      <c r="T1707" s="119" t="n">
        <f aca="false">ROUND(SUM(S1706:S1707),2)</f>
        <v>131</v>
      </c>
      <c r="U1707" s="114"/>
      <c r="V1707" s="114"/>
      <c r="W1707" s="120"/>
      <c r="X1707" s="114"/>
      <c r="Y1707" s="114" t="n">
        <f aca="false">ROUND(SUM(X1706:X1707),2)</f>
        <v>146</v>
      </c>
      <c r="Z1707" s="121"/>
      <c r="AA1707" s="122"/>
      <c r="AB1707" s="123" t="n">
        <f aca="false">ROUND(SUM(AA1706:AA1707),2)</f>
        <v>409</v>
      </c>
      <c r="AC1707" s="124"/>
      <c r="AD1707" s="42" t="n">
        <v>0.0491</v>
      </c>
      <c r="AE1707" s="43" t="n">
        <v>0.8</v>
      </c>
    </row>
    <row r="1708" customFormat="false" ht="16.5" hidden="false" customHeight="true" outlineLevel="0" collapsed="false">
      <c r="A1708" s="84" t="n">
        <f aca="false">ROW(A1697)</f>
        <v>1697</v>
      </c>
      <c r="B1708" s="84" t="s">
        <v>455</v>
      </c>
      <c r="C1708" s="32" t="n">
        <v>1</v>
      </c>
      <c r="D1708" s="85" t="n">
        <v>162</v>
      </c>
      <c r="E1708" s="86" t="s">
        <v>4268</v>
      </c>
      <c r="F1708" s="87" t="s">
        <v>4269</v>
      </c>
      <c r="G1708" s="32" t="s">
        <v>4100</v>
      </c>
      <c r="H1708" s="32" t="s">
        <v>4270</v>
      </c>
      <c r="I1708" s="32" t="s">
        <v>15</v>
      </c>
      <c r="J1708" s="86" t="s">
        <v>460</v>
      </c>
      <c r="K1708" s="88" t="s">
        <v>4271</v>
      </c>
      <c r="L1708" s="89" t="n">
        <v>45756</v>
      </c>
      <c r="M1708" s="32" t="n">
        <v>556</v>
      </c>
      <c r="N1708" s="32" t="n">
        <v>705</v>
      </c>
      <c r="O1708" s="32" t="n">
        <v>149</v>
      </c>
      <c r="P1708" s="32" t="n">
        <v>145</v>
      </c>
      <c r="Q1708" s="32"/>
      <c r="R1708" s="90" t="n">
        <f aca="false">合約與計費!$D$4</f>
        <v>0.296</v>
      </c>
      <c r="S1708" s="91" t="n">
        <f aca="false">ROUND(P1708*R1708,0)</f>
        <v>43</v>
      </c>
      <c r="T1708" s="92"/>
      <c r="U1708" s="32" t="n">
        <v>228</v>
      </c>
      <c r="V1708" s="32" t="n">
        <v>267</v>
      </c>
      <c r="W1708" s="32" t="n">
        <v>39</v>
      </c>
      <c r="X1708" s="32" t="n">
        <v>38</v>
      </c>
      <c r="Y1708" s="32"/>
      <c r="Z1708" s="93" t="n">
        <f aca="false">合約與計費!$E$4</f>
        <v>2.8</v>
      </c>
      <c r="AA1708" s="94" t="n">
        <f aca="false">ROUND(X1708*Z1708,0)</f>
        <v>106</v>
      </c>
      <c r="AB1708" s="95"/>
      <c r="AC1708" s="254"/>
      <c r="AD1708" s="42"/>
      <c r="AE1708" s="43"/>
    </row>
    <row r="1709" customFormat="false" ht="16.5" hidden="false" customHeight="true" outlineLevel="0" collapsed="false">
      <c r="A1709" s="97" t="n">
        <f aca="false">ROW(A1698)</f>
        <v>1698</v>
      </c>
      <c r="B1709" s="97" t="s">
        <v>462</v>
      </c>
      <c r="C1709" s="100" t="n">
        <v>1</v>
      </c>
      <c r="D1709" s="85"/>
      <c r="E1709" s="98" t="s">
        <v>4272</v>
      </c>
      <c r="F1709" s="99" t="s">
        <v>4269</v>
      </c>
      <c r="G1709" s="100" t="s">
        <v>4100</v>
      </c>
      <c r="H1709" s="100" t="s">
        <v>4270</v>
      </c>
      <c r="I1709" s="100" t="s">
        <v>15</v>
      </c>
      <c r="J1709" s="98" t="s">
        <v>464</v>
      </c>
      <c r="K1709" s="101" t="s">
        <v>4273</v>
      </c>
      <c r="L1709" s="102" t="n">
        <v>45756</v>
      </c>
      <c r="M1709" s="100" t="n">
        <v>1609</v>
      </c>
      <c r="N1709" s="100" t="n">
        <v>1997</v>
      </c>
      <c r="O1709" s="100" t="n">
        <v>388</v>
      </c>
      <c r="P1709" s="100" t="n">
        <v>376</v>
      </c>
      <c r="Q1709" s="100"/>
      <c r="R1709" s="103" t="n">
        <f aca="false">合約與計費!$D$4</f>
        <v>0.296</v>
      </c>
      <c r="S1709" s="104" t="n">
        <f aca="false">ROUND(P1709*R1709,0)</f>
        <v>111</v>
      </c>
      <c r="T1709" s="105"/>
      <c r="U1709" s="100"/>
      <c r="V1709" s="100"/>
      <c r="W1709" s="106"/>
      <c r="X1709" s="100"/>
      <c r="Y1709" s="100"/>
      <c r="Z1709" s="107"/>
      <c r="AA1709" s="108"/>
      <c r="AB1709" s="109"/>
      <c r="AC1709" s="110"/>
      <c r="AD1709" s="42"/>
      <c r="AE1709" s="43"/>
    </row>
    <row r="1710" customFormat="false" ht="16.5" hidden="false" customHeight="true" outlineLevel="0" collapsed="false">
      <c r="A1710" s="97" t="n">
        <f aca="false">ROW(A1699)</f>
        <v>1699</v>
      </c>
      <c r="B1710" s="97" t="s">
        <v>466</v>
      </c>
      <c r="C1710" s="100" t="n">
        <v>1</v>
      </c>
      <c r="D1710" s="85"/>
      <c r="E1710" s="98" t="s">
        <v>4274</v>
      </c>
      <c r="F1710" s="99" t="s">
        <v>4269</v>
      </c>
      <c r="G1710" s="100" t="s">
        <v>4100</v>
      </c>
      <c r="H1710" s="100" t="s">
        <v>4270</v>
      </c>
      <c r="I1710" s="100" t="s">
        <v>15</v>
      </c>
      <c r="J1710" s="98" t="s">
        <v>471</v>
      </c>
      <c r="K1710" s="101" t="s">
        <v>4275</v>
      </c>
      <c r="L1710" s="102" t="n">
        <v>45756</v>
      </c>
      <c r="M1710" s="100" t="n">
        <v>7142</v>
      </c>
      <c r="N1710" s="100" t="n">
        <v>8677</v>
      </c>
      <c r="O1710" s="100" t="n">
        <v>1535</v>
      </c>
      <c r="P1710" s="100" t="n">
        <v>1489</v>
      </c>
      <c r="Q1710" s="100"/>
      <c r="R1710" s="103" t="n">
        <f aca="false">合約與計費!$D$4</f>
        <v>0.296</v>
      </c>
      <c r="S1710" s="104" t="n">
        <f aca="false">ROUND(P1710*R1710,0)</f>
        <v>441</v>
      </c>
      <c r="T1710" s="105"/>
      <c r="U1710" s="100"/>
      <c r="V1710" s="100"/>
      <c r="W1710" s="106"/>
      <c r="X1710" s="100"/>
      <c r="Y1710" s="100"/>
      <c r="Z1710" s="107"/>
      <c r="AA1710" s="108"/>
      <c r="AB1710" s="109"/>
      <c r="AC1710" s="110"/>
      <c r="AD1710" s="42"/>
      <c r="AE1710" s="43"/>
    </row>
    <row r="1711" customFormat="false" ht="16.5" hidden="false" customHeight="true" outlineLevel="0" collapsed="false">
      <c r="A1711" s="97" t="n">
        <f aca="false">ROW(A1700)</f>
        <v>1700</v>
      </c>
      <c r="B1711" s="97" t="s">
        <v>469</v>
      </c>
      <c r="C1711" s="100" t="n">
        <v>1</v>
      </c>
      <c r="D1711" s="85"/>
      <c r="E1711" s="98" t="s">
        <v>4276</v>
      </c>
      <c r="F1711" s="99" t="s">
        <v>4269</v>
      </c>
      <c r="G1711" s="100" t="s">
        <v>4100</v>
      </c>
      <c r="H1711" s="100" t="s">
        <v>4270</v>
      </c>
      <c r="I1711" s="100" t="s">
        <v>15</v>
      </c>
      <c r="J1711" s="98" t="s">
        <v>471</v>
      </c>
      <c r="K1711" s="101" t="s">
        <v>4277</v>
      </c>
      <c r="L1711" s="102" t="n">
        <v>45756</v>
      </c>
      <c r="M1711" s="100" t="n">
        <v>5219</v>
      </c>
      <c r="N1711" s="100" t="n">
        <v>6775</v>
      </c>
      <c r="O1711" s="100" t="n">
        <v>1556</v>
      </c>
      <c r="P1711" s="100" t="n">
        <v>1509</v>
      </c>
      <c r="Q1711" s="100"/>
      <c r="R1711" s="103" t="n">
        <f aca="false">合約與計費!$D$4</f>
        <v>0.296</v>
      </c>
      <c r="S1711" s="104" t="n">
        <f aca="false">ROUND(P1711*R1711,0)</f>
        <v>447</v>
      </c>
      <c r="T1711" s="105"/>
      <c r="U1711" s="100"/>
      <c r="V1711" s="100"/>
      <c r="W1711" s="106"/>
      <c r="X1711" s="100"/>
      <c r="Y1711" s="100"/>
      <c r="Z1711" s="107"/>
      <c r="AA1711" s="108"/>
      <c r="AB1711" s="109"/>
      <c r="AC1711" s="110"/>
      <c r="AD1711" s="42"/>
      <c r="AE1711" s="43"/>
    </row>
    <row r="1712" customFormat="false" ht="16.5" hidden="false" customHeight="true" outlineLevel="0" collapsed="false">
      <c r="A1712" s="97" t="n">
        <f aca="false">ROW(A1701)</f>
        <v>1701</v>
      </c>
      <c r="B1712" s="97" t="s">
        <v>473</v>
      </c>
      <c r="C1712" s="100" t="n">
        <v>1</v>
      </c>
      <c r="D1712" s="85"/>
      <c r="E1712" s="98" t="s">
        <v>4278</v>
      </c>
      <c r="F1712" s="99" t="s">
        <v>4269</v>
      </c>
      <c r="G1712" s="100" t="s">
        <v>4100</v>
      </c>
      <c r="H1712" s="100" t="s">
        <v>4270</v>
      </c>
      <c r="I1712" s="100" t="s">
        <v>15</v>
      </c>
      <c r="J1712" s="98" t="s">
        <v>471</v>
      </c>
      <c r="K1712" s="101" t="s">
        <v>4279</v>
      </c>
      <c r="L1712" s="102" t="n">
        <v>45756</v>
      </c>
      <c r="M1712" s="100" t="n">
        <v>7463</v>
      </c>
      <c r="N1712" s="100" t="n">
        <v>9415</v>
      </c>
      <c r="O1712" s="100" t="n">
        <v>1952</v>
      </c>
      <c r="P1712" s="100" t="n">
        <v>1893</v>
      </c>
      <c r="Q1712" s="100"/>
      <c r="R1712" s="103" t="n">
        <f aca="false">合約與計費!$D$4</f>
        <v>0.296</v>
      </c>
      <c r="S1712" s="104" t="n">
        <f aca="false">ROUND(P1712*R1712,0)</f>
        <v>560</v>
      </c>
      <c r="T1712" s="105"/>
      <c r="U1712" s="100"/>
      <c r="V1712" s="100"/>
      <c r="W1712" s="106"/>
      <c r="X1712" s="100"/>
      <c r="Y1712" s="100"/>
      <c r="Z1712" s="107"/>
      <c r="AA1712" s="108"/>
      <c r="AB1712" s="109"/>
      <c r="AC1712" s="110"/>
      <c r="AD1712" s="42"/>
      <c r="AE1712" s="43"/>
    </row>
    <row r="1713" customFormat="false" ht="16.5" hidden="false" customHeight="true" outlineLevel="0" collapsed="false">
      <c r="A1713" s="97" t="n">
        <f aca="false">ROW(A1702)</f>
        <v>1702</v>
      </c>
      <c r="B1713" s="97" t="s">
        <v>476</v>
      </c>
      <c r="C1713" s="100" t="n">
        <v>1</v>
      </c>
      <c r="D1713" s="85"/>
      <c r="E1713" s="98" t="s">
        <v>4280</v>
      </c>
      <c r="F1713" s="99" t="s">
        <v>4269</v>
      </c>
      <c r="G1713" s="100" t="s">
        <v>4100</v>
      </c>
      <c r="H1713" s="100" t="s">
        <v>4270</v>
      </c>
      <c r="I1713" s="100" t="s">
        <v>15</v>
      </c>
      <c r="J1713" s="98" t="s">
        <v>471</v>
      </c>
      <c r="K1713" s="101" t="s">
        <v>4281</v>
      </c>
      <c r="L1713" s="102" t="n">
        <v>45756</v>
      </c>
      <c r="M1713" s="100" t="n">
        <v>10114</v>
      </c>
      <c r="N1713" s="100" t="n">
        <v>12021</v>
      </c>
      <c r="O1713" s="100" t="n">
        <v>1907</v>
      </c>
      <c r="P1713" s="100" t="n">
        <v>1850</v>
      </c>
      <c r="Q1713" s="100"/>
      <c r="R1713" s="103" t="n">
        <f aca="false">合約與計費!$D$4</f>
        <v>0.296</v>
      </c>
      <c r="S1713" s="104" t="n">
        <f aca="false">ROUND(P1713*R1713,0)</f>
        <v>548</v>
      </c>
      <c r="T1713" s="105"/>
      <c r="U1713" s="100"/>
      <c r="V1713" s="100"/>
      <c r="W1713" s="106"/>
      <c r="X1713" s="100"/>
      <c r="Y1713" s="100"/>
      <c r="Z1713" s="107"/>
      <c r="AA1713" s="108"/>
      <c r="AB1713" s="109"/>
      <c r="AC1713" s="110"/>
      <c r="AD1713" s="42"/>
      <c r="AE1713" s="43"/>
    </row>
    <row r="1714" customFormat="false" ht="16.5" hidden="false" customHeight="true" outlineLevel="0" collapsed="false">
      <c r="A1714" s="111" t="n">
        <f aca="false">ROW(A1703)</f>
        <v>1703</v>
      </c>
      <c r="B1714" s="111" t="s">
        <v>479</v>
      </c>
      <c r="C1714" s="114" t="n">
        <v>1</v>
      </c>
      <c r="D1714" s="85"/>
      <c r="E1714" s="112" t="s">
        <v>4282</v>
      </c>
      <c r="F1714" s="113" t="s">
        <v>4269</v>
      </c>
      <c r="G1714" s="114" t="s">
        <v>4100</v>
      </c>
      <c r="H1714" s="114" t="s">
        <v>4270</v>
      </c>
      <c r="I1714" s="114" t="s">
        <v>15</v>
      </c>
      <c r="J1714" s="112" t="s">
        <v>471</v>
      </c>
      <c r="K1714" s="115" t="s">
        <v>4283</v>
      </c>
      <c r="L1714" s="116" t="n">
        <v>45756</v>
      </c>
      <c r="M1714" s="114" t="n">
        <v>1668</v>
      </c>
      <c r="N1714" s="114" t="n">
        <v>2000</v>
      </c>
      <c r="O1714" s="114" t="n">
        <v>332</v>
      </c>
      <c r="P1714" s="114" t="n">
        <v>322</v>
      </c>
      <c r="Q1714" s="114" t="n">
        <f aca="false">ROUND(SUM(P1708:P1714),2)</f>
        <v>7584</v>
      </c>
      <c r="R1714" s="117" t="n">
        <f aca="false">合約與計費!$D$4</f>
        <v>0.296</v>
      </c>
      <c r="S1714" s="118" t="n">
        <f aca="false">ROUND(P1714*R1714,0)</f>
        <v>95</v>
      </c>
      <c r="T1714" s="119" t="n">
        <f aca="false">ROUND(SUM(S1708:S1714),2)</f>
        <v>2245</v>
      </c>
      <c r="U1714" s="114"/>
      <c r="V1714" s="114"/>
      <c r="W1714" s="120"/>
      <c r="X1714" s="114"/>
      <c r="Y1714" s="114" t="n">
        <f aca="false">ROUND(SUM(X1708:X1714),2)</f>
        <v>38</v>
      </c>
      <c r="Z1714" s="121"/>
      <c r="AA1714" s="122"/>
      <c r="AB1714" s="123" t="n">
        <f aca="false">ROUND(SUM(AA1708:AA1714),2)</f>
        <v>106</v>
      </c>
      <c r="AC1714" s="124"/>
      <c r="AD1714" s="42"/>
      <c r="AE1714" s="43"/>
    </row>
    <row r="1715" customFormat="false" ht="16.5" hidden="false" customHeight="true" outlineLevel="0" collapsed="false">
      <c r="A1715" s="84" t="n">
        <f aca="false">ROW(A1704)</f>
        <v>1704</v>
      </c>
      <c r="B1715" s="84" t="s">
        <v>455</v>
      </c>
      <c r="C1715" s="32" t="n">
        <v>1</v>
      </c>
      <c r="D1715" s="85" t="n">
        <v>164</v>
      </c>
      <c r="E1715" s="86" t="s">
        <v>4284</v>
      </c>
      <c r="F1715" s="87" t="s">
        <v>4285</v>
      </c>
      <c r="G1715" s="32" t="s">
        <v>4100</v>
      </c>
      <c r="H1715" s="32" t="s">
        <v>4270</v>
      </c>
      <c r="I1715" s="32" t="s">
        <v>66</v>
      </c>
      <c r="J1715" s="86" t="s">
        <v>460</v>
      </c>
      <c r="K1715" s="88" t="s">
        <v>4286</v>
      </c>
      <c r="L1715" s="89" t="n">
        <v>45777</v>
      </c>
      <c r="M1715" s="32" t="n">
        <v>1248</v>
      </c>
      <c r="N1715" s="32" t="n">
        <v>1458</v>
      </c>
      <c r="O1715" s="32" t="n">
        <v>210</v>
      </c>
      <c r="P1715" s="32" t="n">
        <v>204</v>
      </c>
      <c r="Q1715" s="32"/>
      <c r="R1715" s="90" t="n">
        <f aca="false">合約與計費!$D$4</f>
        <v>0.296</v>
      </c>
      <c r="S1715" s="91" t="n">
        <f aca="false">ROUND(P1715*R1715,0)</f>
        <v>60</v>
      </c>
      <c r="T1715" s="92"/>
      <c r="U1715" s="32" t="n">
        <v>202</v>
      </c>
      <c r="V1715" s="32" t="n">
        <v>236</v>
      </c>
      <c r="W1715" s="32" t="n">
        <v>34</v>
      </c>
      <c r="X1715" s="32" t="n">
        <v>33</v>
      </c>
      <c r="Y1715" s="32"/>
      <c r="Z1715" s="93" t="n">
        <f aca="false">合約與計費!$E$4</f>
        <v>2.8</v>
      </c>
      <c r="AA1715" s="94" t="n">
        <f aca="false">ROUND(X1715*Z1715,0)</f>
        <v>92</v>
      </c>
      <c r="AB1715" s="95"/>
      <c r="AC1715" s="254"/>
      <c r="AD1715" s="42"/>
      <c r="AE1715" s="43"/>
    </row>
    <row r="1716" customFormat="false" ht="16.5" hidden="false" customHeight="true" outlineLevel="0" collapsed="false">
      <c r="A1716" s="97" t="n">
        <f aca="false">ROW(A1705)</f>
        <v>1705</v>
      </c>
      <c r="B1716" s="97" t="s">
        <v>462</v>
      </c>
      <c r="C1716" s="100" t="n">
        <v>1</v>
      </c>
      <c r="D1716" s="85"/>
      <c r="E1716" s="98" t="s">
        <v>4287</v>
      </c>
      <c r="F1716" s="99" t="s">
        <v>4285</v>
      </c>
      <c r="G1716" s="100" t="s">
        <v>4100</v>
      </c>
      <c r="H1716" s="100" t="s">
        <v>4270</v>
      </c>
      <c r="I1716" s="100" t="s">
        <v>66</v>
      </c>
      <c r="J1716" s="98" t="s">
        <v>464</v>
      </c>
      <c r="K1716" s="101" t="s">
        <v>4288</v>
      </c>
      <c r="L1716" s="102" t="n">
        <v>45777</v>
      </c>
      <c r="M1716" s="100" t="n">
        <v>1828</v>
      </c>
      <c r="N1716" s="100" t="n">
        <v>2205</v>
      </c>
      <c r="O1716" s="100" t="n">
        <v>377</v>
      </c>
      <c r="P1716" s="100" t="n">
        <v>366</v>
      </c>
      <c r="Q1716" s="100"/>
      <c r="R1716" s="103" t="n">
        <f aca="false">合約與計費!$D$4</f>
        <v>0.296</v>
      </c>
      <c r="S1716" s="104" t="n">
        <f aca="false">ROUND(P1716*R1716,0)</f>
        <v>108</v>
      </c>
      <c r="T1716" s="105"/>
      <c r="U1716" s="100"/>
      <c r="V1716" s="100"/>
      <c r="W1716" s="106"/>
      <c r="X1716" s="100"/>
      <c r="Y1716" s="100"/>
      <c r="Z1716" s="107"/>
      <c r="AA1716" s="108"/>
      <c r="AB1716" s="109"/>
      <c r="AC1716" s="110"/>
      <c r="AD1716" s="42" t="n">
        <v>0.0617</v>
      </c>
      <c r="AE1716" s="43" t="n">
        <v>1</v>
      </c>
    </row>
    <row r="1717" customFormat="false" ht="16.5" hidden="false" customHeight="true" outlineLevel="0" collapsed="false">
      <c r="A1717" s="97" t="n">
        <f aca="false">ROW(A1706)</f>
        <v>1706</v>
      </c>
      <c r="B1717" s="97" t="s">
        <v>466</v>
      </c>
      <c r="C1717" s="100" t="n">
        <v>1</v>
      </c>
      <c r="D1717" s="85"/>
      <c r="E1717" s="98" t="s">
        <v>4289</v>
      </c>
      <c r="F1717" s="99" t="s">
        <v>4285</v>
      </c>
      <c r="G1717" s="100" t="s">
        <v>4100</v>
      </c>
      <c r="H1717" s="100" t="s">
        <v>4270</v>
      </c>
      <c r="I1717" s="100" t="s">
        <v>66</v>
      </c>
      <c r="J1717" s="98" t="s">
        <v>471</v>
      </c>
      <c r="K1717" s="101" t="s">
        <v>4290</v>
      </c>
      <c r="L1717" s="102" t="n">
        <v>45777</v>
      </c>
      <c r="M1717" s="100" t="n">
        <v>4285</v>
      </c>
      <c r="N1717" s="100" t="n">
        <v>5898</v>
      </c>
      <c r="O1717" s="100" t="n">
        <v>1613</v>
      </c>
      <c r="P1717" s="100" t="n">
        <v>1565</v>
      </c>
      <c r="Q1717" s="100"/>
      <c r="R1717" s="103" t="n">
        <f aca="false">合約與計費!$D$4</f>
        <v>0.296</v>
      </c>
      <c r="S1717" s="104" t="n">
        <f aca="false">ROUND(P1717*R1717,0)</f>
        <v>463</v>
      </c>
      <c r="T1717" s="105"/>
      <c r="U1717" s="100"/>
      <c r="V1717" s="100"/>
      <c r="W1717" s="106"/>
      <c r="X1717" s="100"/>
      <c r="Y1717" s="100"/>
      <c r="Z1717" s="107"/>
      <c r="AA1717" s="108"/>
      <c r="AB1717" s="109"/>
      <c r="AC1717" s="110"/>
      <c r="AD1717" s="42" t="n">
        <v>0.0909</v>
      </c>
      <c r="AE1717" s="43" t="n">
        <v>0.7</v>
      </c>
    </row>
    <row r="1718" customFormat="false" ht="16.5" hidden="false" customHeight="true" outlineLevel="0" collapsed="false">
      <c r="A1718" s="97" t="n">
        <f aca="false">ROW(A1707)</f>
        <v>1707</v>
      </c>
      <c r="B1718" s="97" t="s">
        <v>469</v>
      </c>
      <c r="C1718" s="100" t="n">
        <v>1</v>
      </c>
      <c r="D1718" s="85"/>
      <c r="E1718" s="98" t="s">
        <v>4291</v>
      </c>
      <c r="F1718" s="99" t="s">
        <v>4285</v>
      </c>
      <c r="G1718" s="100" t="s">
        <v>4100</v>
      </c>
      <c r="H1718" s="100" t="s">
        <v>4270</v>
      </c>
      <c r="I1718" s="100" t="s">
        <v>66</v>
      </c>
      <c r="J1718" s="98" t="s">
        <v>471</v>
      </c>
      <c r="K1718" s="101" t="s">
        <v>4292</v>
      </c>
      <c r="L1718" s="102" t="n">
        <v>45777</v>
      </c>
      <c r="M1718" s="100" t="n">
        <v>3521</v>
      </c>
      <c r="N1718" s="100" t="n">
        <v>4583</v>
      </c>
      <c r="O1718" s="100" t="n">
        <v>1062</v>
      </c>
      <c r="P1718" s="100" t="n">
        <v>1030</v>
      </c>
      <c r="Q1718" s="100"/>
      <c r="R1718" s="103" t="n">
        <f aca="false">合約與計費!$D$4</f>
        <v>0.296</v>
      </c>
      <c r="S1718" s="104" t="n">
        <f aca="false">ROUND(P1718*R1718,0)</f>
        <v>305</v>
      </c>
      <c r="T1718" s="105"/>
      <c r="U1718" s="100"/>
      <c r="V1718" s="100"/>
      <c r="W1718" s="106"/>
      <c r="X1718" s="100"/>
      <c r="Y1718" s="100"/>
      <c r="Z1718" s="107"/>
      <c r="AA1718" s="108"/>
      <c r="AB1718" s="109"/>
      <c r="AC1718" s="110"/>
      <c r="AD1718" s="42" t="n">
        <v>0.0879</v>
      </c>
      <c r="AE1718" s="43" t="n">
        <v>0.7</v>
      </c>
    </row>
    <row r="1719" customFormat="false" ht="16.5" hidden="false" customHeight="true" outlineLevel="0" collapsed="false">
      <c r="A1719" s="97" t="n">
        <f aca="false">ROW(A1708)</f>
        <v>1708</v>
      </c>
      <c r="B1719" s="97" t="s">
        <v>473</v>
      </c>
      <c r="C1719" s="100" t="n">
        <v>1</v>
      </c>
      <c r="D1719" s="85"/>
      <c r="E1719" s="98" t="s">
        <v>4293</v>
      </c>
      <c r="F1719" s="99" t="s">
        <v>4285</v>
      </c>
      <c r="G1719" s="100" t="s">
        <v>4100</v>
      </c>
      <c r="H1719" s="100" t="s">
        <v>4270</v>
      </c>
      <c r="I1719" s="100" t="s">
        <v>66</v>
      </c>
      <c r="J1719" s="98" t="s">
        <v>471</v>
      </c>
      <c r="K1719" s="101" t="s">
        <v>4294</v>
      </c>
      <c r="L1719" s="102" t="n">
        <v>45777</v>
      </c>
      <c r="M1719" s="100" t="n">
        <v>4076</v>
      </c>
      <c r="N1719" s="100" t="n">
        <v>5913</v>
      </c>
      <c r="O1719" s="100" t="n">
        <v>1837</v>
      </c>
      <c r="P1719" s="100" t="n">
        <v>1782</v>
      </c>
      <c r="Q1719" s="100"/>
      <c r="R1719" s="103" t="n">
        <f aca="false">合約與計費!$D$4</f>
        <v>0.296</v>
      </c>
      <c r="S1719" s="104" t="n">
        <f aca="false">ROUND(P1719*R1719,0)</f>
        <v>527</v>
      </c>
      <c r="T1719" s="105"/>
      <c r="U1719" s="100"/>
      <c r="V1719" s="100"/>
      <c r="W1719" s="106"/>
      <c r="X1719" s="100"/>
      <c r="Y1719" s="100"/>
      <c r="Z1719" s="107"/>
      <c r="AA1719" s="108"/>
      <c r="AB1719" s="109"/>
      <c r="AC1719" s="110"/>
      <c r="AD1719" s="42" t="n">
        <v>0.1001</v>
      </c>
      <c r="AE1719" s="43" t="n">
        <v>0.5</v>
      </c>
    </row>
    <row r="1720" customFormat="false" ht="16.5" hidden="false" customHeight="true" outlineLevel="0" collapsed="false">
      <c r="A1720" s="97" t="n">
        <f aca="false">ROW(A1709)</f>
        <v>1709</v>
      </c>
      <c r="B1720" s="97" t="s">
        <v>476</v>
      </c>
      <c r="C1720" s="100" t="n">
        <v>1</v>
      </c>
      <c r="D1720" s="85"/>
      <c r="E1720" s="98" t="s">
        <v>4295</v>
      </c>
      <c r="F1720" s="99" t="s">
        <v>4285</v>
      </c>
      <c r="G1720" s="100" t="s">
        <v>4100</v>
      </c>
      <c r="H1720" s="100" t="s">
        <v>4270</v>
      </c>
      <c r="I1720" s="100" t="s">
        <v>66</v>
      </c>
      <c r="J1720" s="98" t="s">
        <v>471</v>
      </c>
      <c r="K1720" s="101" t="s">
        <v>4296</v>
      </c>
      <c r="L1720" s="102" t="n">
        <v>45777</v>
      </c>
      <c r="M1720" s="100" t="n">
        <v>3168</v>
      </c>
      <c r="N1720" s="100" t="n">
        <v>3973</v>
      </c>
      <c r="O1720" s="100" t="n">
        <v>805</v>
      </c>
      <c r="P1720" s="100" t="n">
        <v>781</v>
      </c>
      <c r="Q1720" s="100"/>
      <c r="R1720" s="103" t="n">
        <f aca="false">合約與計費!$D$4</f>
        <v>0.296</v>
      </c>
      <c r="S1720" s="104" t="n">
        <f aca="false">ROUND(P1720*R1720,0)</f>
        <v>231</v>
      </c>
      <c r="T1720" s="105"/>
      <c r="U1720" s="100"/>
      <c r="V1720" s="100"/>
      <c r="W1720" s="106"/>
      <c r="X1720" s="100"/>
      <c r="Y1720" s="100"/>
      <c r="Z1720" s="107"/>
      <c r="AA1720" s="108"/>
      <c r="AB1720" s="109"/>
      <c r="AC1720" s="110"/>
      <c r="AD1720" s="42" t="n">
        <v>0.0932</v>
      </c>
      <c r="AE1720" s="43" t="n">
        <v>0.8</v>
      </c>
    </row>
    <row r="1721" customFormat="false" ht="16.5" hidden="false" customHeight="true" outlineLevel="0" collapsed="false">
      <c r="A1721" s="97" t="n">
        <f aca="false">ROW(A1710)</f>
        <v>1710</v>
      </c>
      <c r="B1721" s="97" t="s">
        <v>479</v>
      </c>
      <c r="C1721" s="100" t="n">
        <v>1</v>
      </c>
      <c r="D1721" s="85"/>
      <c r="E1721" s="98" t="s">
        <v>4297</v>
      </c>
      <c r="F1721" s="99" t="s">
        <v>4285</v>
      </c>
      <c r="G1721" s="100" t="s">
        <v>4100</v>
      </c>
      <c r="H1721" s="100" t="s">
        <v>4270</v>
      </c>
      <c r="I1721" s="100" t="s">
        <v>66</v>
      </c>
      <c r="J1721" s="98" t="s">
        <v>471</v>
      </c>
      <c r="K1721" s="101" t="s">
        <v>4298</v>
      </c>
      <c r="L1721" s="102" t="n">
        <v>45777</v>
      </c>
      <c r="M1721" s="100" t="n">
        <v>5320</v>
      </c>
      <c r="N1721" s="100" t="n">
        <v>7470</v>
      </c>
      <c r="O1721" s="100" t="n">
        <v>2150</v>
      </c>
      <c r="P1721" s="100" t="n">
        <v>2086</v>
      </c>
      <c r="Q1721" s="100"/>
      <c r="R1721" s="103" t="n">
        <f aca="false">合約與計費!$D$4</f>
        <v>0.296</v>
      </c>
      <c r="S1721" s="104" t="n">
        <f aca="false">ROUND(P1721*R1721,0)</f>
        <v>617</v>
      </c>
      <c r="T1721" s="105"/>
      <c r="U1721" s="100"/>
      <c r="V1721" s="100"/>
      <c r="W1721" s="106"/>
      <c r="X1721" s="100"/>
      <c r="Y1721" s="100"/>
      <c r="Z1721" s="107"/>
      <c r="AA1721" s="108"/>
      <c r="AB1721" s="109"/>
      <c r="AC1721" s="110"/>
      <c r="AD1721" s="42" t="n">
        <v>0.1137</v>
      </c>
      <c r="AE1721" s="43" t="n">
        <v>0.1</v>
      </c>
    </row>
    <row r="1722" customFormat="false" ht="16.5" hidden="false" customHeight="true" outlineLevel="0" collapsed="false">
      <c r="A1722" s="111" t="n">
        <f aca="false">ROW(A1711)</f>
        <v>1711</v>
      </c>
      <c r="B1722" s="111" t="s">
        <v>482</v>
      </c>
      <c r="C1722" s="114" t="n">
        <v>1</v>
      </c>
      <c r="D1722" s="85"/>
      <c r="E1722" s="112" t="s">
        <v>4299</v>
      </c>
      <c r="F1722" s="113" t="s">
        <v>4285</v>
      </c>
      <c r="G1722" s="114" t="s">
        <v>4100</v>
      </c>
      <c r="H1722" s="114" t="s">
        <v>4270</v>
      </c>
      <c r="I1722" s="114" t="s">
        <v>66</v>
      </c>
      <c r="J1722" s="112" t="s">
        <v>471</v>
      </c>
      <c r="K1722" s="115" t="s">
        <v>4300</v>
      </c>
      <c r="L1722" s="116" t="n">
        <v>45777</v>
      </c>
      <c r="M1722" s="114" t="n">
        <v>3027</v>
      </c>
      <c r="N1722" s="114" t="n">
        <v>3596</v>
      </c>
      <c r="O1722" s="114" t="n">
        <v>569</v>
      </c>
      <c r="P1722" s="114" t="n">
        <v>552</v>
      </c>
      <c r="Q1722" s="114" t="n">
        <f aca="false">ROUND(SUM(P1715:P1722),2)</f>
        <v>8366</v>
      </c>
      <c r="R1722" s="117" t="n">
        <f aca="false">合約與計費!$D$4</f>
        <v>0.296</v>
      </c>
      <c r="S1722" s="118" t="n">
        <f aca="false">ROUND(P1722*R1722,0)</f>
        <v>163</v>
      </c>
      <c r="T1722" s="119" t="n">
        <f aca="false">ROUND(SUM(S1715:S1722),2)</f>
        <v>2474</v>
      </c>
      <c r="U1722" s="114"/>
      <c r="V1722" s="114"/>
      <c r="W1722" s="120"/>
      <c r="X1722" s="114"/>
      <c r="Y1722" s="114" t="n">
        <f aca="false">ROUND(SUM(X1715:X1722),2)</f>
        <v>33</v>
      </c>
      <c r="Z1722" s="121"/>
      <c r="AA1722" s="122"/>
      <c r="AB1722" s="123" t="n">
        <f aca="false">ROUND(SUM(AA1715:AA1722),2)</f>
        <v>92</v>
      </c>
      <c r="AC1722" s="124"/>
      <c r="AD1722" s="42" t="n">
        <v>0.0434</v>
      </c>
      <c r="AE1722" s="43" t="n">
        <v>1</v>
      </c>
    </row>
    <row r="1723" customFormat="false" ht="16.5" hidden="false" customHeight="true" outlineLevel="0" collapsed="false">
      <c r="A1723" s="84" t="n">
        <f aca="false">ROW(A1712)</f>
        <v>1712</v>
      </c>
      <c r="B1723" s="84" t="s">
        <v>455</v>
      </c>
      <c r="C1723" s="32" t="n">
        <v>1</v>
      </c>
      <c r="D1723" s="85" t="n">
        <v>168</v>
      </c>
      <c r="E1723" s="86" t="s">
        <v>4301</v>
      </c>
      <c r="F1723" s="87" t="s">
        <v>4302</v>
      </c>
      <c r="G1723" s="32" t="s">
        <v>4100</v>
      </c>
      <c r="H1723" s="32" t="s">
        <v>4270</v>
      </c>
      <c r="I1723" s="32" t="s">
        <v>285</v>
      </c>
      <c r="J1723" s="86" t="s">
        <v>460</v>
      </c>
      <c r="K1723" s="88" t="s">
        <v>4303</v>
      </c>
      <c r="L1723" s="89" t="n">
        <v>45748</v>
      </c>
      <c r="M1723" s="32" t="n">
        <v>727</v>
      </c>
      <c r="N1723" s="32" t="n">
        <v>784</v>
      </c>
      <c r="O1723" s="32" t="n">
        <v>57</v>
      </c>
      <c r="P1723" s="32" t="n">
        <v>55</v>
      </c>
      <c r="Q1723" s="32"/>
      <c r="R1723" s="90" t="n">
        <f aca="false">合約與計費!$D$4</f>
        <v>0.296</v>
      </c>
      <c r="S1723" s="91" t="n">
        <f aca="false">ROUND(P1723*R1723,0)</f>
        <v>16</v>
      </c>
      <c r="T1723" s="92"/>
      <c r="U1723" s="32" t="n">
        <v>400</v>
      </c>
      <c r="V1723" s="32" t="n">
        <v>566</v>
      </c>
      <c r="W1723" s="32" t="n">
        <v>166</v>
      </c>
      <c r="X1723" s="32" t="n">
        <v>161</v>
      </c>
      <c r="Y1723" s="32"/>
      <c r="Z1723" s="93" t="n">
        <f aca="false">合約與計費!$E$4</f>
        <v>2.8</v>
      </c>
      <c r="AA1723" s="94" t="n">
        <f aca="false">ROUND(X1723*Z1723,0)</f>
        <v>451</v>
      </c>
      <c r="AB1723" s="95"/>
      <c r="AC1723" s="254"/>
      <c r="AD1723" s="42"/>
      <c r="AE1723" s="43"/>
    </row>
    <row r="1724" customFormat="false" ht="16.5" hidden="false" customHeight="true" outlineLevel="0" collapsed="false">
      <c r="A1724" s="97" t="n">
        <f aca="false">ROW(A1713)</f>
        <v>1713</v>
      </c>
      <c r="B1724" s="97" t="s">
        <v>462</v>
      </c>
      <c r="C1724" s="100" t="n">
        <v>1</v>
      </c>
      <c r="D1724" s="85"/>
      <c r="E1724" s="98" t="s">
        <v>4304</v>
      </c>
      <c r="F1724" s="99" t="s">
        <v>4302</v>
      </c>
      <c r="G1724" s="100" t="s">
        <v>4100</v>
      </c>
      <c r="H1724" s="100" t="s">
        <v>4270</v>
      </c>
      <c r="I1724" s="100" t="s">
        <v>285</v>
      </c>
      <c r="J1724" s="98" t="s">
        <v>464</v>
      </c>
      <c r="K1724" s="101" t="s">
        <v>4305</v>
      </c>
      <c r="L1724" s="102" t="n">
        <v>45748</v>
      </c>
      <c r="M1724" s="100" t="n">
        <v>938</v>
      </c>
      <c r="N1724" s="100" t="n">
        <v>1184</v>
      </c>
      <c r="O1724" s="100" t="n">
        <v>246</v>
      </c>
      <c r="P1724" s="100" t="n">
        <v>239</v>
      </c>
      <c r="Q1724" s="100"/>
      <c r="R1724" s="103" t="n">
        <f aca="false">合約與計費!$D$4</f>
        <v>0.296</v>
      </c>
      <c r="S1724" s="104" t="n">
        <f aca="false">ROUND(P1724*R1724,0)</f>
        <v>71</v>
      </c>
      <c r="T1724" s="105"/>
      <c r="U1724" s="100"/>
      <c r="V1724" s="100"/>
      <c r="W1724" s="106"/>
      <c r="X1724" s="100"/>
      <c r="Y1724" s="100"/>
      <c r="Z1724" s="107"/>
      <c r="AA1724" s="108"/>
      <c r="AB1724" s="109"/>
      <c r="AC1724" s="110"/>
      <c r="AD1724" s="42" t="n">
        <v>0.0607</v>
      </c>
      <c r="AE1724" s="43" t="n">
        <v>1</v>
      </c>
    </row>
    <row r="1725" customFormat="false" ht="16.5" hidden="false" customHeight="true" outlineLevel="0" collapsed="false">
      <c r="A1725" s="97" t="n">
        <f aca="false">ROW(A1714)</f>
        <v>1714</v>
      </c>
      <c r="B1725" s="97" t="s">
        <v>466</v>
      </c>
      <c r="C1725" s="100" t="n">
        <v>1</v>
      </c>
      <c r="D1725" s="85"/>
      <c r="E1725" s="98" t="s">
        <v>4306</v>
      </c>
      <c r="F1725" s="99" t="s">
        <v>4302</v>
      </c>
      <c r="G1725" s="100" t="s">
        <v>4100</v>
      </c>
      <c r="H1725" s="100" t="s">
        <v>4270</v>
      </c>
      <c r="I1725" s="100" t="s">
        <v>285</v>
      </c>
      <c r="J1725" s="98" t="s">
        <v>471</v>
      </c>
      <c r="K1725" s="101" t="s">
        <v>4307</v>
      </c>
      <c r="L1725" s="102" t="n">
        <v>45748</v>
      </c>
      <c r="M1725" s="100" t="n">
        <v>8034</v>
      </c>
      <c r="N1725" s="100" t="n">
        <v>9614</v>
      </c>
      <c r="O1725" s="100" t="n">
        <v>1580</v>
      </c>
      <c r="P1725" s="100" t="n">
        <v>1533</v>
      </c>
      <c r="Q1725" s="100"/>
      <c r="R1725" s="103" t="n">
        <f aca="false">合約與計費!$D$4</f>
        <v>0.296</v>
      </c>
      <c r="S1725" s="104" t="n">
        <f aca="false">ROUND(P1725*R1725,0)</f>
        <v>454</v>
      </c>
      <c r="T1725" s="105"/>
      <c r="U1725" s="100"/>
      <c r="V1725" s="100"/>
      <c r="W1725" s="106"/>
      <c r="X1725" s="100"/>
      <c r="Y1725" s="100"/>
      <c r="Z1725" s="107"/>
      <c r="AA1725" s="108"/>
      <c r="AB1725" s="109"/>
      <c r="AC1725" s="110"/>
      <c r="AD1725" s="42" t="n">
        <v>0.1043</v>
      </c>
      <c r="AE1725" s="43" t="n">
        <v>0.1</v>
      </c>
    </row>
    <row r="1726" customFormat="false" ht="16.5" hidden="false" customHeight="true" outlineLevel="0" collapsed="false">
      <c r="A1726" s="97" t="n">
        <f aca="false">ROW(A1715)</f>
        <v>1715</v>
      </c>
      <c r="B1726" s="97" t="s">
        <v>469</v>
      </c>
      <c r="C1726" s="100" t="n">
        <v>1</v>
      </c>
      <c r="D1726" s="85"/>
      <c r="E1726" s="98" t="s">
        <v>4308</v>
      </c>
      <c r="F1726" s="99" t="s">
        <v>4302</v>
      </c>
      <c r="G1726" s="100" t="s">
        <v>4100</v>
      </c>
      <c r="H1726" s="100" t="s">
        <v>4270</v>
      </c>
      <c r="I1726" s="100" t="s">
        <v>285</v>
      </c>
      <c r="J1726" s="98" t="s">
        <v>471</v>
      </c>
      <c r="K1726" s="101" t="s">
        <v>4309</v>
      </c>
      <c r="L1726" s="102" t="n">
        <v>45748</v>
      </c>
      <c r="M1726" s="100" t="n">
        <v>2665</v>
      </c>
      <c r="N1726" s="100" t="n">
        <v>3282</v>
      </c>
      <c r="O1726" s="100" t="n">
        <v>617</v>
      </c>
      <c r="P1726" s="100" t="n">
        <v>598</v>
      </c>
      <c r="Q1726" s="100"/>
      <c r="R1726" s="103" t="n">
        <f aca="false">合約與計費!$D$4</f>
        <v>0.296</v>
      </c>
      <c r="S1726" s="104" t="n">
        <f aca="false">ROUND(P1726*R1726,0)</f>
        <v>177</v>
      </c>
      <c r="T1726" s="105"/>
      <c r="U1726" s="100"/>
      <c r="V1726" s="100"/>
      <c r="W1726" s="106"/>
      <c r="X1726" s="100"/>
      <c r="Y1726" s="100"/>
      <c r="Z1726" s="107"/>
      <c r="AA1726" s="108"/>
      <c r="AB1726" s="109"/>
      <c r="AC1726" s="110"/>
      <c r="AD1726" s="42" t="n">
        <v>0.3141</v>
      </c>
      <c r="AE1726" s="43" t="n">
        <v>0.2</v>
      </c>
    </row>
    <row r="1727" customFormat="false" ht="16.5" hidden="false" customHeight="true" outlineLevel="0" collapsed="false">
      <c r="A1727" s="97" t="n">
        <f aca="false">ROW(A1716)</f>
        <v>1716</v>
      </c>
      <c r="B1727" s="97" t="s">
        <v>473</v>
      </c>
      <c r="C1727" s="100" t="n">
        <v>1</v>
      </c>
      <c r="D1727" s="85"/>
      <c r="E1727" s="98" t="s">
        <v>4310</v>
      </c>
      <c r="F1727" s="99" t="s">
        <v>4302</v>
      </c>
      <c r="G1727" s="100" t="s">
        <v>4100</v>
      </c>
      <c r="H1727" s="100" t="s">
        <v>4270</v>
      </c>
      <c r="I1727" s="100" t="s">
        <v>285</v>
      </c>
      <c r="J1727" s="98" t="s">
        <v>471</v>
      </c>
      <c r="K1727" s="101" t="s">
        <v>4311</v>
      </c>
      <c r="L1727" s="102" t="n">
        <v>45748</v>
      </c>
      <c r="M1727" s="100" t="n">
        <v>6981</v>
      </c>
      <c r="N1727" s="100" t="n">
        <v>8343</v>
      </c>
      <c r="O1727" s="100" t="n">
        <v>1362</v>
      </c>
      <c r="P1727" s="100" t="n">
        <v>1321</v>
      </c>
      <c r="Q1727" s="100"/>
      <c r="R1727" s="103" t="n">
        <f aca="false">合約與計費!$D$4</f>
        <v>0.296</v>
      </c>
      <c r="S1727" s="104" t="n">
        <f aca="false">ROUND(P1727*R1727,0)</f>
        <v>391</v>
      </c>
      <c r="T1727" s="105"/>
      <c r="U1727" s="100"/>
      <c r="V1727" s="100"/>
      <c r="W1727" s="106"/>
      <c r="X1727" s="100"/>
      <c r="Y1727" s="100"/>
      <c r="Z1727" s="107"/>
      <c r="AA1727" s="108"/>
      <c r="AB1727" s="109"/>
      <c r="AC1727" s="110"/>
      <c r="AD1727" s="42" t="n">
        <v>0.0817</v>
      </c>
      <c r="AE1727" s="43" t="n">
        <v>0.9</v>
      </c>
    </row>
    <row r="1728" customFormat="false" ht="16.5" hidden="false" customHeight="true" outlineLevel="0" collapsed="false">
      <c r="A1728" s="111" t="n">
        <f aca="false">ROW(A1717)</f>
        <v>1717</v>
      </c>
      <c r="B1728" s="111" t="s">
        <v>476</v>
      </c>
      <c r="C1728" s="114" t="n">
        <v>1</v>
      </c>
      <c r="D1728" s="85"/>
      <c r="E1728" s="112" t="s">
        <v>4312</v>
      </c>
      <c r="F1728" s="113" t="s">
        <v>4302</v>
      </c>
      <c r="G1728" s="114" t="s">
        <v>4100</v>
      </c>
      <c r="H1728" s="114" t="s">
        <v>4270</v>
      </c>
      <c r="I1728" s="114" t="s">
        <v>285</v>
      </c>
      <c r="J1728" s="112" t="s">
        <v>471</v>
      </c>
      <c r="K1728" s="115" t="s">
        <v>4313</v>
      </c>
      <c r="L1728" s="116" t="n">
        <v>45748</v>
      </c>
      <c r="M1728" s="114" t="n">
        <v>8022</v>
      </c>
      <c r="N1728" s="114" t="n">
        <v>9263</v>
      </c>
      <c r="O1728" s="114" t="n">
        <v>1241</v>
      </c>
      <c r="P1728" s="114" t="n">
        <v>1204</v>
      </c>
      <c r="Q1728" s="114" t="n">
        <f aca="false">ROUND(SUM(P1723:P1728),2)</f>
        <v>4950</v>
      </c>
      <c r="R1728" s="117" t="n">
        <f aca="false">合約與計費!$D$4</f>
        <v>0.296</v>
      </c>
      <c r="S1728" s="118" t="n">
        <f aca="false">ROUND(P1728*R1728,0)</f>
        <v>356</v>
      </c>
      <c r="T1728" s="119" t="n">
        <f aca="false">ROUND(SUM(S1723:S1728),2)</f>
        <v>1465</v>
      </c>
      <c r="U1728" s="114"/>
      <c r="V1728" s="114"/>
      <c r="W1728" s="120"/>
      <c r="X1728" s="114"/>
      <c r="Y1728" s="114" t="n">
        <f aca="false">ROUND(SUM(X1723:X1728),2)</f>
        <v>161</v>
      </c>
      <c r="Z1728" s="121"/>
      <c r="AA1728" s="122"/>
      <c r="AB1728" s="123" t="n">
        <f aca="false">ROUND(SUM(AA1723:AA1728),2)</f>
        <v>451</v>
      </c>
      <c r="AC1728" s="124"/>
      <c r="AD1728" s="42" t="n">
        <v>0.098</v>
      </c>
      <c r="AE1728" s="43" t="n">
        <v>1</v>
      </c>
    </row>
    <row r="1729" customFormat="false" ht="16.5" hidden="false" customHeight="true" outlineLevel="0" collapsed="false">
      <c r="A1729" s="84" t="n">
        <f aca="false">ROW(A1718)</f>
        <v>1718</v>
      </c>
      <c r="B1729" s="84" t="s">
        <v>455</v>
      </c>
      <c r="C1729" s="32" t="n">
        <v>1</v>
      </c>
      <c r="D1729" s="85" t="n">
        <v>170</v>
      </c>
      <c r="E1729" s="86" t="s">
        <v>4314</v>
      </c>
      <c r="F1729" s="87" t="s">
        <v>4315</v>
      </c>
      <c r="G1729" s="32" t="s">
        <v>4100</v>
      </c>
      <c r="H1729" s="32" t="s">
        <v>4270</v>
      </c>
      <c r="I1729" s="32" t="s">
        <v>289</v>
      </c>
      <c r="J1729" s="86" t="s">
        <v>460</v>
      </c>
      <c r="K1729" s="88" t="s">
        <v>4316</v>
      </c>
      <c r="L1729" s="89" t="n">
        <v>45748</v>
      </c>
      <c r="M1729" s="32" t="n">
        <v>1084</v>
      </c>
      <c r="N1729" s="32" t="n">
        <v>1273</v>
      </c>
      <c r="O1729" s="32" t="n">
        <v>189</v>
      </c>
      <c r="P1729" s="32" t="n">
        <v>183</v>
      </c>
      <c r="Q1729" s="32"/>
      <c r="R1729" s="90" t="n">
        <f aca="false">合約與計費!$D$4</f>
        <v>0.296</v>
      </c>
      <c r="S1729" s="91" t="n">
        <f aca="false">ROUND(P1729*R1729,0)</f>
        <v>54</v>
      </c>
      <c r="T1729" s="92"/>
      <c r="U1729" s="32" t="n">
        <v>133</v>
      </c>
      <c r="V1729" s="32" t="n">
        <v>166</v>
      </c>
      <c r="W1729" s="32" t="n">
        <v>33</v>
      </c>
      <c r="X1729" s="32" t="n">
        <v>32</v>
      </c>
      <c r="Y1729" s="32"/>
      <c r="Z1729" s="93" t="n">
        <f aca="false">合約與計費!$E$4</f>
        <v>2.8</v>
      </c>
      <c r="AA1729" s="94" t="n">
        <f aca="false">ROUND(X1729*Z1729,0)</f>
        <v>90</v>
      </c>
      <c r="AB1729" s="95"/>
      <c r="AC1729" s="254"/>
      <c r="AD1729" s="42"/>
      <c r="AE1729" s="43"/>
    </row>
    <row r="1730" customFormat="false" ht="16.5" hidden="false" customHeight="true" outlineLevel="0" collapsed="false">
      <c r="A1730" s="97" t="n">
        <f aca="false">ROW(A1719)</f>
        <v>1719</v>
      </c>
      <c r="B1730" s="97" t="s">
        <v>462</v>
      </c>
      <c r="C1730" s="100" t="n">
        <v>1</v>
      </c>
      <c r="D1730" s="85"/>
      <c r="E1730" s="98" t="s">
        <v>4317</v>
      </c>
      <c r="F1730" s="99" t="s">
        <v>4315</v>
      </c>
      <c r="G1730" s="100" t="s">
        <v>4100</v>
      </c>
      <c r="H1730" s="100" t="s">
        <v>4270</v>
      </c>
      <c r="I1730" s="100" t="s">
        <v>289</v>
      </c>
      <c r="J1730" s="98" t="s">
        <v>464</v>
      </c>
      <c r="K1730" s="101" t="s">
        <v>4318</v>
      </c>
      <c r="L1730" s="102" t="n">
        <v>45748</v>
      </c>
      <c r="M1730" s="100" t="n">
        <v>495</v>
      </c>
      <c r="N1730" s="100" t="n">
        <v>554</v>
      </c>
      <c r="O1730" s="100" t="n">
        <v>59</v>
      </c>
      <c r="P1730" s="100" t="n">
        <v>57</v>
      </c>
      <c r="Q1730" s="100"/>
      <c r="R1730" s="103" t="n">
        <f aca="false">合約與計費!$D$4</f>
        <v>0.296</v>
      </c>
      <c r="S1730" s="104" t="n">
        <f aca="false">ROUND(P1730*R1730,0)</f>
        <v>17</v>
      </c>
      <c r="T1730" s="105"/>
      <c r="U1730" s="100"/>
      <c r="V1730" s="100"/>
      <c r="W1730" s="106"/>
      <c r="X1730" s="100"/>
      <c r="Y1730" s="100"/>
      <c r="Z1730" s="107"/>
      <c r="AA1730" s="108"/>
      <c r="AB1730" s="109"/>
      <c r="AC1730" s="110"/>
      <c r="AD1730" s="42" t="n">
        <v>0.0492</v>
      </c>
      <c r="AE1730" s="43" t="n">
        <v>0.8</v>
      </c>
    </row>
    <row r="1731" customFormat="false" ht="16.5" hidden="false" customHeight="true" outlineLevel="0" collapsed="false">
      <c r="A1731" s="97" t="n">
        <f aca="false">ROW(A1720)</f>
        <v>1720</v>
      </c>
      <c r="B1731" s="97" t="s">
        <v>466</v>
      </c>
      <c r="C1731" s="100" t="n">
        <v>1</v>
      </c>
      <c r="D1731" s="85"/>
      <c r="E1731" s="98" t="s">
        <v>4319</v>
      </c>
      <c r="F1731" s="99" t="s">
        <v>4315</v>
      </c>
      <c r="G1731" s="100" t="s">
        <v>4100</v>
      </c>
      <c r="H1731" s="100" t="s">
        <v>4270</v>
      </c>
      <c r="I1731" s="100" t="s">
        <v>289</v>
      </c>
      <c r="J1731" s="98" t="s">
        <v>471</v>
      </c>
      <c r="K1731" s="101" t="s">
        <v>4320</v>
      </c>
      <c r="L1731" s="102" t="n">
        <v>45748</v>
      </c>
      <c r="M1731" s="100" t="n">
        <v>5059</v>
      </c>
      <c r="N1731" s="100" t="n">
        <v>6354</v>
      </c>
      <c r="O1731" s="100" t="n">
        <v>1295</v>
      </c>
      <c r="P1731" s="100" t="n">
        <v>1256</v>
      </c>
      <c r="Q1731" s="100"/>
      <c r="R1731" s="103" t="n">
        <f aca="false">合約與計費!$D$4</f>
        <v>0.296</v>
      </c>
      <c r="S1731" s="104" t="n">
        <f aca="false">ROUND(P1731*R1731,0)</f>
        <v>372</v>
      </c>
      <c r="T1731" s="105"/>
      <c r="U1731" s="100"/>
      <c r="V1731" s="100"/>
      <c r="W1731" s="106"/>
      <c r="X1731" s="100"/>
      <c r="Y1731" s="100"/>
      <c r="Z1731" s="107"/>
      <c r="AA1731" s="108"/>
      <c r="AB1731" s="109"/>
      <c r="AC1731" s="110"/>
      <c r="AD1731" s="42" t="n">
        <v>0.088</v>
      </c>
      <c r="AE1731" s="43" t="n">
        <v>0.6</v>
      </c>
    </row>
    <row r="1732" customFormat="false" ht="16.5" hidden="false" customHeight="true" outlineLevel="0" collapsed="false">
      <c r="A1732" s="97" t="n">
        <f aca="false">ROW(A1721)</f>
        <v>1721</v>
      </c>
      <c r="B1732" s="97" t="s">
        <v>469</v>
      </c>
      <c r="C1732" s="100" t="n">
        <v>1</v>
      </c>
      <c r="D1732" s="85"/>
      <c r="E1732" s="98" t="s">
        <v>4321</v>
      </c>
      <c r="F1732" s="99" t="s">
        <v>4315</v>
      </c>
      <c r="G1732" s="100" t="s">
        <v>4100</v>
      </c>
      <c r="H1732" s="100" t="s">
        <v>4270</v>
      </c>
      <c r="I1732" s="100" t="s">
        <v>289</v>
      </c>
      <c r="J1732" s="98" t="s">
        <v>471</v>
      </c>
      <c r="K1732" s="101" t="s">
        <v>4322</v>
      </c>
      <c r="L1732" s="102" t="n">
        <v>45748</v>
      </c>
      <c r="M1732" s="100" t="n">
        <v>1905</v>
      </c>
      <c r="N1732" s="100" t="n">
        <v>2276</v>
      </c>
      <c r="O1732" s="100" t="n">
        <v>371</v>
      </c>
      <c r="P1732" s="100" t="n">
        <v>360</v>
      </c>
      <c r="Q1732" s="100"/>
      <c r="R1732" s="103" t="n">
        <f aca="false">合約與計費!$D$4</f>
        <v>0.296</v>
      </c>
      <c r="S1732" s="104" t="n">
        <f aca="false">ROUND(P1732*R1732,0)</f>
        <v>107</v>
      </c>
      <c r="T1732" s="105"/>
      <c r="U1732" s="100"/>
      <c r="V1732" s="100"/>
      <c r="W1732" s="106"/>
      <c r="X1732" s="100"/>
      <c r="Y1732" s="100"/>
      <c r="Z1732" s="107"/>
      <c r="AA1732" s="108"/>
      <c r="AB1732" s="109"/>
      <c r="AC1732" s="110"/>
      <c r="AD1732" s="42" t="n">
        <v>0.0423</v>
      </c>
      <c r="AE1732" s="43" t="n">
        <v>0.2</v>
      </c>
    </row>
    <row r="1733" customFormat="false" ht="16.5" hidden="false" customHeight="true" outlineLevel="0" collapsed="false">
      <c r="A1733" s="97" t="n">
        <f aca="false">ROW(A1722)</f>
        <v>1722</v>
      </c>
      <c r="B1733" s="97" t="s">
        <v>473</v>
      </c>
      <c r="C1733" s="100" t="n">
        <v>1</v>
      </c>
      <c r="D1733" s="85"/>
      <c r="E1733" s="98" t="s">
        <v>4323</v>
      </c>
      <c r="F1733" s="99" t="s">
        <v>4315</v>
      </c>
      <c r="G1733" s="100" t="s">
        <v>4100</v>
      </c>
      <c r="H1733" s="100" t="s">
        <v>4270</v>
      </c>
      <c r="I1733" s="100" t="s">
        <v>289</v>
      </c>
      <c r="J1733" s="98" t="s">
        <v>471</v>
      </c>
      <c r="K1733" s="101" t="s">
        <v>4324</v>
      </c>
      <c r="L1733" s="102" t="n">
        <v>45748</v>
      </c>
      <c r="M1733" s="100" t="n">
        <v>3277</v>
      </c>
      <c r="N1733" s="100" t="n">
        <v>4248</v>
      </c>
      <c r="O1733" s="100" t="n">
        <v>971</v>
      </c>
      <c r="P1733" s="100" t="n">
        <v>942</v>
      </c>
      <c r="Q1733" s="100"/>
      <c r="R1733" s="103" t="n">
        <f aca="false">合約與計費!$D$4</f>
        <v>0.296</v>
      </c>
      <c r="S1733" s="104" t="n">
        <f aca="false">ROUND(P1733*R1733,0)</f>
        <v>279</v>
      </c>
      <c r="T1733" s="105"/>
      <c r="U1733" s="100"/>
      <c r="V1733" s="100"/>
      <c r="W1733" s="106"/>
      <c r="X1733" s="100"/>
      <c r="Y1733" s="100"/>
      <c r="Z1733" s="107"/>
      <c r="AA1733" s="108"/>
      <c r="AB1733" s="109"/>
      <c r="AC1733" s="110"/>
      <c r="AD1733" s="42" t="n">
        <v>0.0726</v>
      </c>
      <c r="AE1733" s="43" t="n">
        <v>0.7</v>
      </c>
    </row>
    <row r="1734" customFormat="false" ht="16.5" hidden="false" customHeight="true" outlineLevel="0" collapsed="false">
      <c r="A1734" s="111" t="n">
        <f aca="false">ROW(A1723)</f>
        <v>1723</v>
      </c>
      <c r="B1734" s="111" t="s">
        <v>476</v>
      </c>
      <c r="C1734" s="114" t="n">
        <v>1</v>
      </c>
      <c r="D1734" s="85"/>
      <c r="E1734" s="112" t="s">
        <v>4325</v>
      </c>
      <c r="F1734" s="113" t="s">
        <v>4315</v>
      </c>
      <c r="G1734" s="114" t="s">
        <v>4100</v>
      </c>
      <c r="H1734" s="114" t="s">
        <v>4270</v>
      </c>
      <c r="I1734" s="114" t="s">
        <v>289</v>
      </c>
      <c r="J1734" s="112" t="s">
        <v>471</v>
      </c>
      <c r="K1734" s="115" t="s">
        <v>4326</v>
      </c>
      <c r="L1734" s="116" t="n">
        <v>45748</v>
      </c>
      <c r="M1734" s="114" t="n">
        <v>4973</v>
      </c>
      <c r="N1734" s="114" t="n">
        <v>6003</v>
      </c>
      <c r="O1734" s="114" t="n">
        <v>1030</v>
      </c>
      <c r="P1734" s="114" t="n">
        <v>999</v>
      </c>
      <c r="Q1734" s="114" t="n">
        <f aca="false">ROUND(SUM(P1729:P1734),2)</f>
        <v>3797</v>
      </c>
      <c r="R1734" s="117" t="n">
        <f aca="false">合約與計費!$D$4</f>
        <v>0.296</v>
      </c>
      <c r="S1734" s="118" t="n">
        <f aca="false">ROUND(P1734*R1734,0)</f>
        <v>296</v>
      </c>
      <c r="T1734" s="119" t="n">
        <f aca="false">ROUND(SUM(S1729:S1734),2)</f>
        <v>1125</v>
      </c>
      <c r="U1734" s="114"/>
      <c r="V1734" s="114"/>
      <c r="W1734" s="120"/>
      <c r="X1734" s="114"/>
      <c r="Y1734" s="114" t="n">
        <f aca="false">ROUND(SUM(X1729:X1734),2)</f>
        <v>32</v>
      </c>
      <c r="Z1734" s="121"/>
      <c r="AA1734" s="122"/>
      <c r="AB1734" s="123" t="n">
        <f aca="false">ROUND(SUM(AA1729:AA1734),2)</f>
        <v>90</v>
      </c>
      <c r="AC1734" s="124"/>
      <c r="AD1734" s="42" t="n">
        <v>0.0662</v>
      </c>
      <c r="AE1734" s="43" t="n">
        <v>0.7</v>
      </c>
    </row>
    <row r="1735" customFormat="false" ht="16.5" hidden="false" customHeight="true" outlineLevel="0" collapsed="false">
      <c r="A1735" s="84" t="n">
        <f aca="false">ROW(A1724)</f>
        <v>1724</v>
      </c>
      <c r="B1735" s="84" t="s">
        <v>476</v>
      </c>
      <c r="C1735" s="32" t="n">
        <v>1</v>
      </c>
      <c r="D1735" s="85" t="n">
        <v>218</v>
      </c>
      <c r="E1735" s="86" t="s">
        <v>4327</v>
      </c>
      <c r="F1735" s="87" t="s">
        <v>4328</v>
      </c>
      <c r="G1735" s="32" t="s">
        <v>4100</v>
      </c>
      <c r="H1735" s="32" t="s">
        <v>4270</v>
      </c>
      <c r="I1735" s="32" t="s">
        <v>37</v>
      </c>
      <c r="J1735" s="86" t="s">
        <v>460</v>
      </c>
      <c r="K1735" s="88" t="s">
        <v>4329</v>
      </c>
      <c r="L1735" s="89" t="n">
        <v>45908</v>
      </c>
      <c r="M1735" s="32" t="n">
        <v>443</v>
      </c>
      <c r="N1735" s="32" t="n">
        <v>682</v>
      </c>
      <c r="O1735" s="32" t="n">
        <v>239</v>
      </c>
      <c r="P1735" s="32" t="n">
        <v>232</v>
      </c>
      <c r="Q1735" s="32"/>
      <c r="R1735" s="103" t="n">
        <f aca="false">合約與計費!$D$4</f>
        <v>0.296</v>
      </c>
      <c r="S1735" s="104" t="n">
        <f aca="false">ROUND(P1735*R1735,0)</f>
        <v>69</v>
      </c>
      <c r="T1735" s="92"/>
      <c r="U1735" s="32" t="n">
        <v>90</v>
      </c>
      <c r="V1735" s="32" t="n">
        <v>166</v>
      </c>
      <c r="W1735" s="32" t="n">
        <v>76</v>
      </c>
      <c r="X1735" s="32" t="n">
        <v>74</v>
      </c>
      <c r="Y1735" s="32"/>
      <c r="Z1735" s="107" t="n">
        <f aca="false">合約與計費!$E$4</f>
        <v>2.8</v>
      </c>
      <c r="AA1735" s="94" t="n">
        <f aca="false">ROUND(X1735*Z1735,0)</f>
        <v>207</v>
      </c>
      <c r="AB1735" s="95"/>
      <c r="AC1735" s="254"/>
      <c r="AD1735" s="42"/>
      <c r="AE1735" s="43"/>
    </row>
    <row r="1736" customFormat="false" ht="16.5" hidden="false" customHeight="true" outlineLevel="0" collapsed="false">
      <c r="A1736" s="97" t="n">
        <f aca="false">ROW(A1725)</f>
        <v>1725</v>
      </c>
      <c r="B1736" s="97" t="s">
        <v>455</v>
      </c>
      <c r="C1736" s="100" t="n">
        <v>1</v>
      </c>
      <c r="D1736" s="85"/>
      <c r="E1736" s="98" t="s">
        <v>4330</v>
      </c>
      <c r="F1736" s="99" t="s">
        <v>4328</v>
      </c>
      <c r="G1736" s="100" t="s">
        <v>4100</v>
      </c>
      <c r="H1736" s="100" t="s">
        <v>4270</v>
      </c>
      <c r="I1736" s="100" t="s">
        <v>37</v>
      </c>
      <c r="J1736" s="98" t="s">
        <v>464</v>
      </c>
      <c r="K1736" s="101" t="s">
        <v>4331</v>
      </c>
      <c r="L1736" s="102" t="n">
        <v>45744</v>
      </c>
      <c r="M1736" s="100" t="n">
        <v>742</v>
      </c>
      <c r="N1736" s="100" t="n">
        <v>864</v>
      </c>
      <c r="O1736" s="100" t="n">
        <v>122</v>
      </c>
      <c r="P1736" s="100" t="n">
        <v>118</v>
      </c>
      <c r="Q1736" s="100"/>
      <c r="R1736" s="103" t="n">
        <f aca="false">合約與計費!$D$4</f>
        <v>0.296</v>
      </c>
      <c r="S1736" s="104" t="n">
        <f aca="false">ROUND(P1736*R1736,0)</f>
        <v>35</v>
      </c>
      <c r="T1736" s="105"/>
      <c r="U1736" s="100"/>
      <c r="V1736" s="100"/>
      <c r="W1736" s="106"/>
      <c r="X1736" s="100"/>
      <c r="Y1736" s="100"/>
      <c r="Z1736" s="107"/>
      <c r="AA1736" s="108"/>
      <c r="AB1736" s="109"/>
      <c r="AC1736" s="110"/>
      <c r="AD1736" s="42"/>
      <c r="AE1736" s="43"/>
    </row>
    <row r="1737" customFormat="false" ht="16.5" hidden="false" customHeight="true" outlineLevel="0" collapsed="false">
      <c r="A1737" s="97" t="n">
        <f aca="false">ROW(A1726)</f>
        <v>1726</v>
      </c>
      <c r="B1737" s="97" t="s">
        <v>462</v>
      </c>
      <c r="C1737" s="100" t="n">
        <v>1</v>
      </c>
      <c r="D1737" s="85"/>
      <c r="E1737" s="98" t="s">
        <v>4332</v>
      </c>
      <c r="F1737" s="99" t="s">
        <v>4328</v>
      </c>
      <c r="G1737" s="100" t="s">
        <v>4100</v>
      </c>
      <c r="H1737" s="100" t="s">
        <v>4270</v>
      </c>
      <c r="I1737" s="100" t="s">
        <v>37</v>
      </c>
      <c r="J1737" s="98" t="s">
        <v>471</v>
      </c>
      <c r="K1737" s="101" t="s">
        <v>4333</v>
      </c>
      <c r="L1737" s="102" t="n">
        <v>45744</v>
      </c>
      <c r="M1737" s="100" t="n">
        <v>7381</v>
      </c>
      <c r="N1737" s="100" t="n">
        <v>8459</v>
      </c>
      <c r="O1737" s="100" t="n">
        <v>1078</v>
      </c>
      <c r="P1737" s="100" t="n">
        <v>1046</v>
      </c>
      <c r="Q1737" s="100"/>
      <c r="R1737" s="103" t="n">
        <f aca="false">合約與計費!$D$4</f>
        <v>0.296</v>
      </c>
      <c r="S1737" s="104" t="n">
        <f aca="false">ROUND(P1737*R1737,0)</f>
        <v>310</v>
      </c>
      <c r="T1737" s="105"/>
      <c r="U1737" s="100"/>
      <c r="V1737" s="100"/>
      <c r="W1737" s="106"/>
      <c r="X1737" s="100"/>
      <c r="Y1737" s="100"/>
      <c r="Z1737" s="107"/>
      <c r="AA1737" s="108"/>
      <c r="AB1737" s="109"/>
      <c r="AC1737" s="110"/>
      <c r="AD1737" s="42" t="n">
        <v>0.077</v>
      </c>
      <c r="AE1737" s="43" t="n">
        <v>0.9</v>
      </c>
    </row>
    <row r="1738" customFormat="false" ht="16.5" hidden="false" customHeight="true" outlineLevel="0" collapsed="false">
      <c r="A1738" s="97" t="n">
        <f aca="false">ROW(A1727)</f>
        <v>1727</v>
      </c>
      <c r="B1738" s="97" t="s">
        <v>466</v>
      </c>
      <c r="C1738" s="100" t="n">
        <v>1</v>
      </c>
      <c r="D1738" s="85"/>
      <c r="E1738" s="98" t="s">
        <v>4334</v>
      </c>
      <c r="F1738" s="99" t="s">
        <v>4328</v>
      </c>
      <c r="G1738" s="100" t="s">
        <v>4100</v>
      </c>
      <c r="H1738" s="100" t="s">
        <v>4270</v>
      </c>
      <c r="I1738" s="100" t="s">
        <v>37</v>
      </c>
      <c r="J1738" s="98" t="s">
        <v>471</v>
      </c>
      <c r="K1738" s="101" t="s">
        <v>4335</v>
      </c>
      <c r="L1738" s="102" t="n">
        <v>45744</v>
      </c>
      <c r="M1738" s="100" t="n">
        <v>5435</v>
      </c>
      <c r="N1738" s="100" t="n">
        <v>6299</v>
      </c>
      <c r="O1738" s="100" t="n">
        <v>864</v>
      </c>
      <c r="P1738" s="100" t="n">
        <v>838</v>
      </c>
      <c r="Q1738" s="100"/>
      <c r="R1738" s="103" t="n">
        <f aca="false">合約與計費!$D$4</f>
        <v>0.296</v>
      </c>
      <c r="S1738" s="104" t="n">
        <f aca="false">ROUND(P1738*R1738,0)</f>
        <v>248</v>
      </c>
      <c r="T1738" s="105"/>
      <c r="U1738" s="100"/>
      <c r="V1738" s="100"/>
      <c r="W1738" s="106"/>
      <c r="X1738" s="100"/>
      <c r="Y1738" s="100"/>
      <c r="Z1738" s="107"/>
      <c r="AA1738" s="108"/>
      <c r="AB1738" s="109"/>
      <c r="AC1738" s="110"/>
      <c r="AD1738" s="42" t="n">
        <v>0.071</v>
      </c>
      <c r="AE1738" s="43" t="n">
        <v>1</v>
      </c>
    </row>
    <row r="1739" customFormat="false" ht="16.5" hidden="false" customHeight="true" outlineLevel="0" collapsed="false">
      <c r="A1739" s="97" t="n">
        <f aca="false">ROW(A1728)</f>
        <v>1728</v>
      </c>
      <c r="B1739" s="97" t="s">
        <v>469</v>
      </c>
      <c r="C1739" s="100" t="n">
        <v>1</v>
      </c>
      <c r="D1739" s="85"/>
      <c r="E1739" s="98" t="s">
        <v>4336</v>
      </c>
      <c r="F1739" s="99" t="s">
        <v>4328</v>
      </c>
      <c r="G1739" s="100" t="s">
        <v>4100</v>
      </c>
      <c r="H1739" s="100" t="s">
        <v>4270</v>
      </c>
      <c r="I1739" s="100" t="s">
        <v>37</v>
      </c>
      <c r="J1739" s="98" t="s">
        <v>471</v>
      </c>
      <c r="K1739" s="101" t="s">
        <v>4337</v>
      </c>
      <c r="L1739" s="102" t="n">
        <v>45744</v>
      </c>
      <c r="M1739" s="100" t="n">
        <v>1198</v>
      </c>
      <c r="N1739" s="100" t="n">
        <v>2474</v>
      </c>
      <c r="O1739" s="100" t="n">
        <v>1276</v>
      </c>
      <c r="P1739" s="100" t="n">
        <v>1238</v>
      </c>
      <c r="Q1739" s="100"/>
      <c r="R1739" s="103" t="n">
        <f aca="false">合約與計費!$D$4</f>
        <v>0.296</v>
      </c>
      <c r="S1739" s="104" t="n">
        <f aca="false">ROUND(P1739*R1739,0)</f>
        <v>366</v>
      </c>
      <c r="T1739" s="105"/>
      <c r="U1739" s="100"/>
      <c r="V1739" s="100"/>
      <c r="W1739" s="106"/>
      <c r="X1739" s="100"/>
      <c r="Y1739" s="100"/>
      <c r="Z1739" s="107"/>
      <c r="AA1739" s="108"/>
      <c r="AB1739" s="109"/>
      <c r="AC1739" s="110"/>
      <c r="AD1739" s="42" t="n">
        <v>0.108</v>
      </c>
      <c r="AE1739" s="43" t="n">
        <v>0.9</v>
      </c>
    </row>
    <row r="1740" customFormat="false" ht="16.5" hidden="false" customHeight="true" outlineLevel="0" collapsed="false">
      <c r="A1740" s="97" t="n">
        <f aca="false">ROW(A1729)</f>
        <v>1729</v>
      </c>
      <c r="B1740" s="97" t="s">
        <v>473</v>
      </c>
      <c r="C1740" s="114" t="n">
        <v>1</v>
      </c>
      <c r="D1740" s="85"/>
      <c r="E1740" s="98" t="s">
        <v>4338</v>
      </c>
      <c r="F1740" s="113" t="s">
        <v>4328</v>
      </c>
      <c r="G1740" s="114" t="s">
        <v>4100</v>
      </c>
      <c r="H1740" s="114" t="s">
        <v>4270</v>
      </c>
      <c r="I1740" s="114" t="s">
        <v>37</v>
      </c>
      <c r="J1740" s="112" t="s">
        <v>471</v>
      </c>
      <c r="K1740" s="115" t="s">
        <v>4339</v>
      </c>
      <c r="L1740" s="116" t="n">
        <v>45744</v>
      </c>
      <c r="M1740" s="114" t="n">
        <v>1866</v>
      </c>
      <c r="N1740" s="114" t="n">
        <v>2218</v>
      </c>
      <c r="O1740" s="114" t="n">
        <v>352</v>
      </c>
      <c r="P1740" s="114" t="n">
        <v>341</v>
      </c>
      <c r="Q1740" s="114" t="n">
        <f aca="false">ROUND(SUM(P1735:P1740),2)</f>
        <v>3813</v>
      </c>
      <c r="R1740" s="117" t="n">
        <f aca="false">合約與計費!$D$4</f>
        <v>0.296</v>
      </c>
      <c r="S1740" s="118" t="n">
        <f aca="false">ROUND(P1740*R1740,0)</f>
        <v>101</v>
      </c>
      <c r="T1740" s="119" t="n">
        <f aca="false">ROUND(SUM(S1735:S1740),2)</f>
        <v>1129</v>
      </c>
      <c r="U1740" s="114"/>
      <c r="V1740" s="114"/>
      <c r="W1740" s="120"/>
      <c r="X1740" s="114"/>
      <c r="Y1740" s="114" t="n">
        <f aca="false">ROUND(SUM(X1735:X1740),2)</f>
        <v>74</v>
      </c>
      <c r="Z1740" s="121"/>
      <c r="AA1740" s="122"/>
      <c r="AB1740" s="123" t="n">
        <f aca="false">ROUND(SUM(AA1735:AA1740),2)</f>
        <v>207</v>
      </c>
      <c r="AC1740" s="124"/>
      <c r="AD1740" s="42" t="n">
        <v>0.0465</v>
      </c>
      <c r="AE1740" s="43" t="n">
        <v>1</v>
      </c>
    </row>
    <row r="1741" customFormat="false" ht="16.5" hidden="false" customHeight="true" outlineLevel="0" collapsed="false">
      <c r="A1741" s="85" t="n">
        <f aca="false">ROW(A1730)</f>
        <v>1730</v>
      </c>
      <c r="B1741" s="85" t="s">
        <v>455</v>
      </c>
      <c r="C1741" s="216" t="n">
        <v>1</v>
      </c>
      <c r="D1741" s="85" t="n">
        <v>349</v>
      </c>
      <c r="E1741" s="251" t="s">
        <v>4340</v>
      </c>
      <c r="F1741" s="215" t="s">
        <v>4341</v>
      </c>
      <c r="G1741" s="216" t="s">
        <v>4100</v>
      </c>
      <c r="H1741" s="216" t="s">
        <v>4270</v>
      </c>
      <c r="I1741" s="246" t="s">
        <v>185</v>
      </c>
      <c r="J1741" s="214" t="s">
        <v>464</v>
      </c>
      <c r="K1741" s="232" t="s">
        <v>4342</v>
      </c>
      <c r="L1741" s="218" t="n">
        <v>45747</v>
      </c>
      <c r="M1741" s="216" t="n">
        <v>2878</v>
      </c>
      <c r="N1741" s="216" t="n">
        <v>3387</v>
      </c>
      <c r="O1741" s="114" t="n">
        <v>509</v>
      </c>
      <c r="P1741" s="114" t="n">
        <v>494</v>
      </c>
      <c r="Q1741" s="114" t="n">
        <f aca="false">ROUND(SUM(P1741),2)</f>
        <v>494</v>
      </c>
      <c r="R1741" s="219" t="n">
        <f aca="false">合約與計費!$D$4</f>
        <v>0.296</v>
      </c>
      <c r="S1741" s="220" t="n">
        <f aca="false">ROUND(P1741*R1741,0)</f>
        <v>146</v>
      </c>
      <c r="T1741" s="119" t="n">
        <f aca="false">ROUND(SUM(S1741),2)</f>
        <v>146</v>
      </c>
      <c r="U1741" s="216"/>
      <c r="V1741" s="216"/>
      <c r="W1741" s="247"/>
      <c r="X1741" s="216"/>
      <c r="Y1741" s="216"/>
      <c r="Z1741" s="221"/>
      <c r="AA1741" s="94"/>
      <c r="AB1741" s="223"/>
      <c r="AC1741" s="224"/>
      <c r="AD1741" s="42" t="n">
        <v>0.0561</v>
      </c>
      <c r="AE1741" s="43" t="n">
        <v>0.9</v>
      </c>
    </row>
    <row r="1742" customFormat="false" ht="16.5" hidden="false" customHeight="true" outlineLevel="0" collapsed="false">
      <c r="A1742" s="85" t="n">
        <f aca="false">ROW(A1731)</f>
        <v>1731</v>
      </c>
      <c r="B1742" s="85" t="s">
        <v>455</v>
      </c>
      <c r="C1742" s="216" t="n">
        <v>1</v>
      </c>
      <c r="D1742" s="85" t="n">
        <v>403</v>
      </c>
      <c r="E1742" s="251" t="s">
        <v>4343</v>
      </c>
      <c r="F1742" s="215" t="s">
        <v>4344</v>
      </c>
      <c r="G1742" s="216" t="s">
        <v>4100</v>
      </c>
      <c r="H1742" s="216" t="s">
        <v>4270</v>
      </c>
      <c r="I1742" s="246" t="s">
        <v>14</v>
      </c>
      <c r="J1742" s="214" t="s">
        <v>464</v>
      </c>
      <c r="K1742" s="232" t="s">
        <v>4345</v>
      </c>
      <c r="L1742" s="218" t="n">
        <v>45747</v>
      </c>
      <c r="M1742" s="216" t="n">
        <v>1777</v>
      </c>
      <c r="N1742" s="216" t="n">
        <v>2110</v>
      </c>
      <c r="O1742" s="114" t="n">
        <v>333</v>
      </c>
      <c r="P1742" s="114" t="n">
        <v>323</v>
      </c>
      <c r="Q1742" s="114" t="n">
        <f aca="false">ROUND(SUM(P1742),2)</f>
        <v>323</v>
      </c>
      <c r="R1742" s="219" t="n">
        <f aca="false">合約與計費!$D$4</f>
        <v>0.296</v>
      </c>
      <c r="S1742" s="220" t="n">
        <f aca="false">ROUND(P1742*R1742,0)</f>
        <v>96</v>
      </c>
      <c r="T1742" s="119" t="n">
        <f aca="false">ROUND(SUM(S1742),2)</f>
        <v>96</v>
      </c>
      <c r="U1742" s="216"/>
      <c r="V1742" s="216"/>
      <c r="W1742" s="247"/>
      <c r="X1742" s="216"/>
      <c r="Y1742" s="216"/>
      <c r="Z1742" s="221"/>
      <c r="AA1742" s="94"/>
      <c r="AB1742" s="223"/>
      <c r="AC1742" s="224"/>
      <c r="AD1742" s="42" t="n">
        <v>0.0774</v>
      </c>
      <c r="AE1742" s="43" t="n">
        <v>1</v>
      </c>
    </row>
    <row r="1743" customFormat="false" ht="16.5" hidden="false" customHeight="true" outlineLevel="0" collapsed="false">
      <c r="A1743" s="84" t="n">
        <f aca="false">ROW(A1732)</f>
        <v>1732</v>
      </c>
      <c r="B1743" s="84" t="s">
        <v>455</v>
      </c>
      <c r="C1743" s="32" t="n">
        <v>1</v>
      </c>
      <c r="D1743" s="85" t="n">
        <v>425</v>
      </c>
      <c r="E1743" s="86" t="s">
        <v>4346</v>
      </c>
      <c r="F1743" s="87" t="s">
        <v>4347</v>
      </c>
      <c r="G1743" s="32" t="s">
        <v>4100</v>
      </c>
      <c r="H1743" s="32" t="s">
        <v>4270</v>
      </c>
      <c r="I1743" s="172" t="s">
        <v>4348</v>
      </c>
      <c r="J1743" s="86" t="s">
        <v>460</v>
      </c>
      <c r="K1743" s="225" t="s">
        <v>4349</v>
      </c>
      <c r="L1743" s="89" t="n">
        <v>45799</v>
      </c>
      <c r="M1743" s="32" t="n">
        <v>746</v>
      </c>
      <c r="N1743" s="32" t="n">
        <v>905</v>
      </c>
      <c r="O1743" s="32" t="n">
        <v>159</v>
      </c>
      <c r="P1743" s="32" t="n">
        <v>154</v>
      </c>
      <c r="Q1743" s="32"/>
      <c r="R1743" s="90" t="n">
        <f aca="false">合約與計費!$D$4</f>
        <v>0.296</v>
      </c>
      <c r="S1743" s="91" t="n">
        <f aca="false">ROUND(P1743*R1743,0)</f>
        <v>46</v>
      </c>
      <c r="T1743" s="92"/>
      <c r="U1743" s="32" t="n">
        <v>57</v>
      </c>
      <c r="V1743" s="32" t="n">
        <v>80</v>
      </c>
      <c r="W1743" s="32" t="n">
        <v>23</v>
      </c>
      <c r="X1743" s="32" t="n">
        <v>22</v>
      </c>
      <c r="Y1743" s="32"/>
      <c r="Z1743" s="93" t="n">
        <f aca="false">合約與計費!$E$4</f>
        <v>2.8</v>
      </c>
      <c r="AA1743" s="94" t="n">
        <f aca="false">ROUND(X1743*Z1743,0)</f>
        <v>62</v>
      </c>
      <c r="AB1743" s="95"/>
      <c r="AC1743" s="254"/>
      <c r="AD1743" s="42"/>
      <c r="AE1743" s="43"/>
    </row>
    <row r="1744" customFormat="false" ht="16.5" hidden="false" customHeight="true" outlineLevel="0" collapsed="false">
      <c r="A1744" s="111" t="n">
        <f aca="false">ROW(A1733)</f>
        <v>1733</v>
      </c>
      <c r="B1744" s="111" t="s">
        <v>462</v>
      </c>
      <c r="C1744" s="114" t="n">
        <v>1</v>
      </c>
      <c r="D1744" s="85"/>
      <c r="E1744" s="112" t="s">
        <v>4350</v>
      </c>
      <c r="F1744" s="113" t="s">
        <v>4347</v>
      </c>
      <c r="G1744" s="114" t="s">
        <v>4100</v>
      </c>
      <c r="H1744" s="114" t="s">
        <v>4270</v>
      </c>
      <c r="I1744" s="173" t="s">
        <v>4348</v>
      </c>
      <c r="J1744" s="112" t="s">
        <v>471</v>
      </c>
      <c r="K1744" s="115" t="s">
        <v>4351</v>
      </c>
      <c r="L1744" s="116" t="n">
        <v>45860</v>
      </c>
      <c r="M1744" s="114" t="n">
        <v>2379</v>
      </c>
      <c r="N1744" s="114" t="n">
        <v>3245</v>
      </c>
      <c r="O1744" s="114" t="n">
        <v>866</v>
      </c>
      <c r="P1744" s="114" t="n">
        <v>840</v>
      </c>
      <c r="Q1744" s="114" t="n">
        <f aca="false">ROUND(SUM(P1743:P1744),2)</f>
        <v>994</v>
      </c>
      <c r="R1744" s="117" t="n">
        <f aca="false">合約與計費!$D$4</f>
        <v>0.296</v>
      </c>
      <c r="S1744" s="118" t="n">
        <f aca="false">ROUND(P1744*R1744,0)</f>
        <v>249</v>
      </c>
      <c r="T1744" s="119" t="n">
        <f aca="false">ROUND(SUM(S1743:S1744),2)</f>
        <v>295</v>
      </c>
      <c r="U1744" s="114"/>
      <c r="V1744" s="114"/>
      <c r="W1744" s="120"/>
      <c r="X1744" s="114"/>
      <c r="Y1744" s="114" t="n">
        <f aca="false">ROUND(SUM(X1743:X1744),2)</f>
        <v>22</v>
      </c>
      <c r="Z1744" s="121"/>
      <c r="AA1744" s="122"/>
      <c r="AB1744" s="123" t="n">
        <f aca="false">ROUND(SUM(AA1743:AA1744),2)</f>
        <v>62</v>
      </c>
      <c r="AC1744" s="124"/>
      <c r="AD1744" s="42" t="n">
        <v>0.0951</v>
      </c>
      <c r="AE1744" s="43" t="n">
        <v>0.1</v>
      </c>
    </row>
    <row r="1745" customFormat="false" ht="16.5" hidden="false" customHeight="true" outlineLevel="0" collapsed="false">
      <c r="A1745" s="84" t="n">
        <f aca="false">ROW(A1734)</f>
        <v>1734</v>
      </c>
      <c r="B1745" s="84" t="s">
        <v>455</v>
      </c>
      <c r="C1745" s="32" t="n">
        <v>1</v>
      </c>
      <c r="D1745" s="85" t="n">
        <v>159</v>
      </c>
      <c r="E1745" s="86" t="s">
        <v>4352</v>
      </c>
      <c r="F1745" s="87" t="s">
        <v>4353</v>
      </c>
      <c r="G1745" s="32" t="s">
        <v>4100</v>
      </c>
      <c r="H1745" s="32" t="s">
        <v>4354</v>
      </c>
      <c r="I1745" s="32" t="s">
        <v>287</v>
      </c>
      <c r="J1745" s="86" t="s">
        <v>460</v>
      </c>
      <c r="K1745" s="88" t="s">
        <v>4355</v>
      </c>
      <c r="L1745" s="89" t="n">
        <v>45748</v>
      </c>
      <c r="M1745" s="32" t="n">
        <v>2252</v>
      </c>
      <c r="N1745" s="32" t="n">
        <v>2782</v>
      </c>
      <c r="O1745" s="32" t="n">
        <v>530</v>
      </c>
      <c r="P1745" s="32" t="n">
        <v>514</v>
      </c>
      <c r="Q1745" s="32"/>
      <c r="R1745" s="90" t="n">
        <f aca="false">合約與計費!$D$4</f>
        <v>0.296</v>
      </c>
      <c r="S1745" s="91" t="n">
        <f aca="false">ROUND(P1745*R1745,0)</f>
        <v>152</v>
      </c>
      <c r="T1745" s="92"/>
      <c r="U1745" s="32" t="n">
        <v>590</v>
      </c>
      <c r="V1745" s="32" t="n">
        <v>818</v>
      </c>
      <c r="W1745" s="32" t="n">
        <v>228</v>
      </c>
      <c r="X1745" s="32" t="n">
        <v>221</v>
      </c>
      <c r="Y1745" s="32"/>
      <c r="Z1745" s="93" t="n">
        <f aca="false">合約與計費!$E$4</f>
        <v>2.8</v>
      </c>
      <c r="AA1745" s="94" t="n">
        <f aca="false">ROUND(X1745*Z1745,0)</f>
        <v>619</v>
      </c>
      <c r="AB1745" s="95"/>
      <c r="AC1745" s="254"/>
      <c r="AD1745" s="42"/>
      <c r="AE1745" s="43"/>
    </row>
    <row r="1746" customFormat="false" ht="16.5" hidden="false" customHeight="true" outlineLevel="0" collapsed="false">
      <c r="A1746" s="97" t="n">
        <f aca="false">ROW(A1735)</f>
        <v>1735</v>
      </c>
      <c r="B1746" s="97" t="s">
        <v>462</v>
      </c>
      <c r="C1746" s="100" t="n">
        <v>1</v>
      </c>
      <c r="D1746" s="85"/>
      <c r="E1746" s="98" t="s">
        <v>4356</v>
      </c>
      <c r="F1746" s="99" t="s">
        <v>4353</v>
      </c>
      <c r="G1746" s="100" t="s">
        <v>4100</v>
      </c>
      <c r="H1746" s="100" t="s">
        <v>4354</v>
      </c>
      <c r="I1746" s="100" t="s">
        <v>287</v>
      </c>
      <c r="J1746" s="98" t="s">
        <v>471</v>
      </c>
      <c r="K1746" s="101" t="s">
        <v>4357</v>
      </c>
      <c r="L1746" s="102" t="n">
        <v>45748</v>
      </c>
      <c r="M1746" s="100" t="n">
        <v>680</v>
      </c>
      <c r="N1746" s="100" t="n">
        <v>824</v>
      </c>
      <c r="O1746" s="100" t="n">
        <v>144</v>
      </c>
      <c r="P1746" s="100" t="n">
        <v>140</v>
      </c>
      <c r="Q1746" s="100"/>
      <c r="R1746" s="103" t="n">
        <f aca="false">合約與計費!$D$4</f>
        <v>0.296</v>
      </c>
      <c r="S1746" s="104" t="n">
        <f aca="false">ROUND(P1746*R1746,0)</f>
        <v>41</v>
      </c>
      <c r="T1746" s="105"/>
      <c r="U1746" s="100"/>
      <c r="V1746" s="100"/>
      <c r="W1746" s="106"/>
      <c r="X1746" s="100"/>
      <c r="Y1746" s="100"/>
      <c r="Z1746" s="107"/>
      <c r="AA1746" s="108"/>
      <c r="AB1746" s="109"/>
      <c r="AC1746" s="110"/>
      <c r="AD1746" s="42" t="n">
        <v>0.0739</v>
      </c>
      <c r="AE1746" s="43" t="n">
        <v>1</v>
      </c>
    </row>
    <row r="1747" customFormat="false" ht="16.5" hidden="false" customHeight="true" outlineLevel="0" collapsed="false">
      <c r="A1747" s="97" t="n">
        <f aca="false">ROW(A1736)</f>
        <v>1736</v>
      </c>
      <c r="B1747" s="97" t="s">
        <v>466</v>
      </c>
      <c r="C1747" s="100" t="n">
        <v>1</v>
      </c>
      <c r="D1747" s="85"/>
      <c r="E1747" s="98" t="s">
        <v>4358</v>
      </c>
      <c r="F1747" s="99" t="s">
        <v>4353</v>
      </c>
      <c r="G1747" s="100" t="s">
        <v>4100</v>
      </c>
      <c r="H1747" s="100" t="s">
        <v>4354</v>
      </c>
      <c r="I1747" s="100" t="s">
        <v>287</v>
      </c>
      <c r="J1747" s="98" t="s">
        <v>471</v>
      </c>
      <c r="K1747" s="101" t="s">
        <v>4359</v>
      </c>
      <c r="L1747" s="102" t="n">
        <v>45748</v>
      </c>
      <c r="M1747" s="100" t="n">
        <v>1913</v>
      </c>
      <c r="N1747" s="100" t="n">
        <v>2185</v>
      </c>
      <c r="O1747" s="100" t="n">
        <v>272</v>
      </c>
      <c r="P1747" s="100" t="n">
        <v>264</v>
      </c>
      <c r="Q1747" s="100"/>
      <c r="R1747" s="103" t="n">
        <f aca="false">合約與計費!$D$4</f>
        <v>0.296</v>
      </c>
      <c r="S1747" s="104" t="n">
        <f aca="false">ROUND(P1747*R1747,0)</f>
        <v>78</v>
      </c>
      <c r="T1747" s="105"/>
      <c r="U1747" s="100"/>
      <c r="V1747" s="100"/>
      <c r="W1747" s="106"/>
      <c r="X1747" s="100"/>
      <c r="Y1747" s="100"/>
      <c r="Z1747" s="107"/>
      <c r="AA1747" s="108"/>
      <c r="AB1747" s="109"/>
      <c r="AC1747" s="110"/>
      <c r="AD1747" s="42" t="n">
        <v>0.0978</v>
      </c>
      <c r="AE1747" s="43" t="n">
        <v>0.9</v>
      </c>
    </row>
    <row r="1748" customFormat="false" ht="16.5" hidden="false" customHeight="true" outlineLevel="0" collapsed="false">
      <c r="A1748" s="97" t="n">
        <f aca="false">ROW(A1737)</f>
        <v>1737</v>
      </c>
      <c r="B1748" s="97" t="s">
        <v>469</v>
      </c>
      <c r="C1748" s="100" t="n">
        <v>1</v>
      </c>
      <c r="D1748" s="85"/>
      <c r="E1748" s="98" t="s">
        <v>4360</v>
      </c>
      <c r="F1748" s="99" t="s">
        <v>4353</v>
      </c>
      <c r="G1748" s="100" t="s">
        <v>4100</v>
      </c>
      <c r="H1748" s="100" t="s">
        <v>4354</v>
      </c>
      <c r="I1748" s="100" t="s">
        <v>287</v>
      </c>
      <c r="J1748" s="98" t="s">
        <v>471</v>
      </c>
      <c r="K1748" s="101" t="s">
        <v>4361</v>
      </c>
      <c r="L1748" s="102" t="n">
        <v>45748</v>
      </c>
      <c r="M1748" s="100" t="n">
        <v>1850</v>
      </c>
      <c r="N1748" s="100" t="n">
        <v>2153</v>
      </c>
      <c r="O1748" s="100" t="n">
        <v>303</v>
      </c>
      <c r="P1748" s="100" t="n">
        <v>294</v>
      </c>
      <c r="Q1748" s="100"/>
      <c r="R1748" s="103" t="n">
        <f aca="false">合約與計費!$D$4</f>
        <v>0.296</v>
      </c>
      <c r="S1748" s="104" t="n">
        <f aca="false">ROUND(P1748*R1748,0)</f>
        <v>87</v>
      </c>
      <c r="T1748" s="105"/>
      <c r="U1748" s="100"/>
      <c r="V1748" s="100"/>
      <c r="W1748" s="106"/>
      <c r="X1748" s="100"/>
      <c r="Y1748" s="100"/>
      <c r="Z1748" s="107"/>
      <c r="AA1748" s="108"/>
      <c r="AB1748" s="109"/>
      <c r="AC1748" s="110"/>
      <c r="AD1748" s="42" t="n">
        <v>0.0445</v>
      </c>
      <c r="AE1748" s="43" t="n">
        <v>1</v>
      </c>
    </row>
    <row r="1749" customFormat="false" ht="16.5" hidden="false" customHeight="true" outlineLevel="0" collapsed="false">
      <c r="A1749" s="97" t="n">
        <f aca="false">ROW(A1738)</f>
        <v>1738</v>
      </c>
      <c r="B1749" s="97" t="s">
        <v>473</v>
      </c>
      <c r="C1749" s="100" t="n">
        <v>1</v>
      </c>
      <c r="D1749" s="85"/>
      <c r="E1749" s="98" t="s">
        <v>4362</v>
      </c>
      <c r="F1749" s="99" t="s">
        <v>4353</v>
      </c>
      <c r="G1749" s="100" t="s">
        <v>4100</v>
      </c>
      <c r="H1749" s="100" t="s">
        <v>4354</v>
      </c>
      <c r="I1749" s="100" t="s">
        <v>287</v>
      </c>
      <c r="J1749" s="98" t="s">
        <v>471</v>
      </c>
      <c r="K1749" s="101" t="s">
        <v>4363</v>
      </c>
      <c r="L1749" s="102" t="n">
        <v>45748</v>
      </c>
      <c r="M1749" s="100" t="n">
        <v>6896</v>
      </c>
      <c r="N1749" s="100" t="n">
        <v>8252</v>
      </c>
      <c r="O1749" s="100" t="n">
        <v>1356</v>
      </c>
      <c r="P1749" s="100" t="n">
        <v>1315</v>
      </c>
      <c r="Q1749" s="100"/>
      <c r="R1749" s="103" t="n">
        <f aca="false">合約與計費!$D$4</f>
        <v>0.296</v>
      </c>
      <c r="S1749" s="104" t="n">
        <f aca="false">ROUND(P1749*R1749,0)</f>
        <v>389</v>
      </c>
      <c r="T1749" s="105"/>
      <c r="U1749" s="100"/>
      <c r="V1749" s="100"/>
      <c r="W1749" s="106"/>
      <c r="X1749" s="100"/>
      <c r="Y1749" s="100"/>
      <c r="Z1749" s="107"/>
      <c r="AA1749" s="108"/>
      <c r="AB1749" s="109"/>
      <c r="AC1749" s="110"/>
      <c r="AD1749" s="42" t="n">
        <v>0.1269</v>
      </c>
      <c r="AE1749" s="43" t="n">
        <v>0.2</v>
      </c>
    </row>
    <row r="1750" customFormat="false" ht="16.5" hidden="false" customHeight="true" outlineLevel="0" collapsed="false">
      <c r="A1750" s="97" t="n">
        <f aca="false">ROW(A1739)</f>
        <v>1739</v>
      </c>
      <c r="B1750" s="97" t="s">
        <v>476</v>
      </c>
      <c r="C1750" s="100" t="n">
        <v>1</v>
      </c>
      <c r="D1750" s="85"/>
      <c r="E1750" s="98" t="s">
        <v>4364</v>
      </c>
      <c r="F1750" s="99" t="s">
        <v>4353</v>
      </c>
      <c r="G1750" s="100" t="s">
        <v>4100</v>
      </c>
      <c r="H1750" s="100" t="s">
        <v>4354</v>
      </c>
      <c r="I1750" s="100" t="s">
        <v>287</v>
      </c>
      <c r="J1750" s="98" t="s">
        <v>471</v>
      </c>
      <c r="K1750" s="101" t="s">
        <v>4365</v>
      </c>
      <c r="L1750" s="102" t="n">
        <v>45748</v>
      </c>
      <c r="M1750" s="100" t="n">
        <v>5802</v>
      </c>
      <c r="N1750" s="100" t="n">
        <v>7067</v>
      </c>
      <c r="O1750" s="100" t="n">
        <v>1265</v>
      </c>
      <c r="P1750" s="100" t="n">
        <v>1227</v>
      </c>
      <c r="Q1750" s="100"/>
      <c r="R1750" s="103" t="n">
        <f aca="false">合約與計費!$D$4</f>
        <v>0.296</v>
      </c>
      <c r="S1750" s="104" t="n">
        <f aca="false">ROUND(P1750*R1750,0)</f>
        <v>363</v>
      </c>
      <c r="T1750" s="105"/>
      <c r="U1750" s="100"/>
      <c r="V1750" s="100"/>
      <c r="W1750" s="106"/>
      <c r="X1750" s="100"/>
      <c r="Y1750" s="100"/>
      <c r="Z1750" s="107"/>
      <c r="AA1750" s="108"/>
      <c r="AB1750" s="109"/>
      <c r="AC1750" s="110"/>
      <c r="AD1750" s="42" t="n">
        <v>0.0992</v>
      </c>
      <c r="AE1750" s="43" t="n">
        <v>0.3</v>
      </c>
    </row>
    <row r="1751" customFormat="false" ht="16.5" hidden="false" customHeight="true" outlineLevel="0" collapsed="false">
      <c r="A1751" s="111" t="n">
        <f aca="false">ROW(A1740)</f>
        <v>1740</v>
      </c>
      <c r="B1751" s="111" t="s">
        <v>479</v>
      </c>
      <c r="C1751" s="114" t="n">
        <v>1</v>
      </c>
      <c r="D1751" s="85"/>
      <c r="E1751" s="112" t="s">
        <v>4366</v>
      </c>
      <c r="F1751" s="113" t="s">
        <v>4353</v>
      </c>
      <c r="G1751" s="114" t="s">
        <v>4100</v>
      </c>
      <c r="H1751" s="114" t="s">
        <v>4354</v>
      </c>
      <c r="I1751" s="114" t="s">
        <v>287</v>
      </c>
      <c r="J1751" s="112" t="s">
        <v>471</v>
      </c>
      <c r="K1751" s="115" t="s">
        <v>4367</v>
      </c>
      <c r="L1751" s="116" t="n">
        <v>45748</v>
      </c>
      <c r="M1751" s="114" t="n">
        <v>5542</v>
      </c>
      <c r="N1751" s="114" t="n">
        <v>7071</v>
      </c>
      <c r="O1751" s="114" t="n">
        <v>1529</v>
      </c>
      <c r="P1751" s="114" t="n">
        <v>1483</v>
      </c>
      <c r="Q1751" s="114" t="n">
        <f aca="false">ROUND(SUM(P1745:P1751),2)</f>
        <v>5237</v>
      </c>
      <c r="R1751" s="117" t="n">
        <f aca="false">合約與計費!$D$4</f>
        <v>0.296</v>
      </c>
      <c r="S1751" s="118" t="n">
        <f aca="false">ROUND(P1751*R1751,0)</f>
        <v>439</v>
      </c>
      <c r="T1751" s="119" t="n">
        <f aca="false">ROUND(SUM(S1745:S1751),2)</f>
        <v>1549</v>
      </c>
      <c r="U1751" s="114"/>
      <c r="V1751" s="114"/>
      <c r="W1751" s="120"/>
      <c r="X1751" s="114"/>
      <c r="Y1751" s="114" t="n">
        <f aca="false">ROUND(SUM(X1745:X1751),2)</f>
        <v>221</v>
      </c>
      <c r="Z1751" s="121"/>
      <c r="AA1751" s="122"/>
      <c r="AB1751" s="123" t="n">
        <f aca="false">ROUND(SUM(AA1745:AA1751),2)</f>
        <v>619</v>
      </c>
      <c r="AC1751" s="124"/>
      <c r="AD1751" s="42" t="n">
        <v>0.1009</v>
      </c>
      <c r="AE1751" s="43" t="n">
        <v>0.4</v>
      </c>
    </row>
    <row r="1752" customFormat="false" ht="16.5" hidden="false" customHeight="true" outlineLevel="0" collapsed="false">
      <c r="A1752" s="84" t="n">
        <f aca="false">ROW(A1741)</f>
        <v>1741</v>
      </c>
      <c r="B1752" s="84" t="s">
        <v>455</v>
      </c>
      <c r="C1752" s="32" t="n">
        <v>1</v>
      </c>
      <c r="D1752" s="85" t="n">
        <v>163</v>
      </c>
      <c r="E1752" s="86" t="s">
        <v>4368</v>
      </c>
      <c r="F1752" s="87" t="s">
        <v>4369</v>
      </c>
      <c r="G1752" s="32" t="s">
        <v>4100</v>
      </c>
      <c r="H1752" s="32" t="s">
        <v>4354</v>
      </c>
      <c r="I1752" s="32" t="s">
        <v>46</v>
      </c>
      <c r="J1752" s="86" t="s">
        <v>460</v>
      </c>
      <c r="K1752" s="88" t="s">
        <v>4370</v>
      </c>
      <c r="L1752" s="89" t="n">
        <v>45772</v>
      </c>
      <c r="M1752" s="32" t="n">
        <v>1402</v>
      </c>
      <c r="N1752" s="32" t="n">
        <v>1608</v>
      </c>
      <c r="O1752" s="32" t="n">
        <v>206</v>
      </c>
      <c r="P1752" s="32" t="n">
        <v>200</v>
      </c>
      <c r="Q1752" s="32"/>
      <c r="R1752" s="90" t="n">
        <f aca="false">合約與計費!$D$4</f>
        <v>0.296</v>
      </c>
      <c r="S1752" s="91" t="n">
        <f aca="false">ROUND(P1752*R1752,0)</f>
        <v>59</v>
      </c>
      <c r="T1752" s="92"/>
      <c r="U1752" s="32" t="n">
        <v>153</v>
      </c>
      <c r="V1752" s="32" t="n">
        <v>179</v>
      </c>
      <c r="W1752" s="32" t="n">
        <v>26</v>
      </c>
      <c r="X1752" s="32" t="n">
        <v>25</v>
      </c>
      <c r="Y1752" s="32"/>
      <c r="Z1752" s="93" t="n">
        <f aca="false">合約與計費!$E$4</f>
        <v>2.8</v>
      </c>
      <c r="AA1752" s="94" t="n">
        <f aca="false">ROUND(X1752*Z1752,0)</f>
        <v>70</v>
      </c>
      <c r="AB1752" s="95"/>
      <c r="AC1752" s="254"/>
      <c r="AD1752" s="42"/>
      <c r="AE1752" s="43"/>
    </row>
    <row r="1753" customFormat="false" ht="16.5" hidden="false" customHeight="true" outlineLevel="0" collapsed="false">
      <c r="A1753" s="97" t="n">
        <f aca="false">ROW(A1742)</f>
        <v>1742</v>
      </c>
      <c r="B1753" s="97" t="s">
        <v>462</v>
      </c>
      <c r="C1753" s="100" t="n">
        <v>1</v>
      </c>
      <c r="D1753" s="85"/>
      <c r="E1753" s="98" t="s">
        <v>4371</v>
      </c>
      <c r="F1753" s="99" t="s">
        <v>4369</v>
      </c>
      <c r="G1753" s="100" t="s">
        <v>4100</v>
      </c>
      <c r="H1753" s="100" t="s">
        <v>4354</v>
      </c>
      <c r="I1753" s="100" t="s">
        <v>46</v>
      </c>
      <c r="J1753" s="98" t="s">
        <v>464</v>
      </c>
      <c r="K1753" s="101" t="s">
        <v>4372</v>
      </c>
      <c r="L1753" s="102" t="n">
        <v>45772</v>
      </c>
      <c r="M1753" s="100" t="n">
        <v>735</v>
      </c>
      <c r="N1753" s="100" t="n">
        <v>891</v>
      </c>
      <c r="O1753" s="100" t="n">
        <v>156</v>
      </c>
      <c r="P1753" s="100" t="n">
        <v>151</v>
      </c>
      <c r="Q1753" s="100"/>
      <c r="R1753" s="103" t="n">
        <f aca="false">合約與計費!$D$4</f>
        <v>0.296</v>
      </c>
      <c r="S1753" s="104" t="n">
        <f aca="false">ROUND(P1753*R1753,0)</f>
        <v>45</v>
      </c>
      <c r="T1753" s="105"/>
      <c r="U1753" s="100"/>
      <c r="V1753" s="100"/>
      <c r="W1753" s="106"/>
      <c r="X1753" s="100"/>
      <c r="Y1753" s="100"/>
      <c r="Z1753" s="107"/>
      <c r="AA1753" s="108"/>
      <c r="AB1753" s="109"/>
      <c r="AC1753" s="110"/>
      <c r="AD1753" s="42" t="n">
        <v>0.0388</v>
      </c>
      <c r="AE1753" s="43" t="n">
        <v>0.7</v>
      </c>
    </row>
    <row r="1754" customFormat="false" ht="16.5" hidden="false" customHeight="true" outlineLevel="0" collapsed="false">
      <c r="A1754" s="97" t="n">
        <f aca="false">ROW(A1743)</f>
        <v>1743</v>
      </c>
      <c r="B1754" s="97" t="s">
        <v>466</v>
      </c>
      <c r="C1754" s="100" t="n">
        <v>1</v>
      </c>
      <c r="D1754" s="85"/>
      <c r="E1754" s="98" t="s">
        <v>4373</v>
      </c>
      <c r="F1754" s="99" t="s">
        <v>4369</v>
      </c>
      <c r="G1754" s="100" t="s">
        <v>4100</v>
      </c>
      <c r="H1754" s="100" t="s">
        <v>4354</v>
      </c>
      <c r="I1754" s="100" t="s">
        <v>46</v>
      </c>
      <c r="J1754" s="98" t="s">
        <v>471</v>
      </c>
      <c r="K1754" s="101" t="s">
        <v>4374</v>
      </c>
      <c r="L1754" s="102" t="n">
        <v>45772</v>
      </c>
      <c r="M1754" s="100" t="n">
        <v>4783</v>
      </c>
      <c r="N1754" s="100" t="n">
        <v>6161</v>
      </c>
      <c r="O1754" s="100" t="n">
        <v>1378</v>
      </c>
      <c r="P1754" s="100" t="n">
        <v>1337</v>
      </c>
      <c r="Q1754" s="100"/>
      <c r="R1754" s="103" t="n">
        <f aca="false">合約與計費!$D$4</f>
        <v>0.296</v>
      </c>
      <c r="S1754" s="104" t="n">
        <f aca="false">ROUND(P1754*R1754,0)</f>
        <v>396</v>
      </c>
      <c r="T1754" s="105"/>
      <c r="U1754" s="100"/>
      <c r="V1754" s="100"/>
      <c r="W1754" s="106"/>
      <c r="X1754" s="100"/>
      <c r="Y1754" s="100"/>
      <c r="Z1754" s="107"/>
      <c r="AA1754" s="108"/>
      <c r="AB1754" s="109"/>
      <c r="AC1754" s="110"/>
      <c r="AD1754" s="42" t="n">
        <v>0.0697</v>
      </c>
      <c r="AE1754" s="43" t="n">
        <v>0.7</v>
      </c>
    </row>
    <row r="1755" customFormat="false" ht="16.5" hidden="false" customHeight="true" outlineLevel="0" collapsed="false">
      <c r="A1755" s="97" t="n">
        <f aca="false">ROW(A1744)</f>
        <v>1744</v>
      </c>
      <c r="B1755" s="97" t="s">
        <v>469</v>
      </c>
      <c r="C1755" s="100" t="n">
        <v>1</v>
      </c>
      <c r="D1755" s="85"/>
      <c r="E1755" s="98" t="s">
        <v>4375</v>
      </c>
      <c r="F1755" s="99" t="s">
        <v>4369</v>
      </c>
      <c r="G1755" s="100" t="s">
        <v>4100</v>
      </c>
      <c r="H1755" s="100" t="s">
        <v>4354</v>
      </c>
      <c r="I1755" s="100" t="s">
        <v>46</v>
      </c>
      <c r="J1755" s="98" t="s">
        <v>471</v>
      </c>
      <c r="K1755" s="101" t="s">
        <v>4376</v>
      </c>
      <c r="L1755" s="102" t="n">
        <v>45772</v>
      </c>
      <c r="M1755" s="100" t="n">
        <v>3112</v>
      </c>
      <c r="N1755" s="100" t="n">
        <v>4046</v>
      </c>
      <c r="O1755" s="100" t="n">
        <v>934</v>
      </c>
      <c r="P1755" s="100" t="n">
        <v>906</v>
      </c>
      <c r="Q1755" s="100"/>
      <c r="R1755" s="103" t="n">
        <f aca="false">合約與計費!$D$4</f>
        <v>0.296</v>
      </c>
      <c r="S1755" s="104" t="n">
        <f aca="false">ROUND(P1755*R1755,0)</f>
        <v>268</v>
      </c>
      <c r="T1755" s="105"/>
      <c r="U1755" s="100"/>
      <c r="V1755" s="100"/>
      <c r="W1755" s="106"/>
      <c r="X1755" s="100"/>
      <c r="Y1755" s="100"/>
      <c r="Z1755" s="107"/>
      <c r="AA1755" s="108"/>
      <c r="AB1755" s="109"/>
      <c r="AC1755" s="110"/>
      <c r="AD1755" s="42" t="n">
        <v>0.1064</v>
      </c>
      <c r="AE1755" s="43" t="n">
        <v>0.7</v>
      </c>
    </row>
    <row r="1756" customFormat="false" ht="16.5" hidden="false" customHeight="true" outlineLevel="0" collapsed="false">
      <c r="A1756" s="97" t="n">
        <f aca="false">ROW(A1745)</f>
        <v>1745</v>
      </c>
      <c r="B1756" s="97" t="s">
        <v>473</v>
      </c>
      <c r="C1756" s="100" t="n">
        <v>1</v>
      </c>
      <c r="D1756" s="85"/>
      <c r="E1756" s="98" t="s">
        <v>4377</v>
      </c>
      <c r="F1756" s="99" t="s">
        <v>4369</v>
      </c>
      <c r="G1756" s="100" t="s">
        <v>4100</v>
      </c>
      <c r="H1756" s="100" t="s">
        <v>4354</v>
      </c>
      <c r="I1756" s="100" t="s">
        <v>46</v>
      </c>
      <c r="J1756" s="98" t="s">
        <v>471</v>
      </c>
      <c r="K1756" s="101" t="s">
        <v>4378</v>
      </c>
      <c r="L1756" s="102" t="n">
        <v>45772</v>
      </c>
      <c r="M1756" s="100" t="n">
        <v>1499</v>
      </c>
      <c r="N1756" s="100" t="n">
        <v>1874</v>
      </c>
      <c r="O1756" s="100" t="n">
        <v>375</v>
      </c>
      <c r="P1756" s="100" t="n">
        <v>364</v>
      </c>
      <c r="Q1756" s="100"/>
      <c r="R1756" s="103" t="n">
        <f aca="false">合約與計費!$D$4</f>
        <v>0.296</v>
      </c>
      <c r="S1756" s="104" t="n">
        <f aca="false">ROUND(P1756*R1756,0)</f>
        <v>108</v>
      </c>
      <c r="T1756" s="105"/>
      <c r="U1756" s="100"/>
      <c r="V1756" s="100"/>
      <c r="W1756" s="106"/>
      <c r="X1756" s="100"/>
      <c r="Y1756" s="100"/>
      <c r="Z1756" s="107"/>
      <c r="AA1756" s="108"/>
      <c r="AB1756" s="109"/>
      <c r="AC1756" s="110"/>
      <c r="AD1756" s="42" t="n">
        <v>0.0351</v>
      </c>
      <c r="AE1756" s="43" t="n">
        <v>0.3</v>
      </c>
    </row>
    <row r="1757" customFormat="false" ht="16.5" hidden="false" customHeight="true" outlineLevel="0" collapsed="false">
      <c r="A1757" s="111" t="n">
        <f aca="false">ROW(A1746)</f>
        <v>1746</v>
      </c>
      <c r="B1757" s="111" t="s">
        <v>476</v>
      </c>
      <c r="C1757" s="114" t="n">
        <v>1</v>
      </c>
      <c r="D1757" s="85"/>
      <c r="E1757" s="112" t="s">
        <v>4379</v>
      </c>
      <c r="F1757" s="113" t="s">
        <v>4369</v>
      </c>
      <c r="G1757" s="114" t="s">
        <v>4100</v>
      </c>
      <c r="H1757" s="114" t="s">
        <v>4354</v>
      </c>
      <c r="I1757" s="114" t="s">
        <v>46</v>
      </c>
      <c r="J1757" s="112" t="s">
        <v>471</v>
      </c>
      <c r="K1757" s="115" t="s">
        <v>4380</v>
      </c>
      <c r="L1757" s="116" t="n">
        <v>45772</v>
      </c>
      <c r="M1757" s="114" t="n">
        <v>7271</v>
      </c>
      <c r="N1757" s="114" t="n">
        <v>8911</v>
      </c>
      <c r="O1757" s="100" t="n">
        <v>1640</v>
      </c>
      <c r="P1757" s="100" t="n">
        <v>1591</v>
      </c>
      <c r="Q1757" s="100" t="n">
        <f aca="false">ROUND(SUM(P1752:P1757),2)</f>
        <v>4549</v>
      </c>
      <c r="R1757" s="117" t="n">
        <f aca="false">合約與計費!$D$4</f>
        <v>0.296</v>
      </c>
      <c r="S1757" s="118" t="n">
        <f aca="false">ROUND(P1757*R1757,0)</f>
        <v>471</v>
      </c>
      <c r="T1757" s="105" t="n">
        <f aca="false">ROUND(SUM(S1752:S1757),2)</f>
        <v>1347</v>
      </c>
      <c r="U1757" s="114"/>
      <c r="V1757" s="114"/>
      <c r="W1757" s="120"/>
      <c r="X1757" s="114"/>
      <c r="Y1757" s="100" t="n">
        <f aca="false">ROUND(SUM(X1752:X1757),2)</f>
        <v>25</v>
      </c>
      <c r="Z1757" s="121"/>
      <c r="AA1757" s="108"/>
      <c r="AB1757" s="109" t="n">
        <f aca="false">ROUND(SUM(AA1752:AA1757),2)</f>
        <v>70</v>
      </c>
      <c r="AC1757" s="124"/>
      <c r="AD1757" s="42" t="n">
        <v>0.0958</v>
      </c>
      <c r="AE1757" s="43" t="n">
        <v>0.2</v>
      </c>
    </row>
    <row r="1758" customFormat="false" ht="16.5" hidden="false" customHeight="true" outlineLevel="0" collapsed="false">
      <c r="A1758" s="84" t="n">
        <f aca="false">ROW(A1747)</f>
        <v>1747</v>
      </c>
      <c r="B1758" s="84" t="s">
        <v>455</v>
      </c>
      <c r="C1758" s="32" t="n">
        <v>1</v>
      </c>
      <c r="D1758" s="85" t="n">
        <v>167</v>
      </c>
      <c r="E1758" s="86" t="s">
        <v>4381</v>
      </c>
      <c r="F1758" s="87" t="s">
        <v>4382</v>
      </c>
      <c r="G1758" s="32" t="s">
        <v>4100</v>
      </c>
      <c r="H1758" s="32" t="s">
        <v>4354</v>
      </c>
      <c r="I1758" s="32" t="s">
        <v>284</v>
      </c>
      <c r="J1758" s="86" t="s">
        <v>460</v>
      </c>
      <c r="K1758" s="88" t="s">
        <v>4383</v>
      </c>
      <c r="L1758" s="89" t="n">
        <v>45784</v>
      </c>
      <c r="M1758" s="32" t="n">
        <v>2261</v>
      </c>
      <c r="N1758" s="32" t="n">
        <v>2663</v>
      </c>
      <c r="O1758" s="32" t="n">
        <v>402</v>
      </c>
      <c r="P1758" s="32" t="n">
        <v>390</v>
      </c>
      <c r="Q1758" s="32"/>
      <c r="R1758" s="90" t="n">
        <f aca="false">合約與計費!$D$4</f>
        <v>0.296</v>
      </c>
      <c r="S1758" s="91" t="n">
        <f aca="false">ROUND(P1758*R1758,0)</f>
        <v>115</v>
      </c>
      <c r="T1758" s="92"/>
      <c r="U1758" s="32" t="n">
        <v>341</v>
      </c>
      <c r="V1758" s="32" t="n">
        <v>448</v>
      </c>
      <c r="W1758" s="32" t="n">
        <v>107</v>
      </c>
      <c r="X1758" s="32" t="n">
        <v>104</v>
      </c>
      <c r="Y1758" s="32"/>
      <c r="Z1758" s="93" t="n">
        <f aca="false">合約與計費!$E$4</f>
        <v>2.8</v>
      </c>
      <c r="AA1758" s="94" t="n">
        <f aca="false">ROUND(X1758*Z1758,0)</f>
        <v>291</v>
      </c>
      <c r="AB1758" s="95"/>
      <c r="AC1758" s="254"/>
      <c r="AD1758" s="42"/>
      <c r="AE1758" s="43"/>
    </row>
    <row r="1759" customFormat="false" ht="16.5" hidden="false" customHeight="true" outlineLevel="0" collapsed="false">
      <c r="A1759" s="97" t="n">
        <f aca="false">ROW(A1748)</f>
        <v>1748</v>
      </c>
      <c r="B1759" s="97" t="s">
        <v>462</v>
      </c>
      <c r="C1759" s="100" t="n">
        <v>1</v>
      </c>
      <c r="D1759" s="85"/>
      <c r="E1759" s="98" t="s">
        <v>4384</v>
      </c>
      <c r="F1759" s="99" t="s">
        <v>4382</v>
      </c>
      <c r="G1759" s="100" t="s">
        <v>4100</v>
      </c>
      <c r="H1759" s="100" t="s">
        <v>4354</v>
      </c>
      <c r="I1759" s="100" t="s">
        <v>284</v>
      </c>
      <c r="J1759" s="98" t="s">
        <v>464</v>
      </c>
      <c r="K1759" s="101" t="s">
        <v>4385</v>
      </c>
      <c r="L1759" s="102" t="n">
        <v>45784</v>
      </c>
      <c r="M1759" s="100" t="n">
        <v>4310</v>
      </c>
      <c r="N1759" s="100" t="n">
        <v>5162</v>
      </c>
      <c r="O1759" s="100" t="n">
        <v>852</v>
      </c>
      <c r="P1759" s="100" t="n">
        <v>826</v>
      </c>
      <c r="Q1759" s="100"/>
      <c r="R1759" s="103" t="n">
        <f aca="false">合約與計費!$D$4</f>
        <v>0.296</v>
      </c>
      <c r="S1759" s="104" t="n">
        <f aca="false">ROUND(P1759*R1759,0)</f>
        <v>244</v>
      </c>
      <c r="T1759" s="105"/>
      <c r="U1759" s="100"/>
      <c r="V1759" s="100"/>
      <c r="W1759" s="106"/>
      <c r="X1759" s="100"/>
      <c r="Y1759" s="100"/>
      <c r="Z1759" s="107"/>
      <c r="AA1759" s="108"/>
      <c r="AB1759" s="109"/>
      <c r="AC1759" s="110"/>
      <c r="AD1759" s="42" t="n">
        <v>0.0461</v>
      </c>
      <c r="AE1759" s="43" t="n">
        <v>0.9</v>
      </c>
    </row>
    <row r="1760" customFormat="false" ht="16.5" hidden="false" customHeight="true" outlineLevel="0" collapsed="false">
      <c r="A1760" s="97" t="n">
        <f aca="false">ROW(A1749)</f>
        <v>1749</v>
      </c>
      <c r="B1760" s="97" t="s">
        <v>466</v>
      </c>
      <c r="C1760" s="100" t="n">
        <v>1</v>
      </c>
      <c r="D1760" s="85"/>
      <c r="E1760" s="98" t="s">
        <v>4386</v>
      </c>
      <c r="F1760" s="99" t="s">
        <v>4382</v>
      </c>
      <c r="G1760" s="100" t="s">
        <v>4100</v>
      </c>
      <c r="H1760" s="100" t="s">
        <v>4354</v>
      </c>
      <c r="I1760" s="100" t="s">
        <v>284</v>
      </c>
      <c r="J1760" s="98" t="s">
        <v>471</v>
      </c>
      <c r="K1760" s="101" t="s">
        <v>4387</v>
      </c>
      <c r="L1760" s="102" t="n">
        <v>45784</v>
      </c>
      <c r="M1760" s="100" t="n">
        <v>3888</v>
      </c>
      <c r="N1760" s="100" t="n">
        <v>4665</v>
      </c>
      <c r="O1760" s="100" t="n">
        <v>777</v>
      </c>
      <c r="P1760" s="100" t="n">
        <v>754</v>
      </c>
      <c r="Q1760" s="100"/>
      <c r="R1760" s="103" t="n">
        <f aca="false">合約與計費!$D$4</f>
        <v>0.296</v>
      </c>
      <c r="S1760" s="104" t="n">
        <f aca="false">ROUND(P1760*R1760,0)</f>
        <v>223</v>
      </c>
      <c r="T1760" s="105"/>
      <c r="U1760" s="100"/>
      <c r="V1760" s="100"/>
      <c r="W1760" s="106"/>
      <c r="X1760" s="100"/>
      <c r="Y1760" s="100"/>
      <c r="Z1760" s="107"/>
      <c r="AA1760" s="108"/>
      <c r="AB1760" s="109"/>
      <c r="AC1760" s="110"/>
      <c r="AD1760" s="42" t="n">
        <v>0.0948</v>
      </c>
      <c r="AE1760" s="43" t="n">
        <v>0.7</v>
      </c>
    </row>
    <row r="1761" customFormat="false" ht="16.5" hidden="false" customHeight="true" outlineLevel="0" collapsed="false">
      <c r="A1761" s="97" t="n">
        <f aca="false">ROW(A1750)</f>
        <v>1750</v>
      </c>
      <c r="B1761" s="97" t="s">
        <v>469</v>
      </c>
      <c r="C1761" s="100" t="n">
        <v>1</v>
      </c>
      <c r="D1761" s="85"/>
      <c r="E1761" s="98" t="s">
        <v>4388</v>
      </c>
      <c r="F1761" s="99" t="s">
        <v>4382</v>
      </c>
      <c r="G1761" s="100" t="s">
        <v>4100</v>
      </c>
      <c r="H1761" s="100" t="s">
        <v>4354</v>
      </c>
      <c r="I1761" s="100" t="s">
        <v>284</v>
      </c>
      <c r="J1761" s="98" t="s">
        <v>471</v>
      </c>
      <c r="K1761" s="101" t="s">
        <v>4389</v>
      </c>
      <c r="L1761" s="102" t="n">
        <v>45784</v>
      </c>
      <c r="M1761" s="100" t="n">
        <v>61</v>
      </c>
      <c r="N1761" s="100" t="n">
        <v>125</v>
      </c>
      <c r="O1761" s="100" t="n">
        <v>64</v>
      </c>
      <c r="P1761" s="100" t="n">
        <v>62</v>
      </c>
      <c r="Q1761" s="100"/>
      <c r="R1761" s="103" t="n">
        <f aca="false">合約與計費!$D$4</f>
        <v>0.296</v>
      </c>
      <c r="S1761" s="104" t="n">
        <f aca="false">ROUND(P1761*R1761,0)</f>
        <v>18</v>
      </c>
      <c r="T1761" s="105"/>
      <c r="U1761" s="100"/>
      <c r="V1761" s="100"/>
      <c r="W1761" s="106"/>
      <c r="X1761" s="100"/>
      <c r="Y1761" s="100"/>
      <c r="Z1761" s="107"/>
      <c r="AA1761" s="108"/>
      <c r="AB1761" s="109"/>
      <c r="AC1761" s="110"/>
      <c r="AD1761" s="42" t="n">
        <v>0.0951</v>
      </c>
      <c r="AE1761" s="43" t="n">
        <v>1</v>
      </c>
    </row>
    <row r="1762" customFormat="false" ht="16.5" hidden="false" customHeight="true" outlineLevel="0" collapsed="false">
      <c r="A1762" s="97" t="n">
        <f aca="false">ROW(A1751)</f>
        <v>1751</v>
      </c>
      <c r="B1762" s="97" t="s">
        <v>473</v>
      </c>
      <c r="C1762" s="100" t="n">
        <v>1</v>
      </c>
      <c r="D1762" s="85"/>
      <c r="E1762" s="98" t="s">
        <v>4390</v>
      </c>
      <c r="F1762" s="99" t="s">
        <v>4382</v>
      </c>
      <c r="G1762" s="100" t="s">
        <v>4100</v>
      </c>
      <c r="H1762" s="100" t="s">
        <v>4354</v>
      </c>
      <c r="I1762" s="100" t="s">
        <v>284</v>
      </c>
      <c r="J1762" s="98" t="s">
        <v>471</v>
      </c>
      <c r="K1762" s="101" t="s">
        <v>4391</v>
      </c>
      <c r="L1762" s="102" t="n">
        <v>45784</v>
      </c>
      <c r="M1762" s="100" t="n">
        <v>4957</v>
      </c>
      <c r="N1762" s="100" t="n">
        <v>6473</v>
      </c>
      <c r="O1762" s="100" t="n">
        <v>1516</v>
      </c>
      <c r="P1762" s="100" t="n">
        <v>1471</v>
      </c>
      <c r="Q1762" s="100"/>
      <c r="R1762" s="103" t="n">
        <f aca="false">合約與計費!$D$4</f>
        <v>0.296</v>
      </c>
      <c r="S1762" s="104" t="n">
        <f aca="false">ROUND(P1762*R1762,0)</f>
        <v>435</v>
      </c>
      <c r="T1762" s="105"/>
      <c r="U1762" s="100"/>
      <c r="V1762" s="100"/>
      <c r="W1762" s="106"/>
      <c r="X1762" s="100"/>
      <c r="Y1762" s="100"/>
      <c r="Z1762" s="107"/>
      <c r="AA1762" s="108"/>
      <c r="AB1762" s="109"/>
      <c r="AC1762" s="110"/>
      <c r="AD1762" s="42" t="n">
        <v>0.228</v>
      </c>
      <c r="AE1762" s="43" t="n">
        <v>0.5</v>
      </c>
    </row>
    <row r="1763" customFormat="false" ht="16.5" hidden="false" customHeight="true" outlineLevel="0" collapsed="false">
      <c r="A1763" s="97" t="n">
        <f aca="false">ROW(A1752)</f>
        <v>1752</v>
      </c>
      <c r="B1763" s="97" t="s">
        <v>476</v>
      </c>
      <c r="C1763" s="100" t="n">
        <v>1</v>
      </c>
      <c r="D1763" s="85"/>
      <c r="E1763" s="98" t="s">
        <v>4392</v>
      </c>
      <c r="F1763" s="99" t="s">
        <v>4382</v>
      </c>
      <c r="G1763" s="100" t="s">
        <v>4100</v>
      </c>
      <c r="H1763" s="100" t="s">
        <v>4354</v>
      </c>
      <c r="I1763" s="100" t="s">
        <v>284</v>
      </c>
      <c r="J1763" s="98" t="s">
        <v>471</v>
      </c>
      <c r="K1763" s="101" t="s">
        <v>4393</v>
      </c>
      <c r="L1763" s="102" t="n">
        <v>45784</v>
      </c>
      <c r="M1763" s="100" t="n">
        <v>3512</v>
      </c>
      <c r="N1763" s="100" t="n">
        <v>4581</v>
      </c>
      <c r="O1763" s="100" t="n">
        <v>1069</v>
      </c>
      <c r="P1763" s="100" t="n">
        <v>1037</v>
      </c>
      <c r="Q1763" s="100"/>
      <c r="R1763" s="103" t="n">
        <f aca="false">合約與計費!$D$4</f>
        <v>0.296</v>
      </c>
      <c r="S1763" s="104" t="n">
        <f aca="false">ROUND(P1763*R1763,0)</f>
        <v>307</v>
      </c>
      <c r="T1763" s="105"/>
      <c r="U1763" s="100"/>
      <c r="V1763" s="100"/>
      <c r="W1763" s="106"/>
      <c r="X1763" s="100"/>
      <c r="Y1763" s="100"/>
      <c r="Z1763" s="107"/>
      <c r="AA1763" s="108"/>
      <c r="AB1763" s="109"/>
      <c r="AC1763" s="110"/>
      <c r="AD1763" s="42" t="n">
        <v>0.1519</v>
      </c>
      <c r="AE1763" s="43" t="n">
        <v>0.6</v>
      </c>
    </row>
    <row r="1764" customFormat="false" ht="16.5" hidden="false" customHeight="true" outlineLevel="0" collapsed="false">
      <c r="A1764" s="97" t="n">
        <f aca="false">ROW(A1753)</f>
        <v>1753</v>
      </c>
      <c r="B1764" s="97" t="s">
        <v>479</v>
      </c>
      <c r="C1764" s="100" t="n">
        <v>1</v>
      </c>
      <c r="D1764" s="85"/>
      <c r="E1764" s="98" t="s">
        <v>4394</v>
      </c>
      <c r="F1764" s="99" t="s">
        <v>4382</v>
      </c>
      <c r="G1764" s="100" t="s">
        <v>4100</v>
      </c>
      <c r="H1764" s="100" t="s">
        <v>4354</v>
      </c>
      <c r="I1764" s="100" t="s">
        <v>284</v>
      </c>
      <c r="J1764" s="98" t="s">
        <v>471</v>
      </c>
      <c r="K1764" s="101" t="s">
        <v>4395</v>
      </c>
      <c r="L1764" s="102" t="n">
        <v>45784</v>
      </c>
      <c r="M1764" s="100" t="n">
        <v>3997</v>
      </c>
      <c r="N1764" s="100" t="n">
        <v>5062</v>
      </c>
      <c r="O1764" s="100" t="n">
        <v>1065</v>
      </c>
      <c r="P1764" s="100" t="n">
        <v>1033</v>
      </c>
      <c r="Q1764" s="100"/>
      <c r="R1764" s="103" t="n">
        <f aca="false">合約與計費!$D$4</f>
        <v>0.296</v>
      </c>
      <c r="S1764" s="104" t="n">
        <f aca="false">ROUND(P1764*R1764,0)</f>
        <v>306</v>
      </c>
      <c r="T1764" s="105"/>
      <c r="U1764" s="100"/>
      <c r="V1764" s="100"/>
      <c r="W1764" s="106"/>
      <c r="X1764" s="100"/>
      <c r="Y1764" s="100"/>
      <c r="Z1764" s="107"/>
      <c r="AA1764" s="108"/>
      <c r="AB1764" s="109"/>
      <c r="AC1764" s="110"/>
      <c r="AD1764" s="42" t="n">
        <v>0.0448</v>
      </c>
      <c r="AE1764" s="43" t="n">
        <v>0.9</v>
      </c>
    </row>
    <row r="1765" customFormat="false" ht="16.5" hidden="false" customHeight="true" outlineLevel="0" collapsed="false">
      <c r="A1765" s="97" t="n">
        <f aca="false">ROW(A1754)</f>
        <v>1754</v>
      </c>
      <c r="B1765" s="97" t="s">
        <v>482</v>
      </c>
      <c r="C1765" s="100" t="n">
        <v>1</v>
      </c>
      <c r="D1765" s="85"/>
      <c r="E1765" s="98" t="s">
        <v>4396</v>
      </c>
      <c r="F1765" s="99" t="s">
        <v>4382</v>
      </c>
      <c r="G1765" s="100" t="s">
        <v>4100</v>
      </c>
      <c r="H1765" s="100" t="s">
        <v>4354</v>
      </c>
      <c r="I1765" s="100" t="s">
        <v>284</v>
      </c>
      <c r="J1765" s="98" t="s">
        <v>471</v>
      </c>
      <c r="K1765" s="101" t="s">
        <v>4397</v>
      </c>
      <c r="L1765" s="102" t="n">
        <v>45784</v>
      </c>
      <c r="M1765" s="100" t="n">
        <v>5697</v>
      </c>
      <c r="N1765" s="100" t="n">
        <v>6801</v>
      </c>
      <c r="O1765" s="100" t="n">
        <v>1104</v>
      </c>
      <c r="P1765" s="100" t="n">
        <v>1071</v>
      </c>
      <c r="Q1765" s="100"/>
      <c r="R1765" s="103" t="n">
        <f aca="false">合約與計費!$D$4</f>
        <v>0.296</v>
      </c>
      <c r="S1765" s="104" t="n">
        <f aca="false">ROUND(P1765*R1765,0)</f>
        <v>317</v>
      </c>
      <c r="T1765" s="105"/>
      <c r="U1765" s="100"/>
      <c r="V1765" s="100"/>
      <c r="W1765" s="106"/>
      <c r="X1765" s="100"/>
      <c r="Y1765" s="100"/>
      <c r="Z1765" s="107"/>
      <c r="AA1765" s="108"/>
      <c r="AB1765" s="109"/>
      <c r="AC1765" s="110"/>
      <c r="AD1765" s="42" t="n">
        <v>0.0925</v>
      </c>
      <c r="AE1765" s="43" t="n">
        <v>0.3</v>
      </c>
    </row>
    <row r="1766" customFormat="false" ht="16.5" hidden="false" customHeight="true" outlineLevel="0" collapsed="false">
      <c r="A1766" s="97" t="n">
        <f aca="false">ROW(A1755)</f>
        <v>1755</v>
      </c>
      <c r="B1766" s="97" t="s">
        <v>485</v>
      </c>
      <c r="C1766" s="100" t="n">
        <v>1</v>
      </c>
      <c r="D1766" s="85"/>
      <c r="E1766" s="98" t="s">
        <v>4398</v>
      </c>
      <c r="F1766" s="99" t="s">
        <v>4382</v>
      </c>
      <c r="G1766" s="100" t="s">
        <v>4100</v>
      </c>
      <c r="H1766" s="100" t="s">
        <v>4354</v>
      </c>
      <c r="I1766" s="100" t="s">
        <v>284</v>
      </c>
      <c r="J1766" s="98" t="s">
        <v>471</v>
      </c>
      <c r="K1766" s="101" t="s">
        <v>4399</v>
      </c>
      <c r="L1766" s="102" t="n">
        <v>45784</v>
      </c>
      <c r="M1766" s="100" t="n">
        <v>1194</v>
      </c>
      <c r="N1766" s="100" t="n">
        <v>1421</v>
      </c>
      <c r="O1766" s="100" t="n">
        <v>227</v>
      </c>
      <c r="P1766" s="100" t="n">
        <v>220</v>
      </c>
      <c r="Q1766" s="100"/>
      <c r="R1766" s="103" t="n">
        <f aca="false">合約與計費!$D$4</f>
        <v>0.296</v>
      </c>
      <c r="S1766" s="104" t="n">
        <f aca="false">ROUND(P1766*R1766,0)</f>
        <v>65</v>
      </c>
      <c r="T1766" s="105"/>
      <c r="U1766" s="100"/>
      <c r="V1766" s="100"/>
      <c r="W1766" s="106"/>
      <c r="X1766" s="100"/>
      <c r="Y1766" s="100"/>
      <c r="Z1766" s="107"/>
      <c r="AA1766" s="108"/>
      <c r="AB1766" s="109"/>
      <c r="AC1766" s="110"/>
      <c r="AD1766" s="42" t="n">
        <v>0.2207</v>
      </c>
      <c r="AE1766" s="43" t="n">
        <v>0.9</v>
      </c>
    </row>
    <row r="1767" customFormat="false" ht="16.5" hidden="false" customHeight="true" outlineLevel="0" collapsed="false">
      <c r="A1767" s="97" t="n">
        <f aca="false">ROW(A1756)</f>
        <v>1756</v>
      </c>
      <c r="B1767" s="97" t="n">
        <v>10</v>
      </c>
      <c r="C1767" s="100" t="n">
        <v>1</v>
      </c>
      <c r="D1767" s="85"/>
      <c r="E1767" s="98" t="s">
        <v>4400</v>
      </c>
      <c r="F1767" s="99" t="s">
        <v>4382</v>
      </c>
      <c r="G1767" s="100" t="s">
        <v>4100</v>
      </c>
      <c r="H1767" s="100" t="s">
        <v>4354</v>
      </c>
      <c r="I1767" s="100" t="s">
        <v>284</v>
      </c>
      <c r="J1767" s="98" t="s">
        <v>471</v>
      </c>
      <c r="K1767" s="101" t="s">
        <v>4401</v>
      </c>
      <c r="L1767" s="102" t="n">
        <v>45784</v>
      </c>
      <c r="M1767" s="100" t="n">
        <v>6067</v>
      </c>
      <c r="N1767" s="100" t="n">
        <v>7981</v>
      </c>
      <c r="O1767" s="100" t="n">
        <v>1914</v>
      </c>
      <c r="P1767" s="100" t="n">
        <v>1857</v>
      </c>
      <c r="Q1767" s="100"/>
      <c r="R1767" s="103" t="n">
        <f aca="false">合約與計費!$D$4</f>
        <v>0.296</v>
      </c>
      <c r="S1767" s="104" t="n">
        <f aca="false">ROUND(P1767*R1767,0)</f>
        <v>550</v>
      </c>
      <c r="T1767" s="105"/>
      <c r="U1767" s="100"/>
      <c r="V1767" s="100"/>
      <c r="W1767" s="106"/>
      <c r="X1767" s="100"/>
      <c r="Y1767" s="100"/>
      <c r="Z1767" s="107"/>
      <c r="AA1767" s="108"/>
      <c r="AB1767" s="109"/>
      <c r="AC1767" s="110"/>
      <c r="AD1767" s="42" t="n">
        <v>0.1131</v>
      </c>
      <c r="AE1767" s="43" t="n">
        <v>0.1</v>
      </c>
    </row>
    <row r="1768" customFormat="false" ht="16.5" hidden="false" customHeight="true" outlineLevel="0" collapsed="false">
      <c r="A1768" s="97" t="n">
        <f aca="false">ROW(A1757)</f>
        <v>1757</v>
      </c>
      <c r="B1768" s="97" t="n">
        <v>11</v>
      </c>
      <c r="C1768" s="100" t="n">
        <v>1</v>
      </c>
      <c r="D1768" s="85"/>
      <c r="E1768" s="98" t="s">
        <v>4402</v>
      </c>
      <c r="F1768" s="99" t="s">
        <v>4382</v>
      </c>
      <c r="G1768" s="100" t="s">
        <v>4100</v>
      </c>
      <c r="H1768" s="100" t="s">
        <v>4354</v>
      </c>
      <c r="I1768" s="100" t="s">
        <v>284</v>
      </c>
      <c r="J1768" s="98" t="s">
        <v>471</v>
      </c>
      <c r="K1768" s="101" t="s">
        <v>4403</v>
      </c>
      <c r="L1768" s="102" t="n">
        <v>45784</v>
      </c>
      <c r="M1768" s="100" t="n">
        <v>4839</v>
      </c>
      <c r="N1768" s="100" t="n">
        <v>6706</v>
      </c>
      <c r="O1768" s="100" t="n">
        <v>1867</v>
      </c>
      <c r="P1768" s="100" t="n">
        <v>1811</v>
      </c>
      <c r="Q1768" s="100"/>
      <c r="R1768" s="103" t="n">
        <f aca="false">合約與計費!$D$4</f>
        <v>0.296</v>
      </c>
      <c r="S1768" s="104" t="n">
        <f aca="false">ROUND(P1768*R1768,0)</f>
        <v>536</v>
      </c>
      <c r="T1768" s="105"/>
      <c r="U1768" s="100"/>
      <c r="V1768" s="100"/>
      <c r="W1768" s="106"/>
      <c r="X1768" s="100"/>
      <c r="Y1768" s="100"/>
      <c r="Z1768" s="107"/>
      <c r="AA1768" s="108"/>
      <c r="AB1768" s="109"/>
      <c r="AC1768" s="110"/>
      <c r="AD1768" s="42" t="n">
        <v>0.0977</v>
      </c>
      <c r="AE1768" s="43" t="n">
        <v>0.3</v>
      </c>
    </row>
    <row r="1769" customFormat="false" ht="16.5" hidden="false" customHeight="true" outlineLevel="0" collapsed="false">
      <c r="A1769" s="97" t="n">
        <f aca="false">ROW(A1758)</f>
        <v>1758</v>
      </c>
      <c r="B1769" s="97" t="n">
        <v>12</v>
      </c>
      <c r="C1769" s="100" t="n">
        <v>1</v>
      </c>
      <c r="D1769" s="85"/>
      <c r="E1769" s="98" t="s">
        <v>4404</v>
      </c>
      <c r="F1769" s="99" t="s">
        <v>4382</v>
      </c>
      <c r="G1769" s="100" t="s">
        <v>4100</v>
      </c>
      <c r="H1769" s="100" t="s">
        <v>4354</v>
      </c>
      <c r="I1769" s="100" t="s">
        <v>284</v>
      </c>
      <c r="J1769" s="98" t="s">
        <v>471</v>
      </c>
      <c r="K1769" s="101" t="s">
        <v>4405</v>
      </c>
      <c r="L1769" s="102" t="n">
        <v>45784</v>
      </c>
      <c r="M1769" s="100" t="n">
        <v>5872</v>
      </c>
      <c r="N1769" s="100" t="n">
        <v>7955</v>
      </c>
      <c r="O1769" s="100" t="n">
        <v>2083</v>
      </c>
      <c r="P1769" s="100" t="n">
        <v>2021</v>
      </c>
      <c r="Q1769" s="100"/>
      <c r="R1769" s="103" t="n">
        <f aca="false">合約與計費!$D$4</f>
        <v>0.296</v>
      </c>
      <c r="S1769" s="104" t="n">
        <f aca="false">ROUND(P1769*R1769,0)</f>
        <v>598</v>
      </c>
      <c r="T1769" s="105"/>
      <c r="U1769" s="100"/>
      <c r="V1769" s="100"/>
      <c r="W1769" s="106"/>
      <c r="X1769" s="100"/>
      <c r="Y1769" s="100"/>
      <c r="Z1769" s="107"/>
      <c r="AA1769" s="108"/>
      <c r="AB1769" s="109"/>
      <c r="AC1769" s="110"/>
      <c r="AD1769" s="42" t="n">
        <v>0.0902</v>
      </c>
      <c r="AE1769" s="43" t="n">
        <v>0.2</v>
      </c>
    </row>
    <row r="1770" customFormat="false" ht="16.5" hidden="false" customHeight="true" outlineLevel="0" collapsed="false">
      <c r="A1770" s="97" t="n">
        <f aca="false">ROW(A1759)</f>
        <v>1759</v>
      </c>
      <c r="B1770" s="97" t="n">
        <v>13</v>
      </c>
      <c r="C1770" s="100" t="n">
        <v>1</v>
      </c>
      <c r="D1770" s="85"/>
      <c r="E1770" s="98" t="s">
        <v>4406</v>
      </c>
      <c r="F1770" s="99" t="s">
        <v>4382</v>
      </c>
      <c r="G1770" s="100" t="s">
        <v>4100</v>
      </c>
      <c r="H1770" s="100" t="s">
        <v>4354</v>
      </c>
      <c r="I1770" s="100" t="s">
        <v>284</v>
      </c>
      <c r="J1770" s="98" t="s">
        <v>471</v>
      </c>
      <c r="K1770" s="101" t="s">
        <v>4407</v>
      </c>
      <c r="L1770" s="102" t="n">
        <v>45784</v>
      </c>
      <c r="M1770" s="100" t="n">
        <v>3657</v>
      </c>
      <c r="N1770" s="100" t="n">
        <v>5002</v>
      </c>
      <c r="O1770" s="100" t="n">
        <v>1345</v>
      </c>
      <c r="P1770" s="100" t="n">
        <v>1305</v>
      </c>
      <c r="Q1770" s="100"/>
      <c r="R1770" s="103" t="n">
        <f aca="false">合約與計費!$D$4</f>
        <v>0.296</v>
      </c>
      <c r="S1770" s="104" t="n">
        <f aca="false">ROUND(P1770*R1770,0)</f>
        <v>386</v>
      </c>
      <c r="T1770" s="105"/>
      <c r="U1770" s="100"/>
      <c r="V1770" s="100"/>
      <c r="W1770" s="106"/>
      <c r="X1770" s="100"/>
      <c r="Y1770" s="100"/>
      <c r="Z1770" s="107"/>
      <c r="AA1770" s="108"/>
      <c r="AB1770" s="109"/>
      <c r="AC1770" s="110"/>
      <c r="AD1770" s="42" t="n">
        <v>0.1547</v>
      </c>
      <c r="AE1770" s="43" t="n">
        <v>0.6</v>
      </c>
    </row>
    <row r="1771" customFormat="false" ht="16.5" hidden="false" customHeight="true" outlineLevel="0" collapsed="false">
      <c r="A1771" s="111" t="n">
        <f aca="false">ROW(A1760)</f>
        <v>1760</v>
      </c>
      <c r="B1771" s="111" t="n">
        <v>14</v>
      </c>
      <c r="C1771" s="114" t="n">
        <v>1</v>
      </c>
      <c r="D1771" s="85"/>
      <c r="E1771" s="112" t="s">
        <v>4408</v>
      </c>
      <c r="F1771" s="113" t="s">
        <v>4382</v>
      </c>
      <c r="G1771" s="114" t="s">
        <v>4100</v>
      </c>
      <c r="H1771" s="114" t="s">
        <v>4354</v>
      </c>
      <c r="I1771" s="114" t="s">
        <v>284</v>
      </c>
      <c r="J1771" s="112" t="s">
        <v>471</v>
      </c>
      <c r="K1771" s="115" t="s">
        <v>4409</v>
      </c>
      <c r="L1771" s="116" t="n">
        <v>45784</v>
      </c>
      <c r="M1771" s="114" t="n">
        <v>5553</v>
      </c>
      <c r="N1771" s="114" t="n">
        <v>6900</v>
      </c>
      <c r="O1771" s="114" t="n">
        <v>1347</v>
      </c>
      <c r="P1771" s="114" t="n">
        <v>1307</v>
      </c>
      <c r="Q1771" s="114" t="n">
        <f aca="false">ROUND(SUM(P1758:P1771),2)</f>
        <v>15165</v>
      </c>
      <c r="R1771" s="117" t="n">
        <f aca="false">合約與計費!$D$4</f>
        <v>0.296</v>
      </c>
      <c r="S1771" s="118" t="n">
        <f aca="false">ROUND(P1771*R1771,0)</f>
        <v>387</v>
      </c>
      <c r="T1771" s="119" t="n">
        <f aca="false">ROUND(SUM(S1758:S1771),2)</f>
        <v>4487</v>
      </c>
      <c r="U1771" s="114"/>
      <c r="V1771" s="114"/>
      <c r="W1771" s="120"/>
      <c r="X1771" s="114"/>
      <c r="Y1771" s="114" t="n">
        <f aca="false">ROUND(SUM(X1758:X1771),2)</f>
        <v>104</v>
      </c>
      <c r="Z1771" s="121"/>
      <c r="AA1771" s="122"/>
      <c r="AB1771" s="123" t="n">
        <f aca="false">ROUND(SUM(AA1758:AA1771),2)</f>
        <v>291</v>
      </c>
      <c r="AC1771" s="124"/>
      <c r="AD1771" s="42" t="n">
        <v>0.0972</v>
      </c>
      <c r="AE1771" s="43" t="n">
        <v>0.3</v>
      </c>
    </row>
    <row r="1772" customFormat="false" ht="16.5" hidden="false" customHeight="true" outlineLevel="0" collapsed="false">
      <c r="A1772" s="84" t="n">
        <f aca="false">ROW(A1761)</f>
        <v>1761</v>
      </c>
      <c r="B1772" s="84" t="s">
        <v>455</v>
      </c>
      <c r="C1772" s="32" t="n">
        <v>1</v>
      </c>
      <c r="D1772" s="85" t="n">
        <v>171</v>
      </c>
      <c r="E1772" s="86" t="s">
        <v>4410</v>
      </c>
      <c r="F1772" s="87" t="s">
        <v>4411</v>
      </c>
      <c r="G1772" s="32" t="s">
        <v>4100</v>
      </c>
      <c r="H1772" s="32" t="s">
        <v>4354</v>
      </c>
      <c r="I1772" s="32" t="s">
        <v>363</v>
      </c>
      <c r="J1772" s="86" t="s">
        <v>460</v>
      </c>
      <c r="K1772" s="88" t="s">
        <v>4412</v>
      </c>
      <c r="L1772" s="89" t="n">
        <v>45777</v>
      </c>
      <c r="M1772" s="32" t="n">
        <v>1005</v>
      </c>
      <c r="N1772" s="32" t="n">
        <v>1125</v>
      </c>
      <c r="O1772" s="32" t="n">
        <v>120</v>
      </c>
      <c r="P1772" s="32" t="n">
        <v>116</v>
      </c>
      <c r="Q1772" s="32"/>
      <c r="R1772" s="90" t="n">
        <f aca="false">合約與計費!$D$4</f>
        <v>0.296</v>
      </c>
      <c r="S1772" s="91" t="n">
        <f aca="false">ROUND(P1772*R1772,0)</f>
        <v>34</v>
      </c>
      <c r="T1772" s="92"/>
      <c r="U1772" s="32" t="n">
        <v>441</v>
      </c>
      <c r="V1772" s="32" t="n">
        <v>521</v>
      </c>
      <c r="W1772" s="32" t="n">
        <v>80</v>
      </c>
      <c r="X1772" s="32" t="n">
        <v>78</v>
      </c>
      <c r="Y1772" s="32"/>
      <c r="Z1772" s="93" t="n">
        <f aca="false">合約與計費!$E$4</f>
        <v>2.8</v>
      </c>
      <c r="AA1772" s="94" t="n">
        <f aca="false">ROUND(X1772*Z1772,0)</f>
        <v>218</v>
      </c>
      <c r="AB1772" s="95"/>
      <c r="AC1772" s="254"/>
      <c r="AD1772" s="42"/>
      <c r="AE1772" s="43"/>
    </row>
    <row r="1773" customFormat="false" ht="16.5" hidden="false" customHeight="true" outlineLevel="0" collapsed="false">
      <c r="A1773" s="97" t="n">
        <f aca="false">ROW(A1762)</f>
        <v>1762</v>
      </c>
      <c r="B1773" s="97" t="s">
        <v>462</v>
      </c>
      <c r="C1773" s="100" t="n">
        <v>1</v>
      </c>
      <c r="D1773" s="85"/>
      <c r="E1773" s="98" t="s">
        <v>4413</v>
      </c>
      <c r="F1773" s="99" t="s">
        <v>4411</v>
      </c>
      <c r="G1773" s="100" t="s">
        <v>4100</v>
      </c>
      <c r="H1773" s="100" t="s">
        <v>4354</v>
      </c>
      <c r="I1773" s="100" t="s">
        <v>363</v>
      </c>
      <c r="J1773" s="98" t="s">
        <v>464</v>
      </c>
      <c r="K1773" s="101" t="s">
        <v>4414</v>
      </c>
      <c r="L1773" s="102" t="n">
        <v>45812</v>
      </c>
      <c r="M1773" s="100" t="n">
        <v>475</v>
      </c>
      <c r="N1773" s="100" t="n">
        <v>610</v>
      </c>
      <c r="O1773" s="100" t="n">
        <v>135</v>
      </c>
      <c r="P1773" s="100" t="n">
        <v>131</v>
      </c>
      <c r="Q1773" s="100"/>
      <c r="R1773" s="103" t="n">
        <f aca="false">合約與計費!$D$4</f>
        <v>0.296</v>
      </c>
      <c r="S1773" s="104" t="n">
        <f aca="false">ROUND(P1773*R1773,0)</f>
        <v>39</v>
      </c>
      <c r="T1773" s="105"/>
      <c r="U1773" s="100"/>
      <c r="V1773" s="100"/>
      <c r="W1773" s="106"/>
      <c r="X1773" s="100"/>
      <c r="Y1773" s="100"/>
      <c r="Z1773" s="107"/>
      <c r="AA1773" s="108"/>
      <c r="AB1773" s="109"/>
      <c r="AC1773" s="110"/>
      <c r="AD1773" s="42" t="n">
        <v>0.0572</v>
      </c>
      <c r="AE1773" s="43" t="n">
        <v>0.8</v>
      </c>
    </row>
    <row r="1774" customFormat="false" ht="16.5" hidden="false" customHeight="true" outlineLevel="0" collapsed="false">
      <c r="A1774" s="97" t="n">
        <f aca="false">ROW(A1763)</f>
        <v>1763</v>
      </c>
      <c r="B1774" s="97" t="s">
        <v>466</v>
      </c>
      <c r="C1774" s="100" t="n">
        <v>1</v>
      </c>
      <c r="D1774" s="85"/>
      <c r="E1774" s="98" t="s">
        <v>4415</v>
      </c>
      <c r="F1774" s="99" t="s">
        <v>4411</v>
      </c>
      <c r="G1774" s="100" t="s">
        <v>4100</v>
      </c>
      <c r="H1774" s="100" t="s">
        <v>4354</v>
      </c>
      <c r="I1774" s="100" t="s">
        <v>363</v>
      </c>
      <c r="J1774" s="98" t="s">
        <v>471</v>
      </c>
      <c r="K1774" s="101" t="s">
        <v>4416</v>
      </c>
      <c r="L1774" s="102" t="n">
        <v>45777</v>
      </c>
      <c r="M1774" s="100" t="n">
        <v>5443</v>
      </c>
      <c r="N1774" s="100" t="n">
        <v>6445</v>
      </c>
      <c r="O1774" s="100" t="n">
        <v>1002</v>
      </c>
      <c r="P1774" s="100" t="n">
        <v>972</v>
      </c>
      <c r="Q1774" s="100"/>
      <c r="R1774" s="103" t="n">
        <f aca="false">合約與計費!$D$4</f>
        <v>0.296</v>
      </c>
      <c r="S1774" s="104" t="n">
        <f aca="false">ROUND(P1774*R1774,0)</f>
        <v>288</v>
      </c>
      <c r="T1774" s="105"/>
      <c r="U1774" s="100"/>
      <c r="V1774" s="100"/>
      <c r="W1774" s="106"/>
      <c r="X1774" s="100"/>
      <c r="Y1774" s="100"/>
      <c r="Z1774" s="107"/>
      <c r="AA1774" s="108"/>
      <c r="AB1774" s="109"/>
      <c r="AC1774" s="110"/>
      <c r="AD1774" s="42" t="n">
        <v>0.0926</v>
      </c>
      <c r="AE1774" s="43" t="n">
        <v>0.4</v>
      </c>
    </row>
    <row r="1775" customFormat="false" ht="16.5" hidden="false" customHeight="true" outlineLevel="0" collapsed="false">
      <c r="A1775" s="97" t="n">
        <f aca="false">ROW(A1764)</f>
        <v>1764</v>
      </c>
      <c r="B1775" s="97" t="s">
        <v>469</v>
      </c>
      <c r="C1775" s="100" t="n">
        <v>1</v>
      </c>
      <c r="D1775" s="85"/>
      <c r="E1775" s="98" t="s">
        <v>4417</v>
      </c>
      <c r="F1775" s="99" t="s">
        <v>4411</v>
      </c>
      <c r="G1775" s="100" t="s">
        <v>4100</v>
      </c>
      <c r="H1775" s="100" t="s">
        <v>4354</v>
      </c>
      <c r="I1775" s="100" t="s">
        <v>363</v>
      </c>
      <c r="J1775" s="98" t="s">
        <v>471</v>
      </c>
      <c r="K1775" s="101" t="s">
        <v>4418</v>
      </c>
      <c r="L1775" s="102" t="n">
        <v>45777</v>
      </c>
      <c r="M1775" s="100" t="n">
        <v>10875</v>
      </c>
      <c r="N1775" s="100" t="n">
        <v>13305</v>
      </c>
      <c r="O1775" s="100" t="n">
        <v>2430</v>
      </c>
      <c r="P1775" s="100" t="n">
        <v>2357</v>
      </c>
      <c r="Q1775" s="100"/>
      <c r="R1775" s="103" t="n">
        <f aca="false">合約與計費!$D$4</f>
        <v>0.296</v>
      </c>
      <c r="S1775" s="104" t="n">
        <f aca="false">ROUND(P1775*R1775,0)</f>
        <v>698</v>
      </c>
      <c r="T1775" s="105"/>
      <c r="U1775" s="100"/>
      <c r="V1775" s="100"/>
      <c r="W1775" s="106"/>
      <c r="X1775" s="100"/>
      <c r="Y1775" s="100"/>
      <c r="Z1775" s="107"/>
      <c r="AA1775" s="108"/>
      <c r="AB1775" s="109"/>
      <c r="AC1775" s="110"/>
      <c r="AD1775" s="42" t="n">
        <v>0.0816</v>
      </c>
      <c r="AE1775" s="43" t="n">
        <v>0.4</v>
      </c>
    </row>
    <row r="1776" customFormat="false" ht="16.5" hidden="false" customHeight="true" outlineLevel="0" collapsed="false">
      <c r="A1776" s="97" t="n">
        <f aca="false">ROW(A1765)</f>
        <v>1765</v>
      </c>
      <c r="B1776" s="97" t="s">
        <v>473</v>
      </c>
      <c r="C1776" s="100" t="n">
        <v>1</v>
      </c>
      <c r="D1776" s="85"/>
      <c r="E1776" s="98" t="s">
        <v>4419</v>
      </c>
      <c r="F1776" s="99" t="s">
        <v>4411</v>
      </c>
      <c r="G1776" s="100" t="s">
        <v>4100</v>
      </c>
      <c r="H1776" s="100" t="s">
        <v>4354</v>
      </c>
      <c r="I1776" s="100" t="s">
        <v>363</v>
      </c>
      <c r="J1776" s="98" t="s">
        <v>471</v>
      </c>
      <c r="K1776" s="101" t="s">
        <v>4420</v>
      </c>
      <c r="L1776" s="102" t="n">
        <v>45777</v>
      </c>
      <c r="M1776" s="100" t="n">
        <v>1573</v>
      </c>
      <c r="N1776" s="100" t="n">
        <v>1928</v>
      </c>
      <c r="O1776" s="100" t="n">
        <v>355</v>
      </c>
      <c r="P1776" s="100" t="n">
        <v>344</v>
      </c>
      <c r="Q1776" s="100"/>
      <c r="R1776" s="103" t="n">
        <f aca="false">合約與計費!$D$4</f>
        <v>0.296</v>
      </c>
      <c r="S1776" s="104" t="n">
        <f aca="false">ROUND(P1776*R1776,0)</f>
        <v>102</v>
      </c>
      <c r="T1776" s="105"/>
      <c r="U1776" s="100"/>
      <c r="V1776" s="100"/>
      <c r="W1776" s="106"/>
      <c r="X1776" s="100"/>
      <c r="Y1776" s="100"/>
      <c r="Z1776" s="107"/>
      <c r="AA1776" s="108"/>
      <c r="AB1776" s="109"/>
      <c r="AC1776" s="110"/>
      <c r="AD1776" s="42" t="n">
        <v>0.039</v>
      </c>
      <c r="AE1776" s="43" t="n">
        <v>0.3</v>
      </c>
    </row>
    <row r="1777" customFormat="false" ht="16.5" hidden="false" customHeight="true" outlineLevel="0" collapsed="false">
      <c r="A1777" s="97" t="n">
        <f aca="false">ROW(A1766)</f>
        <v>1766</v>
      </c>
      <c r="B1777" s="97" t="s">
        <v>476</v>
      </c>
      <c r="C1777" s="100" t="n">
        <v>1</v>
      </c>
      <c r="D1777" s="85"/>
      <c r="E1777" s="98" t="s">
        <v>4421</v>
      </c>
      <c r="F1777" s="99" t="s">
        <v>4411</v>
      </c>
      <c r="G1777" s="100" t="s">
        <v>4100</v>
      </c>
      <c r="H1777" s="100" t="s">
        <v>4354</v>
      </c>
      <c r="I1777" s="100" t="s">
        <v>363</v>
      </c>
      <c r="J1777" s="98" t="s">
        <v>471</v>
      </c>
      <c r="K1777" s="101" t="s">
        <v>4422</v>
      </c>
      <c r="L1777" s="102" t="n">
        <v>45777</v>
      </c>
      <c r="M1777" s="100" t="n">
        <v>1542</v>
      </c>
      <c r="N1777" s="100" t="n">
        <v>2101</v>
      </c>
      <c r="O1777" s="100" t="n">
        <v>559</v>
      </c>
      <c r="P1777" s="100" t="n">
        <v>542</v>
      </c>
      <c r="Q1777" s="100"/>
      <c r="R1777" s="103" t="n">
        <f aca="false">合約與計費!$D$4</f>
        <v>0.296</v>
      </c>
      <c r="S1777" s="104" t="n">
        <f aca="false">ROUND(P1777*R1777,0)</f>
        <v>160</v>
      </c>
      <c r="T1777" s="105"/>
      <c r="U1777" s="100"/>
      <c r="V1777" s="100"/>
      <c r="W1777" s="106"/>
      <c r="X1777" s="100"/>
      <c r="Y1777" s="100"/>
      <c r="Z1777" s="107"/>
      <c r="AA1777" s="108"/>
      <c r="AB1777" s="109"/>
      <c r="AC1777" s="110"/>
      <c r="AD1777" s="42" t="n">
        <v>0.0777</v>
      </c>
      <c r="AE1777" s="43" t="n">
        <v>1</v>
      </c>
    </row>
    <row r="1778" customFormat="false" ht="16.5" hidden="false" customHeight="true" outlineLevel="0" collapsed="false">
      <c r="A1778" s="111" t="n">
        <f aca="false">ROW(A1767)</f>
        <v>1767</v>
      </c>
      <c r="B1778" s="111" t="s">
        <v>479</v>
      </c>
      <c r="C1778" s="114" t="n">
        <v>1</v>
      </c>
      <c r="D1778" s="85"/>
      <c r="E1778" s="112" t="s">
        <v>4423</v>
      </c>
      <c r="F1778" s="113" t="s">
        <v>4411</v>
      </c>
      <c r="G1778" s="114" t="s">
        <v>4100</v>
      </c>
      <c r="H1778" s="114" t="s">
        <v>4354</v>
      </c>
      <c r="I1778" s="114" t="s">
        <v>363</v>
      </c>
      <c r="J1778" s="112" t="s">
        <v>471</v>
      </c>
      <c r="K1778" s="115" t="s">
        <v>4424</v>
      </c>
      <c r="L1778" s="116" t="n">
        <v>45777</v>
      </c>
      <c r="M1778" s="114" t="n">
        <v>9847</v>
      </c>
      <c r="N1778" s="114" t="n">
        <v>12150</v>
      </c>
      <c r="O1778" s="100" t="n">
        <v>2303</v>
      </c>
      <c r="P1778" s="100" t="n">
        <v>2234</v>
      </c>
      <c r="Q1778" s="100" t="n">
        <f aca="false">ROUND(SUM(P1772:P1778),2)</f>
        <v>6696</v>
      </c>
      <c r="R1778" s="117" t="n">
        <f aca="false">合約與計費!$D$4</f>
        <v>0.296</v>
      </c>
      <c r="S1778" s="118" t="n">
        <f aca="false">ROUND(P1778*R1778,0)</f>
        <v>661</v>
      </c>
      <c r="T1778" s="105" t="n">
        <f aca="false">ROUND(SUM(S1772:S1778),2)</f>
        <v>1982</v>
      </c>
      <c r="U1778" s="114"/>
      <c r="V1778" s="114"/>
      <c r="W1778" s="120"/>
      <c r="X1778" s="114"/>
      <c r="Y1778" s="100" t="n">
        <f aca="false">ROUND(SUM(X1772:X1778),2)</f>
        <v>78</v>
      </c>
      <c r="Z1778" s="121"/>
      <c r="AA1778" s="108"/>
      <c r="AB1778" s="109" t="n">
        <f aca="false">ROUND(SUM(AA1772:AA1778),2)</f>
        <v>218</v>
      </c>
      <c r="AC1778" s="124"/>
      <c r="AD1778" s="42" t="n">
        <v>0.0886</v>
      </c>
      <c r="AE1778" s="43" t="n">
        <v>0.9</v>
      </c>
    </row>
    <row r="1779" customFormat="false" ht="16.5" hidden="false" customHeight="true" outlineLevel="0" collapsed="false">
      <c r="A1779" s="84" t="n">
        <f aca="false">ROW(A1768)</f>
        <v>1768</v>
      </c>
      <c r="B1779" s="84" t="s">
        <v>455</v>
      </c>
      <c r="C1779" s="32" t="n">
        <v>1</v>
      </c>
      <c r="D1779" s="85" t="n">
        <v>172</v>
      </c>
      <c r="E1779" s="86" t="s">
        <v>4425</v>
      </c>
      <c r="F1779" s="87" t="s">
        <v>4426</v>
      </c>
      <c r="G1779" s="32" t="s">
        <v>4100</v>
      </c>
      <c r="H1779" s="32" t="s">
        <v>4354</v>
      </c>
      <c r="I1779" s="32" t="s">
        <v>376</v>
      </c>
      <c r="J1779" s="86" t="s">
        <v>460</v>
      </c>
      <c r="K1779" s="88" t="s">
        <v>4427</v>
      </c>
      <c r="L1779" s="89" t="n">
        <v>45777</v>
      </c>
      <c r="M1779" s="32" t="n">
        <v>1026</v>
      </c>
      <c r="N1779" s="32" t="n">
        <v>1314</v>
      </c>
      <c r="O1779" s="32" t="n">
        <v>288</v>
      </c>
      <c r="P1779" s="32" t="n">
        <v>279</v>
      </c>
      <c r="Q1779" s="32"/>
      <c r="R1779" s="90" t="n">
        <f aca="false">合約與計費!$D$4</f>
        <v>0.296</v>
      </c>
      <c r="S1779" s="91" t="n">
        <f aca="false">ROUND(P1779*R1779,0)</f>
        <v>83</v>
      </c>
      <c r="T1779" s="92"/>
      <c r="U1779" s="32" t="n">
        <v>202</v>
      </c>
      <c r="V1779" s="32" t="n">
        <v>237</v>
      </c>
      <c r="W1779" s="32" t="n">
        <v>35</v>
      </c>
      <c r="X1779" s="32" t="n">
        <v>34</v>
      </c>
      <c r="Y1779" s="32"/>
      <c r="Z1779" s="93" t="n">
        <f aca="false">合約與計費!$E$4</f>
        <v>2.8</v>
      </c>
      <c r="AA1779" s="94" t="n">
        <f aca="false">ROUND(X1779*Z1779,0)</f>
        <v>95</v>
      </c>
      <c r="AB1779" s="95"/>
      <c r="AC1779" s="254"/>
      <c r="AD1779" s="42"/>
      <c r="AE1779" s="43"/>
    </row>
    <row r="1780" customFormat="false" ht="16.5" hidden="false" customHeight="true" outlineLevel="0" collapsed="false">
      <c r="A1780" s="97" t="n">
        <f aca="false">ROW(A1769)</f>
        <v>1769</v>
      </c>
      <c r="B1780" s="97" t="s">
        <v>462</v>
      </c>
      <c r="C1780" s="100" t="n">
        <v>1</v>
      </c>
      <c r="D1780" s="85"/>
      <c r="E1780" s="98" t="s">
        <v>4428</v>
      </c>
      <c r="F1780" s="99" t="s">
        <v>4426</v>
      </c>
      <c r="G1780" s="100" t="s">
        <v>4100</v>
      </c>
      <c r="H1780" s="100" t="s">
        <v>4354</v>
      </c>
      <c r="I1780" s="100" t="s">
        <v>376</v>
      </c>
      <c r="J1780" s="98" t="s">
        <v>464</v>
      </c>
      <c r="K1780" s="101" t="s">
        <v>4429</v>
      </c>
      <c r="L1780" s="102" t="n">
        <v>45777</v>
      </c>
      <c r="M1780" s="100" t="n">
        <v>642</v>
      </c>
      <c r="N1780" s="100" t="n">
        <v>769</v>
      </c>
      <c r="O1780" s="100" t="n">
        <v>127</v>
      </c>
      <c r="P1780" s="100" t="n">
        <v>123</v>
      </c>
      <c r="Q1780" s="100"/>
      <c r="R1780" s="103" t="n">
        <f aca="false">合約與計費!$D$4</f>
        <v>0.296</v>
      </c>
      <c r="S1780" s="104" t="n">
        <f aca="false">ROUND(P1780*R1780,0)</f>
        <v>36</v>
      </c>
      <c r="T1780" s="105"/>
      <c r="U1780" s="100"/>
      <c r="V1780" s="100"/>
      <c r="W1780" s="106"/>
      <c r="X1780" s="100"/>
      <c r="Y1780" s="100"/>
      <c r="Z1780" s="107"/>
      <c r="AA1780" s="108"/>
      <c r="AB1780" s="109"/>
      <c r="AC1780" s="110"/>
      <c r="AD1780" s="42" t="n">
        <v>0.05</v>
      </c>
      <c r="AE1780" s="43" t="n">
        <v>0.8</v>
      </c>
    </row>
    <row r="1781" customFormat="false" ht="16.5" hidden="false" customHeight="true" outlineLevel="0" collapsed="false">
      <c r="A1781" s="97" t="n">
        <f aca="false">ROW(A1770)</f>
        <v>1770</v>
      </c>
      <c r="B1781" s="97" t="s">
        <v>466</v>
      </c>
      <c r="C1781" s="100" t="n">
        <v>1</v>
      </c>
      <c r="D1781" s="85"/>
      <c r="E1781" s="98" t="s">
        <v>4430</v>
      </c>
      <c r="F1781" s="99" t="s">
        <v>4426</v>
      </c>
      <c r="G1781" s="100" t="s">
        <v>4100</v>
      </c>
      <c r="H1781" s="100" t="s">
        <v>4354</v>
      </c>
      <c r="I1781" s="100" t="s">
        <v>376</v>
      </c>
      <c r="J1781" s="98" t="s">
        <v>471</v>
      </c>
      <c r="K1781" s="101" t="s">
        <v>4431</v>
      </c>
      <c r="L1781" s="102" t="n">
        <v>45777</v>
      </c>
      <c r="M1781" s="100" t="n">
        <v>6818</v>
      </c>
      <c r="N1781" s="100" t="n">
        <v>8110</v>
      </c>
      <c r="O1781" s="100" t="n">
        <v>1292</v>
      </c>
      <c r="P1781" s="100" t="n">
        <v>1253</v>
      </c>
      <c r="Q1781" s="100"/>
      <c r="R1781" s="103" t="n">
        <f aca="false">合約與計費!$D$4</f>
        <v>0.296</v>
      </c>
      <c r="S1781" s="104" t="n">
        <f aca="false">ROUND(P1781*R1781,0)</f>
        <v>371</v>
      </c>
      <c r="T1781" s="105"/>
      <c r="U1781" s="100"/>
      <c r="V1781" s="100"/>
      <c r="W1781" s="106"/>
      <c r="X1781" s="100"/>
      <c r="Y1781" s="100"/>
      <c r="Z1781" s="107"/>
      <c r="AA1781" s="108"/>
      <c r="AB1781" s="109"/>
      <c r="AC1781" s="110"/>
      <c r="AD1781" s="42" t="n">
        <v>0.1093</v>
      </c>
      <c r="AE1781" s="43" t="n">
        <v>0.2</v>
      </c>
    </row>
    <row r="1782" customFormat="false" ht="16.5" hidden="false" customHeight="true" outlineLevel="0" collapsed="false">
      <c r="A1782" s="97" t="n">
        <f aca="false">ROW(A1771)</f>
        <v>1771</v>
      </c>
      <c r="B1782" s="97" t="s">
        <v>469</v>
      </c>
      <c r="C1782" s="100" t="n">
        <v>1</v>
      </c>
      <c r="D1782" s="85"/>
      <c r="E1782" s="98" t="s">
        <v>4432</v>
      </c>
      <c r="F1782" s="99" t="s">
        <v>4426</v>
      </c>
      <c r="G1782" s="100" t="s">
        <v>4100</v>
      </c>
      <c r="H1782" s="100" t="s">
        <v>4354</v>
      </c>
      <c r="I1782" s="100" t="s">
        <v>376</v>
      </c>
      <c r="J1782" s="98" t="s">
        <v>471</v>
      </c>
      <c r="K1782" s="101" t="s">
        <v>4433</v>
      </c>
      <c r="L1782" s="102" t="n">
        <v>45777</v>
      </c>
      <c r="M1782" s="100" t="n">
        <v>5483</v>
      </c>
      <c r="N1782" s="100" t="n">
        <v>6983</v>
      </c>
      <c r="O1782" s="100" t="n">
        <v>1500</v>
      </c>
      <c r="P1782" s="100" t="n">
        <v>1455</v>
      </c>
      <c r="Q1782" s="100"/>
      <c r="R1782" s="103" t="n">
        <f aca="false">合約與計費!$D$4</f>
        <v>0.296</v>
      </c>
      <c r="S1782" s="104" t="n">
        <f aca="false">ROUND(P1782*R1782,0)</f>
        <v>431</v>
      </c>
      <c r="T1782" s="105"/>
      <c r="U1782" s="100"/>
      <c r="V1782" s="100"/>
      <c r="W1782" s="106"/>
      <c r="X1782" s="100"/>
      <c r="Y1782" s="100"/>
      <c r="Z1782" s="107"/>
      <c r="AA1782" s="108"/>
      <c r="AB1782" s="109"/>
      <c r="AC1782" s="110"/>
      <c r="AD1782" s="42" t="n">
        <v>0.127</v>
      </c>
      <c r="AE1782" s="43" t="n">
        <v>0.3</v>
      </c>
    </row>
    <row r="1783" customFormat="false" ht="16.5" hidden="false" customHeight="true" outlineLevel="0" collapsed="false">
      <c r="A1783" s="97" t="n">
        <f aca="false">ROW(A1772)</f>
        <v>1772</v>
      </c>
      <c r="B1783" s="97" t="s">
        <v>473</v>
      </c>
      <c r="C1783" s="100" t="n">
        <v>1</v>
      </c>
      <c r="D1783" s="85"/>
      <c r="E1783" s="98" t="s">
        <v>4434</v>
      </c>
      <c r="F1783" s="99" t="s">
        <v>4426</v>
      </c>
      <c r="G1783" s="100" t="s">
        <v>4100</v>
      </c>
      <c r="H1783" s="100" t="s">
        <v>4354</v>
      </c>
      <c r="I1783" s="100" t="s">
        <v>376</v>
      </c>
      <c r="J1783" s="98" t="s">
        <v>471</v>
      </c>
      <c r="K1783" s="101" t="s">
        <v>4435</v>
      </c>
      <c r="L1783" s="102" t="n">
        <v>45777</v>
      </c>
      <c r="M1783" s="100" t="n">
        <v>1147</v>
      </c>
      <c r="N1783" s="100" t="n">
        <v>1359</v>
      </c>
      <c r="O1783" s="100" t="n">
        <v>212</v>
      </c>
      <c r="P1783" s="100" t="n">
        <v>206</v>
      </c>
      <c r="Q1783" s="100"/>
      <c r="R1783" s="103" t="n">
        <f aca="false">合約與計費!$D$4</f>
        <v>0.296</v>
      </c>
      <c r="S1783" s="104" t="n">
        <f aca="false">ROUND(P1783*R1783,0)</f>
        <v>61</v>
      </c>
      <c r="T1783" s="105"/>
      <c r="U1783" s="100"/>
      <c r="V1783" s="100"/>
      <c r="W1783" s="106"/>
      <c r="X1783" s="100"/>
      <c r="Y1783" s="100"/>
      <c r="Z1783" s="107"/>
      <c r="AA1783" s="108"/>
      <c r="AB1783" s="109"/>
      <c r="AC1783" s="110"/>
      <c r="AD1783" s="42" t="n">
        <v>0.0402</v>
      </c>
      <c r="AE1783" s="43" t="n">
        <v>0.6</v>
      </c>
    </row>
    <row r="1784" customFormat="false" ht="16.5" hidden="false" customHeight="true" outlineLevel="0" collapsed="false">
      <c r="A1784" s="97" t="n">
        <f aca="false">ROW(A1773)</f>
        <v>1773</v>
      </c>
      <c r="B1784" s="97" t="s">
        <v>476</v>
      </c>
      <c r="C1784" s="100" t="n">
        <v>1</v>
      </c>
      <c r="D1784" s="85"/>
      <c r="E1784" s="98" t="s">
        <v>4436</v>
      </c>
      <c r="F1784" s="99" t="s">
        <v>4426</v>
      </c>
      <c r="G1784" s="100" t="s">
        <v>4100</v>
      </c>
      <c r="H1784" s="100" t="s">
        <v>4354</v>
      </c>
      <c r="I1784" s="100" t="s">
        <v>376</v>
      </c>
      <c r="J1784" s="98" t="s">
        <v>471</v>
      </c>
      <c r="K1784" s="101" t="s">
        <v>4437</v>
      </c>
      <c r="L1784" s="102" t="n">
        <v>45777</v>
      </c>
      <c r="M1784" s="100" t="n">
        <v>5272</v>
      </c>
      <c r="N1784" s="100" t="n">
        <v>6380</v>
      </c>
      <c r="O1784" s="100" t="n">
        <v>1108</v>
      </c>
      <c r="P1784" s="100" t="n">
        <v>1075</v>
      </c>
      <c r="Q1784" s="100"/>
      <c r="R1784" s="103" t="n">
        <f aca="false">合約與計費!$D$4</f>
        <v>0.296</v>
      </c>
      <c r="S1784" s="104" t="n">
        <f aca="false">ROUND(P1784*R1784,0)</f>
        <v>318</v>
      </c>
      <c r="T1784" s="105"/>
      <c r="U1784" s="100"/>
      <c r="V1784" s="100"/>
      <c r="W1784" s="106"/>
      <c r="X1784" s="100"/>
      <c r="Y1784" s="100"/>
      <c r="Z1784" s="107"/>
      <c r="AA1784" s="108"/>
      <c r="AB1784" s="109"/>
      <c r="AC1784" s="110"/>
      <c r="AD1784" s="42" t="n">
        <v>0.1182</v>
      </c>
      <c r="AE1784" s="43" t="n">
        <v>0.2</v>
      </c>
    </row>
    <row r="1785" customFormat="false" ht="16.5" hidden="false" customHeight="true" outlineLevel="0" collapsed="false">
      <c r="A1785" s="111" t="n">
        <f aca="false">ROW(A1774)</f>
        <v>1774</v>
      </c>
      <c r="B1785" s="111" t="s">
        <v>479</v>
      </c>
      <c r="C1785" s="114" t="n">
        <v>1</v>
      </c>
      <c r="D1785" s="85"/>
      <c r="E1785" s="112" t="s">
        <v>4438</v>
      </c>
      <c r="F1785" s="113" t="s">
        <v>4426</v>
      </c>
      <c r="G1785" s="114" t="s">
        <v>4100</v>
      </c>
      <c r="H1785" s="114" t="s">
        <v>4354</v>
      </c>
      <c r="I1785" s="114" t="s">
        <v>376</v>
      </c>
      <c r="J1785" s="112" t="s">
        <v>471</v>
      </c>
      <c r="K1785" s="115" t="s">
        <v>4439</v>
      </c>
      <c r="L1785" s="116" t="n">
        <v>45777</v>
      </c>
      <c r="M1785" s="114" t="n">
        <v>6100</v>
      </c>
      <c r="N1785" s="114" t="n">
        <v>7468</v>
      </c>
      <c r="O1785" s="100" t="n">
        <v>1368</v>
      </c>
      <c r="P1785" s="100" t="n">
        <v>1327</v>
      </c>
      <c r="Q1785" s="100" t="n">
        <f aca="false">ROUND(SUM(P1779:P1785),2)</f>
        <v>5718</v>
      </c>
      <c r="R1785" s="117" t="n">
        <f aca="false">合約與計費!$D$4</f>
        <v>0.296</v>
      </c>
      <c r="S1785" s="118" t="n">
        <f aca="false">ROUND(P1785*R1785,0)</f>
        <v>393</v>
      </c>
      <c r="T1785" s="105" t="n">
        <f aca="false">ROUND(SUM(S1779:S1785),2)</f>
        <v>1693</v>
      </c>
      <c r="U1785" s="114"/>
      <c r="V1785" s="114"/>
      <c r="W1785" s="120"/>
      <c r="X1785" s="114"/>
      <c r="Y1785" s="100" t="n">
        <f aca="false">ROUND(SUM(X1779:X1785),2)</f>
        <v>34</v>
      </c>
      <c r="Z1785" s="121"/>
      <c r="AA1785" s="108"/>
      <c r="AB1785" s="109" t="n">
        <f aca="false">ROUND(SUM(AA1779:AA1785),2)</f>
        <v>95</v>
      </c>
      <c r="AC1785" s="124"/>
      <c r="AD1785" s="42" t="n">
        <v>0.1187</v>
      </c>
      <c r="AE1785" s="43" t="n">
        <v>0.1</v>
      </c>
    </row>
    <row r="1786" customFormat="false" ht="16.5" hidden="false" customHeight="true" outlineLevel="0" collapsed="false">
      <c r="A1786" s="84" t="n">
        <f aca="false">ROW(A1775)</f>
        <v>1775</v>
      </c>
      <c r="B1786" s="84" t="s">
        <v>455</v>
      </c>
      <c r="C1786" s="32" t="n">
        <v>1</v>
      </c>
      <c r="D1786" s="85" t="n">
        <v>173</v>
      </c>
      <c r="E1786" s="86" t="s">
        <v>4440</v>
      </c>
      <c r="F1786" s="87" t="s">
        <v>4441</v>
      </c>
      <c r="G1786" s="32" t="s">
        <v>4100</v>
      </c>
      <c r="H1786" s="32" t="s">
        <v>4354</v>
      </c>
      <c r="I1786" s="32" t="s">
        <v>377</v>
      </c>
      <c r="J1786" s="86" t="s">
        <v>460</v>
      </c>
      <c r="K1786" s="88" t="s">
        <v>4442</v>
      </c>
      <c r="L1786" s="89" t="n">
        <v>45742</v>
      </c>
      <c r="M1786" s="32" t="n">
        <v>445</v>
      </c>
      <c r="N1786" s="32" t="n">
        <v>514</v>
      </c>
      <c r="O1786" s="32" t="n">
        <v>69</v>
      </c>
      <c r="P1786" s="32" t="n">
        <v>67</v>
      </c>
      <c r="Q1786" s="32"/>
      <c r="R1786" s="90" t="n">
        <f aca="false">合約與計費!$D$4</f>
        <v>0.296</v>
      </c>
      <c r="S1786" s="91" t="n">
        <f aca="false">ROUND(P1786*R1786,0)</f>
        <v>20</v>
      </c>
      <c r="T1786" s="92"/>
      <c r="U1786" s="32" t="n">
        <v>289</v>
      </c>
      <c r="V1786" s="32" t="n">
        <v>322</v>
      </c>
      <c r="W1786" s="32" t="n">
        <v>33</v>
      </c>
      <c r="X1786" s="32" t="n">
        <v>32</v>
      </c>
      <c r="Y1786" s="32"/>
      <c r="Z1786" s="93" t="n">
        <f aca="false">合約與計費!$E$4</f>
        <v>2.8</v>
      </c>
      <c r="AA1786" s="94" t="n">
        <f aca="false">ROUND(X1786*Z1786,0)</f>
        <v>90</v>
      </c>
      <c r="AB1786" s="95"/>
      <c r="AC1786" s="254"/>
      <c r="AD1786" s="42"/>
      <c r="AE1786" s="43"/>
    </row>
    <row r="1787" customFormat="false" ht="16.5" hidden="false" customHeight="true" outlineLevel="0" collapsed="false">
      <c r="A1787" s="97" t="n">
        <f aca="false">ROW(A1776)</f>
        <v>1776</v>
      </c>
      <c r="B1787" s="97" t="s">
        <v>462</v>
      </c>
      <c r="C1787" s="100" t="n">
        <v>1</v>
      </c>
      <c r="D1787" s="85"/>
      <c r="E1787" s="98" t="s">
        <v>4443</v>
      </c>
      <c r="F1787" s="99" t="s">
        <v>4441</v>
      </c>
      <c r="G1787" s="100" t="s">
        <v>4100</v>
      </c>
      <c r="H1787" s="100" t="s">
        <v>4354</v>
      </c>
      <c r="I1787" s="100" t="s">
        <v>377</v>
      </c>
      <c r="J1787" s="98" t="s">
        <v>464</v>
      </c>
      <c r="K1787" s="101" t="s">
        <v>4444</v>
      </c>
      <c r="L1787" s="102" t="n">
        <v>45742</v>
      </c>
      <c r="M1787" s="100" t="n">
        <v>1426</v>
      </c>
      <c r="N1787" s="100" t="n">
        <v>1670</v>
      </c>
      <c r="O1787" s="100" t="n">
        <v>244</v>
      </c>
      <c r="P1787" s="100" t="n">
        <v>237</v>
      </c>
      <c r="Q1787" s="100"/>
      <c r="R1787" s="103" t="n">
        <f aca="false">合約與計費!$D$4</f>
        <v>0.296</v>
      </c>
      <c r="S1787" s="104" t="n">
        <f aca="false">ROUND(P1787*R1787,0)</f>
        <v>70</v>
      </c>
      <c r="T1787" s="105"/>
      <c r="U1787" s="100"/>
      <c r="V1787" s="100"/>
      <c r="W1787" s="106"/>
      <c r="X1787" s="100"/>
      <c r="Y1787" s="100"/>
      <c r="Z1787" s="107"/>
      <c r="AA1787" s="108"/>
      <c r="AB1787" s="109"/>
      <c r="AC1787" s="110"/>
      <c r="AD1787" s="42" t="n">
        <v>0.2319</v>
      </c>
      <c r="AE1787" s="43" t="n">
        <v>0.2</v>
      </c>
    </row>
    <row r="1788" customFormat="false" ht="16.5" hidden="false" customHeight="true" outlineLevel="0" collapsed="false">
      <c r="A1788" s="97" t="n">
        <f aca="false">ROW(A1777)</f>
        <v>1777</v>
      </c>
      <c r="B1788" s="97" t="s">
        <v>466</v>
      </c>
      <c r="C1788" s="100" t="n">
        <v>1</v>
      </c>
      <c r="D1788" s="85"/>
      <c r="E1788" s="98" t="s">
        <v>4445</v>
      </c>
      <c r="F1788" s="99" t="s">
        <v>4441</v>
      </c>
      <c r="G1788" s="100" t="s">
        <v>4100</v>
      </c>
      <c r="H1788" s="100" t="s">
        <v>4354</v>
      </c>
      <c r="I1788" s="100" t="s">
        <v>377</v>
      </c>
      <c r="J1788" s="98" t="s">
        <v>471</v>
      </c>
      <c r="K1788" s="101" t="s">
        <v>4446</v>
      </c>
      <c r="L1788" s="102" t="n">
        <v>45742</v>
      </c>
      <c r="M1788" s="100" t="n">
        <v>7070</v>
      </c>
      <c r="N1788" s="100" t="n">
        <v>8107</v>
      </c>
      <c r="O1788" s="100" t="n">
        <v>1037</v>
      </c>
      <c r="P1788" s="100" t="n">
        <v>1006</v>
      </c>
      <c r="Q1788" s="100"/>
      <c r="R1788" s="103" t="n">
        <f aca="false">合約與計費!$D$4</f>
        <v>0.296</v>
      </c>
      <c r="S1788" s="104" t="n">
        <f aca="false">ROUND(P1788*R1788,0)</f>
        <v>298</v>
      </c>
      <c r="T1788" s="105"/>
      <c r="U1788" s="100"/>
      <c r="V1788" s="100"/>
      <c r="W1788" s="106"/>
      <c r="X1788" s="100"/>
      <c r="Y1788" s="100"/>
      <c r="Z1788" s="107"/>
      <c r="AA1788" s="108"/>
      <c r="AB1788" s="109"/>
      <c r="AC1788" s="110"/>
      <c r="AD1788" s="42" t="n">
        <v>0.2288</v>
      </c>
      <c r="AE1788" s="43" t="n">
        <v>0.6</v>
      </c>
    </row>
    <row r="1789" customFormat="false" ht="16.5" hidden="false" customHeight="true" outlineLevel="0" collapsed="false">
      <c r="A1789" s="97" t="n">
        <f aca="false">ROW(A1778)</f>
        <v>1778</v>
      </c>
      <c r="B1789" s="97" t="s">
        <v>469</v>
      </c>
      <c r="C1789" s="100" t="n">
        <v>1</v>
      </c>
      <c r="D1789" s="85"/>
      <c r="E1789" s="98" t="s">
        <v>4447</v>
      </c>
      <c r="F1789" s="99" t="s">
        <v>4441</v>
      </c>
      <c r="G1789" s="100" t="s">
        <v>4100</v>
      </c>
      <c r="H1789" s="100" t="s">
        <v>4354</v>
      </c>
      <c r="I1789" s="100" t="s">
        <v>377</v>
      </c>
      <c r="J1789" s="98" t="s">
        <v>471</v>
      </c>
      <c r="K1789" s="101" t="s">
        <v>4448</v>
      </c>
      <c r="L1789" s="102" t="n">
        <v>45742</v>
      </c>
      <c r="M1789" s="100" t="n">
        <v>5277</v>
      </c>
      <c r="N1789" s="100" t="n">
        <v>6266</v>
      </c>
      <c r="O1789" s="100" t="n">
        <v>989</v>
      </c>
      <c r="P1789" s="100" t="n">
        <v>959</v>
      </c>
      <c r="Q1789" s="100"/>
      <c r="R1789" s="103" t="n">
        <f aca="false">合約與計費!$D$4</f>
        <v>0.296</v>
      </c>
      <c r="S1789" s="104" t="n">
        <f aca="false">ROUND(P1789*R1789,0)</f>
        <v>284</v>
      </c>
      <c r="T1789" s="105"/>
      <c r="U1789" s="100"/>
      <c r="V1789" s="100"/>
      <c r="W1789" s="106"/>
      <c r="X1789" s="100"/>
      <c r="Y1789" s="100"/>
      <c r="Z1789" s="107"/>
      <c r="AA1789" s="108"/>
      <c r="AB1789" s="109"/>
      <c r="AC1789" s="110"/>
      <c r="AD1789" s="42" t="n">
        <v>0.1173</v>
      </c>
      <c r="AE1789" s="43" t="n">
        <v>0.7</v>
      </c>
    </row>
    <row r="1790" customFormat="false" ht="16.5" hidden="false" customHeight="true" outlineLevel="0" collapsed="false">
      <c r="A1790" s="97" t="n">
        <f aca="false">ROW(A1779)</f>
        <v>1779</v>
      </c>
      <c r="B1790" s="97" t="s">
        <v>473</v>
      </c>
      <c r="C1790" s="100" t="n">
        <v>1</v>
      </c>
      <c r="D1790" s="85"/>
      <c r="E1790" s="98" t="s">
        <v>4449</v>
      </c>
      <c r="F1790" s="99" t="s">
        <v>4441</v>
      </c>
      <c r="G1790" s="100" t="s">
        <v>4100</v>
      </c>
      <c r="H1790" s="100" t="s">
        <v>4354</v>
      </c>
      <c r="I1790" s="100" t="s">
        <v>377</v>
      </c>
      <c r="J1790" s="98" t="s">
        <v>471</v>
      </c>
      <c r="K1790" s="101" t="s">
        <v>4450</v>
      </c>
      <c r="L1790" s="102" t="n">
        <v>45742</v>
      </c>
      <c r="M1790" s="100" t="n">
        <v>1809</v>
      </c>
      <c r="N1790" s="100" t="n">
        <v>2103</v>
      </c>
      <c r="O1790" s="100" t="n">
        <v>294</v>
      </c>
      <c r="P1790" s="100" t="n">
        <v>285</v>
      </c>
      <c r="Q1790" s="100"/>
      <c r="R1790" s="103" t="n">
        <f aca="false">合約與計費!$D$4</f>
        <v>0.296</v>
      </c>
      <c r="S1790" s="104" t="n">
        <f aca="false">ROUND(P1790*R1790,0)</f>
        <v>84</v>
      </c>
      <c r="T1790" s="105"/>
      <c r="U1790" s="100"/>
      <c r="V1790" s="100"/>
      <c r="W1790" s="106"/>
      <c r="X1790" s="100"/>
      <c r="Y1790" s="100"/>
      <c r="Z1790" s="107"/>
      <c r="AA1790" s="108"/>
      <c r="AB1790" s="109"/>
      <c r="AC1790" s="110"/>
      <c r="AD1790" s="42" t="n">
        <v>0.2809</v>
      </c>
      <c r="AE1790" s="43" t="n">
        <v>0.7</v>
      </c>
    </row>
    <row r="1791" customFormat="false" ht="16.5" hidden="false" customHeight="true" outlineLevel="0" collapsed="false">
      <c r="A1791" s="111" t="n">
        <f aca="false">ROW(A1780)</f>
        <v>1780</v>
      </c>
      <c r="B1791" s="111" t="s">
        <v>476</v>
      </c>
      <c r="C1791" s="114" t="n">
        <v>1</v>
      </c>
      <c r="D1791" s="85"/>
      <c r="E1791" s="112" t="s">
        <v>4451</v>
      </c>
      <c r="F1791" s="113" t="s">
        <v>4441</v>
      </c>
      <c r="G1791" s="114" t="s">
        <v>4100</v>
      </c>
      <c r="H1791" s="114" t="s">
        <v>4354</v>
      </c>
      <c r="I1791" s="114" t="s">
        <v>377</v>
      </c>
      <c r="J1791" s="112" t="s">
        <v>471</v>
      </c>
      <c r="K1791" s="115" t="s">
        <v>4452</v>
      </c>
      <c r="L1791" s="116" t="n">
        <v>45742</v>
      </c>
      <c r="M1791" s="114" t="n">
        <v>10991</v>
      </c>
      <c r="N1791" s="114" t="n">
        <v>13683</v>
      </c>
      <c r="O1791" s="114" t="n">
        <v>2692</v>
      </c>
      <c r="P1791" s="114" t="n">
        <v>2611</v>
      </c>
      <c r="Q1791" s="114" t="n">
        <f aca="false">ROUND(SUM(P1786:P1791),2)</f>
        <v>5165</v>
      </c>
      <c r="R1791" s="117" t="n">
        <f aca="false">合約與計費!$D$4</f>
        <v>0.296</v>
      </c>
      <c r="S1791" s="118" t="n">
        <f aca="false">ROUND(P1791*R1791,0)</f>
        <v>773</v>
      </c>
      <c r="T1791" s="119" t="n">
        <f aca="false">ROUND(SUM(S1786:S1791),2)</f>
        <v>1529</v>
      </c>
      <c r="U1791" s="114"/>
      <c r="V1791" s="114"/>
      <c r="W1791" s="120"/>
      <c r="X1791" s="114"/>
      <c r="Y1791" s="114" t="n">
        <f aca="false">ROUND(SUM(X1786:X1791),2)</f>
        <v>32</v>
      </c>
      <c r="Z1791" s="121"/>
      <c r="AA1791" s="122"/>
      <c r="AB1791" s="123" t="n">
        <f aca="false">ROUND(SUM(AA1786:AA1791),2)</f>
        <v>90</v>
      </c>
      <c r="AC1791" s="124"/>
      <c r="AD1791" s="42" t="n">
        <v>0.3371</v>
      </c>
      <c r="AE1791" s="43" t="n">
        <v>0.1</v>
      </c>
    </row>
    <row r="1792" customFormat="false" ht="16.5" hidden="false" customHeight="true" outlineLevel="0" collapsed="false">
      <c r="A1792" s="84" t="n">
        <f aca="false">ROW(A1781)</f>
        <v>1781</v>
      </c>
      <c r="B1792" s="84" t="s">
        <v>455</v>
      </c>
      <c r="C1792" s="32" t="n">
        <v>1</v>
      </c>
      <c r="D1792" s="85" t="n">
        <v>342</v>
      </c>
      <c r="E1792" s="86" t="s">
        <v>4453</v>
      </c>
      <c r="F1792" s="87" t="s">
        <v>4454</v>
      </c>
      <c r="G1792" s="32" t="s">
        <v>4100</v>
      </c>
      <c r="H1792" s="32" t="s">
        <v>4354</v>
      </c>
      <c r="I1792" s="172" t="s">
        <v>223</v>
      </c>
      <c r="J1792" s="86" t="s">
        <v>460</v>
      </c>
      <c r="K1792" s="88" t="s">
        <v>4455</v>
      </c>
      <c r="L1792" s="89" t="n">
        <v>45772</v>
      </c>
      <c r="M1792" s="32" t="n">
        <v>44</v>
      </c>
      <c r="N1792" s="32" t="n">
        <v>49</v>
      </c>
      <c r="O1792" s="32" t="n">
        <v>5</v>
      </c>
      <c r="P1792" s="32" t="n">
        <v>5</v>
      </c>
      <c r="Q1792" s="32"/>
      <c r="R1792" s="90" t="n">
        <f aca="false">合約與計費!$D$4</f>
        <v>0.296</v>
      </c>
      <c r="S1792" s="91" t="n">
        <f aca="false">ROUND(P1792*R1792,0)</f>
        <v>1</v>
      </c>
      <c r="T1792" s="92"/>
      <c r="U1792" s="32" t="n">
        <v>197</v>
      </c>
      <c r="V1792" s="32" t="n">
        <v>223</v>
      </c>
      <c r="W1792" s="32" t="n">
        <v>26</v>
      </c>
      <c r="X1792" s="32" t="n">
        <v>25</v>
      </c>
      <c r="Y1792" s="32"/>
      <c r="Z1792" s="93" t="n">
        <f aca="false">合約與計費!$E$4</f>
        <v>2.8</v>
      </c>
      <c r="AA1792" s="94" t="n">
        <f aca="false">ROUND(X1792*Z1792,0)</f>
        <v>70</v>
      </c>
      <c r="AB1792" s="95"/>
      <c r="AC1792" s="254"/>
      <c r="AD1792" s="42"/>
      <c r="AE1792" s="43"/>
    </row>
    <row r="1793" customFormat="false" ht="16.5" hidden="false" customHeight="true" outlineLevel="0" collapsed="false">
      <c r="A1793" s="97" t="n">
        <f aca="false">ROW(A1782)</f>
        <v>1782</v>
      </c>
      <c r="B1793" s="97" t="s">
        <v>462</v>
      </c>
      <c r="C1793" s="100" t="n">
        <v>1</v>
      </c>
      <c r="D1793" s="85"/>
      <c r="E1793" s="98" t="s">
        <v>4456</v>
      </c>
      <c r="F1793" s="99" t="s">
        <v>4454</v>
      </c>
      <c r="G1793" s="100" t="s">
        <v>4100</v>
      </c>
      <c r="H1793" s="100" t="s">
        <v>4354</v>
      </c>
      <c r="I1793" s="175" t="s">
        <v>223</v>
      </c>
      <c r="J1793" s="98" t="s">
        <v>464</v>
      </c>
      <c r="K1793" s="101" t="s">
        <v>4457</v>
      </c>
      <c r="L1793" s="102" t="n">
        <v>45772</v>
      </c>
      <c r="M1793" s="100" t="n">
        <v>637</v>
      </c>
      <c r="N1793" s="100" t="n">
        <v>753</v>
      </c>
      <c r="O1793" s="100" t="n">
        <v>116</v>
      </c>
      <c r="P1793" s="100" t="n">
        <v>113</v>
      </c>
      <c r="Q1793" s="100"/>
      <c r="R1793" s="103" t="n">
        <f aca="false">合約與計費!$D$4</f>
        <v>0.296</v>
      </c>
      <c r="S1793" s="104" t="n">
        <f aca="false">ROUND(P1793*R1793,0)</f>
        <v>33</v>
      </c>
      <c r="T1793" s="105"/>
      <c r="U1793" s="100"/>
      <c r="V1793" s="100"/>
      <c r="W1793" s="106"/>
      <c r="X1793" s="100"/>
      <c r="Y1793" s="100"/>
      <c r="Z1793" s="107"/>
      <c r="AA1793" s="108"/>
      <c r="AB1793" s="109"/>
      <c r="AC1793" s="110"/>
      <c r="AD1793" s="42" t="n">
        <v>0.0513</v>
      </c>
      <c r="AE1793" s="43" t="n">
        <v>0.8</v>
      </c>
    </row>
    <row r="1794" customFormat="false" ht="16.5" hidden="false" customHeight="true" outlineLevel="0" collapsed="false">
      <c r="A1794" s="97" t="n">
        <f aca="false">ROW(A1783)</f>
        <v>1783</v>
      </c>
      <c r="B1794" s="97" t="s">
        <v>466</v>
      </c>
      <c r="C1794" s="100" t="n">
        <v>1</v>
      </c>
      <c r="D1794" s="85"/>
      <c r="E1794" s="98" t="s">
        <v>4458</v>
      </c>
      <c r="F1794" s="99" t="s">
        <v>4454</v>
      </c>
      <c r="G1794" s="100" t="s">
        <v>4100</v>
      </c>
      <c r="H1794" s="100" t="s">
        <v>4354</v>
      </c>
      <c r="I1794" s="175" t="s">
        <v>223</v>
      </c>
      <c r="J1794" s="98" t="s">
        <v>471</v>
      </c>
      <c r="K1794" s="101" t="s">
        <v>4459</v>
      </c>
      <c r="L1794" s="102" t="n">
        <v>45772</v>
      </c>
      <c r="M1794" s="100" t="n">
        <v>3172</v>
      </c>
      <c r="N1794" s="100" t="n">
        <v>3693</v>
      </c>
      <c r="O1794" s="100" t="n">
        <v>521</v>
      </c>
      <c r="P1794" s="100" t="n">
        <v>505</v>
      </c>
      <c r="Q1794" s="100"/>
      <c r="R1794" s="103" t="n">
        <f aca="false">合約與計費!$D$4</f>
        <v>0.296</v>
      </c>
      <c r="S1794" s="104" t="n">
        <f aca="false">ROUND(P1794*R1794,0)</f>
        <v>149</v>
      </c>
      <c r="T1794" s="105"/>
      <c r="U1794" s="100"/>
      <c r="V1794" s="100"/>
      <c r="W1794" s="106"/>
      <c r="X1794" s="100"/>
      <c r="Y1794" s="100"/>
      <c r="Z1794" s="107"/>
      <c r="AA1794" s="108"/>
      <c r="AB1794" s="109"/>
      <c r="AC1794" s="110"/>
      <c r="AD1794" s="42" t="n">
        <v>0.0559</v>
      </c>
      <c r="AE1794" s="43" t="n">
        <v>1</v>
      </c>
    </row>
    <row r="1795" customFormat="false" ht="16.5" hidden="false" customHeight="true" outlineLevel="0" collapsed="false">
      <c r="A1795" s="111" t="n">
        <f aca="false">ROW(A1784)</f>
        <v>1784</v>
      </c>
      <c r="B1795" s="111" t="s">
        <v>469</v>
      </c>
      <c r="C1795" s="114" t="n">
        <v>1</v>
      </c>
      <c r="D1795" s="85"/>
      <c r="E1795" s="112" t="s">
        <v>4460</v>
      </c>
      <c r="F1795" s="113" t="s">
        <v>4454</v>
      </c>
      <c r="G1795" s="114" t="s">
        <v>4100</v>
      </c>
      <c r="H1795" s="114" t="s">
        <v>4354</v>
      </c>
      <c r="I1795" s="173" t="s">
        <v>223</v>
      </c>
      <c r="J1795" s="112" t="s">
        <v>471</v>
      </c>
      <c r="K1795" s="115" t="s">
        <v>4461</v>
      </c>
      <c r="L1795" s="116" t="n">
        <v>45772</v>
      </c>
      <c r="M1795" s="114" t="n">
        <v>203</v>
      </c>
      <c r="N1795" s="114" t="n">
        <v>247</v>
      </c>
      <c r="O1795" s="114" t="n">
        <v>44</v>
      </c>
      <c r="P1795" s="114" t="n">
        <v>43</v>
      </c>
      <c r="Q1795" s="114" t="n">
        <f aca="false">ROUND(SUM(P1792:P1795),2)</f>
        <v>666</v>
      </c>
      <c r="R1795" s="117" t="n">
        <f aca="false">合約與計費!$D$4</f>
        <v>0.296</v>
      </c>
      <c r="S1795" s="118" t="n">
        <f aca="false">ROUND(P1795*R1795,0)</f>
        <v>13</v>
      </c>
      <c r="T1795" s="119" t="n">
        <f aca="false">ROUND(SUM(S1792:S1795),2)</f>
        <v>196</v>
      </c>
      <c r="U1795" s="114"/>
      <c r="V1795" s="114"/>
      <c r="W1795" s="120"/>
      <c r="X1795" s="114"/>
      <c r="Y1795" s="114" t="n">
        <f aca="false">ROUND(SUM(X1792:X1795),2)</f>
        <v>25</v>
      </c>
      <c r="Z1795" s="121"/>
      <c r="AA1795" s="122"/>
      <c r="AB1795" s="123" t="n">
        <f aca="false">ROUND(SUM(AA1792:AA1795),2)</f>
        <v>70</v>
      </c>
      <c r="AC1795" s="124"/>
      <c r="AD1795" s="42" t="n">
        <v>0.0994</v>
      </c>
      <c r="AE1795" s="43" t="n">
        <v>0.9</v>
      </c>
    </row>
    <row r="1796" customFormat="false" ht="16.5" hidden="false" customHeight="true" outlineLevel="0" collapsed="false">
      <c r="A1796" s="84" t="n">
        <f aca="false">ROW(A1785)</f>
        <v>1785</v>
      </c>
      <c r="B1796" s="84" t="s">
        <v>455</v>
      </c>
      <c r="C1796" s="32" t="n">
        <v>1</v>
      </c>
      <c r="D1796" s="85" t="n">
        <v>343</v>
      </c>
      <c r="E1796" s="86" t="s">
        <v>4462</v>
      </c>
      <c r="F1796" s="87" t="s">
        <v>4463</v>
      </c>
      <c r="G1796" s="32" t="s">
        <v>4100</v>
      </c>
      <c r="H1796" s="32" t="s">
        <v>4354</v>
      </c>
      <c r="I1796" s="32" t="s">
        <v>221</v>
      </c>
      <c r="J1796" s="86" t="s">
        <v>460</v>
      </c>
      <c r="K1796" s="88" t="s">
        <v>4464</v>
      </c>
      <c r="L1796" s="89" t="n">
        <v>45742</v>
      </c>
      <c r="M1796" s="32" t="n">
        <v>679</v>
      </c>
      <c r="N1796" s="32" t="n">
        <v>749</v>
      </c>
      <c r="O1796" s="32" t="n">
        <v>70</v>
      </c>
      <c r="P1796" s="32" t="n">
        <v>68</v>
      </c>
      <c r="Q1796" s="32"/>
      <c r="R1796" s="90" t="n">
        <f aca="false">合約與計費!$D$4</f>
        <v>0.296</v>
      </c>
      <c r="S1796" s="91" t="n">
        <f aca="false">ROUND(P1796*R1796,0)</f>
        <v>20</v>
      </c>
      <c r="T1796" s="92"/>
      <c r="U1796" s="32" t="n">
        <v>322</v>
      </c>
      <c r="V1796" s="32" t="n">
        <v>389</v>
      </c>
      <c r="W1796" s="32" t="n">
        <v>67</v>
      </c>
      <c r="X1796" s="32" t="n">
        <v>65</v>
      </c>
      <c r="Y1796" s="32"/>
      <c r="Z1796" s="93" t="n">
        <f aca="false">合約與計費!$E$4</f>
        <v>2.8</v>
      </c>
      <c r="AA1796" s="94" t="n">
        <f aca="false">ROUND(X1796*Z1796,0)</f>
        <v>182</v>
      </c>
      <c r="AB1796" s="95"/>
      <c r="AC1796" s="254"/>
      <c r="AD1796" s="42"/>
      <c r="AE1796" s="43"/>
    </row>
    <row r="1797" customFormat="false" ht="16.5" hidden="false" customHeight="true" outlineLevel="0" collapsed="false">
      <c r="A1797" s="97" t="n">
        <f aca="false">ROW(A1786)</f>
        <v>1786</v>
      </c>
      <c r="B1797" s="97" t="s">
        <v>462</v>
      </c>
      <c r="C1797" s="100" t="n">
        <v>1</v>
      </c>
      <c r="D1797" s="85"/>
      <c r="E1797" s="98" t="s">
        <v>4465</v>
      </c>
      <c r="F1797" s="99" t="s">
        <v>4463</v>
      </c>
      <c r="G1797" s="100" t="s">
        <v>4100</v>
      </c>
      <c r="H1797" s="100" t="s">
        <v>4354</v>
      </c>
      <c r="I1797" s="100" t="s">
        <v>221</v>
      </c>
      <c r="J1797" s="98" t="s">
        <v>464</v>
      </c>
      <c r="K1797" s="101" t="s">
        <v>4466</v>
      </c>
      <c r="L1797" s="102" t="n">
        <v>45742</v>
      </c>
      <c r="M1797" s="100" t="n">
        <v>1980</v>
      </c>
      <c r="N1797" s="100" t="n">
        <v>2380</v>
      </c>
      <c r="O1797" s="100" t="n">
        <v>400</v>
      </c>
      <c r="P1797" s="100" t="n">
        <v>388</v>
      </c>
      <c r="Q1797" s="100"/>
      <c r="R1797" s="103" t="n">
        <f aca="false">合約與計費!$D$4</f>
        <v>0.296</v>
      </c>
      <c r="S1797" s="104" t="n">
        <f aca="false">ROUND(P1797*R1797,0)</f>
        <v>115</v>
      </c>
      <c r="T1797" s="105"/>
      <c r="U1797" s="100"/>
      <c r="V1797" s="100"/>
      <c r="W1797" s="106"/>
      <c r="X1797" s="100"/>
      <c r="Y1797" s="100"/>
      <c r="Z1797" s="107"/>
      <c r="AA1797" s="108"/>
      <c r="AB1797" s="109"/>
      <c r="AC1797" s="110"/>
      <c r="AD1797" s="42" t="n">
        <v>0.0715</v>
      </c>
      <c r="AE1797" s="43" t="n">
        <v>0.9</v>
      </c>
    </row>
    <row r="1798" customFormat="false" ht="16.5" hidden="false" customHeight="true" outlineLevel="0" collapsed="false">
      <c r="A1798" s="97" t="n">
        <f aca="false">ROW(A1787)</f>
        <v>1787</v>
      </c>
      <c r="B1798" s="97" t="s">
        <v>466</v>
      </c>
      <c r="C1798" s="100" t="n">
        <v>1</v>
      </c>
      <c r="D1798" s="85"/>
      <c r="E1798" s="98" t="s">
        <v>4467</v>
      </c>
      <c r="F1798" s="99" t="s">
        <v>4463</v>
      </c>
      <c r="G1798" s="100" t="s">
        <v>4100</v>
      </c>
      <c r="H1798" s="100" t="s">
        <v>4354</v>
      </c>
      <c r="I1798" s="100" t="s">
        <v>221</v>
      </c>
      <c r="J1798" s="98" t="s">
        <v>471</v>
      </c>
      <c r="K1798" s="101" t="s">
        <v>4468</v>
      </c>
      <c r="L1798" s="102" t="n">
        <v>45742</v>
      </c>
      <c r="M1798" s="100" t="n">
        <v>6295</v>
      </c>
      <c r="N1798" s="100" t="n">
        <v>6905</v>
      </c>
      <c r="O1798" s="100" t="n">
        <v>610</v>
      </c>
      <c r="P1798" s="100" t="n">
        <v>592</v>
      </c>
      <c r="Q1798" s="100"/>
      <c r="R1798" s="103" t="n">
        <f aca="false">合約與計費!$D$4</f>
        <v>0.296</v>
      </c>
      <c r="S1798" s="104" t="n">
        <f aca="false">ROUND(P1798*R1798,0)</f>
        <v>175</v>
      </c>
      <c r="T1798" s="105"/>
      <c r="U1798" s="100"/>
      <c r="V1798" s="100"/>
      <c r="W1798" s="106"/>
      <c r="X1798" s="100"/>
      <c r="Y1798" s="100"/>
      <c r="Z1798" s="107"/>
      <c r="AA1798" s="108"/>
      <c r="AB1798" s="109"/>
      <c r="AC1798" s="110"/>
      <c r="AD1798" s="42" t="n">
        <v>0.0952</v>
      </c>
      <c r="AE1798" s="43" t="n">
        <v>0.9</v>
      </c>
    </row>
    <row r="1799" customFormat="false" ht="16.5" hidden="false" customHeight="true" outlineLevel="0" collapsed="false">
      <c r="A1799" s="97" t="n">
        <f aca="false">ROW(A1788)</f>
        <v>1788</v>
      </c>
      <c r="B1799" s="97" t="s">
        <v>469</v>
      </c>
      <c r="C1799" s="100" t="n">
        <v>1</v>
      </c>
      <c r="D1799" s="85"/>
      <c r="E1799" s="98" t="s">
        <v>4469</v>
      </c>
      <c r="F1799" s="99" t="s">
        <v>4463</v>
      </c>
      <c r="G1799" s="100" t="s">
        <v>4100</v>
      </c>
      <c r="H1799" s="100" t="s">
        <v>4354</v>
      </c>
      <c r="I1799" s="100" t="s">
        <v>221</v>
      </c>
      <c r="J1799" s="98" t="s">
        <v>471</v>
      </c>
      <c r="K1799" s="101" t="s">
        <v>4470</v>
      </c>
      <c r="L1799" s="102" t="n">
        <v>45742</v>
      </c>
      <c r="M1799" s="100" t="n">
        <v>5584</v>
      </c>
      <c r="N1799" s="100" t="n">
        <v>6437</v>
      </c>
      <c r="O1799" s="100" t="n">
        <v>853</v>
      </c>
      <c r="P1799" s="100" t="n">
        <v>827</v>
      </c>
      <c r="Q1799" s="100"/>
      <c r="R1799" s="103" t="n">
        <f aca="false">合約與計費!$D$4</f>
        <v>0.296</v>
      </c>
      <c r="S1799" s="104" t="n">
        <f aca="false">ROUND(P1799*R1799,0)</f>
        <v>245</v>
      </c>
      <c r="T1799" s="105"/>
      <c r="U1799" s="100"/>
      <c r="V1799" s="100"/>
      <c r="W1799" s="106"/>
      <c r="X1799" s="100"/>
      <c r="Y1799" s="100"/>
      <c r="Z1799" s="107"/>
      <c r="AA1799" s="108"/>
      <c r="AB1799" s="109"/>
      <c r="AC1799" s="110"/>
      <c r="AD1799" s="42" t="n">
        <v>0.0845</v>
      </c>
      <c r="AE1799" s="43" t="n">
        <v>0.5</v>
      </c>
    </row>
    <row r="1800" customFormat="false" ht="16.5" hidden="false" customHeight="true" outlineLevel="0" collapsed="false">
      <c r="A1800" s="97" t="n">
        <f aca="false">ROW(A1789)</f>
        <v>1789</v>
      </c>
      <c r="B1800" s="97" t="s">
        <v>473</v>
      </c>
      <c r="C1800" s="100" t="n">
        <v>1</v>
      </c>
      <c r="D1800" s="85"/>
      <c r="E1800" s="98" t="s">
        <v>4471</v>
      </c>
      <c r="F1800" s="99" t="s">
        <v>4463</v>
      </c>
      <c r="G1800" s="100" t="s">
        <v>4100</v>
      </c>
      <c r="H1800" s="100" t="s">
        <v>4354</v>
      </c>
      <c r="I1800" s="100" t="s">
        <v>221</v>
      </c>
      <c r="J1800" s="98" t="s">
        <v>471</v>
      </c>
      <c r="K1800" s="101" t="s">
        <v>4472</v>
      </c>
      <c r="L1800" s="102" t="n">
        <v>45803</v>
      </c>
      <c r="M1800" s="100" t="n">
        <v>3387</v>
      </c>
      <c r="N1800" s="100" t="n">
        <v>3965</v>
      </c>
      <c r="O1800" s="100" t="n">
        <v>578</v>
      </c>
      <c r="P1800" s="100" t="n">
        <v>561</v>
      </c>
      <c r="Q1800" s="100"/>
      <c r="R1800" s="103" t="n">
        <f aca="false">合約與計費!$D$4</f>
        <v>0.296</v>
      </c>
      <c r="S1800" s="104" t="n">
        <f aca="false">ROUND(P1800*R1800,0)</f>
        <v>166</v>
      </c>
      <c r="T1800" s="105"/>
      <c r="U1800" s="100"/>
      <c r="V1800" s="100"/>
      <c r="W1800" s="106"/>
      <c r="X1800" s="100"/>
      <c r="Y1800" s="100"/>
      <c r="Z1800" s="107"/>
      <c r="AA1800" s="108"/>
      <c r="AB1800" s="109"/>
      <c r="AC1800" s="110"/>
      <c r="AD1800" s="42" t="n">
        <v>0.1239</v>
      </c>
      <c r="AE1800" s="43" t="n">
        <v>1</v>
      </c>
    </row>
    <row r="1801" customFormat="false" ht="16.5" hidden="false" customHeight="true" outlineLevel="0" collapsed="false">
      <c r="A1801" s="97" t="n">
        <f aca="false">ROW(A1790)</f>
        <v>1790</v>
      </c>
      <c r="B1801" s="97" t="s">
        <v>476</v>
      </c>
      <c r="C1801" s="100" t="n">
        <v>1</v>
      </c>
      <c r="D1801" s="85"/>
      <c r="E1801" s="98" t="s">
        <v>4473</v>
      </c>
      <c r="F1801" s="99" t="s">
        <v>4463</v>
      </c>
      <c r="G1801" s="100" t="s">
        <v>4100</v>
      </c>
      <c r="H1801" s="100" t="s">
        <v>4354</v>
      </c>
      <c r="I1801" s="100" t="s">
        <v>221</v>
      </c>
      <c r="J1801" s="98" t="s">
        <v>471</v>
      </c>
      <c r="K1801" s="101" t="s">
        <v>4474</v>
      </c>
      <c r="L1801" s="102" t="n">
        <v>45803</v>
      </c>
      <c r="M1801" s="100" t="n">
        <v>5502</v>
      </c>
      <c r="N1801" s="100" t="n">
        <v>6882</v>
      </c>
      <c r="O1801" s="100" t="n">
        <v>1380</v>
      </c>
      <c r="P1801" s="100" t="n">
        <v>1339</v>
      </c>
      <c r="Q1801" s="100"/>
      <c r="R1801" s="103" t="n">
        <f aca="false">合約與計費!$D$4</f>
        <v>0.296</v>
      </c>
      <c r="S1801" s="104" t="n">
        <f aca="false">ROUND(P1801*R1801,0)</f>
        <v>396</v>
      </c>
      <c r="T1801" s="105"/>
      <c r="U1801" s="100"/>
      <c r="V1801" s="100"/>
      <c r="W1801" s="106"/>
      <c r="X1801" s="100"/>
      <c r="Y1801" s="100"/>
      <c r="Z1801" s="107"/>
      <c r="AA1801" s="108"/>
      <c r="AB1801" s="109"/>
      <c r="AC1801" s="110"/>
      <c r="AD1801" s="42" t="n">
        <v>0.3201</v>
      </c>
      <c r="AE1801" s="43" t="n">
        <v>0.2</v>
      </c>
    </row>
    <row r="1802" customFormat="false" ht="16.5" hidden="false" customHeight="true" outlineLevel="0" collapsed="false">
      <c r="A1802" s="97" t="n">
        <f aca="false">ROW(A1791)</f>
        <v>1791</v>
      </c>
      <c r="B1802" s="97" t="s">
        <v>479</v>
      </c>
      <c r="C1802" s="100" t="n">
        <v>1</v>
      </c>
      <c r="D1802" s="85"/>
      <c r="E1802" s="98" t="s">
        <v>4475</v>
      </c>
      <c r="F1802" s="99" t="s">
        <v>4463</v>
      </c>
      <c r="G1802" s="100" t="s">
        <v>4100</v>
      </c>
      <c r="H1802" s="100" t="s">
        <v>4354</v>
      </c>
      <c r="I1802" s="100" t="s">
        <v>221</v>
      </c>
      <c r="J1802" s="98" t="s">
        <v>471</v>
      </c>
      <c r="K1802" s="101" t="s">
        <v>4476</v>
      </c>
      <c r="L1802" s="102" t="n">
        <v>45890</v>
      </c>
      <c r="M1802" s="100" t="n">
        <v>4</v>
      </c>
      <c r="N1802" s="100" t="n">
        <v>13</v>
      </c>
      <c r="O1802" s="100" t="n">
        <v>9</v>
      </c>
      <c r="P1802" s="100" t="n">
        <v>9</v>
      </c>
      <c r="Q1802" s="100"/>
      <c r="R1802" s="103" t="n">
        <f aca="false">合約與計費!$D$4</f>
        <v>0.296</v>
      </c>
      <c r="S1802" s="104" t="n">
        <f aca="false">ROUND(P1802*R1802,0)</f>
        <v>3</v>
      </c>
      <c r="T1802" s="105"/>
      <c r="U1802" s="100"/>
      <c r="V1802" s="100"/>
      <c r="W1802" s="106"/>
      <c r="X1802" s="100"/>
      <c r="Y1802" s="100"/>
      <c r="Z1802" s="107"/>
      <c r="AA1802" s="108"/>
      <c r="AB1802" s="109"/>
      <c r="AC1802" s="110"/>
      <c r="AD1802" s="42" t="n">
        <v>0.0423</v>
      </c>
      <c r="AE1802" s="43" t="n">
        <v>1</v>
      </c>
    </row>
    <row r="1803" customFormat="false" ht="16.5" hidden="false" customHeight="true" outlineLevel="0" collapsed="false">
      <c r="A1803" s="111" t="n">
        <f aca="false">ROW(A1792)</f>
        <v>1792</v>
      </c>
      <c r="B1803" s="111" t="s">
        <v>482</v>
      </c>
      <c r="C1803" s="114" t="n">
        <v>1</v>
      </c>
      <c r="D1803" s="85"/>
      <c r="E1803" s="112" t="s">
        <v>4477</v>
      </c>
      <c r="F1803" s="113" t="s">
        <v>4463</v>
      </c>
      <c r="G1803" s="114" t="s">
        <v>4100</v>
      </c>
      <c r="H1803" s="114" t="s">
        <v>4354</v>
      </c>
      <c r="I1803" s="114" t="s">
        <v>221</v>
      </c>
      <c r="J1803" s="112" t="s">
        <v>471</v>
      </c>
      <c r="K1803" s="115" t="s">
        <v>4478</v>
      </c>
      <c r="L1803" s="116" t="n">
        <v>45890</v>
      </c>
      <c r="M1803" s="114" t="n">
        <v>382</v>
      </c>
      <c r="N1803" s="114" t="n">
        <v>784</v>
      </c>
      <c r="O1803" s="100" t="n">
        <v>402</v>
      </c>
      <c r="P1803" s="100" t="n">
        <v>390</v>
      </c>
      <c r="Q1803" s="100" t="n">
        <f aca="false">ROUND(SUM(P1796:P1803),2)</f>
        <v>4174</v>
      </c>
      <c r="R1803" s="103" t="n">
        <f aca="false">合約與計費!$D$4</f>
        <v>0.296</v>
      </c>
      <c r="S1803" s="104" t="n">
        <f aca="false">ROUND(P1803*R1803,0)</f>
        <v>115</v>
      </c>
      <c r="T1803" s="105" t="n">
        <f aca="false">ROUND(SUM(S1796:S1803),2)</f>
        <v>1235</v>
      </c>
      <c r="U1803" s="114"/>
      <c r="V1803" s="114"/>
      <c r="W1803" s="106"/>
      <c r="X1803" s="114"/>
      <c r="Y1803" s="100" t="n">
        <f aca="false">ROUND(SUM(X1796:X1803),2)</f>
        <v>65</v>
      </c>
      <c r="Z1803" s="107"/>
      <c r="AA1803" s="108"/>
      <c r="AB1803" s="109" t="n">
        <f aca="false">ROUND(SUM(AA1796:AA1803),2)</f>
        <v>182</v>
      </c>
      <c r="AC1803" s="124"/>
      <c r="AD1803" s="42" t="n">
        <v>0.0661</v>
      </c>
      <c r="AE1803" s="43" t="n">
        <v>0.7</v>
      </c>
    </row>
    <row r="1804" customFormat="false" ht="16.5" hidden="false" customHeight="true" outlineLevel="0" collapsed="false">
      <c r="A1804" s="84" t="n">
        <f aca="false">ROW(A1793)</f>
        <v>1793</v>
      </c>
      <c r="B1804" s="84" t="s">
        <v>455</v>
      </c>
      <c r="C1804" s="32" t="n">
        <v>1</v>
      </c>
      <c r="D1804" s="85" t="n">
        <v>345</v>
      </c>
      <c r="E1804" s="86" t="s">
        <v>4479</v>
      </c>
      <c r="F1804" s="87" t="s">
        <v>4480</v>
      </c>
      <c r="G1804" s="32" t="s">
        <v>4100</v>
      </c>
      <c r="H1804" s="32" t="s">
        <v>4354</v>
      </c>
      <c r="I1804" s="172" t="s">
        <v>51</v>
      </c>
      <c r="J1804" s="86" t="s">
        <v>460</v>
      </c>
      <c r="K1804" s="225" t="s">
        <v>4481</v>
      </c>
      <c r="L1804" s="89" t="n">
        <v>45742</v>
      </c>
      <c r="M1804" s="32" t="n">
        <v>41</v>
      </c>
      <c r="N1804" s="32" t="n">
        <v>59</v>
      </c>
      <c r="O1804" s="32" t="n">
        <v>18</v>
      </c>
      <c r="P1804" s="32" t="n">
        <v>17</v>
      </c>
      <c r="Q1804" s="32"/>
      <c r="R1804" s="90" t="n">
        <f aca="false">合約與計費!$D$4</f>
        <v>0.296</v>
      </c>
      <c r="S1804" s="91" t="n">
        <f aca="false">ROUND(P1804*R1804,0)</f>
        <v>5</v>
      </c>
      <c r="T1804" s="92"/>
      <c r="U1804" s="32" t="n">
        <v>162</v>
      </c>
      <c r="V1804" s="32" t="n">
        <v>184</v>
      </c>
      <c r="W1804" s="32" t="n">
        <v>22</v>
      </c>
      <c r="X1804" s="32" t="n">
        <v>21</v>
      </c>
      <c r="Y1804" s="32"/>
      <c r="Z1804" s="93" t="n">
        <f aca="false">合約與計費!$E$4</f>
        <v>2.8</v>
      </c>
      <c r="AA1804" s="94" t="n">
        <f aca="false">ROUND(X1804*Z1804,0)</f>
        <v>59</v>
      </c>
      <c r="AB1804" s="95"/>
      <c r="AC1804" s="254"/>
      <c r="AD1804" s="42"/>
      <c r="AE1804" s="43"/>
    </row>
    <row r="1805" customFormat="false" ht="16.5" hidden="false" customHeight="true" outlineLevel="0" collapsed="false">
      <c r="A1805" s="97" t="n">
        <f aca="false">ROW(A1794)</f>
        <v>1794</v>
      </c>
      <c r="B1805" s="97" t="s">
        <v>462</v>
      </c>
      <c r="C1805" s="100" t="n">
        <v>1</v>
      </c>
      <c r="D1805" s="85"/>
      <c r="E1805" s="98" t="s">
        <v>4482</v>
      </c>
      <c r="F1805" s="99" t="s">
        <v>4480</v>
      </c>
      <c r="G1805" s="100" t="s">
        <v>4100</v>
      </c>
      <c r="H1805" s="100" t="s">
        <v>4354</v>
      </c>
      <c r="I1805" s="175" t="s">
        <v>51</v>
      </c>
      <c r="J1805" s="98" t="s">
        <v>464</v>
      </c>
      <c r="K1805" s="101" t="s">
        <v>4483</v>
      </c>
      <c r="L1805" s="102" t="n">
        <v>45742</v>
      </c>
      <c r="M1805" s="100" t="n">
        <v>1261</v>
      </c>
      <c r="N1805" s="100" t="n">
        <v>1343</v>
      </c>
      <c r="O1805" s="100" t="n">
        <v>82</v>
      </c>
      <c r="P1805" s="100" t="n">
        <v>80</v>
      </c>
      <c r="Q1805" s="100"/>
      <c r="R1805" s="103" t="n">
        <f aca="false">合約與計費!$D$4</f>
        <v>0.296</v>
      </c>
      <c r="S1805" s="104" t="n">
        <f aca="false">ROUND(P1805*R1805,0)</f>
        <v>24</v>
      </c>
      <c r="T1805" s="105"/>
      <c r="U1805" s="100"/>
      <c r="V1805" s="100"/>
      <c r="W1805" s="106"/>
      <c r="X1805" s="100"/>
      <c r="Y1805" s="100"/>
      <c r="Z1805" s="107"/>
      <c r="AA1805" s="108"/>
      <c r="AB1805" s="109"/>
      <c r="AC1805" s="110"/>
      <c r="AD1805" s="42" t="n">
        <v>0.0648</v>
      </c>
      <c r="AE1805" s="43" t="n">
        <v>0.9</v>
      </c>
    </row>
    <row r="1806" customFormat="false" ht="16.5" hidden="false" customHeight="true" outlineLevel="0" collapsed="false">
      <c r="A1806" s="97" t="n">
        <f aca="false">ROW(A1795)</f>
        <v>1795</v>
      </c>
      <c r="B1806" s="97" t="s">
        <v>466</v>
      </c>
      <c r="C1806" s="100" t="n">
        <v>1</v>
      </c>
      <c r="D1806" s="85"/>
      <c r="E1806" s="98" t="s">
        <v>4484</v>
      </c>
      <c r="F1806" s="99" t="s">
        <v>4480</v>
      </c>
      <c r="G1806" s="100" t="s">
        <v>4100</v>
      </c>
      <c r="H1806" s="100" t="s">
        <v>4354</v>
      </c>
      <c r="I1806" s="175" t="s">
        <v>51</v>
      </c>
      <c r="J1806" s="98" t="s">
        <v>471</v>
      </c>
      <c r="K1806" s="101" t="s">
        <v>4485</v>
      </c>
      <c r="L1806" s="102" t="n">
        <v>45742</v>
      </c>
      <c r="M1806" s="100" t="n">
        <v>8957</v>
      </c>
      <c r="N1806" s="100" t="n">
        <v>9848</v>
      </c>
      <c r="O1806" s="100" t="n">
        <v>891</v>
      </c>
      <c r="P1806" s="100" t="n">
        <v>864</v>
      </c>
      <c r="Q1806" s="100"/>
      <c r="R1806" s="103" t="n">
        <f aca="false">合約與計費!$D$4</f>
        <v>0.296</v>
      </c>
      <c r="S1806" s="104" t="n">
        <f aca="false">ROUND(P1806*R1806,0)</f>
        <v>256</v>
      </c>
      <c r="T1806" s="105"/>
      <c r="U1806" s="100"/>
      <c r="V1806" s="100"/>
      <c r="W1806" s="106"/>
      <c r="X1806" s="100"/>
      <c r="Y1806" s="100"/>
      <c r="Z1806" s="107"/>
      <c r="AA1806" s="108"/>
      <c r="AB1806" s="109"/>
      <c r="AC1806" s="110"/>
      <c r="AD1806" s="42" t="n">
        <v>0.1352</v>
      </c>
      <c r="AE1806" s="43" t="n">
        <v>0.1</v>
      </c>
    </row>
    <row r="1807" customFormat="false" ht="16.5" hidden="false" customHeight="true" outlineLevel="0" collapsed="false">
      <c r="A1807" s="97" t="n">
        <f aca="false">ROW(A1796)</f>
        <v>1796</v>
      </c>
      <c r="B1807" s="97" t="s">
        <v>469</v>
      </c>
      <c r="C1807" s="114" t="n">
        <v>1</v>
      </c>
      <c r="D1807" s="85"/>
      <c r="E1807" s="98" t="s">
        <v>4486</v>
      </c>
      <c r="F1807" s="99" t="s">
        <v>4480</v>
      </c>
      <c r="G1807" s="100" t="s">
        <v>4100</v>
      </c>
      <c r="H1807" s="100" t="s">
        <v>4354</v>
      </c>
      <c r="I1807" s="175" t="s">
        <v>51</v>
      </c>
      <c r="J1807" s="98" t="s">
        <v>471</v>
      </c>
      <c r="K1807" s="236" t="s">
        <v>4487</v>
      </c>
      <c r="L1807" s="116" t="n">
        <v>45868</v>
      </c>
      <c r="M1807" s="100" t="n">
        <v>4842</v>
      </c>
      <c r="N1807" s="100" t="n">
        <v>5605</v>
      </c>
      <c r="O1807" s="100" t="n">
        <v>1797</v>
      </c>
      <c r="P1807" s="100" t="n">
        <v>1743</v>
      </c>
      <c r="Q1807" s="100" t="n">
        <f aca="false">ROUND(SUM(P1804:P1807),2)</f>
        <v>2704</v>
      </c>
      <c r="R1807" s="103" t="n">
        <f aca="false">合約與計費!$D$4</f>
        <v>0.296</v>
      </c>
      <c r="S1807" s="104" t="n">
        <f aca="false">ROUND(P1807*R1807,0)</f>
        <v>516</v>
      </c>
      <c r="T1807" s="105" t="n">
        <f aca="false">ROUND(SUM(S1804:S1807),2)</f>
        <v>801</v>
      </c>
      <c r="U1807" s="100"/>
      <c r="V1807" s="100"/>
      <c r="W1807" s="106"/>
      <c r="X1807" s="100"/>
      <c r="Y1807" s="100" t="n">
        <f aca="false">ROUND(SUM(X1804:X1807),2)</f>
        <v>21</v>
      </c>
      <c r="Z1807" s="107"/>
      <c r="AA1807" s="108"/>
      <c r="AB1807" s="109" t="n">
        <f aca="false">ROUND(SUM(AA1804:AA1807),2)</f>
        <v>59</v>
      </c>
      <c r="AC1807" s="110"/>
      <c r="AD1807" s="42" t="n">
        <v>0.1203</v>
      </c>
      <c r="AE1807" s="43" t="n">
        <v>0.7</v>
      </c>
    </row>
    <row r="1808" customFormat="false" ht="16.5" hidden="false" customHeight="true" outlineLevel="0" collapsed="false">
      <c r="A1808" s="84" t="n">
        <f aca="false">ROW(A1797)</f>
        <v>1797</v>
      </c>
      <c r="B1808" s="84" t="s">
        <v>455</v>
      </c>
      <c r="C1808" s="32" t="n">
        <v>1</v>
      </c>
      <c r="D1808" s="85" t="n">
        <v>347</v>
      </c>
      <c r="E1808" s="86" t="s">
        <v>4488</v>
      </c>
      <c r="F1808" s="87" t="s">
        <v>4489</v>
      </c>
      <c r="G1808" s="32" t="s">
        <v>4100</v>
      </c>
      <c r="H1808" s="32" t="s">
        <v>4354</v>
      </c>
      <c r="I1808" s="172" t="s">
        <v>64</v>
      </c>
      <c r="J1808" s="86" t="s">
        <v>460</v>
      </c>
      <c r="K1808" s="88" t="s">
        <v>4490</v>
      </c>
      <c r="L1808" s="89" t="n">
        <v>45747</v>
      </c>
      <c r="M1808" s="32" t="n">
        <v>31</v>
      </c>
      <c r="N1808" s="32" t="n">
        <v>35</v>
      </c>
      <c r="O1808" s="32" t="n">
        <v>4</v>
      </c>
      <c r="P1808" s="32" t="n">
        <v>4</v>
      </c>
      <c r="Q1808" s="32"/>
      <c r="R1808" s="90" t="n">
        <f aca="false">合約與計費!$D$4</f>
        <v>0.296</v>
      </c>
      <c r="S1808" s="91" t="n">
        <f aca="false">ROUND(P1808*R1808,0)</f>
        <v>1</v>
      </c>
      <c r="T1808" s="92"/>
      <c r="U1808" s="32" t="n">
        <v>115</v>
      </c>
      <c r="V1808" s="32" t="n">
        <v>135</v>
      </c>
      <c r="W1808" s="32" t="n">
        <v>20</v>
      </c>
      <c r="X1808" s="32" t="n">
        <v>19</v>
      </c>
      <c r="Y1808" s="32"/>
      <c r="Z1808" s="93" t="n">
        <f aca="false">合約與計費!$E$4</f>
        <v>2.8</v>
      </c>
      <c r="AA1808" s="94" t="n">
        <f aca="false">ROUND(X1808*Z1808,0)</f>
        <v>53</v>
      </c>
      <c r="AB1808" s="95"/>
      <c r="AC1808" s="254"/>
      <c r="AD1808" s="42"/>
      <c r="AE1808" s="43"/>
    </row>
    <row r="1809" customFormat="false" ht="16.5" hidden="false" customHeight="true" outlineLevel="0" collapsed="false">
      <c r="A1809" s="111" t="n">
        <f aca="false">ROW(A1798)</f>
        <v>1798</v>
      </c>
      <c r="B1809" s="111" t="s">
        <v>462</v>
      </c>
      <c r="C1809" s="114" t="n">
        <v>1</v>
      </c>
      <c r="D1809" s="85"/>
      <c r="E1809" s="112" t="s">
        <v>4491</v>
      </c>
      <c r="F1809" s="113" t="s">
        <v>4489</v>
      </c>
      <c r="G1809" s="114" t="s">
        <v>4100</v>
      </c>
      <c r="H1809" s="114" t="s">
        <v>4354</v>
      </c>
      <c r="I1809" s="173" t="s">
        <v>64</v>
      </c>
      <c r="J1809" s="112" t="s">
        <v>464</v>
      </c>
      <c r="K1809" s="115" t="s">
        <v>4492</v>
      </c>
      <c r="L1809" s="116" t="n">
        <v>45747</v>
      </c>
      <c r="M1809" s="114" t="n">
        <v>4493</v>
      </c>
      <c r="N1809" s="114" t="n">
        <v>5041</v>
      </c>
      <c r="O1809" s="100" t="n">
        <v>548</v>
      </c>
      <c r="P1809" s="100" t="n">
        <v>532</v>
      </c>
      <c r="Q1809" s="100" t="n">
        <f aca="false">ROUND(SUM(P1808:P1809),2)</f>
        <v>536</v>
      </c>
      <c r="R1809" s="117" t="n">
        <f aca="false">合約與計費!$D$4</f>
        <v>0.296</v>
      </c>
      <c r="S1809" s="118" t="n">
        <f aca="false">ROUND(P1809*R1809,0)</f>
        <v>157</v>
      </c>
      <c r="T1809" s="105" t="n">
        <f aca="false">ROUND(SUM(S1808:S1809),2)</f>
        <v>158</v>
      </c>
      <c r="U1809" s="114"/>
      <c r="V1809" s="114"/>
      <c r="W1809" s="120"/>
      <c r="X1809" s="114"/>
      <c r="Y1809" s="100" t="n">
        <f aca="false">ROUND(SUM(X1808:X1809),2)</f>
        <v>19</v>
      </c>
      <c r="Z1809" s="107"/>
      <c r="AA1809" s="108"/>
      <c r="AB1809" s="109" t="n">
        <f aca="false">ROUND(SUM(AA1808:AA1809),2)</f>
        <v>53</v>
      </c>
      <c r="AC1809" s="124"/>
      <c r="AD1809" s="42" t="n">
        <v>0.0722</v>
      </c>
      <c r="AE1809" s="43" t="n">
        <v>0.8</v>
      </c>
    </row>
    <row r="1810" customFormat="false" ht="16.5" hidden="false" customHeight="true" outlineLevel="0" collapsed="false">
      <c r="A1810" s="84" t="n">
        <f aca="false">ROW(A1799)</f>
        <v>1799</v>
      </c>
      <c r="B1810" s="84" t="s">
        <v>455</v>
      </c>
      <c r="C1810" s="32" t="n">
        <v>1</v>
      </c>
      <c r="D1810" s="85" t="n">
        <v>348</v>
      </c>
      <c r="E1810" s="86" t="s">
        <v>4493</v>
      </c>
      <c r="F1810" s="87" t="s">
        <v>4494</v>
      </c>
      <c r="G1810" s="32" t="s">
        <v>4100</v>
      </c>
      <c r="H1810" s="32" t="s">
        <v>4354</v>
      </c>
      <c r="I1810" s="172" t="s">
        <v>264</v>
      </c>
      <c r="J1810" s="86" t="s">
        <v>460</v>
      </c>
      <c r="K1810" s="88" t="s">
        <v>4495</v>
      </c>
      <c r="L1810" s="89" t="n">
        <v>45743</v>
      </c>
      <c r="M1810" s="32" t="n">
        <v>194</v>
      </c>
      <c r="N1810" s="32" t="n">
        <v>257</v>
      </c>
      <c r="O1810" s="32" t="n">
        <v>63</v>
      </c>
      <c r="P1810" s="32" t="n">
        <v>61</v>
      </c>
      <c r="Q1810" s="32"/>
      <c r="R1810" s="90" t="n">
        <f aca="false">合約與計費!$D$4</f>
        <v>0.296</v>
      </c>
      <c r="S1810" s="91" t="n">
        <f aca="false">ROUND(P1810*R1810,0)</f>
        <v>18</v>
      </c>
      <c r="T1810" s="92"/>
      <c r="U1810" s="32" t="n">
        <v>228</v>
      </c>
      <c r="V1810" s="32" t="n">
        <v>310</v>
      </c>
      <c r="W1810" s="32" t="n">
        <v>82</v>
      </c>
      <c r="X1810" s="32" t="n">
        <v>80</v>
      </c>
      <c r="Y1810" s="32"/>
      <c r="Z1810" s="93" t="n">
        <f aca="false">合約與計費!$E$4</f>
        <v>2.8</v>
      </c>
      <c r="AA1810" s="94" t="n">
        <f aca="false">ROUND(X1810*Z1810,0)</f>
        <v>224</v>
      </c>
      <c r="AB1810" s="95"/>
      <c r="AC1810" s="254"/>
      <c r="AD1810" s="42"/>
      <c r="AE1810" s="43"/>
    </row>
    <row r="1811" customFormat="false" ht="16.5" hidden="false" customHeight="true" outlineLevel="0" collapsed="false">
      <c r="A1811" s="111" t="n">
        <f aca="false">ROW(A1800)</f>
        <v>1800</v>
      </c>
      <c r="B1811" s="111" t="s">
        <v>462</v>
      </c>
      <c r="C1811" s="114" t="n">
        <v>1</v>
      </c>
      <c r="D1811" s="85"/>
      <c r="E1811" s="112" t="s">
        <v>4496</v>
      </c>
      <c r="F1811" s="113" t="s">
        <v>4494</v>
      </c>
      <c r="G1811" s="114" t="s">
        <v>4100</v>
      </c>
      <c r="H1811" s="114" t="s">
        <v>4354</v>
      </c>
      <c r="I1811" s="173" t="s">
        <v>264</v>
      </c>
      <c r="J1811" s="112" t="s">
        <v>464</v>
      </c>
      <c r="K1811" s="115" t="s">
        <v>4497</v>
      </c>
      <c r="L1811" s="116" t="n">
        <v>45743</v>
      </c>
      <c r="M1811" s="114" t="n">
        <v>355</v>
      </c>
      <c r="N1811" s="114" t="n">
        <v>412</v>
      </c>
      <c r="O1811" s="100" t="n">
        <v>57</v>
      </c>
      <c r="P1811" s="100" t="n">
        <v>55</v>
      </c>
      <c r="Q1811" s="100" t="n">
        <f aca="false">ROUND(SUM(P1810:P1811),2)</f>
        <v>116</v>
      </c>
      <c r="R1811" s="103" t="n">
        <f aca="false">合約與計費!$D$4</f>
        <v>0.296</v>
      </c>
      <c r="S1811" s="104" t="n">
        <f aca="false">ROUND(P1811*R1811,0)</f>
        <v>16</v>
      </c>
      <c r="T1811" s="105" t="n">
        <f aca="false">ROUND(SUM(S1810:S1811),2)</f>
        <v>34</v>
      </c>
      <c r="U1811" s="114"/>
      <c r="V1811" s="114"/>
      <c r="W1811" s="120"/>
      <c r="X1811" s="114"/>
      <c r="Y1811" s="100" t="n">
        <f aca="false">ROUND(SUM(X1810:X1811),2)</f>
        <v>80</v>
      </c>
      <c r="Z1811" s="121"/>
      <c r="AA1811" s="108"/>
      <c r="AB1811" s="109" t="n">
        <f aca="false">ROUND(SUM(AA1810:AA1811),2)</f>
        <v>224</v>
      </c>
      <c r="AC1811" s="124"/>
      <c r="AD1811" s="42" t="n">
        <v>0.0437</v>
      </c>
      <c r="AE1811" s="43" t="n">
        <v>0.9</v>
      </c>
    </row>
    <row r="1812" customFormat="false" ht="16.5" hidden="false" customHeight="true" outlineLevel="0" collapsed="false">
      <c r="A1812" s="84" t="n">
        <f aca="false">ROW(A1801)</f>
        <v>1801</v>
      </c>
      <c r="B1812" s="84" t="s">
        <v>455</v>
      </c>
      <c r="C1812" s="32" t="n">
        <v>1</v>
      </c>
      <c r="D1812" s="85" t="n">
        <v>361</v>
      </c>
      <c r="E1812" s="86" t="s">
        <v>4498</v>
      </c>
      <c r="F1812" s="87" t="s">
        <v>4499</v>
      </c>
      <c r="G1812" s="32" t="s">
        <v>4100</v>
      </c>
      <c r="H1812" s="32" t="s">
        <v>4354</v>
      </c>
      <c r="I1812" s="172" t="s">
        <v>290</v>
      </c>
      <c r="J1812" s="86" t="s">
        <v>460</v>
      </c>
      <c r="K1812" s="88" t="s">
        <v>4500</v>
      </c>
      <c r="L1812" s="89" t="n">
        <v>45744</v>
      </c>
      <c r="M1812" s="32" t="n">
        <v>1199</v>
      </c>
      <c r="N1812" s="32" t="n">
        <v>1367</v>
      </c>
      <c r="O1812" s="32" t="n">
        <v>168</v>
      </c>
      <c r="P1812" s="32" t="n">
        <v>163</v>
      </c>
      <c r="Q1812" s="32"/>
      <c r="R1812" s="90" t="n">
        <f aca="false">合約與計費!$D$4</f>
        <v>0.296</v>
      </c>
      <c r="S1812" s="91" t="n">
        <f aca="false">ROUND(P1812*R1812,0)</f>
        <v>48</v>
      </c>
      <c r="T1812" s="92"/>
      <c r="U1812" s="32" t="n">
        <v>60</v>
      </c>
      <c r="V1812" s="32" t="n">
        <v>95</v>
      </c>
      <c r="W1812" s="32" t="n">
        <v>35</v>
      </c>
      <c r="X1812" s="32" t="n">
        <v>34</v>
      </c>
      <c r="Y1812" s="32"/>
      <c r="Z1812" s="93" t="n">
        <f aca="false">合約與計費!$E$4</f>
        <v>2.8</v>
      </c>
      <c r="AA1812" s="94" t="n">
        <f aca="false">ROUND(X1812*Z1812,0)</f>
        <v>95</v>
      </c>
      <c r="AB1812" s="95"/>
      <c r="AC1812" s="254"/>
      <c r="AD1812" s="42"/>
      <c r="AE1812" s="43"/>
    </row>
    <row r="1813" customFormat="false" ht="16.5" hidden="false" customHeight="true" outlineLevel="0" collapsed="false">
      <c r="A1813" s="97" t="n">
        <f aca="false">ROW(A1802)</f>
        <v>1802</v>
      </c>
      <c r="B1813" s="97" t="s">
        <v>462</v>
      </c>
      <c r="C1813" s="100" t="n">
        <v>1</v>
      </c>
      <c r="D1813" s="85"/>
      <c r="E1813" s="98" t="s">
        <v>4501</v>
      </c>
      <c r="F1813" s="99" t="s">
        <v>4499</v>
      </c>
      <c r="G1813" s="100" t="s">
        <v>4100</v>
      </c>
      <c r="H1813" s="100" t="s">
        <v>4354</v>
      </c>
      <c r="I1813" s="175" t="s">
        <v>290</v>
      </c>
      <c r="J1813" s="98" t="s">
        <v>464</v>
      </c>
      <c r="K1813" s="101" t="s">
        <v>4502</v>
      </c>
      <c r="L1813" s="102" t="n">
        <v>45744</v>
      </c>
      <c r="M1813" s="100" t="n">
        <v>105</v>
      </c>
      <c r="N1813" s="100" t="n">
        <v>123</v>
      </c>
      <c r="O1813" s="100" t="n">
        <v>18</v>
      </c>
      <c r="P1813" s="100" t="n">
        <v>17</v>
      </c>
      <c r="Q1813" s="100"/>
      <c r="R1813" s="103" t="n">
        <f aca="false">合約與計費!$D$4</f>
        <v>0.296</v>
      </c>
      <c r="S1813" s="104" t="n">
        <f aca="false">ROUND(P1813*R1813,0)</f>
        <v>5</v>
      </c>
      <c r="T1813" s="105"/>
      <c r="U1813" s="100"/>
      <c r="V1813" s="100"/>
      <c r="W1813" s="106"/>
      <c r="X1813" s="100"/>
      <c r="Y1813" s="100"/>
      <c r="Z1813" s="107"/>
      <c r="AA1813" s="108"/>
      <c r="AB1813" s="109"/>
      <c r="AC1813" s="110"/>
      <c r="AD1813" s="42" t="n">
        <v>0.0309</v>
      </c>
      <c r="AE1813" s="43" t="n">
        <v>1</v>
      </c>
    </row>
    <row r="1814" customFormat="false" ht="16.5" hidden="false" customHeight="true" outlineLevel="0" collapsed="false">
      <c r="A1814" s="97" t="n">
        <f aca="false">ROW(A1803)</f>
        <v>1803</v>
      </c>
      <c r="B1814" s="97" t="s">
        <v>466</v>
      </c>
      <c r="C1814" s="100" t="n">
        <v>1</v>
      </c>
      <c r="D1814" s="85"/>
      <c r="E1814" s="98" t="s">
        <v>4503</v>
      </c>
      <c r="F1814" s="99" t="s">
        <v>4499</v>
      </c>
      <c r="G1814" s="100" t="s">
        <v>4100</v>
      </c>
      <c r="H1814" s="100" t="s">
        <v>4354</v>
      </c>
      <c r="I1814" s="175" t="s">
        <v>290</v>
      </c>
      <c r="J1814" s="98" t="s">
        <v>471</v>
      </c>
      <c r="K1814" s="101" t="s">
        <v>4504</v>
      </c>
      <c r="L1814" s="102" t="n">
        <v>45744</v>
      </c>
      <c r="M1814" s="100" t="n">
        <v>4376</v>
      </c>
      <c r="N1814" s="100" t="n">
        <v>4821</v>
      </c>
      <c r="O1814" s="100" t="n">
        <v>445</v>
      </c>
      <c r="P1814" s="100" t="n">
        <v>432</v>
      </c>
      <c r="Q1814" s="100"/>
      <c r="R1814" s="103" t="n">
        <f aca="false">合約與計費!$D$4</f>
        <v>0.296</v>
      </c>
      <c r="S1814" s="104" t="n">
        <f aca="false">ROUND(P1814*R1814,0)</f>
        <v>128</v>
      </c>
      <c r="T1814" s="105"/>
      <c r="U1814" s="100"/>
      <c r="V1814" s="100"/>
      <c r="W1814" s="106"/>
      <c r="X1814" s="100"/>
      <c r="Y1814" s="100"/>
      <c r="Z1814" s="107"/>
      <c r="AA1814" s="108"/>
      <c r="AB1814" s="109"/>
      <c r="AC1814" s="110"/>
      <c r="AD1814" s="42" t="n">
        <v>0.0884</v>
      </c>
      <c r="AE1814" s="43" t="n">
        <v>0.9</v>
      </c>
    </row>
    <row r="1815" customFormat="false" ht="16.5" hidden="false" customHeight="true" outlineLevel="0" collapsed="false">
      <c r="A1815" s="97" t="n">
        <f aca="false">ROW(A1804)</f>
        <v>1804</v>
      </c>
      <c r="B1815" s="97" t="s">
        <v>469</v>
      </c>
      <c r="C1815" s="100" t="n">
        <v>1</v>
      </c>
      <c r="D1815" s="85"/>
      <c r="E1815" s="98" t="s">
        <v>4505</v>
      </c>
      <c r="F1815" s="99" t="s">
        <v>4499</v>
      </c>
      <c r="G1815" s="100" t="s">
        <v>4100</v>
      </c>
      <c r="H1815" s="100" t="s">
        <v>4354</v>
      </c>
      <c r="I1815" s="175" t="s">
        <v>290</v>
      </c>
      <c r="J1815" s="98" t="s">
        <v>471</v>
      </c>
      <c r="K1815" s="101" t="s">
        <v>4506</v>
      </c>
      <c r="L1815" s="102" t="n">
        <v>45744</v>
      </c>
      <c r="M1815" s="100" t="n">
        <v>4743</v>
      </c>
      <c r="N1815" s="100" t="n">
        <v>5545</v>
      </c>
      <c r="O1815" s="100" t="n">
        <v>802</v>
      </c>
      <c r="P1815" s="100" t="n">
        <v>778</v>
      </c>
      <c r="Q1815" s="100"/>
      <c r="R1815" s="103" t="n">
        <f aca="false">合約與計費!$D$4</f>
        <v>0.296</v>
      </c>
      <c r="S1815" s="104" t="n">
        <f aca="false">ROUND(P1815*R1815,0)</f>
        <v>230</v>
      </c>
      <c r="T1815" s="105"/>
      <c r="U1815" s="100"/>
      <c r="V1815" s="100"/>
      <c r="W1815" s="106"/>
      <c r="X1815" s="100"/>
      <c r="Y1815" s="100"/>
      <c r="Z1815" s="107"/>
      <c r="AA1815" s="108"/>
      <c r="AB1815" s="109"/>
      <c r="AC1815" s="110"/>
      <c r="AD1815" s="42" t="n">
        <v>0.1118</v>
      </c>
      <c r="AE1815" s="43" t="n">
        <v>0.4</v>
      </c>
    </row>
    <row r="1816" customFormat="false" ht="16.5" hidden="false" customHeight="true" outlineLevel="0" collapsed="false">
      <c r="A1816" s="97" t="n">
        <f aca="false">ROW(A1805)</f>
        <v>1805</v>
      </c>
      <c r="B1816" s="97" t="s">
        <v>473</v>
      </c>
      <c r="C1816" s="100" t="n">
        <v>1</v>
      </c>
      <c r="D1816" s="85"/>
      <c r="E1816" s="98" t="s">
        <v>4507</v>
      </c>
      <c r="F1816" s="99" t="s">
        <v>4499</v>
      </c>
      <c r="G1816" s="100" t="s">
        <v>4100</v>
      </c>
      <c r="H1816" s="100" t="s">
        <v>4354</v>
      </c>
      <c r="I1816" s="175" t="s">
        <v>290</v>
      </c>
      <c r="J1816" s="98" t="s">
        <v>471</v>
      </c>
      <c r="K1816" s="101" t="s">
        <v>4508</v>
      </c>
      <c r="L1816" s="102" t="n">
        <v>45744</v>
      </c>
      <c r="M1816" s="100" t="n">
        <v>1139</v>
      </c>
      <c r="N1816" s="100" t="n">
        <v>1416</v>
      </c>
      <c r="O1816" s="100" t="n">
        <v>277</v>
      </c>
      <c r="P1816" s="100" t="n">
        <v>269</v>
      </c>
      <c r="Q1816" s="100"/>
      <c r="R1816" s="103" t="n">
        <f aca="false">合約與計費!$D$4</f>
        <v>0.296</v>
      </c>
      <c r="S1816" s="104" t="n">
        <f aca="false">ROUND(P1816*R1816,0)</f>
        <v>80</v>
      </c>
      <c r="T1816" s="105"/>
      <c r="U1816" s="100"/>
      <c r="V1816" s="100"/>
      <c r="W1816" s="106"/>
      <c r="X1816" s="100"/>
      <c r="Y1816" s="100"/>
      <c r="Z1816" s="107"/>
      <c r="AA1816" s="108"/>
      <c r="AB1816" s="109"/>
      <c r="AC1816" s="110"/>
      <c r="AD1816" s="42" t="n">
        <v>0.037</v>
      </c>
      <c r="AE1816" s="43" t="n">
        <v>0.4</v>
      </c>
    </row>
    <row r="1817" customFormat="false" ht="16.5" hidden="false" customHeight="true" outlineLevel="0" collapsed="false">
      <c r="A1817" s="111" t="n">
        <f aca="false">ROW(A1806)</f>
        <v>1806</v>
      </c>
      <c r="B1817" s="111" t="s">
        <v>476</v>
      </c>
      <c r="C1817" s="114" t="n">
        <v>1</v>
      </c>
      <c r="D1817" s="85"/>
      <c r="E1817" s="112" t="s">
        <v>4509</v>
      </c>
      <c r="F1817" s="113" t="s">
        <v>4499</v>
      </c>
      <c r="G1817" s="114" t="s">
        <v>4100</v>
      </c>
      <c r="H1817" s="114" t="s">
        <v>4354</v>
      </c>
      <c r="I1817" s="173" t="s">
        <v>290</v>
      </c>
      <c r="J1817" s="112" t="s">
        <v>471</v>
      </c>
      <c r="K1817" s="115" t="s">
        <v>4510</v>
      </c>
      <c r="L1817" s="116" t="n">
        <v>45744</v>
      </c>
      <c r="M1817" s="114" t="n">
        <v>5206</v>
      </c>
      <c r="N1817" s="114" t="n">
        <v>6402</v>
      </c>
      <c r="O1817" s="114" t="n">
        <v>1196</v>
      </c>
      <c r="P1817" s="114" t="n">
        <v>1160</v>
      </c>
      <c r="Q1817" s="114" t="n">
        <f aca="false">ROUND(SUM(P1812:P1817),2)</f>
        <v>2819</v>
      </c>
      <c r="R1817" s="117" t="n">
        <f aca="false">合約與計費!$D$4</f>
        <v>0.296</v>
      </c>
      <c r="S1817" s="118" t="n">
        <f aca="false">ROUND(P1817*R1817,0)</f>
        <v>343</v>
      </c>
      <c r="T1817" s="119" t="n">
        <f aca="false">ROUND(SUM(S1812:S1817),2)</f>
        <v>834</v>
      </c>
      <c r="U1817" s="114"/>
      <c r="V1817" s="114"/>
      <c r="W1817" s="120"/>
      <c r="X1817" s="114"/>
      <c r="Y1817" s="114" t="n">
        <f aca="false">ROUND(SUM(X1812:X1817),2)</f>
        <v>34</v>
      </c>
      <c r="Z1817" s="121"/>
      <c r="AA1817" s="122"/>
      <c r="AB1817" s="123" t="n">
        <f aca="false">ROUND(SUM(AA1812:AA1817),2)</f>
        <v>95</v>
      </c>
      <c r="AC1817" s="124"/>
      <c r="AD1817" s="42" t="n">
        <v>0.089</v>
      </c>
      <c r="AE1817" s="43" t="n">
        <v>0.4</v>
      </c>
    </row>
    <row r="1818" customFormat="false" ht="16.5" hidden="false" customHeight="true" outlineLevel="0" collapsed="false">
      <c r="A1818" s="85" t="n">
        <f aca="false">ROW(A1807)</f>
        <v>1807</v>
      </c>
      <c r="B1818" s="85" t="s">
        <v>455</v>
      </c>
      <c r="C1818" s="216" t="n">
        <v>1</v>
      </c>
      <c r="D1818" s="85" t="n">
        <v>386</v>
      </c>
      <c r="E1818" s="214" t="s">
        <v>4511</v>
      </c>
      <c r="F1818" s="215" t="s">
        <v>4512</v>
      </c>
      <c r="G1818" s="216" t="s">
        <v>4100</v>
      </c>
      <c r="H1818" s="216" t="s">
        <v>4354</v>
      </c>
      <c r="I1818" s="246" t="s">
        <v>54</v>
      </c>
      <c r="J1818" s="214" t="s">
        <v>460</v>
      </c>
      <c r="K1818" s="217" t="s">
        <v>4513</v>
      </c>
      <c r="L1818" s="218" t="n">
        <v>45777</v>
      </c>
      <c r="M1818" s="216" t="n">
        <v>1734</v>
      </c>
      <c r="N1818" s="216" t="n">
        <v>2027</v>
      </c>
      <c r="O1818" s="114" t="n">
        <v>293</v>
      </c>
      <c r="P1818" s="114" t="n">
        <v>284</v>
      </c>
      <c r="Q1818" s="114" t="n">
        <f aca="false">ROUND(SUM(P1818),2)</f>
        <v>284</v>
      </c>
      <c r="R1818" s="219" t="n">
        <f aca="false">合約與計費!$D$4</f>
        <v>0.296</v>
      </c>
      <c r="S1818" s="220" t="n">
        <f aca="false">ROUND(P1818*R1818,0)</f>
        <v>84</v>
      </c>
      <c r="T1818" s="119" t="n">
        <f aca="false">ROUND(SUM(S1818),2)</f>
        <v>84</v>
      </c>
      <c r="U1818" s="216" t="n">
        <v>1446</v>
      </c>
      <c r="V1818" s="216" t="n">
        <v>1616</v>
      </c>
      <c r="W1818" s="216" t="n">
        <v>170</v>
      </c>
      <c r="X1818" s="216" t="n">
        <v>165</v>
      </c>
      <c r="Y1818" s="216" t="n">
        <f aca="false">ROUND(SUM(X1818),2)</f>
        <v>165</v>
      </c>
      <c r="Z1818" s="221" t="n">
        <f aca="false">合約與計費!$E$4</f>
        <v>2.8</v>
      </c>
      <c r="AA1818" s="222" t="n">
        <f aca="false">ROUND(X1818*Z1818,0)</f>
        <v>462</v>
      </c>
      <c r="AB1818" s="223" t="n">
        <f aca="false">ROUND(SUM(AA1818),2)</f>
        <v>462</v>
      </c>
      <c r="AC1818" s="224"/>
      <c r="AD1818" s="42"/>
      <c r="AE1818" s="43"/>
    </row>
    <row r="1819" customFormat="false" ht="16.5" hidden="false" customHeight="true" outlineLevel="0" collapsed="false">
      <c r="A1819" s="84" t="n">
        <f aca="false">ROW(A1808)</f>
        <v>1808</v>
      </c>
      <c r="B1819" s="84" t="s">
        <v>455</v>
      </c>
      <c r="C1819" s="32" t="n">
        <v>1</v>
      </c>
      <c r="D1819" s="85" t="n">
        <v>393</v>
      </c>
      <c r="E1819" s="86" t="s">
        <v>4514</v>
      </c>
      <c r="F1819" s="87" t="s">
        <v>4515</v>
      </c>
      <c r="G1819" s="32" t="s">
        <v>4100</v>
      </c>
      <c r="H1819" s="32" t="s">
        <v>4354</v>
      </c>
      <c r="I1819" s="172" t="s">
        <v>55</v>
      </c>
      <c r="J1819" s="86" t="s">
        <v>464</v>
      </c>
      <c r="K1819" s="225" t="s">
        <v>4516</v>
      </c>
      <c r="L1819" s="89" t="n">
        <v>45777</v>
      </c>
      <c r="M1819" s="32" t="n">
        <v>12958</v>
      </c>
      <c r="N1819" s="32" t="n">
        <v>15818</v>
      </c>
      <c r="O1819" s="32" t="n">
        <v>2860</v>
      </c>
      <c r="P1819" s="32" t="n">
        <v>2774</v>
      </c>
      <c r="Q1819" s="32"/>
      <c r="R1819" s="90" t="n">
        <f aca="false">合約與計費!$D$4</f>
        <v>0.296</v>
      </c>
      <c r="S1819" s="91" t="n">
        <f aca="false">ROUND(P1819*R1819,0)</f>
        <v>821</v>
      </c>
      <c r="T1819" s="92"/>
      <c r="U1819" s="32"/>
      <c r="V1819" s="32"/>
      <c r="W1819" s="226"/>
      <c r="X1819" s="32"/>
      <c r="Y1819" s="32"/>
      <c r="Z1819" s="93"/>
      <c r="AA1819" s="94"/>
      <c r="AB1819" s="95"/>
      <c r="AC1819" s="254"/>
      <c r="AD1819" s="42" t="n">
        <v>0.0943</v>
      </c>
      <c r="AE1819" s="43" t="n">
        <v>0.3</v>
      </c>
    </row>
    <row r="1820" customFormat="false" ht="16.5" hidden="false" customHeight="true" outlineLevel="0" collapsed="false">
      <c r="A1820" s="111" t="n">
        <f aca="false">ROW(A1809)</f>
        <v>1809</v>
      </c>
      <c r="B1820" s="111" t="s">
        <v>462</v>
      </c>
      <c r="C1820" s="114" t="n">
        <v>1</v>
      </c>
      <c r="D1820" s="85"/>
      <c r="E1820" s="112" t="s">
        <v>4517</v>
      </c>
      <c r="F1820" s="113" t="s">
        <v>4515</v>
      </c>
      <c r="G1820" s="114" t="s">
        <v>4100</v>
      </c>
      <c r="H1820" s="114" t="s">
        <v>4354</v>
      </c>
      <c r="I1820" s="173" t="s">
        <v>55</v>
      </c>
      <c r="J1820" s="112" t="s">
        <v>464</v>
      </c>
      <c r="K1820" s="115" t="s">
        <v>4518</v>
      </c>
      <c r="L1820" s="116" t="n">
        <v>45777</v>
      </c>
      <c r="M1820" s="114" t="n">
        <v>9303</v>
      </c>
      <c r="N1820" s="114" t="n">
        <v>11406</v>
      </c>
      <c r="O1820" s="114" t="n">
        <v>2103</v>
      </c>
      <c r="P1820" s="114" t="n">
        <v>2040</v>
      </c>
      <c r="Q1820" s="114" t="n">
        <f aca="false">ROUND(SUM(P1819:P1820),2)</f>
        <v>4814</v>
      </c>
      <c r="R1820" s="117" t="n">
        <f aca="false">合約與計費!$D$4</f>
        <v>0.296</v>
      </c>
      <c r="S1820" s="118" t="n">
        <f aca="false">ROUND(P1820*R1820,0)</f>
        <v>604</v>
      </c>
      <c r="T1820" s="119" t="n">
        <f aca="false">ROUND(SUM(S1819:S1820),2)</f>
        <v>1425</v>
      </c>
      <c r="U1820" s="114"/>
      <c r="V1820" s="114"/>
      <c r="W1820" s="120"/>
      <c r="X1820" s="114"/>
      <c r="Y1820" s="114"/>
      <c r="Z1820" s="121"/>
      <c r="AA1820" s="108"/>
      <c r="AB1820" s="109"/>
      <c r="AC1820" s="124"/>
      <c r="AD1820" s="42" t="n">
        <v>0.0469</v>
      </c>
      <c r="AE1820" s="43" t="n">
        <v>0.5</v>
      </c>
    </row>
    <row r="1821" customFormat="false" ht="16.5" hidden="false" customHeight="true" outlineLevel="0" collapsed="false">
      <c r="A1821" s="84" t="n">
        <f aca="false">ROW(A1810)</f>
        <v>1810</v>
      </c>
      <c r="B1821" s="84" t="s">
        <v>455</v>
      </c>
      <c r="C1821" s="32" t="n">
        <v>1</v>
      </c>
      <c r="D1821" s="85" t="n">
        <v>157</v>
      </c>
      <c r="E1821" s="86" t="s">
        <v>4519</v>
      </c>
      <c r="F1821" s="87" t="s">
        <v>4520</v>
      </c>
      <c r="G1821" s="32" t="s">
        <v>4100</v>
      </c>
      <c r="H1821" s="32" t="s">
        <v>4521</v>
      </c>
      <c r="I1821" s="32" t="s">
        <v>248</v>
      </c>
      <c r="J1821" s="86" t="s">
        <v>460</v>
      </c>
      <c r="K1821" s="88" t="s">
        <v>4522</v>
      </c>
      <c r="L1821" s="89" t="n">
        <v>45743</v>
      </c>
      <c r="M1821" s="32" t="n">
        <v>3329</v>
      </c>
      <c r="N1821" s="32" t="n">
        <v>4162</v>
      </c>
      <c r="O1821" s="32" t="n">
        <v>833</v>
      </c>
      <c r="P1821" s="32" t="n">
        <v>808</v>
      </c>
      <c r="Q1821" s="32"/>
      <c r="R1821" s="90" t="n">
        <f aca="false">合約與計費!$D$4</f>
        <v>0.296</v>
      </c>
      <c r="S1821" s="91" t="n">
        <f aca="false">ROUND(P1821*R1821,0)</f>
        <v>239</v>
      </c>
      <c r="T1821" s="92"/>
      <c r="U1821" s="32" t="n">
        <v>192</v>
      </c>
      <c r="V1821" s="32" t="n">
        <v>315</v>
      </c>
      <c r="W1821" s="32" t="n">
        <v>123</v>
      </c>
      <c r="X1821" s="32" t="n">
        <v>119</v>
      </c>
      <c r="Y1821" s="32"/>
      <c r="Z1821" s="93" t="n">
        <f aca="false">合約與計費!$E$4</f>
        <v>2.8</v>
      </c>
      <c r="AA1821" s="94" t="n">
        <f aca="false">ROUND(X1821*Z1821,0)</f>
        <v>333</v>
      </c>
      <c r="AB1821" s="95"/>
      <c r="AC1821" s="254"/>
      <c r="AD1821" s="42"/>
      <c r="AE1821" s="43"/>
    </row>
    <row r="1822" customFormat="false" ht="16.5" hidden="false" customHeight="true" outlineLevel="0" collapsed="false">
      <c r="A1822" s="97" t="n">
        <f aca="false">ROW(A1811)</f>
        <v>1811</v>
      </c>
      <c r="B1822" s="97" t="s">
        <v>462</v>
      </c>
      <c r="C1822" s="100" t="n">
        <v>1</v>
      </c>
      <c r="D1822" s="85"/>
      <c r="E1822" s="98" t="s">
        <v>4523</v>
      </c>
      <c r="F1822" s="99" t="s">
        <v>4520</v>
      </c>
      <c r="G1822" s="100" t="s">
        <v>4100</v>
      </c>
      <c r="H1822" s="100" t="s">
        <v>4521</v>
      </c>
      <c r="I1822" s="100" t="s">
        <v>248</v>
      </c>
      <c r="J1822" s="98" t="s">
        <v>464</v>
      </c>
      <c r="K1822" s="101" t="s">
        <v>4524</v>
      </c>
      <c r="L1822" s="102" t="n">
        <v>45743</v>
      </c>
      <c r="M1822" s="100" t="n">
        <v>1551</v>
      </c>
      <c r="N1822" s="100" t="n">
        <v>2061</v>
      </c>
      <c r="O1822" s="100" t="n">
        <v>510</v>
      </c>
      <c r="P1822" s="100" t="n">
        <v>495</v>
      </c>
      <c r="Q1822" s="100"/>
      <c r="R1822" s="103" t="n">
        <f aca="false">合約與計費!$D$4</f>
        <v>0.296</v>
      </c>
      <c r="S1822" s="104" t="n">
        <f aca="false">ROUND(P1822*R1822,0)</f>
        <v>147</v>
      </c>
      <c r="T1822" s="105"/>
      <c r="U1822" s="100"/>
      <c r="V1822" s="100"/>
      <c r="W1822" s="106"/>
      <c r="X1822" s="100"/>
      <c r="Y1822" s="100"/>
      <c r="Z1822" s="107"/>
      <c r="AA1822" s="108"/>
      <c r="AB1822" s="109"/>
      <c r="AC1822" s="110"/>
      <c r="AD1822" s="42" t="n">
        <v>0.0523</v>
      </c>
      <c r="AE1822" s="43" t="n">
        <v>0.2</v>
      </c>
    </row>
    <row r="1823" customFormat="false" ht="16.5" hidden="false" customHeight="true" outlineLevel="0" collapsed="false">
      <c r="A1823" s="97" t="n">
        <f aca="false">ROW(A1812)</f>
        <v>1812</v>
      </c>
      <c r="B1823" s="97" t="s">
        <v>466</v>
      </c>
      <c r="C1823" s="100" t="n">
        <v>1</v>
      </c>
      <c r="D1823" s="85"/>
      <c r="E1823" s="98" t="s">
        <v>4525</v>
      </c>
      <c r="F1823" s="99" t="s">
        <v>4520</v>
      </c>
      <c r="G1823" s="100" t="s">
        <v>4100</v>
      </c>
      <c r="H1823" s="100" t="s">
        <v>4521</v>
      </c>
      <c r="I1823" s="100" t="s">
        <v>248</v>
      </c>
      <c r="J1823" s="98" t="s">
        <v>471</v>
      </c>
      <c r="K1823" s="101" t="s">
        <v>4526</v>
      </c>
      <c r="L1823" s="102" t="n">
        <v>45743</v>
      </c>
      <c r="M1823" s="100" t="n">
        <v>5355</v>
      </c>
      <c r="N1823" s="100" t="n">
        <v>6559</v>
      </c>
      <c r="O1823" s="100" t="n">
        <v>1204</v>
      </c>
      <c r="P1823" s="100" t="n">
        <v>1168</v>
      </c>
      <c r="Q1823" s="100"/>
      <c r="R1823" s="103" t="n">
        <f aca="false">合約與計費!$D$4</f>
        <v>0.296</v>
      </c>
      <c r="S1823" s="104" t="n">
        <f aca="false">ROUND(P1823*R1823,0)</f>
        <v>346</v>
      </c>
      <c r="T1823" s="105"/>
      <c r="U1823" s="100"/>
      <c r="V1823" s="100"/>
      <c r="W1823" s="106"/>
      <c r="X1823" s="100"/>
      <c r="Y1823" s="100"/>
      <c r="Z1823" s="107"/>
      <c r="AA1823" s="108"/>
      <c r="AB1823" s="109"/>
      <c r="AC1823" s="110"/>
      <c r="AD1823" s="42" t="n">
        <v>0.1098</v>
      </c>
      <c r="AE1823" s="43" t="n">
        <v>0.2</v>
      </c>
    </row>
    <row r="1824" customFormat="false" ht="16.5" hidden="false" customHeight="true" outlineLevel="0" collapsed="false">
      <c r="A1824" s="97" t="n">
        <f aca="false">ROW(A1813)</f>
        <v>1813</v>
      </c>
      <c r="B1824" s="97" t="s">
        <v>469</v>
      </c>
      <c r="C1824" s="100" t="n">
        <v>1</v>
      </c>
      <c r="D1824" s="85"/>
      <c r="E1824" s="98" t="s">
        <v>4527</v>
      </c>
      <c r="F1824" s="99" t="s">
        <v>4520</v>
      </c>
      <c r="G1824" s="100" t="s">
        <v>4100</v>
      </c>
      <c r="H1824" s="100" t="s">
        <v>4521</v>
      </c>
      <c r="I1824" s="100" t="s">
        <v>248</v>
      </c>
      <c r="J1824" s="98" t="s">
        <v>471</v>
      </c>
      <c r="K1824" s="101" t="s">
        <v>4528</v>
      </c>
      <c r="L1824" s="102" t="n">
        <v>45743</v>
      </c>
      <c r="M1824" s="100" t="n">
        <v>6002</v>
      </c>
      <c r="N1824" s="100" t="n">
        <v>7196</v>
      </c>
      <c r="O1824" s="100" t="n">
        <v>1194</v>
      </c>
      <c r="P1824" s="100" t="n">
        <v>1158</v>
      </c>
      <c r="Q1824" s="100"/>
      <c r="R1824" s="103" t="n">
        <f aca="false">合約與計費!$D$4</f>
        <v>0.296</v>
      </c>
      <c r="S1824" s="104" t="n">
        <f aca="false">ROUND(P1824*R1824,0)</f>
        <v>343</v>
      </c>
      <c r="T1824" s="105"/>
      <c r="U1824" s="100"/>
      <c r="V1824" s="100"/>
      <c r="W1824" s="106"/>
      <c r="X1824" s="100"/>
      <c r="Y1824" s="100"/>
      <c r="Z1824" s="107"/>
      <c r="AA1824" s="108"/>
      <c r="AB1824" s="109"/>
      <c r="AC1824" s="110"/>
      <c r="AD1824" s="42" t="n">
        <v>0.1275</v>
      </c>
      <c r="AE1824" s="43" t="n">
        <v>0.1</v>
      </c>
    </row>
    <row r="1825" customFormat="false" ht="16.5" hidden="false" customHeight="true" outlineLevel="0" collapsed="false">
      <c r="A1825" s="97" t="n">
        <f aca="false">ROW(A1814)</f>
        <v>1814</v>
      </c>
      <c r="B1825" s="97" t="s">
        <v>473</v>
      </c>
      <c r="C1825" s="100" t="n">
        <v>1</v>
      </c>
      <c r="D1825" s="85"/>
      <c r="E1825" s="98" t="s">
        <v>4529</v>
      </c>
      <c r="F1825" s="99" t="s">
        <v>4520</v>
      </c>
      <c r="G1825" s="100" t="s">
        <v>4100</v>
      </c>
      <c r="H1825" s="100" t="s">
        <v>4521</v>
      </c>
      <c r="I1825" s="100" t="s">
        <v>248</v>
      </c>
      <c r="J1825" s="98" t="s">
        <v>471</v>
      </c>
      <c r="K1825" s="101" t="s">
        <v>4530</v>
      </c>
      <c r="L1825" s="102" t="n">
        <v>45743</v>
      </c>
      <c r="M1825" s="100" t="n">
        <v>6826</v>
      </c>
      <c r="N1825" s="100" t="n">
        <v>8489</v>
      </c>
      <c r="O1825" s="100" t="n">
        <v>1663</v>
      </c>
      <c r="P1825" s="100" t="n">
        <v>1613</v>
      </c>
      <c r="Q1825" s="100"/>
      <c r="R1825" s="103" t="n">
        <f aca="false">合約與計費!$D$4</f>
        <v>0.296</v>
      </c>
      <c r="S1825" s="104" t="n">
        <f aca="false">ROUND(P1825*R1825,0)</f>
        <v>477</v>
      </c>
      <c r="T1825" s="105"/>
      <c r="U1825" s="100"/>
      <c r="V1825" s="100"/>
      <c r="W1825" s="106"/>
      <c r="X1825" s="100"/>
      <c r="Y1825" s="100"/>
      <c r="Z1825" s="107"/>
      <c r="AA1825" s="108"/>
      <c r="AB1825" s="109"/>
      <c r="AC1825" s="110"/>
      <c r="AD1825" s="42" t="n">
        <v>0.1321</v>
      </c>
      <c r="AE1825" s="43" t="n">
        <v>1</v>
      </c>
    </row>
    <row r="1826" customFormat="false" ht="16.5" hidden="false" customHeight="true" outlineLevel="0" collapsed="false">
      <c r="A1826" s="97" t="n">
        <f aca="false">ROW(A1815)</f>
        <v>1815</v>
      </c>
      <c r="B1826" s="97" t="s">
        <v>476</v>
      </c>
      <c r="C1826" s="100" t="n">
        <v>1</v>
      </c>
      <c r="D1826" s="85"/>
      <c r="E1826" s="98" t="s">
        <v>4531</v>
      </c>
      <c r="F1826" s="99" t="s">
        <v>4520</v>
      </c>
      <c r="G1826" s="100" t="s">
        <v>4100</v>
      </c>
      <c r="H1826" s="100" t="s">
        <v>4521</v>
      </c>
      <c r="I1826" s="100" t="s">
        <v>248</v>
      </c>
      <c r="J1826" s="98" t="s">
        <v>471</v>
      </c>
      <c r="K1826" s="101" t="s">
        <v>4532</v>
      </c>
      <c r="L1826" s="102" t="n">
        <v>45743</v>
      </c>
      <c r="M1826" s="100" t="n">
        <v>772</v>
      </c>
      <c r="N1826" s="100" t="n">
        <v>792</v>
      </c>
      <c r="O1826" s="100" t="n">
        <v>20</v>
      </c>
      <c r="P1826" s="100" t="n">
        <v>19</v>
      </c>
      <c r="Q1826" s="100"/>
      <c r="R1826" s="103" t="n">
        <f aca="false">合約與計費!$D$4</f>
        <v>0.296</v>
      </c>
      <c r="S1826" s="104" t="n">
        <f aca="false">ROUND(P1826*R1826,0)</f>
        <v>6</v>
      </c>
      <c r="T1826" s="105"/>
      <c r="U1826" s="100"/>
      <c r="V1826" s="100"/>
      <c r="W1826" s="106"/>
      <c r="X1826" s="100"/>
      <c r="Y1826" s="100"/>
      <c r="Z1826" s="107"/>
      <c r="AA1826" s="108"/>
      <c r="AB1826" s="109"/>
      <c r="AC1826" s="110"/>
      <c r="AD1826" s="42" t="n">
        <v>0.1616</v>
      </c>
      <c r="AE1826" s="43" t="n">
        <v>0.7</v>
      </c>
    </row>
    <row r="1827" customFormat="false" ht="16.5" hidden="false" customHeight="true" outlineLevel="0" collapsed="false">
      <c r="A1827" s="97" t="n">
        <f aca="false">ROW(A1816)</f>
        <v>1816</v>
      </c>
      <c r="B1827" s="97" t="s">
        <v>479</v>
      </c>
      <c r="C1827" s="100" t="n">
        <v>1</v>
      </c>
      <c r="D1827" s="85"/>
      <c r="E1827" s="98" t="s">
        <v>4533</v>
      </c>
      <c r="F1827" s="99" t="s">
        <v>4520</v>
      </c>
      <c r="G1827" s="100" t="s">
        <v>4100</v>
      </c>
      <c r="H1827" s="100" t="s">
        <v>4521</v>
      </c>
      <c r="I1827" s="100" t="s">
        <v>248</v>
      </c>
      <c r="J1827" s="98" t="s">
        <v>471</v>
      </c>
      <c r="K1827" s="101" t="s">
        <v>4534</v>
      </c>
      <c r="L1827" s="102" t="n">
        <v>45743</v>
      </c>
      <c r="M1827" s="100" t="n">
        <v>4874</v>
      </c>
      <c r="N1827" s="100" t="n">
        <v>6179</v>
      </c>
      <c r="O1827" s="100" t="n">
        <v>1305</v>
      </c>
      <c r="P1827" s="100" t="n">
        <v>1266</v>
      </c>
      <c r="Q1827" s="100"/>
      <c r="R1827" s="103" t="n">
        <f aca="false">合約與計費!$D$4</f>
        <v>0.296</v>
      </c>
      <c r="S1827" s="104" t="n">
        <f aca="false">ROUND(P1827*R1827,0)</f>
        <v>375</v>
      </c>
      <c r="T1827" s="105"/>
      <c r="U1827" s="100"/>
      <c r="V1827" s="100"/>
      <c r="W1827" s="106"/>
      <c r="X1827" s="100"/>
      <c r="Y1827" s="100"/>
      <c r="Z1827" s="107"/>
      <c r="AA1827" s="108"/>
      <c r="AB1827" s="109"/>
      <c r="AC1827" s="110"/>
      <c r="AD1827" s="42" t="n">
        <v>0.1264</v>
      </c>
      <c r="AE1827" s="43" t="n">
        <v>0.2</v>
      </c>
    </row>
    <row r="1828" customFormat="false" ht="16.5" hidden="false" customHeight="true" outlineLevel="0" collapsed="false">
      <c r="A1828" s="97" t="n">
        <f aca="false">ROW(A1817)</f>
        <v>1817</v>
      </c>
      <c r="B1828" s="97" t="s">
        <v>482</v>
      </c>
      <c r="C1828" s="100" t="n">
        <v>1</v>
      </c>
      <c r="D1828" s="85"/>
      <c r="E1828" s="98" t="s">
        <v>4535</v>
      </c>
      <c r="F1828" s="99" t="s">
        <v>4520</v>
      </c>
      <c r="G1828" s="100" t="s">
        <v>4100</v>
      </c>
      <c r="H1828" s="100" t="s">
        <v>4521</v>
      </c>
      <c r="I1828" s="100" t="s">
        <v>248</v>
      </c>
      <c r="J1828" s="98" t="s">
        <v>471</v>
      </c>
      <c r="K1828" s="101" t="s">
        <v>4536</v>
      </c>
      <c r="L1828" s="102" t="n">
        <v>45743</v>
      </c>
      <c r="M1828" s="100" t="n">
        <v>3172</v>
      </c>
      <c r="N1828" s="100" t="n">
        <v>3956</v>
      </c>
      <c r="O1828" s="100" t="n">
        <v>784</v>
      </c>
      <c r="P1828" s="100" t="n">
        <v>760</v>
      </c>
      <c r="Q1828" s="100"/>
      <c r="R1828" s="103" t="n">
        <f aca="false">合約與計費!$D$4</f>
        <v>0.296</v>
      </c>
      <c r="S1828" s="104" t="n">
        <f aca="false">ROUND(P1828*R1828,0)</f>
        <v>225</v>
      </c>
      <c r="T1828" s="105"/>
      <c r="U1828" s="100"/>
      <c r="V1828" s="100"/>
      <c r="W1828" s="106"/>
      <c r="X1828" s="100"/>
      <c r="Y1828" s="100"/>
      <c r="Z1828" s="107"/>
      <c r="AA1828" s="108"/>
      <c r="AB1828" s="109"/>
      <c r="AC1828" s="110"/>
      <c r="AD1828" s="42" t="n">
        <v>0.041</v>
      </c>
      <c r="AE1828" s="43" t="n">
        <v>1</v>
      </c>
    </row>
    <row r="1829" customFormat="false" ht="16.5" hidden="false" customHeight="true" outlineLevel="0" collapsed="false">
      <c r="A1829" s="97" t="n">
        <f aca="false">ROW(A1818)</f>
        <v>1818</v>
      </c>
      <c r="B1829" s="97" t="s">
        <v>485</v>
      </c>
      <c r="C1829" s="100" t="n">
        <v>1</v>
      </c>
      <c r="D1829" s="85"/>
      <c r="E1829" s="98" t="s">
        <v>4537</v>
      </c>
      <c r="F1829" s="99" t="s">
        <v>4520</v>
      </c>
      <c r="G1829" s="100" t="s">
        <v>4100</v>
      </c>
      <c r="H1829" s="100" t="s">
        <v>4521</v>
      </c>
      <c r="I1829" s="100" t="s">
        <v>248</v>
      </c>
      <c r="J1829" s="98" t="s">
        <v>471</v>
      </c>
      <c r="K1829" s="101" t="s">
        <v>4538</v>
      </c>
      <c r="L1829" s="102" t="n">
        <v>45743</v>
      </c>
      <c r="M1829" s="100" t="n">
        <v>6781</v>
      </c>
      <c r="N1829" s="100" t="n">
        <v>7871</v>
      </c>
      <c r="O1829" s="100" t="n">
        <v>1090</v>
      </c>
      <c r="P1829" s="100" t="n">
        <v>1057</v>
      </c>
      <c r="Q1829" s="100"/>
      <c r="R1829" s="103" t="n">
        <f aca="false">合約與計費!$D$4</f>
        <v>0.296</v>
      </c>
      <c r="S1829" s="104" t="n">
        <f aca="false">ROUND(P1829*R1829,0)</f>
        <v>313</v>
      </c>
      <c r="T1829" s="105"/>
      <c r="U1829" s="100"/>
      <c r="V1829" s="100"/>
      <c r="W1829" s="106"/>
      <c r="X1829" s="100"/>
      <c r="Y1829" s="100"/>
      <c r="Z1829" s="107"/>
      <c r="AA1829" s="108"/>
      <c r="AB1829" s="109"/>
      <c r="AC1829" s="110"/>
      <c r="AD1829" s="42" t="n">
        <v>0.1021</v>
      </c>
      <c r="AE1829" s="43" t="n">
        <v>0.2</v>
      </c>
    </row>
    <row r="1830" customFormat="false" ht="16.5" hidden="false" customHeight="true" outlineLevel="0" collapsed="false">
      <c r="A1830" s="97" t="n">
        <f aca="false">ROW(A1819)</f>
        <v>1819</v>
      </c>
      <c r="B1830" s="97" t="n">
        <v>10</v>
      </c>
      <c r="C1830" s="100" t="n">
        <v>1</v>
      </c>
      <c r="D1830" s="85"/>
      <c r="E1830" s="98" t="s">
        <v>4539</v>
      </c>
      <c r="F1830" s="99" t="s">
        <v>4520</v>
      </c>
      <c r="G1830" s="100" t="s">
        <v>4100</v>
      </c>
      <c r="H1830" s="100" t="s">
        <v>4521</v>
      </c>
      <c r="I1830" s="100" t="s">
        <v>248</v>
      </c>
      <c r="J1830" s="98" t="s">
        <v>471</v>
      </c>
      <c r="K1830" s="101" t="s">
        <v>4540</v>
      </c>
      <c r="L1830" s="102" t="n">
        <v>45743</v>
      </c>
      <c r="M1830" s="100" t="n">
        <v>5851</v>
      </c>
      <c r="N1830" s="100" t="n">
        <v>7465</v>
      </c>
      <c r="O1830" s="100" t="n">
        <v>1614</v>
      </c>
      <c r="P1830" s="100" t="n">
        <v>1566</v>
      </c>
      <c r="Q1830" s="100"/>
      <c r="R1830" s="103" t="n">
        <f aca="false">合約與計費!$D$4</f>
        <v>0.296</v>
      </c>
      <c r="S1830" s="104" t="n">
        <f aca="false">ROUND(P1830*R1830,0)</f>
        <v>464</v>
      </c>
      <c r="T1830" s="105"/>
      <c r="U1830" s="100"/>
      <c r="V1830" s="100"/>
      <c r="W1830" s="106"/>
      <c r="X1830" s="100"/>
      <c r="Y1830" s="100"/>
      <c r="Z1830" s="107"/>
      <c r="AA1830" s="108"/>
      <c r="AB1830" s="109"/>
      <c r="AC1830" s="110"/>
      <c r="AD1830" s="42" t="n">
        <v>0.1321</v>
      </c>
      <c r="AE1830" s="43" t="n">
        <v>0.1</v>
      </c>
    </row>
    <row r="1831" customFormat="false" ht="16.5" hidden="false" customHeight="true" outlineLevel="0" collapsed="false">
      <c r="A1831" s="111" t="n">
        <f aca="false">ROW(A1820)</f>
        <v>1820</v>
      </c>
      <c r="B1831" s="111" t="n">
        <v>11</v>
      </c>
      <c r="C1831" s="114" t="n">
        <v>1</v>
      </c>
      <c r="D1831" s="85"/>
      <c r="E1831" s="112" t="s">
        <v>4541</v>
      </c>
      <c r="F1831" s="113" t="s">
        <v>4520</v>
      </c>
      <c r="G1831" s="114" t="s">
        <v>4100</v>
      </c>
      <c r="H1831" s="114" t="s">
        <v>4521</v>
      </c>
      <c r="I1831" s="114" t="s">
        <v>248</v>
      </c>
      <c r="J1831" s="112" t="s">
        <v>471</v>
      </c>
      <c r="K1831" s="115" t="s">
        <v>4542</v>
      </c>
      <c r="L1831" s="116" t="n">
        <v>45743</v>
      </c>
      <c r="M1831" s="114" t="n">
        <v>5183</v>
      </c>
      <c r="N1831" s="114" t="n">
        <v>6641</v>
      </c>
      <c r="O1831" s="100" t="n">
        <v>1458</v>
      </c>
      <c r="P1831" s="100" t="n">
        <v>1414</v>
      </c>
      <c r="Q1831" s="100" t="n">
        <f aca="false">ROUND(SUM(P1821:P1831),2)</f>
        <v>11324</v>
      </c>
      <c r="R1831" s="117" t="n">
        <f aca="false">合約與計費!$D$4</f>
        <v>0.296</v>
      </c>
      <c r="S1831" s="118" t="n">
        <f aca="false">ROUND(P1831*R1831,0)</f>
        <v>419</v>
      </c>
      <c r="T1831" s="105" t="n">
        <f aca="false">ROUND(SUM(S1821:S1831),2)</f>
        <v>3354</v>
      </c>
      <c r="U1831" s="114"/>
      <c r="V1831" s="114"/>
      <c r="W1831" s="120"/>
      <c r="X1831" s="114"/>
      <c r="Y1831" s="100" t="n">
        <f aca="false">ROUND(SUM(X1821:X1831),2)</f>
        <v>119</v>
      </c>
      <c r="Z1831" s="121"/>
      <c r="AA1831" s="108"/>
      <c r="AB1831" s="109" t="n">
        <f aca="false">ROUND(SUM(AA1821:AA1831),2)</f>
        <v>333</v>
      </c>
      <c r="AC1831" s="124"/>
      <c r="AD1831" s="42" t="n">
        <v>0.0809</v>
      </c>
      <c r="AE1831" s="43" t="n">
        <v>0.5</v>
      </c>
    </row>
    <row r="1832" customFormat="false" ht="16.5" hidden="false" customHeight="true" outlineLevel="0" collapsed="false">
      <c r="A1832" s="84" t="n">
        <f aca="false">ROW(A1821)</f>
        <v>1821</v>
      </c>
      <c r="B1832" s="84" t="s">
        <v>455</v>
      </c>
      <c r="C1832" s="32" t="n">
        <v>1</v>
      </c>
      <c r="D1832" s="85" t="n">
        <v>165</v>
      </c>
      <c r="E1832" s="86" t="s">
        <v>4543</v>
      </c>
      <c r="F1832" s="87" t="s">
        <v>4544</v>
      </c>
      <c r="G1832" s="32" t="s">
        <v>4100</v>
      </c>
      <c r="H1832" s="32" t="s">
        <v>4521</v>
      </c>
      <c r="I1832" s="32" t="s">
        <v>87</v>
      </c>
      <c r="J1832" s="86" t="s">
        <v>460</v>
      </c>
      <c r="K1832" s="88" t="s">
        <v>4545</v>
      </c>
      <c r="L1832" s="89" t="n">
        <v>45779</v>
      </c>
      <c r="M1832" s="32" t="n">
        <v>154</v>
      </c>
      <c r="N1832" s="32" t="n">
        <v>207</v>
      </c>
      <c r="O1832" s="32" t="n">
        <v>53</v>
      </c>
      <c r="P1832" s="32" t="n">
        <v>51</v>
      </c>
      <c r="Q1832" s="32"/>
      <c r="R1832" s="90" t="n">
        <f aca="false">合約與計費!$D$4</f>
        <v>0.296</v>
      </c>
      <c r="S1832" s="91" t="n">
        <f aca="false">ROUND(P1832*R1832,0)</f>
        <v>15</v>
      </c>
      <c r="T1832" s="92"/>
      <c r="U1832" s="32" t="n">
        <v>42</v>
      </c>
      <c r="V1832" s="32" t="n">
        <v>47</v>
      </c>
      <c r="W1832" s="32" t="n">
        <v>5</v>
      </c>
      <c r="X1832" s="32" t="n">
        <v>5</v>
      </c>
      <c r="Y1832" s="32"/>
      <c r="Z1832" s="93" t="n">
        <f aca="false">合約與計費!$E$4</f>
        <v>2.8</v>
      </c>
      <c r="AA1832" s="94" t="n">
        <f aca="false">ROUND(X1832*Z1832,0)</f>
        <v>14</v>
      </c>
      <c r="AB1832" s="95"/>
      <c r="AC1832" s="254"/>
      <c r="AD1832" s="42"/>
      <c r="AE1832" s="43"/>
    </row>
    <row r="1833" customFormat="false" ht="16.5" hidden="false" customHeight="true" outlineLevel="0" collapsed="false">
      <c r="A1833" s="97" t="n">
        <f aca="false">ROW(A1822)</f>
        <v>1822</v>
      </c>
      <c r="B1833" s="97" t="s">
        <v>462</v>
      </c>
      <c r="C1833" s="100" t="n">
        <v>1</v>
      </c>
      <c r="D1833" s="85"/>
      <c r="E1833" s="98" t="s">
        <v>4546</v>
      </c>
      <c r="F1833" s="99" t="s">
        <v>4544</v>
      </c>
      <c r="G1833" s="100" t="s">
        <v>4100</v>
      </c>
      <c r="H1833" s="100" t="s">
        <v>4521</v>
      </c>
      <c r="I1833" s="100" t="s">
        <v>87</v>
      </c>
      <c r="J1833" s="98" t="s">
        <v>464</v>
      </c>
      <c r="K1833" s="101" t="s">
        <v>4547</v>
      </c>
      <c r="L1833" s="102" t="n">
        <v>45779</v>
      </c>
      <c r="M1833" s="100" t="n">
        <v>652</v>
      </c>
      <c r="N1833" s="100" t="n">
        <v>932</v>
      </c>
      <c r="O1833" s="100" t="n">
        <v>280</v>
      </c>
      <c r="P1833" s="100" t="n">
        <v>272</v>
      </c>
      <c r="Q1833" s="100"/>
      <c r="R1833" s="103" t="n">
        <f aca="false">合約與計費!$D$4</f>
        <v>0.296</v>
      </c>
      <c r="S1833" s="104" t="n">
        <f aca="false">ROUND(P1833*R1833,0)</f>
        <v>81</v>
      </c>
      <c r="T1833" s="105"/>
      <c r="U1833" s="100"/>
      <c r="V1833" s="100"/>
      <c r="W1833" s="106"/>
      <c r="X1833" s="100"/>
      <c r="Y1833" s="100"/>
      <c r="Z1833" s="107"/>
      <c r="AA1833" s="108"/>
      <c r="AB1833" s="109"/>
      <c r="AC1833" s="110"/>
      <c r="AD1833" s="42" t="n">
        <v>0.0602</v>
      </c>
      <c r="AE1833" s="43" t="n">
        <v>0.6</v>
      </c>
    </row>
    <row r="1834" customFormat="false" ht="16.5" hidden="false" customHeight="true" outlineLevel="0" collapsed="false">
      <c r="A1834" s="97" t="n">
        <f aca="false">ROW(A1823)</f>
        <v>1823</v>
      </c>
      <c r="B1834" s="97" t="s">
        <v>466</v>
      </c>
      <c r="C1834" s="100" t="n">
        <v>1</v>
      </c>
      <c r="D1834" s="85"/>
      <c r="E1834" s="98" t="s">
        <v>4548</v>
      </c>
      <c r="F1834" s="99" t="s">
        <v>4544</v>
      </c>
      <c r="G1834" s="100" t="s">
        <v>4100</v>
      </c>
      <c r="H1834" s="100" t="s">
        <v>4521</v>
      </c>
      <c r="I1834" s="100" t="s">
        <v>87</v>
      </c>
      <c r="J1834" s="98" t="s">
        <v>471</v>
      </c>
      <c r="K1834" s="101" t="s">
        <v>4549</v>
      </c>
      <c r="L1834" s="102" t="n">
        <v>45779</v>
      </c>
      <c r="M1834" s="100" t="n">
        <v>1666</v>
      </c>
      <c r="N1834" s="100" t="n">
        <v>2487</v>
      </c>
      <c r="O1834" s="100" t="n">
        <v>821</v>
      </c>
      <c r="P1834" s="100" t="n">
        <v>796</v>
      </c>
      <c r="Q1834" s="100"/>
      <c r="R1834" s="103" t="n">
        <f aca="false">合約與計費!$D$4</f>
        <v>0.296</v>
      </c>
      <c r="S1834" s="104" t="n">
        <f aca="false">ROUND(P1834*R1834,0)</f>
        <v>236</v>
      </c>
      <c r="T1834" s="105"/>
      <c r="U1834" s="100"/>
      <c r="V1834" s="100"/>
      <c r="W1834" s="106"/>
      <c r="X1834" s="100"/>
      <c r="Y1834" s="100"/>
      <c r="Z1834" s="107"/>
      <c r="AA1834" s="108"/>
      <c r="AB1834" s="109"/>
      <c r="AC1834" s="110"/>
      <c r="AD1834" s="42" t="n">
        <v>0.1016</v>
      </c>
      <c r="AE1834" s="43" t="n">
        <v>0.9</v>
      </c>
    </row>
    <row r="1835" customFormat="false" ht="16.5" hidden="false" customHeight="true" outlineLevel="0" collapsed="false">
      <c r="A1835" s="97" t="n">
        <f aca="false">ROW(A1824)</f>
        <v>1824</v>
      </c>
      <c r="B1835" s="97" t="s">
        <v>469</v>
      </c>
      <c r="C1835" s="100" t="n">
        <v>1</v>
      </c>
      <c r="D1835" s="85"/>
      <c r="E1835" s="98" t="s">
        <v>4550</v>
      </c>
      <c r="F1835" s="99" t="s">
        <v>4544</v>
      </c>
      <c r="G1835" s="100" t="s">
        <v>4100</v>
      </c>
      <c r="H1835" s="100" t="s">
        <v>4521</v>
      </c>
      <c r="I1835" s="100" t="s">
        <v>87</v>
      </c>
      <c r="J1835" s="98" t="s">
        <v>471</v>
      </c>
      <c r="K1835" s="101" t="s">
        <v>4551</v>
      </c>
      <c r="L1835" s="102" t="n">
        <v>45779</v>
      </c>
      <c r="M1835" s="100" t="n">
        <v>3616</v>
      </c>
      <c r="N1835" s="100" t="n">
        <v>4334</v>
      </c>
      <c r="O1835" s="100" t="n">
        <v>718</v>
      </c>
      <c r="P1835" s="100" t="n">
        <v>696</v>
      </c>
      <c r="Q1835" s="100"/>
      <c r="R1835" s="103" t="n">
        <f aca="false">合約與計費!$D$4</f>
        <v>0.296</v>
      </c>
      <c r="S1835" s="104" t="n">
        <f aca="false">ROUND(P1835*R1835,0)</f>
        <v>206</v>
      </c>
      <c r="T1835" s="105"/>
      <c r="U1835" s="100"/>
      <c r="V1835" s="100"/>
      <c r="W1835" s="106"/>
      <c r="X1835" s="100"/>
      <c r="Y1835" s="100"/>
      <c r="Z1835" s="107"/>
      <c r="AA1835" s="108"/>
      <c r="AB1835" s="109"/>
      <c r="AC1835" s="110"/>
      <c r="AD1835" s="42" t="n">
        <v>0.0962</v>
      </c>
      <c r="AE1835" s="43" t="n">
        <v>0.7</v>
      </c>
    </row>
    <row r="1836" customFormat="false" ht="16.5" hidden="false" customHeight="true" outlineLevel="0" collapsed="false">
      <c r="A1836" s="97" t="n">
        <f aca="false">ROW(A1825)</f>
        <v>1825</v>
      </c>
      <c r="B1836" s="97" t="s">
        <v>473</v>
      </c>
      <c r="C1836" s="100" t="n">
        <v>1</v>
      </c>
      <c r="D1836" s="85"/>
      <c r="E1836" s="98" t="s">
        <v>4552</v>
      </c>
      <c r="F1836" s="99" t="s">
        <v>4544</v>
      </c>
      <c r="G1836" s="100" t="s">
        <v>4100</v>
      </c>
      <c r="H1836" s="100" t="s">
        <v>4521</v>
      </c>
      <c r="I1836" s="100" t="s">
        <v>87</v>
      </c>
      <c r="J1836" s="98" t="s">
        <v>471</v>
      </c>
      <c r="K1836" s="101" t="s">
        <v>4553</v>
      </c>
      <c r="L1836" s="102" t="n">
        <v>45779</v>
      </c>
      <c r="M1836" s="100" t="n">
        <v>728</v>
      </c>
      <c r="N1836" s="100" t="n">
        <v>867</v>
      </c>
      <c r="O1836" s="100" t="n">
        <v>139</v>
      </c>
      <c r="P1836" s="100" t="n">
        <v>135</v>
      </c>
      <c r="Q1836" s="100"/>
      <c r="R1836" s="103" t="n">
        <f aca="false">合約與計費!$D$4</f>
        <v>0.296</v>
      </c>
      <c r="S1836" s="104" t="n">
        <f aca="false">ROUND(P1836*R1836,0)</f>
        <v>40</v>
      </c>
      <c r="T1836" s="105"/>
      <c r="U1836" s="100"/>
      <c r="V1836" s="100"/>
      <c r="W1836" s="106"/>
      <c r="X1836" s="100"/>
      <c r="Y1836" s="100"/>
      <c r="Z1836" s="107"/>
      <c r="AA1836" s="108"/>
      <c r="AB1836" s="109"/>
      <c r="AC1836" s="110"/>
      <c r="AD1836" s="42" t="n">
        <v>0.0673</v>
      </c>
      <c r="AE1836" s="43" t="n">
        <v>0.6</v>
      </c>
    </row>
    <row r="1837" customFormat="false" ht="16.5" hidden="false" customHeight="true" outlineLevel="0" collapsed="false">
      <c r="A1837" s="97" t="n">
        <f aca="false">ROW(A1826)</f>
        <v>1826</v>
      </c>
      <c r="B1837" s="97" t="s">
        <v>476</v>
      </c>
      <c r="C1837" s="100" t="n">
        <v>1</v>
      </c>
      <c r="D1837" s="85"/>
      <c r="E1837" s="98" t="s">
        <v>4554</v>
      </c>
      <c r="F1837" s="99" t="s">
        <v>4544</v>
      </c>
      <c r="G1837" s="100" t="s">
        <v>4100</v>
      </c>
      <c r="H1837" s="100" t="s">
        <v>4521</v>
      </c>
      <c r="I1837" s="100" t="s">
        <v>87</v>
      </c>
      <c r="J1837" s="98" t="s">
        <v>471</v>
      </c>
      <c r="K1837" s="101" t="s">
        <v>4555</v>
      </c>
      <c r="L1837" s="102" t="n">
        <v>45779</v>
      </c>
      <c r="M1837" s="100" t="n">
        <v>20</v>
      </c>
      <c r="N1837" s="100" t="n">
        <v>28</v>
      </c>
      <c r="O1837" s="100" t="n">
        <v>8</v>
      </c>
      <c r="P1837" s="100" t="n">
        <v>8</v>
      </c>
      <c r="Q1837" s="100"/>
      <c r="R1837" s="103" t="n">
        <f aca="false">合約與計費!$D$4</f>
        <v>0.296</v>
      </c>
      <c r="S1837" s="104" t="n">
        <f aca="false">ROUND(P1837*R1837,0)</f>
        <v>2</v>
      </c>
      <c r="T1837" s="105"/>
      <c r="U1837" s="100"/>
      <c r="V1837" s="100"/>
      <c r="W1837" s="106"/>
      <c r="X1837" s="100"/>
      <c r="Y1837" s="100"/>
      <c r="Z1837" s="107"/>
      <c r="AA1837" s="108"/>
      <c r="AB1837" s="109"/>
      <c r="AC1837" s="110"/>
      <c r="AD1837" s="42" t="n">
        <v>0</v>
      </c>
      <c r="AE1837" s="43" t="n">
        <v>1</v>
      </c>
    </row>
    <row r="1838" customFormat="false" ht="16.5" hidden="false" customHeight="true" outlineLevel="0" collapsed="false">
      <c r="A1838" s="97" t="n">
        <f aca="false">ROW(A1827)</f>
        <v>1827</v>
      </c>
      <c r="B1838" s="97" t="s">
        <v>479</v>
      </c>
      <c r="C1838" s="100" t="n">
        <v>1</v>
      </c>
      <c r="D1838" s="85"/>
      <c r="E1838" s="98" t="s">
        <v>4556</v>
      </c>
      <c r="F1838" s="99" t="s">
        <v>4544</v>
      </c>
      <c r="G1838" s="100" t="s">
        <v>4100</v>
      </c>
      <c r="H1838" s="100" t="s">
        <v>4521</v>
      </c>
      <c r="I1838" s="100" t="s">
        <v>87</v>
      </c>
      <c r="J1838" s="98" t="s">
        <v>471</v>
      </c>
      <c r="K1838" s="101" t="s">
        <v>4557</v>
      </c>
      <c r="L1838" s="102" t="n">
        <v>45779</v>
      </c>
      <c r="M1838" s="100" t="n">
        <v>2405</v>
      </c>
      <c r="N1838" s="100" t="n">
        <v>3188</v>
      </c>
      <c r="O1838" s="100" t="n">
        <v>783</v>
      </c>
      <c r="P1838" s="100" t="n">
        <v>760</v>
      </c>
      <c r="Q1838" s="100"/>
      <c r="R1838" s="103" t="n">
        <f aca="false">合約與計費!$D$4</f>
        <v>0.296</v>
      </c>
      <c r="S1838" s="104" t="n">
        <f aca="false">ROUND(P1838*R1838,0)</f>
        <v>225</v>
      </c>
      <c r="T1838" s="105"/>
      <c r="U1838" s="100"/>
      <c r="V1838" s="100"/>
      <c r="W1838" s="106"/>
      <c r="X1838" s="100"/>
      <c r="Y1838" s="100"/>
      <c r="Z1838" s="107"/>
      <c r="AA1838" s="108"/>
      <c r="AB1838" s="109"/>
      <c r="AC1838" s="110"/>
      <c r="AD1838" s="42" t="n">
        <v>0.1033</v>
      </c>
      <c r="AE1838" s="43" t="n">
        <v>0.8</v>
      </c>
    </row>
    <row r="1839" customFormat="false" ht="16.5" hidden="false" customHeight="true" outlineLevel="0" collapsed="false">
      <c r="A1839" s="97" t="n">
        <f aca="false">ROW(A1828)</f>
        <v>1828</v>
      </c>
      <c r="B1839" s="97" t="s">
        <v>482</v>
      </c>
      <c r="C1839" s="100" t="n">
        <v>1</v>
      </c>
      <c r="D1839" s="85"/>
      <c r="E1839" s="98" t="s">
        <v>4558</v>
      </c>
      <c r="F1839" s="99" t="s">
        <v>4544</v>
      </c>
      <c r="G1839" s="100" t="s">
        <v>4100</v>
      </c>
      <c r="H1839" s="100" t="s">
        <v>4521</v>
      </c>
      <c r="I1839" s="100" t="s">
        <v>87</v>
      </c>
      <c r="J1839" s="98" t="s">
        <v>471</v>
      </c>
      <c r="K1839" s="101" t="s">
        <v>4559</v>
      </c>
      <c r="L1839" s="102" t="n">
        <v>45779</v>
      </c>
      <c r="M1839" s="100" t="n">
        <v>1851</v>
      </c>
      <c r="N1839" s="100" t="n">
        <v>2406</v>
      </c>
      <c r="O1839" s="100" t="n">
        <v>555</v>
      </c>
      <c r="P1839" s="100" t="n">
        <v>538</v>
      </c>
      <c r="Q1839" s="100"/>
      <c r="R1839" s="103" t="n">
        <f aca="false">合約與計費!$D$4</f>
        <v>0.296</v>
      </c>
      <c r="S1839" s="104" t="n">
        <f aca="false">ROUND(P1839*R1839,0)</f>
        <v>159</v>
      </c>
      <c r="T1839" s="105"/>
      <c r="U1839" s="100"/>
      <c r="V1839" s="100"/>
      <c r="W1839" s="106"/>
      <c r="X1839" s="100"/>
      <c r="Y1839" s="100"/>
      <c r="Z1839" s="107"/>
      <c r="AA1839" s="108"/>
      <c r="AB1839" s="109"/>
      <c r="AC1839" s="110"/>
      <c r="AD1839" s="42" t="n">
        <v>0.0582</v>
      </c>
      <c r="AE1839" s="43" t="n">
        <v>0.9</v>
      </c>
    </row>
    <row r="1840" customFormat="false" ht="16.5" hidden="false" customHeight="true" outlineLevel="0" collapsed="false">
      <c r="A1840" s="97" t="n">
        <f aca="false">ROW(A1829)</f>
        <v>1829</v>
      </c>
      <c r="B1840" s="97" t="s">
        <v>485</v>
      </c>
      <c r="C1840" s="100" t="n">
        <v>1</v>
      </c>
      <c r="D1840" s="85"/>
      <c r="E1840" s="98" t="s">
        <v>4560</v>
      </c>
      <c r="F1840" s="99" t="s">
        <v>4544</v>
      </c>
      <c r="G1840" s="100" t="s">
        <v>4100</v>
      </c>
      <c r="H1840" s="100" t="s">
        <v>4521</v>
      </c>
      <c r="I1840" s="100" t="s">
        <v>87</v>
      </c>
      <c r="J1840" s="98" t="s">
        <v>471</v>
      </c>
      <c r="K1840" s="101" t="s">
        <v>4561</v>
      </c>
      <c r="L1840" s="102" t="n">
        <v>45779</v>
      </c>
      <c r="M1840" s="100" t="n">
        <v>1681</v>
      </c>
      <c r="N1840" s="100" t="n">
        <v>2113</v>
      </c>
      <c r="O1840" s="100" t="n">
        <v>432</v>
      </c>
      <c r="P1840" s="100" t="n">
        <v>419</v>
      </c>
      <c r="Q1840" s="100"/>
      <c r="R1840" s="103" t="n">
        <f aca="false">合約與計費!$D$4</f>
        <v>0.296</v>
      </c>
      <c r="S1840" s="104" t="n">
        <f aca="false">ROUND(P1840*R1840,0)</f>
        <v>124</v>
      </c>
      <c r="T1840" s="105"/>
      <c r="U1840" s="100"/>
      <c r="V1840" s="100"/>
      <c r="W1840" s="106"/>
      <c r="X1840" s="100"/>
      <c r="Y1840" s="100"/>
      <c r="Z1840" s="107"/>
      <c r="AA1840" s="108"/>
      <c r="AB1840" s="109"/>
      <c r="AC1840" s="110"/>
      <c r="AD1840" s="42" t="n">
        <v>0.0428</v>
      </c>
      <c r="AE1840" s="43" t="n">
        <v>0.3</v>
      </c>
    </row>
    <row r="1841" customFormat="false" ht="16.5" hidden="false" customHeight="true" outlineLevel="0" collapsed="false">
      <c r="A1841" s="97" t="n">
        <f aca="false">ROW(A1830)</f>
        <v>1830</v>
      </c>
      <c r="B1841" s="97" t="n">
        <v>10</v>
      </c>
      <c r="C1841" s="100" t="n">
        <v>1</v>
      </c>
      <c r="D1841" s="85"/>
      <c r="E1841" s="98" t="s">
        <v>4562</v>
      </c>
      <c r="F1841" s="99" t="s">
        <v>4544</v>
      </c>
      <c r="G1841" s="100" t="s">
        <v>4100</v>
      </c>
      <c r="H1841" s="100" t="s">
        <v>4521</v>
      </c>
      <c r="I1841" s="100" t="s">
        <v>87</v>
      </c>
      <c r="J1841" s="98" t="s">
        <v>471</v>
      </c>
      <c r="K1841" s="101" t="s">
        <v>4563</v>
      </c>
      <c r="L1841" s="102" t="n">
        <v>45779</v>
      </c>
      <c r="M1841" s="100" t="n">
        <v>3887</v>
      </c>
      <c r="N1841" s="100" t="n">
        <v>5079</v>
      </c>
      <c r="O1841" s="100" t="n">
        <v>1192</v>
      </c>
      <c r="P1841" s="100" t="n">
        <v>1156</v>
      </c>
      <c r="Q1841" s="100"/>
      <c r="R1841" s="103" t="n">
        <f aca="false">合約與計費!$D$4</f>
        <v>0.296</v>
      </c>
      <c r="S1841" s="104" t="n">
        <f aca="false">ROUND(P1841*R1841,0)</f>
        <v>342</v>
      </c>
      <c r="T1841" s="105"/>
      <c r="U1841" s="100"/>
      <c r="V1841" s="100"/>
      <c r="W1841" s="106"/>
      <c r="X1841" s="100"/>
      <c r="Y1841" s="100"/>
      <c r="Z1841" s="107"/>
      <c r="AA1841" s="108"/>
      <c r="AB1841" s="109"/>
      <c r="AC1841" s="110"/>
      <c r="AD1841" s="42" t="n">
        <v>0.0927</v>
      </c>
      <c r="AE1841" s="43" t="n">
        <v>0.6</v>
      </c>
    </row>
    <row r="1842" customFormat="false" ht="16.5" hidden="false" customHeight="true" outlineLevel="0" collapsed="false">
      <c r="A1842" s="111" t="n">
        <f aca="false">ROW(A1831)</f>
        <v>1831</v>
      </c>
      <c r="B1842" s="111" t="n">
        <v>11</v>
      </c>
      <c r="C1842" s="114" t="n">
        <v>1</v>
      </c>
      <c r="D1842" s="85"/>
      <c r="E1842" s="112" t="s">
        <v>4564</v>
      </c>
      <c r="F1842" s="113" t="s">
        <v>4544</v>
      </c>
      <c r="G1842" s="114" t="s">
        <v>4100</v>
      </c>
      <c r="H1842" s="114" t="s">
        <v>4521</v>
      </c>
      <c r="I1842" s="114" t="s">
        <v>87</v>
      </c>
      <c r="J1842" s="112" t="s">
        <v>471</v>
      </c>
      <c r="K1842" s="115" t="s">
        <v>4565</v>
      </c>
      <c r="L1842" s="116" t="n">
        <v>45779</v>
      </c>
      <c r="M1842" s="114" t="n">
        <v>3740</v>
      </c>
      <c r="N1842" s="114" t="n">
        <v>4606</v>
      </c>
      <c r="O1842" s="100" t="n">
        <v>866</v>
      </c>
      <c r="P1842" s="100" t="n">
        <v>840</v>
      </c>
      <c r="Q1842" s="100" t="n">
        <f aca="false">ROUND(SUM(P1832:P1842),2)</f>
        <v>5671</v>
      </c>
      <c r="R1842" s="117" t="n">
        <f aca="false">合約與計費!$D$4</f>
        <v>0.296</v>
      </c>
      <c r="S1842" s="118" t="n">
        <f aca="false">ROUND(P1842*R1842,0)</f>
        <v>249</v>
      </c>
      <c r="T1842" s="105" t="n">
        <f aca="false">ROUND(SUM(S1832:S1842),2)</f>
        <v>1679</v>
      </c>
      <c r="U1842" s="114"/>
      <c r="V1842" s="114"/>
      <c r="W1842" s="120"/>
      <c r="X1842" s="114"/>
      <c r="Y1842" s="100" t="n">
        <f aca="false">ROUND(SUM(X1832:X1842),2)</f>
        <v>5</v>
      </c>
      <c r="Z1842" s="121"/>
      <c r="AA1842" s="108"/>
      <c r="AB1842" s="109" t="n">
        <f aca="false">ROUND(SUM(AA1832:AA1842),2)</f>
        <v>14</v>
      </c>
      <c r="AC1842" s="124"/>
      <c r="AD1842" s="42" t="n">
        <v>0.1031</v>
      </c>
      <c r="AE1842" s="43" t="n">
        <v>0.6</v>
      </c>
    </row>
    <row r="1843" customFormat="false" ht="16.5" hidden="false" customHeight="true" outlineLevel="0" collapsed="false">
      <c r="A1843" s="84" t="n">
        <f aca="false">ROW(A1832)</f>
        <v>1832</v>
      </c>
      <c r="B1843" s="84" t="s">
        <v>455</v>
      </c>
      <c r="C1843" s="32" t="n">
        <v>1</v>
      </c>
      <c r="D1843" s="85" t="n">
        <v>174</v>
      </c>
      <c r="E1843" s="86" t="s">
        <v>4566</v>
      </c>
      <c r="F1843" s="87" t="s">
        <v>4567</v>
      </c>
      <c r="G1843" s="32" t="s">
        <v>4100</v>
      </c>
      <c r="H1843" s="32" t="s">
        <v>4521</v>
      </c>
      <c r="I1843" s="32" t="s">
        <v>85</v>
      </c>
      <c r="J1843" s="86" t="s">
        <v>460</v>
      </c>
      <c r="K1843" s="88" t="s">
        <v>4568</v>
      </c>
      <c r="L1843" s="89" t="n">
        <v>45742</v>
      </c>
      <c r="M1843" s="32" t="n">
        <v>118</v>
      </c>
      <c r="N1843" s="32" t="n">
        <v>147</v>
      </c>
      <c r="O1843" s="32" t="n">
        <v>29</v>
      </c>
      <c r="P1843" s="32" t="n">
        <v>28</v>
      </c>
      <c r="Q1843" s="32"/>
      <c r="R1843" s="90" t="n">
        <f aca="false">合約與計費!$D$4</f>
        <v>0.296</v>
      </c>
      <c r="S1843" s="91" t="n">
        <f aca="false">ROUND(P1843*R1843,0)</f>
        <v>8</v>
      </c>
      <c r="T1843" s="92"/>
      <c r="U1843" s="32" t="n">
        <v>266</v>
      </c>
      <c r="V1843" s="32" t="n">
        <v>367</v>
      </c>
      <c r="W1843" s="32" t="n">
        <v>101</v>
      </c>
      <c r="X1843" s="32" t="n">
        <v>98</v>
      </c>
      <c r="Y1843" s="32"/>
      <c r="Z1843" s="93" t="n">
        <f aca="false">合約與計費!$E$4</f>
        <v>2.8</v>
      </c>
      <c r="AA1843" s="94" t="n">
        <f aca="false">ROUND(X1843*Z1843,0)</f>
        <v>274</v>
      </c>
      <c r="AB1843" s="95"/>
      <c r="AC1843" s="254"/>
      <c r="AD1843" s="42"/>
      <c r="AE1843" s="43"/>
    </row>
    <row r="1844" customFormat="false" ht="16.5" hidden="false" customHeight="true" outlineLevel="0" collapsed="false">
      <c r="A1844" s="97" t="n">
        <f aca="false">ROW(A1833)</f>
        <v>1833</v>
      </c>
      <c r="B1844" s="97" t="s">
        <v>462</v>
      </c>
      <c r="C1844" s="100" t="n">
        <v>1</v>
      </c>
      <c r="D1844" s="85"/>
      <c r="E1844" s="98" t="s">
        <v>4569</v>
      </c>
      <c r="F1844" s="99" t="s">
        <v>4567</v>
      </c>
      <c r="G1844" s="100" t="s">
        <v>4100</v>
      </c>
      <c r="H1844" s="100" t="s">
        <v>4521</v>
      </c>
      <c r="I1844" s="100" t="s">
        <v>85</v>
      </c>
      <c r="J1844" s="98" t="s">
        <v>464</v>
      </c>
      <c r="K1844" s="101" t="s">
        <v>4570</v>
      </c>
      <c r="L1844" s="102" t="n">
        <v>45742</v>
      </c>
      <c r="M1844" s="100" t="n">
        <v>1760</v>
      </c>
      <c r="N1844" s="100" t="n">
        <v>2788</v>
      </c>
      <c r="O1844" s="100" t="n">
        <v>1028</v>
      </c>
      <c r="P1844" s="100" t="n">
        <v>997</v>
      </c>
      <c r="Q1844" s="100"/>
      <c r="R1844" s="103" t="n">
        <f aca="false">合約與計費!$D$4</f>
        <v>0.296</v>
      </c>
      <c r="S1844" s="104" t="n">
        <f aca="false">ROUND(P1844*R1844,0)</f>
        <v>295</v>
      </c>
      <c r="T1844" s="105"/>
      <c r="U1844" s="100"/>
      <c r="V1844" s="100"/>
      <c r="W1844" s="106"/>
      <c r="X1844" s="100"/>
      <c r="Y1844" s="100"/>
      <c r="Z1844" s="107"/>
      <c r="AA1844" s="108"/>
      <c r="AB1844" s="109"/>
      <c r="AC1844" s="110"/>
      <c r="AD1844" s="42" t="n">
        <v>0.0737</v>
      </c>
      <c r="AE1844" s="43" t="n">
        <v>1</v>
      </c>
    </row>
    <row r="1845" customFormat="false" ht="16.5" hidden="false" customHeight="true" outlineLevel="0" collapsed="false">
      <c r="A1845" s="97" t="n">
        <f aca="false">ROW(A1834)</f>
        <v>1834</v>
      </c>
      <c r="B1845" s="97" t="s">
        <v>466</v>
      </c>
      <c r="C1845" s="100" t="n">
        <v>1</v>
      </c>
      <c r="D1845" s="85"/>
      <c r="E1845" s="98" t="s">
        <v>4571</v>
      </c>
      <c r="F1845" s="99" t="s">
        <v>4567</v>
      </c>
      <c r="G1845" s="100" t="s">
        <v>4100</v>
      </c>
      <c r="H1845" s="100" t="s">
        <v>4521</v>
      </c>
      <c r="I1845" s="100" t="s">
        <v>85</v>
      </c>
      <c r="J1845" s="98" t="s">
        <v>471</v>
      </c>
      <c r="K1845" s="101" t="s">
        <v>4572</v>
      </c>
      <c r="L1845" s="102" t="n">
        <v>45742</v>
      </c>
      <c r="M1845" s="100" t="n">
        <v>1980</v>
      </c>
      <c r="N1845" s="100" t="n">
        <v>2351</v>
      </c>
      <c r="O1845" s="100" t="n">
        <v>371</v>
      </c>
      <c r="P1845" s="100" t="n">
        <v>360</v>
      </c>
      <c r="Q1845" s="100"/>
      <c r="R1845" s="103" t="n">
        <f aca="false">合約與計費!$D$4</f>
        <v>0.296</v>
      </c>
      <c r="S1845" s="104" t="n">
        <f aca="false">ROUND(P1845*R1845,0)</f>
        <v>107</v>
      </c>
      <c r="T1845" s="105"/>
      <c r="U1845" s="100"/>
      <c r="V1845" s="100"/>
      <c r="W1845" s="106"/>
      <c r="X1845" s="100"/>
      <c r="Y1845" s="100"/>
      <c r="Z1845" s="107"/>
      <c r="AA1845" s="108"/>
      <c r="AB1845" s="109"/>
      <c r="AC1845" s="110"/>
      <c r="AD1845" s="42" t="n">
        <v>0.049</v>
      </c>
      <c r="AE1845" s="43" t="n">
        <v>0.2</v>
      </c>
    </row>
    <row r="1846" customFormat="false" ht="16.5" hidden="false" customHeight="true" outlineLevel="0" collapsed="false">
      <c r="A1846" s="97" t="n">
        <f aca="false">ROW(A1835)</f>
        <v>1835</v>
      </c>
      <c r="B1846" s="97" t="s">
        <v>469</v>
      </c>
      <c r="C1846" s="100" t="n">
        <v>1</v>
      </c>
      <c r="D1846" s="85"/>
      <c r="E1846" s="98" t="s">
        <v>4573</v>
      </c>
      <c r="F1846" s="99" t="s">
        <v>4567</v>
      </c>
      <c r="G1846" s="100" t="s">
        <v>4100</v>
      </c>
      <c r="H1846" s="100" t="s">
        <v>4521</v>
      </c>
      <c r="I1846" s="100" t="s">
        <v>85</v>
      </c>
      <c r="J1846" s="98" t="s">
        <v>471</v>
      </c>
      <c r="K1846" s="101" t="s">
        <v>4574</v>
      </c>
      <c r="L1846" s="102" t="n">
        <v>45742</v>
      </c>
      <c r="M1846" s="100" t="n">
        <v>5268</v>
      </c>
      <c r="N1846" s="100" t="n">
        <v>6283</v>
      </c>
      <c r="O1846" s="100" t="n">
        <v>1015</v>
      </c>
      <c r="P1846" s="100" t="n">
        <v>985</v>
      </c>
      <c r="Q1846" s="100"/>
      <c r="R1846" s="103" t="n">
        <f aca="false">合約與計費!$D$4</f>
        <v>0.296</v>
      </c>
      <c r="S1846" s="104" t="n">
        <f aca="false">ROUND(P1846*R1846,0)</f>
        <v>292</v>
      </c>
      <c r="T1846" s="105"/>
      <c r="U1846" s="100"/>
      <c r="V1846" s="100"/>
      <c r="W1846" s="106"/>
      <c r="X1846" s="100"/>
      <c r="Y1846" s="100"/>
      <c r="Z1846" s="107"/>
      <c r="AA1846" s="108"/>
      <c r="AB1846" s="109"/>
      <c r="AC1846" s="110"/>
      <c r="AD1846" s="42" t="n">
        <v>0.0838</v>
      </c>
      <c r="AE1846" s="43" t="n">
        <v>0.6</v>
      </c>
    </row>
    <row r="1847" customFormat="false" ht="16.5" hidden="false" customHeight="true" outlineLevel="0" collapsed="false">
      <c r="A1847" s="97" t="n">
        <f aca="false">ROW(A1836)</f>
        <v>1836</v>
      </c>
      <c r="B1847" s="97" t="s">
        <v>473</v>
      </c>
      <c r="C1847" s="100" t="n">
        <v>1</v>
      </c>
      <c r="D1847" s="85"/>
      <c r="E1847" s="98" t="s">
        <v>4575</v>
      </c>
      <c r="F1847" s="99" t="s">
        <v>4567</v>
      </c>
      <c r="G1847" s="100" t="s">
        <v>4100</v>
      </c>
      <c r="H1847" s="100" t="s">
        <v>4521</v>
      </c>
      <c r="I1847" s="100" t="s">
        <v>85</v>
      </c>
      <c r="J1847" s="98" t="s">
        <v>471</v>
      </c>
      <c r="K1847" s="101" t="s">
        <v>4576</v>
      </c>
      <c r="L1847" s="102" t="n">
        <v>45742</v>
      </c>
      <c r="M1847" s="100" t="n">
        <v>3980</v>
      </c>
      <c r="N1847" s="100" t="n">
        <v>5042</v>
      </c>
      <c r="O1847" s="100" t="n">
        <v>1062</v>
      </c>
      <c r="P1847" s="100" t="n">
        <v>1030</v>
      </c>
      <c r="Q1847" s="100"/>
      <c r="R1847" s="103" t="n">
        <f aca="false">合約與計費!$D$4</f>
        <v>0.296</v>
      </c>
      <c r="S1847" s="104" t="n">
        <f aca="false">ROUND(P1847*R1847,0)</f>
        <v>305</v>
      </c>
      <c r="T1847" s="105"/>
      <c r="U1847" s="100"/>
      <c r="V1847" s="100"/>
      <c r="W1847" s="106"/>
      <c r="X1847" s="100"/>
      <c r="Y1847" s="100"/>
      <c r="Z1847" s="107"/>
      <c r="AA1847" s="108"/>
      <c r="AB1847" s="109"/>
      <c r="AC1847" s="110"/>
      <c r="AD1847" s="42" t="n">
        <v>0.096</v>
      </c>
      <c r="AE1847" s="43" t="n">
        <v>0.6</v>
      </c>
    </row>
    <row r="1848" customFormat="false" ht="16.5" hidden="false" customHeight="true" outlineLevel="0" collapsed="false">
      <c r="A1848" s="97" t="n">
        <f aca="false">ROW(A1837)</f>
        <v>1837</v>
      </c>
      <c r="B1848" s="97" t="s">
        <v>476</v>
      </c>
      <c r="C1848" s="100" t="n">
        <v>1</v>
      </c>
      <c r="D1848" s="85"/>
      <c r="E1848" s="98" t="s">
        <v>4577</v>
      </c>
      <c r="F1848" s="99" t="s">
        <v>4567</v>
      </c>
      <c r="G1848" s="100" t="s">
        <v>4100</v>
      </c>
      <c r="H1848" s="100" t="s">
        <v>4521</v>
      </c>
      <c r="I1848" s="100" t="s">
        <v>85</v>
      </c>
      <c r="J1848" s="98" t="s">
        <v>471</v>
      </c>
      <c r="K1848" s="101" t="s">
        <v>4578</v>
      </c>
      <c r="L1848" s="102" t="n">
        <v>45742</v>
      </c>
      <c r="M1848" s="100" t="n">
        <v>5229</v>
      </c>
      <c r="N1848" s="100" t="n">
        <v>6021</v>
      </c>
      <c r="O1848" s="100" t="n">
        <v>792</v>
      </c>
      <c r="P1848" s="100" t="n">
        <v>768</v>
      </c>
      <c r="Q1848" s="100"/>
      <c r="R1848" s="103" t="n">
        <f aca="false">合約與計費!$D$4</f>
        <v>0.296</v>
      </c>
      <c r="S1848" s="104" t="n">
        <f aca="false">ROUND(P1848*R1848,0)</f>
        <v>227</v>
      </c>
      <c r="T1848" s="105"/>
      <c r="U1848" s="100"/>
      <c r="V1848" s="100"/>
      <c r="W1848" s="106"/>
      <c r="X1848" s="100"/>
      <c r="Y1848" s="100"/>
      <c r="Z1848" s="107"/>
      <c r="AA1848" s="108"/>
      <c r="AB1848" s="109"/>
      <c r="AC1848" s="110"/>
      <c r="AD1848" s="42" t="n">
        <v>0.0776</v>
      </c>
      <c r="AE1848" s="43" t="n">
        <v>0.6</v>
      </c>
    </row>
    <row r="1849" customFormat="false" ht="16.5" hidden="false" customHeight="true" outlineLevel="0" collapsed="false">
      <c r="A1849" s="97" t="n">
        <f aca="false">ROW(A1838)</f>
        <v>1838</v>
      </c>
      <c r="B1849" s="97" t="s">
        <v>479</v>
      </c>
      <c r="C1849" s="100" t="n">
        <v>1</v>
      </c>
      <c r="D1849" s="85"/>
      <c r="E1849" s="98" t="s">
        <v>4579</v>
      </c>
      <c r="F1849" s="99" t="s">
        <v>4567</v>
      </c>
      <c r="G1849" s="100" t="s">
        <v>4100</v>
      </c>
      <c r="H1849" s="100" t="s">
        <v>4521</v>
      </c>
      <c r="I1849" s="100" t="s">
        <v>85</v>
      </c>
      <c r="J1849" s="98" t="s">
        <v>471</v>
      </c>
      <c r="K1849" s="101" t="s">
        <v>4580</v>
      </c>
      <c r="L1849" s="102" t="n">
        <v>45742</v>
      </c>
      <c r="M1849" s="100" t="n">
        <v>4922</v>
      </c>
      <c r="N1849" s="100" t="n">
        <v>5770</v>
      </c>
      <c r="O1849" s="100" t="n">
        <v>848</v>
      </c>
      <c r="P1849" s="100" t="n">
        <v>823</v>
      </c>
      <c r="Q1849" s="100"/>
      <c r="R1849" s="103" t="n">
        <f aca="false">合約與計費!$D$4</f>
        <v>0.296</v>
      </c>
      <c r="S1849" s="104" t="n">
        <f aca="false">ROUND(P1849*R1849,0)</f>
        <v>244</v>
      </c>
      <c r="T1849" s="105"/>
      <c r="U1849" s="100"/>
      <c r="V1849" s="100"/>
      <c r="W1849" s="106"/>
      <c r="X1849" s="100"/>
      <c r="Y1849" s="100"/>
      <c r="Z1849" s="107"/>
      <c r="AA1849" s="108"/>
      <c r="AB1849" s="109"/>
      <c r="AC1849" s="110"/>
      <c r="AD1849" s="42" t="n">
        <v>0.0785</v>
      </c>
      <c r="AE1849" s="43" t="n">
        <v>0.7</v>
      </c>
    </row>
    <row r="1850" customFormat="false" ht="16.5" hidden="false" customHeight="true" outlineLevel="0" collapsed="false">
      <c r="A1850" s="97" t="n">
        <f aca="false">ROW(A1839)</f>
        <v>1839</v>
      </c>
      <c r="B1850" s="97" t="s">
        <v>482</v>
      </c>
      <c r="C1850" s="100" t="n">
        <v>1</v>
      </c>
      <c r="D1850" s="85"/>
      <c r="E1850" s="98" t="s">
        <v>4581</v>
      </c>
      <c r="F1850" s="99" t="s">
        <v>4567</v>
      </c>
      <c r="G1850" s="100" t="s">
        <v>4100</v>
      </c>
      <c r="H1850" s="100" t="s">
        <v>4521</v>
      </c>
      <c r="I1850" s="100" t="s">
        <v>85</v>
      </c>
      <c r="J1850" s="98" t="s">
        <v>471</v>
      </c>
      <c r="K1850" s="101" t="s">
        <v>4582</v>
      </c>
      <c r="L1850" s="102" t="n">
        <v>45742</v>
      </c>
      <c r="M1850" s="100" t="n">
        <v>182</v>
      </c>
      <c r="N1850" s="100" t="n">
        <v>259</v>
      </c>
      <c r="O1850" s="100" t="n">
        <v>77</v>
      </c>
      <c r="P1850" s="100" t="n">
        <v>75</v>
      </c>
      <c r="Q1850" s="100"/>
      <c r="R1850" s="103" t="n">
        <f aca="false">合約與計費!$D$4</f>
        <v>0.296</v>
      </c>
      <c r="S1850" s="104" t="n">
        <f aca="false">ROUND(P1850*R1850,0)</f>
        <v>22</v>
      </c>
      <c r="T1850" s="105"/>
      <c r="U1850" s="100"/>
      <c r="V1850" s="100"/>
      <c r="W1850" s="106"/>
      <c r="X1850" s="100"/>
      <c r="Y1850" s="100"/>
      <c r="Z1850" s="107"/>
      <c r="AA1850" s="108"/>
      <c r="AB1850" s="109"/>
      <c r="AC1850" s="110"/>
      <c r="AD1850" s="42" t="n">
        <v>0.0733</v>
      </c>
      <c r="AE1850" s="43" t="n">
        <v>0.9</v>
      </c>
    </row>
    <row r="1851" customFormat="false" ht="16.5" hidden="false" customHeight="true" outlineLevel="0" collapsed="false">
      <c r="A1851" s="97" t="n">
        <f aca="false">ROW(A1840)</f>
        <v>1840</v>
      </c>
      <c r="B1851" s="97" t="s">
        <v>485</v>
      </c>
      <c r="C1851" s="100" t="n">
        <v>1</v>
      </c>
      <c r="D1851" s="85"/>
      <c r="E1851" s="98" t="s">
        <v>4583</v>
      </c>
      <c r="F1851" s="99" t="s">
        <v>4567</v>
      </c>
      <c r="G1851" s="100" t="s">
        <v>4100</v>
      </c>
      <c r="H1851" s="100" t="s">
        <v>4521</v>
      </c>
      <c r="I1851" s="100" t="s">
        <v>85</v>
      </c>
      <c r="J1851" s="98" t="s">
        <v>471</v>
      </c>
      <c r="K1851" s="101" t="s">
        <v>4584</v>
      </c>
      <c r="L1851" s="102" t="n">
        <v>45742</v>
      </c>
      <c r="M1851" s="100" t="n">
        <v>3819</v>
      </c>
      <c r="N1851" s="100" t="n">
        <v>4575</v>
      </c>
      <c r="O1851" s="100" t="n">
        <v>756</v>
      </c>
      <c r="P1851" s="100" t="n">
        <v>733</v>
      </c>
      <c r="Q1851" s="100"/>
      <c r="R1851" s="103" t="n">
        <f aca="false">合約與計費!$D$4</f>
        <v>0.296</v>
      </c>
      <c r="S1851" s="104" t="n">
        <f aca="false">ROUND(P1851*R1851,0)</f>
        <v>217</v>
      </c>
      <c r="T1851" s="105"/>
      <c r="U1851" s="100"/>
      <c r="V1851" s="100"/>
      <c r="W1851" s="106"/>
      <c r="X1851" s="100"/>
      <c r="Y1851" s="100"/>
      <c r="Z1851" s="107"/>
      <c r="AA1851" s="108"/>
      <c r="AB1851" s="109"/>
      <c r="AC1851" s="110"/>
      <c r="AD1851" s="42" t="n">
        <v>0.0873</v>
      </c>
      <c r="AE1851" s="43" t="n">
        <v>0.7</v>
      </c>
    </row>
    <row r="1852" customFormat="false" ht="16.5" hidden="false" customHeight="true" outlineLevel="0" collapsed="false">
      <c r="A1852" s="111" t="n">
        <f aca="false">ROW(A1841)</f>
        <v>1841</v>
      </c>
      <c r="B1852" s="111" t="n">
        <v>10</v>
      </c>
      <c r="C1852" s="114" t="n">
        <v>1</v>
      </c>
      <c r="D1852" s="85"/>
      <c r="E1852" s="112" t="s">
        <v>4585</v>
      </c>
      <c r="F1852" s="113" t="s">
        <v>4567</v>
      </c>
      <c r="G1852" s="114" t="s">
        <v>4100</v>
      </c>
      <c r="H1852" s="114" t="s">
        <v>4521</v>
      </c>
      <c r="I1852" s="114" t="s">
        <v>85</v>
      </c>
      <c r="J1852" s="112" t="s">
        <v>471</v>
      </c>
      <c r="K1852" s="115" t="s">
        <v>4586</v>
      </c>
      <c r="L1852" s="116" t="n">
        <v>45742</v>
      </c>
      <c r="M1852" s="114" t="n">
        <v>4690</v>
      </c>
      <c r="N1852" s="114" t="n">
        <v>5402</v>
      </c>
      <c r="O1852" s="114" t="n">
        <v>712</v>
      </c>
      <c r="P1852" s="114" t="n">
        <v>691</v>
      </c>
      <c r="Q1852" s="114" t="n">
        <f aca="false">ROUND(SUM(P1843:P1852),2)</f>
        <v>6490</v>
      </c>
      <c r="R1852" s="117" t="n">
        <f aca="false">合約與計費!$D$4</f>
        <v>0.296</v>
      </c>
      <c r="S1852" s="118" t="n">
        <f aca="false">ROUND(P1852*R1852,0)</f>
        <v>205</v>
      </c>
      <c r="T1852" s="119" t="n">
        <f aca="false">ROUND(SUM(S1843:S1852),2)</f>
        <v>1922</v>
      </c>
      <c r="U1852" s="114"/>
      <c r="V1852" s="114"/>
      <c r="W1852" s="120"/>
      <c r="X1852" s="114"/>
      <c r="Y1852" s="114" t="n">
        <f aca="false">ROUND(SUM(X1843:X1852),2)</f>
        <v>98</v>
      </c>
      <c r="Z1852" s="121"/>
      <c r="AA1852" s="122"/>
      <c r="AB1852" s="123" t="n">
        <f aca="false">ROUND(SUM(AA1843:AA1852),2)</f>
        <v>274</v>
      </c>
      <c r="AC1852" s="124"/>
      <c r="AD1852" s="42" t="n">
        <v>0.086</v>
      </c>
      <c r="AE1852" s="43" t="n">
        <v>0.6</v>
      </c>
    </row>
    <row r="1853" customFormat="false" ht="16.5" hidden="false" customHeight="true" outlineLevel="0" collapsed="false">
      <c r="A1853" s="84" t="n">
        <f aca="false">ROW(A1842)</f>
        <v>1842</v>
      </c>
      <c r="B1853" s="84" t="s">
        <v>455</v>
      </c>
      <c r="C1853" s="32" t="n">
        <v>1</v>
      </c>
      <c r="D1853" s="85" t="n">
        <v>177</v>
      </c>
      <c r="E1853" s="86" t="s">
        <v>4587</v>
      </c>
      <c r="F1853" s="87" t="s">
        <v>4588</v>
      </c>
      <c r="G1853" s="32" t="s">
        <v>4100</v>
      </c>
      <c r="H1853" s="32" t="s">
        <v>4521</v>
      </c>
      <c r="I1853" s="32" t="s">
        <v>375</v>
      </c>
      <c r="J1853" s="86" t="s">
        <v>460</v>
      </c>
      <c r="K1853" s="88" t="s">
        <v>4589</v>
      </c>
      <c r="L1853" s="89" t="n">
        <v>45756</v>
      </c>
      <c r="M1853" s="32" t="n">
        <v>86</v>
      </c>
      <c r="N1853" s="32" t="n">
        <v>114</v>
      </c>
      <c r="O1853" s="32" t="n">
        <v>28</v>
      </c>
      <c r="P1853" s="32" t="n">
        <v>27</v>
      </c>
      <c r="Q1853" s="32"/>
      <c r="R1853" s="90" t="n">
        <f aca="false">合約與計費!$D$4</f>
        <v>0.296</v>
      </c>
      <c r="S1853" s="91" t="n">
        <f aca="false">ROUND(P1853*R1853,0)</f>
        <v>8</v>
      </c>
      <c r="T1853" s="92"/>
      <c r="U1853" s="32" t="n">
        <v>81</v>
      </c>
      <c r="V1853" s="32" t="n">
        <v>133</v>
      </c>
      <c r="W1853" s="32" t="n">
        <v>52</v>
      </c>
      <c r="X1853" s="32" t="n">
        <v>50</v>
      </c>
      <c r="Y1853" s="32"/>
      <c r="Z1853" s="93" t="n">
        <f aca="false">合約與計費!$E$4</f>
        <v>2.8</v>
      </c>
      <c r="AA1853" s="94" t="n">
        <f aca="false">ROUND(X1853*Z1853,0)</f>
        <v>140</v>
      </c>
      <c r="AB1853" s="95"/>
      <c r="AC1853" s="254"/>
      <c r="AD1853" s="42"/>
      <c r="AE1853" s="43"/>
    </row>
    <row r="1854" customFormat="false" ht="16.5" hidden="false" customHeight="true" outlineLevel="0" collapsed="false">
      <c r="A1854" s="97" t="n">
        <f aca="false">ROW(A1843)</f>
        <v>1843</v>
      </c>
      <c r="B1854" s="97" t="s">
        <v>462</v>
      </c>
      <c r="C1854" s="100" t="n">
        <v>1</v>
      </c>
      <c r="D1854" s="85"/>
      <c r="E1854" s="98" t="s">
        <v>4590</v>
      </c>
      <c r="F1854" s="99" t="s">
        <v>4588</v>
      </c>
      <c r="G1854" s="100" t="s">
        <v>4100</v>
      </c>
      <c r="H1854" s="100" t="s">
        <v>4521</v>
      </c>
      <c r="I1854" s="100" t="s">
        <v>375</v>
      </c>
      <c r="J1854" s="98" t="s">
        <v>464</v>
      </c>
      <c r="K1854" s="101" t="s">
        <v>4591</v>
      </c>
      <c r="L1854" s="102" t="n">
        <v>45756</v>
      </c>
      <c r="M1854" s="100" t="n">
        <v>1653</v>
      </c>
      <c r="N1854" s="100" t="n">
        <v>2032</v>
      </c>
      <c r="O1854" s="100" t="n">
        <v>379</v>
      </c>
      <c r="P1854" s="100" t="n">
        <v>368</v>
      </c>
      <c r="Q1854" s="100"/>
      <c r="R1854" s="103" t="n">
        <f aca="false">合約與計費!$D$4</f>
        <v>0.296</v>
      </c>
      <c r="S1854" s="104" t="n">
        <f aca="false">ROUND(P1854*R1854,0)</f>
        <v>109</v>
      </c>
      <c r="T1854" s="105"/>
      <c r="U1854" s="100"/>
      <c r="V1854" s="100"/>
      <c r="W1854" s="106"/>
      <c r="X1854" s="100"/>
      <c r="Y1854" s="100"/>
      <c r="Z1854" s="107"/>
      <c r="AA1854" s="108"/>
      <c r="AB1854" s="109"/>
      <c r="AC1854" s="110"/>
      <c r="AD1854" s="42" t="n">
        <v>0.0561</v>
      </c>
      <c r="AE1854" s="43" t="n">
        <v>0.2</v>
      </c>
    </row>
    <row r="1855" customFormat="false" ht="16.5" hidden="false" customHeight="true" outlineLevel="0" collapsed="false">
      <c r="A1855" s="97" t="n">
        <f aca="false">ROW(A1844)</f>
        <v>1844</v>
      </c>
      <c r="B1855" s="97" t="s">
        <v>466</v>
      </c>
      <c r="C1855" s="100" t="n">
        <v>1</v>
      </c>
      <c r="D1855" s="85"/>
      <c r="E1855" s="98" t="s">
        <v>4592</v>
      </c>
      <c r="F1855" s="99" t="s">
        <v>4588</v>
      </c>
      <c r="G1855" s="100" t="s">
        <v>4100</v>
      </c>
      <c r="H1855" s="100" t="s">
        <v>4521</v>
      </c>
      <c r="I1855" s="100" t="s">
        <v>375</v>
      </c>
      <c r="J1855" s="98" t="s">
        <v>471</v>
      </c>
      <c r="K1855" s="101" t="s">
        <v>4593</v>
      </c>
      <c r="L1855" s="102" t="n">
        <v>45756</v>
      </c>
      <c r="M1855" s="100" t="n">
        <v>3740</v>
      </c>
      <c r="N1855" s="100" t="n">
        <v>4535</v>
      </c>
      <c r="O1855" s="100" t="n">
        <v>795</v>
      </c>
      <c r="P1855" s="100" t="n">
        <v>771</v>
      </c>
      <c r="Q1855" s="100"/>
      <c r="R1855" s="103" t="n">
        <f aca="false">合約與計費!$D$4</f>
        <v>0.296</v>
      </c>
      <c r="S1855" s="104" t="n">
        <f aca="false">ROUND(P1855*R1855,0)</f>
        <v>228</v>
      </c>
      <c r="T1855" s="105"/>
      <c r="U1855" s="100"/>
      <c r="V1855" s="100"/>
      <c r="W1855" s="106"/>
      <c r="X1855" s="100"/>
      <c r="Y1855" s="100"/>
      <c r="Z1855" s="107"/>
      <c r="AA1855" s="108"/>
      <c r="AB1855" s="109"/>
      <c r="AC1855" s="110"/>
      <c r="AD1855" s="42" t="n">
        <v>0.0935</v>
      </c>
      <c r="AE1855" s="43" t="n">
        <v>0.8</v>
      </c>
    </row>
    <row r="1856" customFormat="false" ht="16.5" hidden="false" customHeight="true" outlineLevel="0" collapsed="false">
      <c r="A1856" s="97" t="n">
        <f aca="false">ROW(A1845)</f>
        <v>1845</v>
      </c>
      <c r="B1856" s="97" t="s">
        <v>469</v>
      </c>
      <c r="C1856" s="100" t="n">
        <v>1</v>
      </c>
      <c r="D1856" s="85"/>
      <c r="E1856" s="98" t="s">
        <v>4594</v>
      </c>
      <c r="F1856" s="99" t="s">
        <v>4588</v>
      </c>
      <c r="G1856" s="100" t="s">
        <v>4100</v>
      </c>
      <c r="H1856" s="100" t="s">
        <v>4521</v>
      </c>
      <c r="I1856" s="100" t="s">
        <v>375</v>
      </c>
      <c r="J1856" s="98" t="s">
        <v>471</v>
      </c>
      <c r="K1856" s="101" t="s">
        <v>4595</v>
      </c>
      <c r="L1856" s="102" t="n">
        <v>45756</v>
      </c>
      <c r="M1856" s="100" t="n">
        <v>3236</v>
      </c>
      <c r="N1856" s="100" t="n">
        <v>4022</v>
      </c>
      <c r="O1856" s="100" t="n">
        <v>786</v>
      </c>
      <c r="P1856" s="100" t="n">
        <v>762</v>
      </c>
      <c r="Q1856" s="100"/>
      <c r="R1856" s="103" t="n">
        <f aca="false">合約與計費!$D$4</f>
        <v>0.296</v>
      </c>
      <c r="S1856" s="104" t="n">
        <f aca="false">ROUND(P1856*R1856,0)</f>
        <v>226</v>
      </c>
      <c r="T1856" s="105"/>
      <c r="U1856" s="100"/>
      <c r="V1856" s="100"/>
      <c r="W1856" s="106"/>
      <c r="X1856" s="100"/>
      <c r="Y1856" s="100"/>
      <c r="Z1856" s="107"/>
      <c r="AA1856" s="108"/>
      <c r="AB1856" s="109"/>
      <c r="AC1856" s="110"/>
      <c r="AD1856" s="42" t="n">
        <v>0.1059</v>
      </c>
      <c r="AE1856" s="43" t="n">
        <v>0.8</v>
      </c>
    </row>
    <row r="1857" customFormat="false" ht="16.5" hidden="false" customHeight="true" outlineLevel="0" collapsed="false">
      <c r="A1857" s="97" t="n">
        <f aca="false">ROW(A1846)</f>
        <v>1846</v>
      </c>
      <c r="B1857" s="97" t="s">
        <v>473</v>
      </c>
      <c r="C1857" s="100" t="n">
        <v>1</v>
      </c>
      <c r="D1857" s="85"/>
      <c r="E1857" s="98" t="s">
        <v>4596</v>
      </c>
      <c r="F1857" s="99" t="s">
        <v>4588</v>
      </c>
      <c r="G1857" s="100" t="s">
        <v>4100</v>
      </c>
      <c r="H1857" s="100" t="s">
        <v>4521</v>
      </c>
      <c r="I1857" s="100" t="s">
        <v>375</v>
      </c>
      <c r="J1857" s="98" t="s">
        <v>471</v>
      </c>
      <c r="K1857" s="101" t="s">
        <v>4597</v>
      </c>
      <c r="L1857" s="102" t="n">
        <v>45756</v>
      </c>
      <c r="M1857" s="100" t="n">
        <v>4457</v>
      </c>
      <c r="N1857" s="100" t="n">
        <v>5570</v>
      </c>
      <c r="O1857" s="100" t="n">
        <v>1113</v>
      </c>
      <c r="P1857" s="100" t="n">
        <v>1080</v>
      </c>
      <c r="Q1857" s="100"/>
      <c r="R1857" s="103" t="n">
        <f aca="false">合約與計費!$D$4</f>
        <v>0.296</v>
      </c>
      <c r="S1857" s="104" t="n">
        <f aca="false">ROUND(P1857*R1857,0)</f>
        <v>320</v>
      </c>
      <c r="T1857" s="105"/>
      <c r="U1857" s="100"/>
      <c r="V1857" s="100"/>
      <c r="W1857" s="106"/>
      <c r="X1857" s="100"/>
      <c r="Y1857" s="100"/>
      <c r="Z1857" s="107"/>
      <c r="AA1857" s="108"/>
      <c r="AB1857" s="109"/>
      <c r="AC1857" s="110"/>
      <c r="AD1857" s="42" t="n">
        <v>0.0881</v>
      </c>
      <c r="AE1857" s="43" t="n">
        <v>0.6</v>
      </c>
    </row>
    <row r="1858" customFormat="false" ht="16.5" hidden="false" customHeight="true" outlineLevel="0" collapsed="false">
      <c r="A1858" s="97" t="n">
        <f aca="false">ROW(A1847)</f>
        <v>1847</v>
      </c>
      <c r="B1858" s="97" t="s">
        <v>476</v>
      </c>
      <c r="C1858" s="100" t="n">
        <v>1</v>
      </c>
      <c r="D1858" s="85"/>
      <c r="E1858" s="98" t="s">
        <v>4598</v>
      </c>
      <c r="F1858" s="99" t="s">
        <v>4588</v>
      </c>
      <c r="G1858" s="100" t="s">
        <v>4100</v>
      </c>
      <c r="H1858" s="100" t="s">
        <v>4521</v>
      </c>
      <c r="I1858" s="100" t="s">
        <v>375</v>
      </c>
      <c r="J1858" s="98" t="s">
        <v>471</v>
      </c>
      <c r="K1858" s="101" t="s">
        <v>4599</v>
      </c>
      <c r="L1858" s="102" t="n">
        <v>45756</v>
      </c>
      <c r="M1858" s="100" t="n">
        <v>3603</v>
      </c>
      <c r="N1858" s="100" t="n">
        <v>4020</v>
      </c>
      <c r="O1858" s="100" t="n">
        <v>417</v>
      </c>
      <c r="P1858" s="100" t="n">
        <v>404</v>
      </c>
      <c r="Q1858" s="100"/>
      <c r="R1858" s="103" t="n">
        <f aca="false">合約與計費!$D$4</f>
        <v>0.296</v>
      </c>
      <c r="S1858" s="104" t="n">
        <f aca="false">ROUND(P1858*R1858,0)</f>
        <v>120</v>
      </c>
      <c r="T1858" s="105"/>
      <c r="U1858" s="100"/>
      <c r="V1858" s="100"/>
      <c r="W1858" s="106"/>
      <c r="X1858" s="100"/>
      <c r="Y1858" s="100"/>
      <c r="Z1858" s="107"/>
      <c r="AA1858" s="108"/>
      <c r="AB1858" s="109"/>
      <c r="AC1858" s="110"/>
      <c r="AD1858" s="42" t="n">
        <v>0.0827</v>
      </c>
      <c r="AE1858" s="43" t="n">
        <v>0.8</v>
      </c>
    </row>
    <row r="1859" customFormat="false" ht="16.5" hidden="false" customHeight="true" outlineLevel="0" collapsed="false">
      <c r="A1859" s="97" t="n">
        <f aca="false">ROW(A1848)</f>
        <v>1848</v>
      </c>
      <c r="B1859" s="97" t="s">
        <v>479</v>
      </c>
      <c r="C1859" s="100" t="n">
        <v>1</v>
      </c>
      <c r="D1859" s="85"/>
      <c r="E1859" s="98" t="s">
        <v>4600</v>
      </c>
      <c r="F1859" s="99" t="s">
        <v>4588</v>
      </c>
      <c r="G1859" s="100" t="s">
        <v>4100</v>
      </c>
      <c r="H1859" s="100" t="s">
        <v>4521</v>
      </c>
      <c r="I1859" s="100" t="s">
        <v>375</v>
      </c>
      <c r="J1859" s="98" t="s">
        <v>471</v>
      </c>
      <c r="K1859" s="101" t="s">
        <v>4601</v>
      </c>
      <c r="L1859" s="102" t="n">
        <v>45756</v>
      </c>
      <c r="M1859" s="100" t="n">
        <v>1524</v>
      </c>
      <c r="N1859" s="100" t="n">
        <v>1862</v>
      </c>
      <c r="O1859" s="100" t="n">
        <v>338</v>
      </c>
      <c r="P1859" s="100" t="n">
        <v>328</v>
      </c>
      <c r="Q1859" s="100"/>
      <c r="R1859" s="103" t="n">
        <f aca="false">合約與計費!$D$4</f>
        <v>0.296</v>
      </c>
      <c r="S1859" s="104" t="n">
        <f aca="false">ROUND(P1859*R1859,0)</f>
        <v>97</v>
      </c>
      <c r="T1859" s="105"/>
      <c r="U1859" s="100"/>
      <c r="V1859" s="100"/>
      <c r="W1859" s="106"/>
      <c r="X1859" s="100"/>
      <c r="Y1859" s="100"/>
      <c r="Z1859" s="107"/>
      <c r="AA1859" s="108"/>
      <c r="AB1859" s="109"/>
      <c r="AC1859" s="110"/>
      <c r="AD1859" s="42" t="n">
        <v>0.0716</v>
      </c>
      <c r="AE1859" s="43" t="n">
        <v>0.1</v>
      </c>
    </row>
    <row r="1860" customFormat="false" ht="16.5" hidden="false" customHeight="true" outlineLevel="0" collapsed="false">
      <c r="A1860" s="97" t="n">
        <f aca="false">ROW(A1849)</f>
        <v>1849</v>
      </c>
      <c r="B1860" s="97" t="s">
        <v>482</v>
      </c>
      <c r="C1860" s="100" t="n">
        <v>1</v>
      </c>
      <c r="D1860" s="85"/>
      <c r="E1860" s="98" t="s">
        <v>4602</v>
      </c>
      <c r="F1860" s="99" t="s">
        <v>4588</v>
      </c>
      <c r="G1860" s="100" t="s">
        <v>4100</v>
      </c>
      <c r="H1860" s="100" t="s">
        <v>4521</v>
      </c>
      <c r="I1860" s="100" t="s">
        <v>375</v>
      </c>
      <c r="J1860" s="98" t="s">
        <v>471</v>
      </c>
      <c r="K1860" s="101" t="s">
        <v>4603</v>
      </c>
      <c r="L1860" s="102" t="n">
        <v>45756</v>
      </c>
      <c r="M1860" s="100" t="n">
        <v>551</v>
      </c>
      <c r="N1860" s="100" t="n">
        <v>1030</v>
      </c>
      <c r="O1860" s="100" t="n">
        <v>479</v>
      </c>
      <c r="P1860" s="100" t="n">
        <v>465</v>
      </c>
      <c r="Q1860" s="100"/>
      <c r="R1860" s="103" t="n">
        <f aca="false">合約與計費!$D$4</f>
        <v>0.296</v>
      </c>
      <c r="S1860" s="104" t="n">
        <f aca="false">ROUND(P1860*R1860,0)</f>
        <v>138</v>
      </c>
      <c r="T1860" s="105"/>
      <c r="U1860" s="100"/>
      <c r="V1860" s="100"/>
      <c r="W1860" s="106"/>
      <c r="X1860" s="100"/>
      <c r="Y1860" s="100"/>
      <c r="Z1860" s="107"/>
      <c r="AA1860" s="108"/>
      <c r="AB1860" s="109"/>
      <c r="AC1860" s="110"/>
      <c r="AD1860" s="42" t="n">
        <v>0.078</v>
      </c>
      <c r="AE1860" s="43" t="n">
        <v>1</v>
      </c>
    </row>
    <row r="1861" customFormat="false" ht="16.5" hidden="false" customHeight="true" outlineLevel="0" collapsed="false">
      <c r="A1861" s="97" t="n">
        <f aca="false">ROW(A1850)</f>
        <v>1850</v>
      </c>
      <c r="B1861" s="97" t="s">
        <v>485</v>
      </c>
      <c r="C1861" s="100" t="n">
        <v>1</v>
      </c>
      <c r="D1861" s="85"/>
      <c r="E1861" s="98" t="s">
        <v>4604</v>
      </c>
      <c r="F1861" s="99" t="s">
        <v>4588</v>
      </c>
      <c r="G1861" s="100" t="s">
        <v>4100</v>
      </c>
      <c r="H1861" s="100" t="s">
        <v>4521</v>
      </c>
      <c r="I1861" s="100" t="s">
        <v>375</v>
      </c>
      <c r="J1861" s="98" t="s">
        <v>471</v>
      </c>
      <c r="K1861" s="101" t="s">
        <v>4605</v>
      </c>
      <c r="L1861" s="102" t="n">
        <v>45756</v>
      </c>
      <c r="M1861" s="100" t="n">
        <v>2897</v>
      </c>
      <c r="N1861" s="100" t="n">
        <v>3595</v>
      </c>
      <c r="O1861" s="100" t="n">
        <v>698</v>
      </c>
      <c r="P1861" s="100" t="n">
        <v>677</v>
      </c>
      <c r="Q1861" s="100"/>
      <c r="R1861" s="103" t="n">
        <f aca="false">合約與計費!$D$4</f>
        <v>0.296</v>
      </c>
      <c r="S1861" s="104" t="n">
        <f aca="false">ROUND(P1861*R1861,0)</f>
        <v>200</v>
      </c>
      <c r="T1861" s="105"/>
      <c r="U1861" s="100"/>
      <c r="V1861" s="100"/>
      <c r="W1861" s="106"/>
      <c r="X1861" s="100"/>
      <c r="Y1861" s="100"/>
      <c r="Z1861" s="107"/>
      <c r="AA1861" s="108"/>
      <c r="AB1861" s="109"/>
      <c r="AC1861" s="110"/>
      <c r="AD1861" s="42" t="n">
        <v>0.0459</v>
      </c>
      <c r="AE1861" s="43" t="n">
        <v>1</v>
      </c>
    </row>
    <row r="1862" customFormat="false" ht="16.5" hidden="false" customHeight="true" outlineLevel="0" collapsed="false">
      <c r="A1862" s="97" t="n">
        <f aca="false">ROW(A1851)</f>
        <v>1851</v>
      </c>
      <c r="B1862" s="97" t="n">
        <v>10</v>
      </c>
      <c r="C1862" s="100" t="n">
        <v>1</v>
      </c>
      <c r="D1862" s="85"/>
      <c r="E1862" s="98" t="s">
        <v>4606</v>
      </c>
      <c r="F1862" s="99" t="s">
        <v>4588</v>
      </c>
      <c r="G1862" s="100" t="s">
        <v>4100</v>
      </c>
      <c r="H1862" s="100" t="s">
        <v>4521</v>
      </c>
      <c r="I1862" s="100" t="s">
        <v>375</v>
      </c>
      <c r="J1862" s="98" t="s">
        <v>471</v>
      </c>
      <c r="K1862" s="101" t="s">
        <v>4607</v>
      </c>
      <c r="L1862" s="102" t="n">
        <v>45756</v>
      </c>
      <c r="M1862" s="100" t="n">
        <v>4980</v>
      </c>
      <c r="N1862" s="100" t="n">
        <v>5968</v>
      </c>
      <c r="O1862" s="100" t="n">
        <v>988</v>
      </c>
      <c r="P1862" s="100" t="n">
        <v>958</v>
      </c>
      <c r="Q1862" s="100"/>
      <c r="R1862" s="103" t="n">
        <f aca="false">合約與計費!$D$4</f>
        <v>0.296</v>
      </c>
      <c r="S1862" s="104" t="n">
        <f aca="false">ROUND(P1862*R1862,0)</f>
        <v>284</v>
      </c>
      <c r="T1862" s="105"/>
      <c r="U1862" s="100"/>
      <c r="V1862" s="100"/>
      <c r="W1862" s="106"/>
      <c r="X1862" s="100"/>
      <c r="Y1862" s="100"/>
      <c r="Z1862" s="107"/>
      <c r="AA1862" s="108"/>
      <c r="AB1862" s="109"/>
      <c r="AC1862" s="110"/>
      <c r="AD1862" s="42" t="n">
        <v>0.0939</v>
      </c>
      <c r="AE1862" s="43" t="n">
        <v>0.5</v>
      </c>
    </row>
    <row r="1863" customFormat="false" ht="16.5" hidden="false" customHeight="true" outlineLevel="0" collapsed="false">
      <c r="A1863" s="111" t="n">
        <f aca="false">ROW(A1852)</f>
        <v>1852</v>
      </c>
      <c r="B1863" s="111" t="n">
        <v>11</v>
      </c>
      <c r="C1863" s="114" t="n">
        <v>1</v>
      </c>
      <c r="D1863" s="85"/>
      <c r="E1863" s="112" t="s">
        <v>4608</v>
      </c>
      <c r="F1863" s="113" t="s">
        <v>4588</v>
      </c>
      <c r="G1863" s="114" t="s">
        <v>4100</v>
      </c>
      <c r="H1863" s="114" t="s">
        <v>4521</v>
      </c>
      <c r="I1863" s="114" t="s">
        <v>375</v>
      </c>
      <c r="J1863" s="112" t="s">
        <v>471</v>
      </c>
      <c r="K1863" s="115" t="s">
        <v>4609</v>
      </c>
      <c r="L1863" s="116" t="n">
        <v>45756</v>
      </c>
      <c r="M1863" s="114" t="n">
        <v>2316</v>
      </c>
      <c r="N1863" s="114" t="n">
        <v>3057</v>
      </c>
      <c r="O1863" s="114" t="n">
        <v>741</v>
      </c>
      <c r="P1863" s="114" t="n">
        <v>719</v>
      </c>
      <c r="Q1863" s="114" t="n">
        <f aca="false">ROUND(SUM(P1853:P1863),2)</f>
        <v>6559</v>
      </c>
      <c r="R1863" s="117" t="n">
        <f aca="false">合約與計費!$D$4</f>
        <v>0.296</v>
      </c>
      <c r="S1863" s="118" t="n">
        <f aca="false">ROUND(P1863*R1863,0)</f>
        <v>213</v>
      </c>
      <c r="T1863" s="119" t="n">
        <f aca="false">ROUND(SUM(S1853:S1863),2)</f>
        <v>1943</v>
      </c>
      <c r="U1863" s="114"/>
      <c r="V1863" s="114"/>
      <c r="W1863" s="120"/>
      <c r="X1863" s="114"/>
      <c r="Y1863" s="114" t="n">
        <f aca="false">ROUND(SUM(X1853:X1863),2)</f>
        <v>50</v>
      </c>
      <c r="Z1863" s="121"/>
      <c r="AA1863" s="122"/>
      <c r="AB1863" s="123" t="n">
        <f aca="false">ROUND(SUM(AA1853:AA1863),2)</f>
        <v>140</v>
      </c>
      <c r="AC1863" s="124"/>
      <c r="AD1863" s="42" t="n">
        <v>0.0813</v>
      </c>
      <c r="AE1863" s="43" t="n">
        <v>0.9</v>
      </c>
    </row>
    <row r="1864" customFormat="false" ht="16.5" hidden="false" customHeight="true" outlineLevel="0" collapsed="false">
      <c r="A1864" s="84" t="n">
        <f aca="false">ROW(A1853)</f>
        <v>1853</v>
      </c>
      <c r="B1864" s="84" t="s">
        <v>455</v>
      </c>
      <c r="C1864" s="32" t="n">
        <v>1</v>
      </c>
      <c r="D1864" s="85" t="n">
        <v>178</v>
      </c>
      <c r="E1864" s="86" t="s">
        <v>4610</v>
      </c>
      <c r="F1864" s="87" t="s">
        <v>4611</v>
      </c>
      <c r="G1864" s="32" t="s">
        <v>4100</v>
      </c>
      <c r="H1864" s="32" t="s">
        <v>4521</v>
      </c>
      <c r="I1864" s="32" t="s">
        <v>380</v>
      </c>
      <c r="J1864" s="86" t="s">
        <v>460</v>
      </c>
      <c r="K1864" s="88" t="s">
        <v>4612</v>
      </c>
      <c r="L1864" s="89" t="n">
        <v>45770</v>
      </c>
      <c r="M1864" s="32" t="n">
        <v>242</v>
      </c>
      <c r="N1864" s="32" t="n">
        <v>270</v>
      </c>
      <c r="O1864" s="32" t="n">
        <v>28</v>
      </c>
      <c r="P1864" s="32" t="n">
        <v>27</v>
      </c>
      <c r="Q1864" s="32"/>
      <c r="R1864" s="90" t="n">
        <f aca="false">合約與計費!$D$4</f>
        <v>0.296</v>
      </c>
      <c r="S1864" s="91" t="n">
        <f aca="false">ROUND(P1864*R1864,0)</f>
        <v>8</v>
      </c>
      <c r="T1864" s="92"/>
      <c r="U1864" s="32" t="n">
        <v>229</v>
      </c>
      <c r="V1864" s="32" t="n">
        <v>266</v>
      </c>
      <c r="W1864" s="32" t="n">
        <v>37</v>
      </c>
      <c r="X1864" s="32" t="n">
        <v>36</v>
      </c>
      <c r="Y1864" s="32"/>
      <c r="Z1864" s="93" t="n">
        <f aca="false">合約與計費!$E$4</f>
        <v>2.8</v>
      </c>
      <c r="AA1864" s="94" t="n">
        <f aca="false">ROUND(X1864*Z1864,0)</f>
        <v>101</v>
      </c>
      <c r="AB1864" s="95"/>
      <c r="AC1864" s="254"/>
      <c r="AD1864" s="42"/>
      <c r="AE1864" s="43"/>
    </row>
    <row r="1865" customFormat="false" ht="16.5" hidden="false" customHeight="true" outlineLevel="0" collapsed="false">
      <c r="A1865" s="97" t="n">
        <f aca="false">ROW(A1854)</f>
        <v>1854</v>
      </c>
      <c r="B1865" s="97" t="s">
        <v>462</v>
      </c>
      <c r="C1865" s="100" t="n">
        <v>1</v>
      </c>
      <c r="D1865" s="85"/>
      <c r="E1865" s="98" t="s">
        <v>4613</v>
      </c>
      <c r="F1865" s="99" t="s">
        <v>4611</v>
      </c>
      <c r="G1865" s="100" t="s">
        <v>4100</v>
      </c>
      <c r="H1865" s="100" t="s">
        <v>4521</v>
      </c>
      <c r="I1865" s="100" t="s">
        <v>380</v>
      </c>
      <c r="J1865" s="98" t="s">
        <v>464</v>
      </c>
      <c r="K1865" s="101" t="s">
        <v>4614</v>
      </c>
      <c r="L1865" s="102" t="n">
        <v>45770</v>
      </c>
      <c r="M1865" s="100" t="n">
        <v>2581</v>
      </c>
      <c r="N1865" s="100" t="n">
        <v>3067</v>
      </c>
      <c r="O1865" s="100" t="n">
        <v>486</v>
      </c>
      <c r="P1865" s="100" t="n">
        <v>471</v>
      </c>
      <c r="Q1865" s="100"/>
      <c r="R1865" s="103" t="n">
        <f aca="false">合約與計費!$D$4</f>
        <v>0.296</v>
      </c>
      <c r="S1865" s="104" t="n">
        <f aca="false">ROUND(P1865*R1865,0)</f>
        <v>139</v>
      </c>
      <c r="T1865" s="105"/>
      <c r="U1865" s="100"/>
      <c r="V1865" s="100"/>
      <c r="W1865" s="106"/>
      <c r="X1865" s="100"/>
      <c r="Y1865" s="100"/>
      <c r="Z1865" s="107"/>
      <c r="AA1865" s="108"/>
      <c r="AB1865" s="109"/>
      <c r="AC1865" s="264" t="s">
        <v>4615</v>
      </c>
      <c r="AD1865" s="42" t="n">
        <v>0.2865</v>
      </c>
      <c r="AE1865" s="43" t="n">
        <v>0.6</v>
      </c>
    </row>
    <row r="1866" customFormat="false" ht="16.5" hidden="false" customHeight="true" outlineLevel="0" collapsed="false">
      <c r="A1866" s="97" t="n">
        <f aca="false">ROW(A1855)</f>
        <v>1855</v>
      </c>
      <c r="B1866" s="97" t="s">
        <v>466</v>
      </c>
      <c r="C1866" s="100" t="n">
        <v>1</v>
      </c>
      <c r="D1866" s="85"/>
      <c r="E1866" s="98" t="s">
        <v>4616</v>
      </c>
      <c r="F1866" s="99" t="s">
        <v>4611</v>
      </c>
      <c r="G1866" s="100" t="s">
        <v>4100</v>
      </c>
      <c r="H1866" s="100" t="s">
        <v>4521</v>
      </c>
      <c r="I1866" s="100" t="s">
        <v>380</v>
      </c>
      <c r="J1866" s="98" t="s">
        <v>471</v>
      </c>
      <c r="K1866" s="101" t="s">
        <v>4617</v>
      </c>
      <c r="L1866" s="102" t="n">
        <v>45770</v>
      </c>
      <c r="M1866" s="100" t="n">
        <v>3398</v>
      </c>
      <c r="N1866" s="100" t="n">
        <v>4188</v>
      </c>
      <c r="O1866" s="100" t="n">
        <v>790</v>
      </c>
      <c r="P1866" s="100" t="n">
        <v>766</v>
      </c>
      <c r="Q1866" s="100"/>
      <c r="R1866" s="103" t="n">
        <f aca="false">合約與計費!$D$4</f>
        <v>0.296</v>
      </c>
      <c r="S1866" s="104" t="n">
        <f aca="false">ROUND(P1866*R1866,0)</f>
        <v>227</v>
      </c>
      <c r="T1866" s="105"/>
      <c r="U1866" s="100"/>
      <c r="V1866" s="100"/>
      <c r="W1866" s="106"/>
      <c r="X1866" s="100"/>
      <c r="Y1866" s="100"/>
      <c r="Z1866" s="107"/>
      <c r="AA1866" s="108"/>
      <c r="AB1866" s="109"/>
      <c r="AC1866" s="110"/>
      <c r="AD1866" s="42" t="n">
        <v>0.0752</v>
      </c>
      <c r="AE1866" s="43" t="n">
        <v>0.8</v>
      </c>
    </row>
    <row r="1867" customFormat="false" ht="16.5" hidden="false" customHeight="true" outlineLevel="0" collapsed="false">
      <c r="A1867" s="97" t="n">
        <f aca="false">ROW(A1856)</f>
        <v>1856</v>
      </c>
      <c r="B1867" s="97" t="s">
        <v>469</v>
      </c>
      <c r="C1867" s="100" t="n">
        <v>1</v>
      </c>
      <c r="D1867" s="85"/>
      <c r="E1867" s="98" t="s">
        <v>4618</v>
      </c>
      <c r="F1867" s="99" t="s">
        <v>4611</v>
      </c>
      <c r="G1867" s="100" t="s">
        <v>4100</v>
      </c>
      <c r="H1867" s="100" t="s">
        <v>4521</v>
      </c>
      <c r="I1867" s="100" t="s">
        <v>380</v>
      </c>
      <c r="J1867" s="98" t="s">
        <v>471</v>
      </c>
      <c r="K1867" s="101" t="s">
        <v>4619</v>
      </c>
      <c r="L1867" s="102" t="n">
        <v>45770</v>
      </c>
      <c r="M1867" s="100" t="n">
        <v>2927</v>
      </c>
      <c r="N1867" s="100" t="n">
        <v>3550</v>
      </c>
      <c r="O1867" s="100" t="n">
        <v>623</v>
      </c>
      <c r="P1867" s="100" t="n">
        <v>604</v>
      </c>
      <c r="Q1867" s="100"/>
      <c r="R1867" s="103" t="n">
        <f aca="false">合約與計費!$D$4</f>
        <v>0.296</v>
      </c>
      <c r="S1867" s="104" t="n">
        <f aca="false">ROUND(P1867*R1867,0)</f>
        <v>179</v>
      </c>
      <c r="T1867" s="105"/>
      <c r="U1867" s="100"/>
      <c r="V1867" s="100"/>
      <c r="W1867" s="106"/>
      <c r="X1867" s="100"/>
      <c r="Y1867" s="100"/>
      <c r="Z1867" s="107"/>
      <c r="AA1867" s="108"/>
      <c r="AB1867" s="109"/>
      <c r="AC1867" s="110"/>
      <c r="AD1867" s="42" t="n">
        <v>0.096</v>
      </c>
      <c r="AE1867" s="43" t="n">
        <v>0.8</v>
      </c>
    </row>
    <row r="1868" customFormat="false" ht="16.5" hidden="false" customHeight="true" outlineLevel="0" collapsed="false">
      <c r="A1868" s="97" t="n">
        <f aca="false">ROW(A1857)</f>
        <v>1857</v>
      </c>
      <c r="B1868" s="97" t="s">
        <v>473</v>
      </c>
      <c r="C1868" s="100" t="n">
        <v>1</v>
      </c>
      <c r="D1868" s="85"/>
      <c r="E1868" s="98" t="s">
        <v>4620</v>
      </c>
      <c r="F1868" s="99" t="s">
        <v>4611</v>
      </c>
      <c r="G1868" s="100" t="s">
        <v>4100</v>
      </c>
      <c r="H1868" s="100" t="s">
        <v>4521</v>
      </c>
      <c r="I1868" s="100" t="s">
        <v>380</v>
      </c>
      <c r="J1868" s="98" t="s">
        <v>471</v>
      </c>
      <c r="K1868" s="101" t="s">
        <v>4621</v>
      </c>
      <c r="L1868" s="102" t="n">
        <v>45770</v>
      </c>
      <c r="M1868" s="100" t="n">
        <v>4022</v>
      </c>
      <c r="N1868" s="100" t="n">
        <v>5101</v>
      </c>
      <c r="O1868" s="100" t="n">
        <v>1079</v>
      </c>
      <c r="P1868" s="100" t="n">
        <v>1047</v>
      </c>
      <c r="Q1868" s="100"/>
      <c r="R1868" s="103" t="n">
        <f aca="false">合約與計費!$D$4</f>
        <v>0.296</v>
      </c>
      <c r="S1868" s="104" t="n">
        <f aca="false">ROUND(P1868*R1868,0)</f>
        <v>310</v>
      </c>
      <c r="T1868" s="105"/>
      <c r="U1868" s="100"/>
      <c r="V1868" s="100"/>
      <c r="W1868" s="106"/>
      <c r="X1868" s="100"/>
      <c r="Y1868" s="100"/>
      <c r="Z1868" s="107"/>
      <c r="AA1868" s="108"/>
      <c r="AB1868" s="109"/>
      <c r="AC1868" s="110"/>
      <c r="AD1868" s="42" t="n">
        <v>0.0943</v>
      </c>
      <c r="AE1868" s="43" t="n">
        <v>0.6</v>
      </c>
    </row>
    <row r="1869" customFormat="false" ht="16.5" hidden="false" customHeight="true" outlineLevel="0" collapsed="false">
      <c r="A1869" s="97" t="n">
        <f aca="false">ROW(A1858)</f>
        <v>1858</v>
      </c>
      <c r="B1869" s="97" t="s">
        <v>476</v>
      </c>
      <c r="C1869" s="100" t="n">
        <v>1</v>
      </c>
      <c r="D1869" s="85"/>
      <c r="E1869" s="98" t="s">
        <v>4622</v>
      </c>
      <c r="F1869" s="99" t="s">
        <v>4611</v>
      </c>
      <c r="G1869" s="100" t="s">
        <v>4100</v>
      </c>
      <c r="H1869" s="100" t="s">
        <v>4521</v>
      </c>
      <c r="I1869" s="100" t="s">
        <v>380</v>
      </c>
      <c r="J1869" s="98" t="s">
        <v>471</v>
      </c>
      <c r="K1869" s="101" t="s">
        <v>4623</v>
      </c>
      <c r="L1869" s="102" t="n">
        <v>45770</v>
      </c>
      <c r="M1869" s="100" t="n">
        <v>4095</v>
      </c>
      <c r="N1869" s="100" t="n">
        <v>5493</v>
      </c>
      <c r="O1869" s="100" t="n">
        <v>1398</v>
      </c>
      <c r="P1869" s="100" t="n">
        <v>1356</v>
      </c>
      <c r="Q1869" s="100"/>
      <c r="R1869" s="103" t="n">
        <f aca="false">合約與計費!$D$4</f>
        <v>0.296</v>
      </c>
      <c r="S1869" s="104" t="n">
        <f aca="false">ROUND(P1869*R1869,0)</f>
        <v>401</v>
      </c>
      <c r="T1869" s="105"/>
      <c r="U1869" s="100"/>
      <c r="V1869" s="100"/>
      <c r="W1869" s="106"/>
      <c r="X1869" s="100"/>
      <c r="Y1869" s="100"/>
      <c r="Z1869" s="107"/>
      <c r="AA1869" s="108"/>
      <c r="AB1869" s="109"/>
      <c r="AC1869" s="110"/>
      <c r="AD1869" s="42" t="n">
        <v>0.084</v>
      </c>
      <c r="AE1869" s="43" t="n">
        <v>0.7</v>
      </c>
    </row>
    <row r="1870" customFormat="false" ht="16.5" hidden="false" customHeight="true" outlineLevel="0" collapsed="false">
      <c r="A1870" s="97" t="n">
        <f aca="false">ROW(A1859)</f>
        <v>1859</v>
      </c>
      <c r="B1870" s="97" t="s">
        <v>479</v>
      </c>
      <c r="C1870" s="100" t="n">
        <v>1</v>
      </c>
      <c r="D1870" s="85"/>
      <c r="E1870" s="98" t="s">
        <v>4624</v>
      </c>
      <c r="F1870" s="99" t="s">
        <v>4611</v>
      </c>
      <c r="G1870" s="100" t="s">
        <v>4100</v>
      </c>
      <c r="H1870" s="100" t="s">
        <v>4521</v>
      </c>
      <c r="I1870" s="100" t="s">
        <v>380</v>
      </c>
      <c r="J1870" s="98" t="s">
        <v>471</v>
      </c>
      <c r="K1870" s="101" t="s">
        <v>4625</v>
      </c>
      <c r="L1870" s="102" t="n">
        <v>45770</v>
      </c>
      <c r="M1870" s="100" t="n">
        <v>1924</v>
      </c>
      <c r="N1870" s="100" t="n">
        <v>2432</v>
      </c>
      <c r="O1870" s="100" t="n">
        <v>508</v>
      </c>
      <c r="P1870" s="100" t="n">
        <v>493</v>
      </c>
      <c r="Q1870" s="100"/>
      <c r="R1870" s="103" t="n">
        <f aca="false">合約與計費!$D$4</f>
        <v>0.296</v>
      </c>
      <c r="S1870" s="104" t="n">
        <f aca="false">ROUND(P1870*R1870,0)</f>
        <v>146</v>
      </c>
      <c r="T1870" s="105"/>
      <c r="U1870" s="100"/>
      <c r="V1870" s="100"/>
      <c r="W1870" s="106"/>
      <c r="X1870" s="100"/>
      <c r="Y1870" s="100"/>
      <c r="Z1870" s="107"/>
      <c r="AA1870" s="108"/>
      <c r="AB1870" s="109"/>
      <c r="AC1870" s="110"/>
      <c r="AD1870" s="42" t="n">
        <v>0.0414</v>
      </c>
      <c r="AE1870" s="43" t="n">
        <v>0.2</v>
      </c>
    </row>
    <row r="1871" customFormat="false" ht="16.5" hidden="false" customHeight="true" outlineLevel="0" collapsed="false">
      <c r="A1871" s="97" t="n">
        <f aca="false">ROW(A1860)</f>
        <v>1860</v>
      </c>
      <c r="B1871" s="97" t="s">
        <v>482</v>
      </c>
      <c r="C1871" s="100" t="n">
        <v>1</v>
      </c>
      <c r="D1871" s="85"/>
      <c r="E1871" s="98" t="s">
        <v>4626</v>
      </c>
      <c r="F1871" s="99" t="s">
        <v>4611</v>
      </c>
      <c r="G1871" s="100" t="s">
        <v>4100</v>
      </c>
      <c r="H1871" s="100" t="s">
        <v>4521</v>
      </c>
      <c r="I1871" s="100" t="s">
        <v>380</v>
      </c>
      <c r="J1871" s="98" t="s">
        <v>471</v>
      </c>
      <c r="K1871" s="101" t="s">
        <v>4627</v>
      </c>
      <c r="L1871" s="102" t="n">
        <v>45770</v>
      </c>
      <c r="M1871" s="100" t="n">
        <v>3233</v>
      </c>
      <c r="N1871" s="100" t="n">
        <v>4245</v>
      </c>
      <c r="O1871" s="100" t="n">
        <v>1012</v>
      </c>
      <c r="P1871" s="100" t="n">
        <v>982</v>
      </c>
      <c r="Q1871" s="100"/>
      <c r="R1871" s="103" t="n">
        <f aca="false">合約與計費!$D$4</f>
        <v>0.296</v>
      </c>
      <c r="S1871" s="104" t="n">
        <f aca="false">ROUND(P1871*R1871,0)</f>
        <v>291</v>
      </c>
      <c r="T1871" s="105"/>
      <c r="U1871" s="100"/>
      <c r="V1871" s="100"/>
      <c r="W1871" s="106"/>
      <c r="X1871" s="100"/>
      <c r="Y1871" s="100"/>
      <c r="Z1871" s="107"/>
      <c r="AA1871" s="108"/>
      <c r="AB1871" s="109"/>
      <c r="AC1871" s="110"/>
      <c r="AD1871" s="42" t="n">
        <v>0.0847</v>
      </c>
      <c r="AE1871" s="43" t="n">
        <v>0.7</v>
      </c>
    </row>
    <row r="1872" customFormat="false" ht="16.5" hidden="false" customHeight="true" outlineLevel="0" collapsed="false">
      <c r="A1872" s="97" t="n">
        <f aca="false">ROW(A1861)</f>
        <v>1861</v>
      </c>
      <c r="B1872" s="97" t="s">
        <v>485</v>
      </c>
      <c r="C1872" s="100" t="n">
        <v>1</v>
      </c>
      <c r="D1872" s="85"/>
      <c r="E1872" s="98" t="s">
        <v>4628</v>
      </c>
      <c r="F1872" s="99" t="s">
        <v>4611</v>
      </c>
      <c r="G1872" s="100" t="s">
        <v>4100</v>
      </c>
      <c r="H1872" s="100" t="s">
        <v>4521</v>
      </c>
      <c r="I1872" s="100" t="s">
        <v>380</v>
      </c>
      <c r="J1872" s="98" t="s">
        <v>471</v>
      </c>
      <c r="K1872" s="101" t="s">
        <v>4629</v>
      </c>
      <c r="L1872" s="102" t="n">
        <v>45770</v>
      </c>
      <c r="M1872" s="100" t="n">
        <v>3426</v>
      </c>
      <c r="N1872" s="100" t="n">
        <v>4444</v>
      </c>
      <c r="O1872" s="100" t="n">
        <v>1018</v>
      </c>
      <c r="P1872" s="100" t="n">
        <v>987</v>
      </c>
      <c r="Q1872" s="100"/>
      <c r="R1872" s="103" t="n">
        <f aca="false">合約與計費!$D$4</f>
        <v>0.296</v>
      </c>
      <c r="S1872" s="104" t="n">
        <f aca="false">ROUND(P1872*R1872,0)</f>
        <v>292</v>
      </c>
      <c r="T1872" s="105"/>
      <c r="U1872" s="100"/>
      <c r="V1872" s="100"/>
      <c r="W1872" s="106"/>
      <c r="X1872" s="100"/>
      <c r="Y1872" s="100"/>
      <c r="Z1872" s="107"/>
      <c r="AA1872" s="108"/>
      <c r="AB1872" s="109"/>
      <c r="AC1872" s="110"/>
      <c r="AD1872" s="42" t="n">
        <v>0.1123</v>
      </c>
      <c r="AE1872" s="43" t="n">
        <v>1</v>
      </c>
    </row>
    <row r="1873" customFormat="false" ht="16.5" hidden="false" customHeight="true" outlineLevel="0" collapsed="false">
      <c r="A1873" s="111" t="n">
        <f aca="false">ROW(A1862)</f>
        <v>1862</v>
      </c>
      <c r="B1873" s="111" t="n">
        <v>10</v>
      </c>
      <c r="C1873" s="114" t="n">
        <v>1</v>
      </c>
      <c r="D1873" s="85"/>
      <c r="E1873" s="112" t="s">
        <v>4630</v>
      </c>
      <c r="F1873" s="113" t="s">
        <v>4611</v>
      </c>
      <c r="G1873" s="114" t="s">
        <v>4100</v>
      </c>
      <c r="H1873" s="114" t="s">
        <v>4521</v>
      </c>
      <c r="I1873" s="114" t="s">
        <v>380</v>
      </c>
      <c r="J1873" s="112" t="s">
        <v>471</v>
      </c>
      <c r="K1873" s="115" t="s">
        <v>4631</v>
      </c>
      <c r="L1873" s="116" t="n">
        <v>45770</v>
      </c>
      <c r="M1873" s="114" t="n">
        <v>2074</v>
      </c>
      <c r="N1873" s="114" t="n">
        <v>2637</v>
      </c>
      <c r="O1873" s="114" t="n">
        <v>563</v>
      </c>
      <c r="P1873" s="114" t="n">
        <v>546</v>
      </c>
      <c r="Q1873" s="114" t="n">
        <f aca="false">ROUND(SUM(P1864:P1873),2)</f>
        <v>7279</v>
      </c>
      <c r="R1873" s="117" t="n">
        <f aca="false">合約與計費!$D$4</f>
        <v>0.296</v>
      </c>
      <c r="S1873" s="118" t="n">
        <f aca="false">ROUND(P1873*R1873,0)</f>
        <v>162</v>
      </c>
      <c r="T1873" s="119" t="n">
        <f aca="false">ROUND(SUM(S1864:S1873),2)</f>
        <v>2155</v>
      </c>
      <c r="U1873" s="114"/>
      <c r="V1873" s="114"/>
      <c r="W1873" s="120"/>
      <c r="X1873" s="114"/>
      <c r="Y1873" s="114" t="n">
        <f aca="false">ROUND(SUM(X1864:X1873),2)</f>
        <v>36</v>
      </c>
      <c r="Z1873" s="121"/>
      <c r="AA1873" s="122"/>
      <c r="AB1873" s="123" t="n">
        <f aca="false">ROUND(SUM(AA1864:AA1873),2)</f>
        <v>101</v>
      </c>
      <c r="AC1873" s="124"/>
      <c r="AD1873" s="42" t="n">
        <v>0.0558</v>
      </c>
      <c r="AE1873" s="43" t="n">
        <v>1</v>
      </c>
    </row>
    <row r="1874" customFormat="false" ht="16.5" hidden="false" customHeight="true" outlineLevel="0" collapsed="false">
      <c r="A1874" s="84" t="n">
        <f aca="false">ROW(A1863)</f>
        <v>1863</v>
      </c>
      <c r="B1874" s="84" t="s">
        <v>455</v>
      </c>
      <c r="C1874" s="32" t="n">
        <v>1</v>
      </c>
      <c r="D1874" s="85" t="n">
        <v>179</v>
      </c>
      <c r="E1874" s="86" t="s">
        <v>4632</v>
      </c>
      <c r="F1874" s="87" t="s">
        <v>4633</v>
      </c>
      <c r="G1874" s="32" t="s">
        <v>4100</v>
      </c>
      <c r="H1874" s="32" t="s">
        <v>4521</v>
      </c>
      <c r="I1874" s="32" t="s">
        <v>381</v>
      </c>
      <c r="J1874" s="86" t="s">
        <v>460</v>
      </c>
      <c r="K1874" s="88" t="s">
        <v>4634</v>
      </c>
      <c r="L1874" s="89" t="n">
        <v>45747</v>
      </c>
      <c r="M1874" s="32" t="n">
        <v>1233</v>
      </c>
      <c r="N1874" s="32" t="n">
        <v>1609</v>
      </c>
      <c r="O1874" s="32" t="n">
        <v>376</v>
      </c>
      <c r="P1874" s="32" t="n">
        <v>365</v>
      </c>
      <c r="Q1874" s="32"/>
      <c r="R1874" s="90" t="n">
        <f aca="false">合約與計費!$D$4</f>
        <v>0.296</v>
      </c>
      <c r="S1874" s="91" t="n">
        <f aca="false">ROUND(P1874*R1874,0)</f>
        <v>108</v>
      </c>
      <c r="T1874" s="92"/>
      <c r="U1874" s="32" t="n">
        <v>657</v>
      </c>
      <c r="V1874" s="32" t="n">
        <v>750</v>
      </c>
      <c r="W1874" s="32" t="n">
        <v>93</v>
      </c>
      <c r="X1874" s="32" t="n">
        <v>90</v>
      </c>
      <c r="Y1874" s="32"/>
      <c r="Z1874" s="93" t="n">
        <f aca="false">合約與計費!$E$4</f>
        <v>2.8</v>
      </c>
      <c r="AA1874" s="94" t="n">
        <f aca="false">ROUND(X1874*Z1874,0)</f>
        <v>252</v>
      </c>
      <c r="AB1874" s="95"/>
      <c r="AC1874" s="254"/>
      <c r="AD1874" s="42"/>
      <c r="AE1874" s="43"/>
    </row>
    <row r="1875" customFormat="false" ht="16.5" hidden="false" customHeight="true" outlineLevel="0" collapsed="false">
      <c r="A1875" s="97" t="n">
        <f aca="false">ROW(A1864)</f>
        <v>1864</v>
      </c>
      <c r="B1875" s="97" t="s">
        <v>462</v>
      </c>
      <c r="C1875" s="100" t="n">
        <v>1</v>
      </c>
      <c r="D1875" s="85"/>
      <c r="E1875" s="98" t="s">
        <v>4635</v>
      </c>
      <c r="F1875" s="99" t="s">
        <v>4633</v>
      </c>
      <c r="G1875" s="100" t="s">
        <v>4100</v>
      </c>
      <c r="H1875" s="100" t="s">
        <v>4521</v>
      </c>
      <c r="I1875" s="100" t="s">
        <v>381</v>
      </c>
      <c r="J1875" s="98" t="s">
        <v>471</v>
      </c>
      <c r="K1875" s="101" t="s">
        <v>4636</v>
      </c>
      <c r="L1875" s="102" t="n">
        <v>45747</v>
      </c>
      <c r="M1875" s="100" t="n">
        <v>7033</v>
      </c>
      <c r="N1875" s="100" t="n">
        <v>7717</v>
      </c>
      <c r="O1875" s="100" t="n">
        <v>684</v>
      </c>
      <c r="P1875" s="100" t="n">
        <v>663</v>
      </c>
      <c r="Q1875" s="100"/>
      <c r="R1875" s="103" t="n">
        <f aca="false">合約與計費!$D$4</f>
        <v>0.296</v>
      </c>
      <c r="S1875" s="104" t="n">
        <f aca="false">ROUND(P1875*R1875,0)</f>
        <v>196</v>
      </c>
      <c r="T1875" s="105"/>
      <c r="U1875" s="100"/>
      <c r="V1875" s="100"/>
      <c r="W1875" s="106"/>
      <c r="X1875" s="100"/>
      <c r="Y1875" s="100"/>
      <c r="Z1875" s="107"/>
      <c r="AA1875" s="108"/>
      <c r="AB1875" s="109"/>
      <c r="AC1875" s="110"/>
      <c r="AD1875" s="42" t="n">
        <v>0.0894</v>
      </c>
      <c r="AE1875" s="43" t="n">
        <v>0.3</v>
      </c>
    </row>
    <row r="1876" customFormat="false" ht="16.5" hidden="false" customHeight="true" outlineLevel="0" collapsed="false">
      <c r="A1876" s="97" t="n">
        <f aca="false">ROW(A1865)</f>
        <v>1865</v>
      </c>
      <c r="B1876" s="97" t="s">
        <v>466</v>
      </c>
      <c r="C1876" s="100" t="n">
        <v>1</v>
      </c>
      <c r="D1876" s="85"/>
      <c r="E1876" s="98" t="s">
        <v>4637</v>
      </c>
      <c r="F1876" s="99" t="s">
        <v>4633</v>
      </c>
      <c r="G1876" s="100" t="s">
        <v>4100</v>
      </c>
      <c r="H1876" s="100" t="s">
        <v>4521</v>
      </c>
      <c r="I1876" s="100" t="s">
        <v>381</v>
      </c>
      <c r="J1876" s="98" t="s">
        <v>471</v>
      </c>
      <c r="K1876" s="101" t="s">
        <v>4638</v>
      </c>
      <c r="L1876" s="102" t="n">
        <v>45747</v>
      </c>
      <c r="M1876" s="100" t="n">
        <v>5180</v>
      </c>
      <c r="N1876" s="100" t="n">
        <v>6638</v>
      </c>
      <c r="O1876" s="100" t="n">
        <v>1458</v>
      </c>
      <c r="P1876" s="100" t="n">
        <v>1414</v>
      </c>
      <c r="Q1876" s="100"/>
      <c r="R1876" s="103" t="n">
        <f aca="false">合約與計費!$D$4</f>
        <v>0.296</v>
      </c>
      <c r="S1876" s="104" t="n">
        <f aca="false">ROUND(P1876*R1876,0)</f>
        <v>419</v>
      </c>
      <c r="T1876" s="105"/>
      <c r="U1876" s="100"/>
      <c r="V1876" s="100"/>
      <c r="W1876" s="106"/>
      <c r="X1876" s="100"/>
      <c r="Y1876" s="100"/>
      <c r="Z1876" s="107"/>
      <c r="AA1876" s="108"/>
      <c r="AB1876" s="109"/>
      <c r="AC1876" s="110"/>
      <c r="AD1876" s="42" t="n">
        <v>0.1047</v>
      </c>
      <c r="AE1876" s="43" t="n">
        <v>0.9</v>
      </c>
    </row>
    <row r="1877" customFormat="false" ht="16.5" hidden="false" customHeight="true" outlineLevel="0" collapsed="false">
      <c r="A1877" s="97" t="n">
        <f aca="false">ROW(A1866)</f>
        <v>1866</v>
      </c>
      <c r="B1877" s="97" t="s">
        <v>469</v>
      </c>
      <c r="C1877" s="100" t="n">
        <v>1</v>
      </c>
      <c r="D1877" s="85"/>
      <c r="E1877" s="98" t="s">
        <v>4639</v>
      </c>
      <c r="F1877" s="99" t="s">
        <v>4633</v>
      </c>
      <c r="G1877" s="100" t="s">
        <v>4100</v>
      </c>
      <c r="H1877" s="100" t="s">
        <v>4521</v>
      </c>
      <c r="I1877" s="100" t="s">
        <v>381</v>
      </c>
      <c r="J1877" s="98" t="s">
        <v>471</v>
      </c>
      <c r="K1877" s="101" t="s">
        <v>4640</v>
      </c>
      <c r="L1877" s="102" t="n">
        <v>45747</v>
      </c>
      <c r="M1877" s="100" t="n">
        <v>4191</v>
      </c>
      <c r="N1877" s="100" t="n">
        <v>5251</v>
      </c>
      <c r="O1877" s="100" t="n">
        <v>1060</v>
      </c>
      <c r="P1877" s="100" t="n">
        <v>1028</v>
      </c>
      <c r="Q1877" s="100"/>
      <c r="R1877" s="103" t="n">
        <f aca="false">合約與計費!$D$4</f>
        <v>0.296</v>
      </c>
      <c r="S1877" s="104" t="n">
        <f aca="false">ROUND(P1877*R1877,0)</f>
        <v>304</v>
      </c>
      <c r="T1877" s="105"/>
      <c r="U1877" s="100"/>
      <c r="V1877" s="100"/>
      <c r="W1877" s="106"/>
      <c r="X1877" s="100"/>
      <c r="Y1877" s="100"/>
      <c r="Z1877" s="107"/>
      <c r="AA1877" s="108"/>
      <c r="AB1877" s="109"/>
      <c r="AC1877" s="110"/>
      <c r="AD1877" s="42" t="n">
        <v>0.0883</v>
      </c>
      <c r="AE1877" s="43" t="n">
        <v>0.7</v>
      </c>
    </row>
    <row r="1878" customFormat="false" ht="16.5" hidden="false" customHeight="true" outlineLevel="0" collapsed="false">
      <c r="A1878" s="97" t="n">
        <f aca="false">ROW(A1867)</f>
        <v>1867</v>
      </c>
      <c r="B1878" s="97" t="s">
        <v>473</v>
      </c>
      <c r="C1878" s="100" t="n">
        <v>1</v>
      </c>
      <c r="D1878" s="85"/>
      <c r="E1878" s="98" t="s">
        <v>4641</v>
      </c>
      <c r="F1878" s="99" t="s">
        <v>4633</v>
      </c>
      <c r="G1878" s="100" t="s">
        <v>4100</v>
      </c>
      <c r="H1878" s="100" t="s">
        <v>4521</v>
      </c>
      <c r="I1878" s="100" t="s">
        <v>381</v>
      </c>
      <c r="J1878" s="98" t="s">
        <v>471</v>
      </c>
      <c r="K1878" s="101" t="s">
        <v>4642</v>
      </c>
      <c r="L1878" s="102" t="n">
        <v>45747</v>
      </c>
      <c r="M1878" s="100" t="n">
        <v>3418</v>
      </c>
      <c r="N1878" s="100" t="n">
        <v>4560</v>
      </c>
      <c r="O1878" s="100" t="n">
        <v>1142</v>
      </c>
      <c r="P1878" s="100" t="n">
        <v>1108</v>
      </c>
      <c r="Q1878" s="100"/>
      <c r="R1878" s="103" t="n">
        <f aca="false">合約與計費!$D$4</f>
        <v>0.296</v>
      </c>
      <c r="S1878" s="104" t="n">
        <f aca="false">ROUND(P1878*R1878,0)</f>
        <v>328</v>
      </c>
      <c r="T1878" s="105"/>
      <c r="U1878" s="100"/>
      <c r="V1878" s="100"/>
      <c r="W1878" s="106"/>
      <c r="X1878" s="100"/>
      <c r="Y1878" s="100"/>
      <c r="Z1878" s="107"/>
      <c r="AA1878" s="108"/>
      <c r="AB1878" s="109"/>
      <c r="AC1878" s="110"/>
      <c r="AD1878" s="42" t="n">
        <v>0.0803</v>
      </c>
      <c r="AE1878" s="43" t="n">
        <v>0.7</v>
      </c>
    </row>
    <row r="1879" customFormat="false" ht="16.5" hidden="false" customHeight="true" outlineLevel="0" collapsed="false">
      <c r="A1879" s="111" t="n">
        <f aca="false">ROW(A1868)</f>
        <v>1868</v>
      </c>
      <c r="B1879" s="111" t="s">
        <v>476</v>
      </c>
      <c r="C1879" s="114" t="n">
        <v>1</v>
      </c>
      <c r="D1879" s="85"/>
      <c r="E1879" s="112" t="s">
        <v>4643</v>
      </c>
      <c r="F1879" s="113" t="s">
        <v>4633</v>
      </c>
      <c r="G1879" s="114" t="s">
        <v>4100</v>
      </c>
      <c r="H1879" s="114" t="s">
        <v>4521</v>
      </c>
      <c r="I1879" s="114" t="s">
        <v>381</v>
      </c>
      <c r="J1879" s="112" t="s">
        <v>471</v>
      </c>
      <c r="K1879" s="115" t="s">
        <v>4644</v>
      </c>
      <c r="L1879" s="116" t="n">
        <v>45747</v>
      </c>
      <c r="M1879" s="114" t="n">
        <v>825</v>
      </c>
      <c r="N1879" s="114" t="n">
        <v>1065</v>
      </c>
      <c r="O1879" s="114" t="n">
        <v>240</v>
      </c>
      <c r="P1879" s="114" t="n">
        <v>233</v>
      </c>
      <c r="Q1879" s="114" t="n">
        <f aca="false">ROUND(SUM(P1874:P1879),2)</f>
        <v>4811</v>
      </c>
      <c r="R1879" s="117" t="n">
        <f aca="false">合約與計費!$D$4</f>
        <v>0.296</v>
      </c>
      <c r="S1879" s="118" t="n">
        <f aca="false">ROUND(P1879*R1879,0)</f>
        <v>69</v>
      </c>
      <c r="T1879" s="119" t="n">
        <f aca="false">ROUND(SUM(S1874:S1879),2)</f>
        <v>1424</v>
      </c>
      <c r="U1879" s="114"/>
      <c r="V1879" s="114"/>
      <c r="W1879" s="120"/>
      <c r="X1879" s="114"/>
      <c r="Y1879" s="114" t="n">
        <f aca="false">ROUND(SUM(X1874:X1879),2)</f>
        <v>90</v>
      </c>
      <c r="Z1879" s="121"/>
      <c r="AA1879" s="122"/>
      <c r="AB1879" s="123" t="n">
        <f aca="false">ROUND(SUM(AA1874:AA1879),2)</f>
        <v>252</v>
      </c>
      <c r="AC1879" s="124"/>
      <c r="AD1879" s="42" t="n">
        <v>0.0464</v>
      </c>
      <c r="AE1879" s="43" t="n">
        <v>1</v>
      </c>
    </row>
    <row r="1880" customFormat="false" ht="16.5" hidden="false" customHeight="true" outlineLevel="0" collapsed="false">
      <c r="A1880" s="84" t="n">
        <f aca="false">ROW(A1869)</f>
        <v>1869</v>
      </c>
      <c r="B1880" s="84" t="s">
        <v>455</v>
      </c>
      <c r="C1880" s="32" t="n">
        <v>1</v>
      </c>
      <c r="D1880" s="85" t="n">
        <v>182</v>
      </c>
      <c r="E1880" s="86" t="s">
        <v>4645</v>
      </c>
      <c r="F1880" s="87" t="s">
        <v>4646</v>
      </c>
      <c r="G1880" s="32" t="s">
        <v>4100</v>
      </c>
      <c r="H1880" s="32" t="s">
        <v>4521</v>
      </c>
      <c r="I1880" s="32" t="s">
        <v>389</v>
      </c>
      <c r="J1880" s="86" t="s">
        <v>460</v>
      </c>
      <c r="K1880" s="88" t="s">
        <v>4647</v>
      </c>
      <c r="L1880" s="89" t="n">
        <v>45757</v>
      </c>
      <c r="M1880" s="32" t="n">
        <v>451</v>
      </c>
      <c r="N1880" s="32" t="n">
        <v>571</v>
      </c>
      <c r="O1880" s="32" t="n">
        <v>120</v>
      </c>
      <c r="P1880" s="32" t="n">
        <v>116</v>
      </c>
      <c r="Q1880" s="32"/>
      <c r="R1880" s="90" t="n">
        <f aca="false">合約與計費!$D$4</f>
        <v>0.296</v>
      </c>
      <c r="S1880" s="91" t="n">
        <f aca="false">ROUND(P1880*R1880,0)</f>
        <v>34</v>
      </c>
      <c r="T1880" s="92"/>
      <c r="U1880" s="32" t="n">
        <v>470</v>
      </c>
      <c r="V1880" s="32" t="n">
        <v>572</v>
      </c>
      <c r="W1880" s="32" t="n">
        <v>102</v>
      </c>
      <c r="X1880" s="32" t="n">
        <v>99</v>
      </c>
      <c r="Y1880" s="32"/>
      <c r="Z1880" s="93" t="n">
        <f aca="false">合約與計費!$E$4</f>
        <v>2.8</v>
      </c>
      <c r="AA1880" s="94" t="n">
        <f aca="false">ROUND(X1880*Z1880,0)</f>
        <v>277</v>
      </c>
      <c r="AB1880" s="95"/>
      <c r="AC1880" s="254"/>
      <c r="AD1880" s="42"/>
      <c r="AE1880" s="43"/>
    </row>
    <row r="1881" customFormat="false" ht="16.5" hidden="false" customHeight="true" outlineLevel="0" collapsed="false">
      <c r="A1881" s="97" t="n">
        <f aca="false">ROW(A1870)</f>
        <v>1870</v>
      </c>
      <c r="B1881" s="97" t="s">
        <v>462</v>
      </c>
      <c r="C1881" s="100" t="n">
        <v>1</v>
      </c>
      <c r="D1881" s="85"/>
      <c r="E1881" s="98" t="s">
        <v>4648</v>
      </c>
      <c r="F1881" s="99" t="s">
        <v>4646</v>
      </c>
      <c r="G1881" s="100" t="s">
        <v>4100</v>
      </c>
      <c r="H1881" s="100" t="s">
        <v>4521</v>
      </c>
      <c r="I1881" s="100" t="s">
        <v>389</v>
      </c>
      <c r="J1881" s="98" t="s">
        <v>464</v>
      </c>
      <c r="K1881" s="101" t="s">
        <v>4649</v>
      </c>
      <c r="L1881" s="102" t="n">
        <v>45757</v>
      </c>
      <c r="M1881" s="100" t="n">
        <v>1157</v>
      </c>
      <c r="N1881" s="100" t="n">
        <v>1462</v>
      </c>
      <c r="O1881" s="100" t="n">
        <v>305</v>
      </c>
      <c r="P1881" s="100" t="n">
        <v>296</v>
      </c>
      <c r="Q1881" s="100"/>
      <c r="R1881" s="103" t="n">
        <f aca="false">合約與計費!$D$4</f>
        <v>0.296</v>
      </c>
      <c r="S1881" s="104" t="n">
        <f aca="false">ROUND(P1881*R1881,0)</f>
        <v>88</v>
      </c>
      <c r="T1881" s="105"/>
      <c r="U1881" s="100"/>
      <c r="V1881" s="100"/>
      <c r="W1881" s="106"/>
      <c r="X1881" s="100"/>
      <c r="Y1881" s="100"/>
      <c r="Z1881" s="107"/>
      <c r="AA1881" s="108"/>
      <c r="AB1881" s="109"/>
      <c r="AC1881" s="110"/>
      <c r="AD1881" s="42" t="n">
        <v>0.0568</v>
      </c>
      <c r="AE1881" s="43" t="n">
        <v>0.3</v>
      </c>
    </row>
    <row r="1882" customFormat="false" ht="16.5" hidden="false" customHeight="true" outlineLevel="0" collapsed="false">
      <c r="A1882" s="97" t="n">
        <f aca="false">ROW(A1871)</f>
        <v>1871</v>
      </c>
      <c r="B1882" s="97" t="s">
        <v>466</v>
      </c>
      <c r="C1882" s="100" t="n">
        <v>1</v>
      </c>
      <c r="D1882" s="85"/>
      <c r="E1882" s="98" t="s">
        <v>4650</v>
      </c>
      <c r="F1882" s="99" t="s">
        <v>4646</v>
      </c>
      <c r="G1882" s="100" t="s">
        <v>4100</v>
      </c>
      <c r="H1882" s="100" t="s">
        <v>4521</v>
      </c>
      <c r="I1882" s="100" t="s">
        <v>389</v>
      </c>
      <c r="J1882" s="98" t="s">
        <v>471</v>
      </c>
      <c r="K1882" s="101" t="s">
        <v>4651</v>
      </c>
      <c r="L1882" s="102" t="n">
        <v>45757</v>
      </c>
      <c r="M1882" s="100" t="n">
        <v>5796</v>
      </c>
      <c r="N1882" s="100" t="n">
        <v>7452</v>
      </c>
      <c r="O1882" s="100" t="n">
        <v>1656</v>
      </c>
      <c r="P1882" s="100" t="n">
        <v>1606</v>
      </c>
      <c r="Q1882" s="100"/>
      <c r="R1882" s="103" t="n">
        <f aca="false">合約與計費!$D$4</f>
        <v>0.296</v>
      </c>
      <c r="S1882" s="104" t="n">
        <f aca="false">ROUND(P1882*R1882,0)</f>
        <v>475</v>
      </c>
      <c r="T1882" s="105"/>
      <c r="U1882" s="100"/>
      <c r="V1882" s="100"/>
      <c r="W1882" s="106"/>
      <c r="X1882" s="100"/>
      <c r="Y1882" s="100"/>
      <c r="Z1882" s="107"/>
      <c r="AA1882" s="108"/>
      <c r="AB1882" s="109"/>
      <c r="AC1882" s="110"/>
      <c r="AD1882" s="42" t="n">
        <v>0.0902</v>
      </c>
      <c r="AE1882" s="43" t="n">
        <v>0.4</v>
      </c>
    </row>
    <row r="1883" customFormat="false" ht="16.5" hidden="false" customHeight="true" outlineLevel="0" collapsed="false">
      <c r="A1883" s="97" t="n">
        <f aca="false">ROW(A1872)</f>
        <v>1872</v>
      </c>
      <c r="B1883" s="97" t="s">
        <v>469</v>
      </c>
      <c r="C1883" s="100" t="n">
        <v>1</v>
      </c>
      <c r="D1883" s="85"/>
      <c r="E1883" s="98" t="s">
        <v>4652</v>
      </c>
      <c r="F1883" s="99" t="s">
        <v>4646</v>
      </c>
      <c r="G1883" s="100" t="s">
        <v>4100</v>
      </c>
      <c r="H1883" s="100" t="s">
        <v>4521</v>
      </c>
      <c r="I1883" s="100" t="s">
        <v>389</v>
      </c>
      <c r="J1883" s="98" t="s">
        <v>471</v>
      </c>
      <c r="K1883" s="101" t="s">
        <v>4653</v>
      </c>
      <c r="L1883" s="102" t="n">
        <v>45757</v>
      </c>
      <c r="M1883" s="100" t="n">
        <v>7763</v>
      </c>
      <c r="N1883" s="100" t="n">
        <v>9351</v>
      </c>
      <c r="O1883" s="100" t="n">
        <v>1588</v>
      </c>
      <c r="P1883" s="100" t="n">
        <v>1540</v>
      </c>
      <c r="Q1883" s="100"/>
      <c r="R1883" s="103" t="n">
        <f aca="false">合約與計費!$D$4</f>
        <v>0.296</v>
      </c>
      <c r="S1883" s="104" t="n">
        <f aca="false">ROUND(P1883*R1883,0)</f>
        <v>456</v>
      </c>
      <c r="T1883" s="105"/>
      <c r="U1883" s="100"/>
      <c r="V1883" s="100"/>
      <c r="W1883" s="106"/>
      <c r="X1883" s="100"/>
      <c r="Y1883" s="100"/>
      <c r="Z1883" s="107"/>
      <c r="AA1883" s="108"/>
      <c r="AB1883" s="109"/>
      <c r="AC1883" s="110"/>
      <c r="AD1883" s="42" t="n">
        <v>0.0866</v>
      </c>
      <c r="AE1883" s="43" t="n">
        <v>0.2</v>
      </c>
    </row>
    <row r="1884" customFormat="false" ht="16.5" hidden="false" customHeight="true" outlineLevel="0" collapsed="false">
      <c r="A1884" s="97" t="n">
        <f aca="false">ROW(A1873)</f>
        <v>1873</v>
      </c>
      <c r="B1884" s="97" t="s">
        <v>473</v>
      </c>
      <c r="C1884" s="100" t="n">
        <v>1</v>
      </c>
      <c r="D1884" s="85"/>
      <c r="E1884" s="98" t="s">
        <v>4654</v>
      </c>
      <c r="F1884" s="99" t="s">
        <v>4646</v>
      </c>
      <c r="G1884" s="100" t="s">
        <v>4100</v>
      </c>
      <c r="H1884" s="100" t="s">
        <v>4521</v>
      </c>
      <c r="I1884" s="100" t="s">
        <v>389</v>
      </c>
      <c r="J1884" s="98" t="s">
        <v>471</v>
      </c>
      <c r="K1884" s="101" t="s">
        <v>4655</v>
      </c>
      <c r="L1884" s="102" t="n">
        <v>45757</v>
      </c>
      <c r="M1884" s="100" t="n">
        <v>10213</v>
      </c>
      <c r="N1884" s="100" t="n">
        <v>12703</v>
      </c>
      <c r="O1884" s="100" t="n">
        <v>2490</v>
      </c>
      <c r="P1884" s="100" t="n">
        <v>2415</v>
      </c>
      <c r="Q1884" s="100"/>
      <c r="R1884" s="103" t="n">
        <f aca="false">合約與計費!$D$4</f>
        <v>0.296</v>
      </c>
      <c r="S1884" s="104" t="n">
        <f aca="false">ROUND(P1884*R1884,0)</f>
        <v>715</v>
      </c>
      <c r="T1884" s="105"/>
      <c r="U1884" s="100"/>
      <c r="V1884" s="100"/>
      <c r="W1884" s="106"/>
      <c r="X1884" s="100"/>
      <c r="Y1884" s="100"/>
      <c r="Z1884" s="107"/>
      <c r="AA1884" s="108"/>
      <c r="AB1884" s="109"/>
      <c r="AC1884" s="110"/>
      <c r="AD1884" s="42" t="n">
        <v>0.1127</v>
      </c>
      <c r="AE1884" s="43" t="n">
        <v>0.8</v>
      </c>
    </row>
    <row r="1885" customFormat="false" ht="16.5" hidden="false" customHeight="true" outlineLevel="0" collapsed="false">
      <c r="A1885" s="97" t="n">
        <f aca="false">ROW(A1874)</f>
        <v>1874</v>
      </c>
      <c r="B1885" s="97" t="s">
        <v>476</v>
      </c>
      <c r="C1885" s="100" t="n">
        <v>1</v>
      </c>
      <c r="D1885" s="85"/>
      <c r="E1885" s="98" t="s">
        <v>4656</v>
      </c>
      <c r="F1885" s="99" t="s">
        <v>4646</v>
      </c>
      <c r="G1885" s="100" t="s">
        <v>4100</v>
      </c>
      <c r="H1885" s="100" t="s">
        <v>4521</v>
      </c>
      <c r="I1885" s="100" t="s">
        <v>389</v>
      </c>
      <c r="J1885" s="98" t="s">
        <v>471</v>
      </c>
      <c r="K1885" s="101" t="s">
        <v>4657</v>
      </c>
      <c r="L1885" s="102" t="n">
        <v>45757</v>
      </c>
      <c r="M1885" s="100" t="n">
        <v>5916</v>
      </c>
      <c r="N1885" s="100" t="n">
        <v>7746</v>
      </c>
      <c r="O1885" s="100" t="n">
        <v>1830</v>
      </c>
      <c r="P1885" s="100" t="n">
        <v>1775</v>
      </c>
      <c r="Q1885" s="100"/>
      <c r="R1885" s="103" t="n">
        <f aca="false">合約與計費!$D$4</f>
        <v>0.296</v>
      </c>
      <c r="S1885" s="104" t="n">
        <f aca="false">ROUND(P1885*R1885,0)</f>
        <v>525</v>
      </c>
      <c r="T1885" s="105"/>
      <c r="U1885" s="100"/>
      <c r="V1885" s="100"/>
      <c r="W1885" s="106"/>
      <c r="X1885" s="100"/>
      <c r="Y1885" s="100"/>
      <c r="Z1885" s="107"/>
      <c r="AA1885" s="108"/>
      <c r="AB1885" s="109"/>
      <c r="AC1885" s="110"/>
      <c r="AD1885" s="42" t="n">
        <v>0.0851</v>
      </c>
      <c r="AE1885" s="43" t="n">
        <v>0.3</v>
      </c>
    </row>
    <row r="1886" customFormat="false" ht="16.5" hidden="false" customHeight="true" outlineLevel="0" collapsed="false">
      <c r="A1886" s="111" t="n">
        <f aca="false">ROW(A1875)</f>
        <v>1875</v>
      </c>
      <c r="B1886" s="111" t="s">
        <v>479</v>
      </c>
      <c r="C1886" s="114" t="n">
        <v>1</v>
      </c>
      <c r="D1886" s="85"/>
      <c r="E1886" s="112" t="s">
        <v>4658</v>
      </c>
      <c r="F1886" s="113" t="s">
        <v>4646</v>
      </c>
      <c r="G1886" s="114" t="s">
        <v>4100</v>
      </c>
      <c r="H1886" s="114" t="s">
        <v>4521</v>
      </c>
      <c r="I1886" s="114" t="s">
        <v>389</v>
      </c>
      <c r="J1886" s="112" t="s">
        <v>471</v>
      </c>
      <c r="K1886" s="115" t="s">
        <v>4659</v>
      </c>
      <c r="L1886" s="116" t="n">
        <v>45757</v>
      </c>
      <c r="M1886" s="114" t="n">
        <v>1800</v>
      </c>
      <c r="N1886" s="114" t="n">
        <v>2188</v>
      </c>
      <c r="O1886" s="114" t="n">
        <v>388</v>
      </c>
      <c r="P1886" s="114" t="n">
        <v>376</v>
      </c>
      <c r="Q1886" s="114" t="n">
        <f aca="false">ROUND(SUM(P1880:P1886),2)</f>
        <v>8124</v>
      </c>
      <c r="R1886" s="117" t="n">
        <f aca="false">合約與計費!$D$4</f>
        <v>0.296</v>
      </c>
      <c r="S1886" s="118" t="n">
        <f aca="false">ROUND(P1886*R1886,0)</f>
        <v>111</v>
      </c>
      <c r="T1886" s="119" t="n">
        <f aca="false">ROUND(SUM(S1880:S1886),2)</f>
        <v>2404</v>
      </c>
      <c r="U1886" s="114"/>
      <c r="V1886" s="114"/>
      <c r="W1886" s="120"/>
      <c r="X1886" s="114"/>
      <c r="Y1886" s="114" t="n">
        <f aca="false">ROUND(SUM(X1880:X1886),2)</f>
        <v>99</v>
      </c>
      <c r="Z1886" s="121"/>
      <c r="AA1886" s="122"/>
      <c r="AB1886" s="123" t="n">
        <f aca="false">ROUND(SUM(AA1880:AA1886),2)</f>
        <v>277</v>
      </c>
      <c r="AC1886" s="124"/>
      <c r="AD1886" s="42" t="n">
        <v>0.0568</v>
      </c>
      <c r="AE1886" s="43" t="n">
        <v>0.2</v>
      </c>
    </row>
    <row r="1887" customFormat="false" ht="16.5" hidden="false" customHeight="true" outlineLevel="0" collapsed="false">
      <c r="A1887" s="84" t="n">
        <f aca="false">ROW(A1876)</f>
        <v>1876</v>
      </c>
      <c r="B1887" s="84" t="s">
        <v>455</v>
      </c>
      <c r="C1887" s="32" t="n">
        <v>1</v>
      </c>
      <c r="D1887" s="85" t="n">
        <v>339</v>
      </c>
      <c r="E1887" s="86" t="s">
        <v>4660</v>
      </c>
      <c r="F1887" s="87" t="s">
        <v>4661</v>
      </c>
      <c r="G1887" s="32" t="s">
        <v>4100</v>
      </c>
      <c r="H1887" s="32" t="s">
        <v>4521</v>
      </c>
      <c r="I1887" s="172" t="s">
        <v>256</v>
      </c>
      <c r="J1887" s="86" t="s">
        <v>460</v>
      </c>
      <c r="K1887" s="88" t="s">
        <v>4662</v>
      </c>
      <c r="L1887" s="89" t="n">
        <v>45772</v>
      </c>
      <c r="M1887" s="32" t="n">
        <v>453</v>
      </c>
      <c r="N1887" s="32" t="n">
        <v>553</v>
      </c>
      <c r="O1887" s="32" t="n">
        <v>100</v>
      </c>
      <c r="P1887" s="32" t="n">
        <v>97</v>
      </c>
      <c r="Q1887" s="32"/>
      <c r="R1887" s="90" t="n">
        <f aca="false">合約與計費!$D$4</f>
        <v>0.296</v>
      </c>
      <c r="S1887" s="91" t="n">
        <f aca="false">ROUND(P1887*R1887,0)</f>
        <v>29</v>
      </c>
      <c r="T1887" s="92"/>
      <c r="U1887" s="32" t="n">
        <v>60</v>
      </c>
      <c r="V1887" s="32" t="n">
        <v>74</v>
      </c>
      <c r="W1887" s="32" t="n">
        <v>14</v>
      </c>
      <c r="X1887" s="32" t="n">
        <v>14</v>
      </c>
      <c r="Y1887" s="32"/>
      <c r="Z1887" s="93" t="n">
        <f aca="false">合約與計費!$E$4</f>
        <v>2.8</v>
      </c>
      <c r="AA1887" s="94" t="n">
        <f aca="false">ROUND(X1887*Z1887,0)</f>
        <v>39</v>
      </c>
      <c r="AB1887" s="95"/>
      <c r="AC1887" s="254"/>
      <c r="AD1887" s="42"/>
      <c r="AE1887" s="43"/>
    </row>
    <row r="1888" customFormat="false" ht="16.5" hidden="false" customHeight="true" outlineLevel="0" collapsed="false">
      <c r="A1888" s="97" t="n">
        <f aca="false">ROW(A1877)</f>
        <v>1877</v>
      </c>
      <c r="B1888" s="97" t="s">
        <v>462</v>
      </c>
      <c r="C1888" s="100" t="n">
        <v>1</v>
      </c>
      <c r="D1888" s="85"/>
      <c r="E1888" s="98" t="s">
        <v>4663</v>
      </c>
      <c r="F1888" s="99" t="s">
        <v>4661</v>
      </c>
      <c r="G1888" s="100" t="s">
        <v>4100</v>
      </c>
      <c r="H1888" s="100" t="s">
        <v>4521</v>
      </c>
      <c r="I1888" s="175" t="s">
        <v>256</v>
      </c>
      <c r="J1888" s="98" t="s">
        <v>464</v>
      </c>
      <c r="K1888" s="101" t="s">
        <v>4664</v>
      </c>
      <c r="L1888" s="102" t="n">
        <v>45772</v>
      </c>
      <c r="M1888" s="100" t="n">
        <v>786</v>
      </c>
      <c r="N1888" s="100" t="n">
        <v>980</v>
      </c>
      <c r="O1888" s="100" t="n">
        <v>194</v>
      </c>
      <c r="P1888" s="100" t="n">
        <v>188</v>
      </c>
      <c r="Q1888" s="100"/>
      <c r="R1888" s="103" t="n">
        <f aca="false">合約與計費!$D$4</f>
        <v>0.296</v>
      </c>
      <c r="S1888" s="104" t="n">
        <f aca="false">ROUND(P1888*R1888,0)</f>
        <v>56</v>
      </c>
      <c r="T1888" s="105"/>
      <c r="U1888" s="100"/>
      <c r="V1888" s="100"/>
      <c r="W1888" s="106"/>
      <c r="X1888" s="100"/>
      <c r="Y1888" s="100"/>
      <c r="Z1888" s="107"/>
      <c r="AA1888" s="108"/>
      <c r="AB1888" s="109"/>
      <c r="AC1888" s="110"/>
      <c r="AD1888" s="42" t="n">
        <v>0.0552</v>
      </c>
      <c r="AE1888" s="43" t="n">
        <v>0.6</v>
      </c>
    </row>
    <row r="1889" customFormat="false" ht="16.5" hidden="false" customHeight="true" outlineLevel="0" collapsed="false">
      <c r="A1889" s="97" t="n">
        <f aca="false">ROW(A1878)</f>
        <v>1878</v>
      </c>
      <c r="B1889" s="97" t="s">
        <v>466</v>
      </c>
      <c r="C1889" s="100" t="n">
        <v>1</v>
      </c>
      <c r="D1889" s="85"/>
      <c r="E1889" s="98" t="s">
        <v>4665</v>
      </c>
      <c r="F1889" s="99" t="s">
        <v>4661</v>
      </c>
      <c r="G1889" s="100" t="s">
        <v>4100</v>
      </c>
      <c r="H1889" s="100" t="s">
        <v>4521</v>
      </c>
      <c r="I1889" s="175" t="s">
        <v>256</v>
      </c>
      <c r="J1889" s="98" t="s">
        <v>471</v>
      </c>
      <c r="K1889" s="171" t="s">
        <v>4666</v>
      </c>
      <c r="L1889" s="102" t="n">
        <v>45772</v>
      </c>
      <c r="M1889" s="100" t="n">
        <v>2689</v>
      </c>
      <c r="N1889" s="100" t="n">
        <v>3610</v>
      </c>
      <c r="O1889" s="100" t="n">
        <v>921</v>
      </c>
      <c r="P1889" s="100" t="n">
        <v>893</v>
      </c>
      <c r="Q1889" s="100"/>
      <c r="R1889" s="103" t="n">
        <f aca="false">合約與計費!$D$4</f>
        <v>0.296</v>
      </c>
      <c r="S1889" s="104" t="n">
        <f aca="false">ROUND(P1889*R1889,0)</f>
        <v>264</v>
      </c>
      <c r="T1889" s="105"/>
      <c r="U1889" s="100"/>
      <c r="V1889" s="100"/>
      <c r="W1889" s="106"/>
      <c r="X1889" s="100"/>
      <c r="Y1889" s="100"/>
      <c r="Z1889" s="107"/>
      <c r="AA1889" s="108"/>
      <c r="AB1889" s="109"/>
      <c r="AC1889" s="110"/>
      <c r="AD1889" s="42" t="n">
        <v>0.0748</v>
      </c>
      <c r="AE1889" s="43" t="n">
        <v>1</v>
      </c>
    </row>
    <row r="1890" customFormat="false" ht="16.5" hidden="false" customHeight="true" outlineLevel="0" collapsed="false">
      <c r="A1890" s="97" t="n">
        <f aca="false">ROW(A1879)</f>
        <v>1879</v>
      </c>
      <c r="B1890" s="97" t="s">
        <v>469</v>
      </c>
      <c r="C1890" s="100" t="n">
        <v>1</v>
      </c>
      <c r="D1890" s="85"/>
      <c r="E1890" s="98" t="s">
        <v>4667</v>
      </c>
      <c r="F1890" s="99" t="s">
        <v>4661</v>
      </c>
      <c r="G1890" s="100" t="s">
        <v>4100</v>
      </c>
      <c r="H1890" s="100" t="s">
        <v>4521</v>
      </c>
      <c r="I1890" s="175" t="s">
        <v>256</v>
      </c>
      <c r="J1890" s="98" t="s">
        <v>471</v>
      </c>
      <c r="K1890" s="171" t="s">
        <v>4668</v>
      </c>
      <c r="L1890" s="102" t="n">
        <v>45772</v>
      </c>
      <c r="M1890" s="100" t="n">
        <v>353</v>
      </c>
      <c r="N1890" s="100" t="n">
        <v>455</v>
      </c>
      <c r="O1890" s="100" t="n">
        <v>102</v>
      </c>
      <c r="P1890" s="100" t="n">
        <v>99</v>
      </c>
      <c r="Q1890" s="100"/>
      <c r="R1890" s="103" t="n">
        <f aca="false">合約與計費!$D$4</f>
        <v>0.296</v>
      </c>
      <c r="S1890" s="104" t="n">
        <f aca="false">ROUND(P1890*R1890,0)</f>
        <v>29</v>
      </c>
      <c r="T1890" s="105"/>
      <c r="U1890" s="100"/>
      <c r="V1890" s="100"/>
      <c r="W1890" s="106"/>
      <c r="X1890" s="100"/>
      <c r="Y1890" s="100"/>
      <c r="Z1890" s="107"/>
      <c r="AA1890" s="108"/>
      <c r="AB1890" s="109"/>
      <c r="AC1890" s="110"/>
      <c r="AD1890" s="42" t="n">
        <v>0.2341</v>
      </c>
      <c r="AE1890" s="43" t="n">
        <v>0.9</v>
      </c>
    </row>
    <row r="1891" customFormat="false" ht="16.5" hidden="false" customHeight="true" outlineLevel="0" collapsed="false">
      <c r="A1891" s="97" t="n">
        <f aca="false">ROW(A1880)</f>
        <v>1880</v>
      </c>
      <c r="B1891" s="97" t="s">
        <v>473</v>
      </c>
      <c r="C1891" s="100" t="n">
        <v>1</v>
      </c>
      <c r="D1891" s="85"/>
      <c r="E1891" s="98" t="s">
        <v>4669</v>
      </c>
      <c r="F1891" s="99" t="s">
        <v>4661</v>
      </c>
      <c r="G1891" s="100" t="s">
        <v>4100</v>
      </c>
      <c r="H1891" s="100" t="s">
        <v>4521</v>
      </c>
      <c r="I1891" s="175" t="s">
        <v>256</v>
      </c>
      <c r="J1891" s="98" t="s">
        <v>471</v>
      </c>
      <c r="K1891" s="171" t="s">
        <v>4670</v>
      </c>
      <c r="L1891" s="102" t="n">
        <v>45772</v>
      </c>
      <c r="M1891" s="100" t="n">
        <v>2823</v>
      </c>
      <c r="N1891" s="100" t="n">
        <v>3482</v>
      </c>
      <c r="O1891" s="100" t="n">
        <v>659</v>
      </c>
      <c r="P1891" s="100" t="n">
        <v>639</v>
      </c>
      <c r="Q1891" s="100"/>
      <c r="R1891" s="103" t="n">
        <f aca="false">合約與計費!$D$4</f>
        <v>0.296</v>
      </c>
      <c r="S1891" s="104" t="n">
        <f aca="false">ROUND(P1891*R1891,0)</f>
        <v>189</v>
      </c>
      <c r="T1891" s="105"/>
      <c r="U1891" s="100"/>
      <c r="V1891" s="100"/>
      <c r="W1891" s="106"/>
      <c r="X1891" s="100"/>
      <c r="Y1891" s="100"/>
      <c r="Z1891" s="107"/>
      <c r="AA1891" s="108"/>
      <c r="AB1891" s="109"/>
      <c r="AC1891" s="110"/>
      <c r="AD1891" s="42" t="n">
        <v>0.0756</v>
      </c>
      <c r="AE1891" s="43" t="n">
        <v>0.8</v>
      </c>
    </row>
    <row r="1892" customFormat="false" ht="16.5" hidden="false" customHeight="true" outlineLevel="0" collapsed="false">
      <c r="A1892" s="111" t="n">
        <f aca="false">ROW(A1881)</f>
        <v>1881</v>
      </c>
      <c r="B1892" s="111" t="s">
        <v>476</v>
      </c>
      <c r="C1892" s="114" t="n">
        <v>1</v>
      </c>
      <c r="D1892" s="85"/>
      <c r="E1892" s="112" t="s">
        <v>4671</v>
      </c>
      <c r="F1892" s="113" t="s">
        <v>4661</v>
      </c>
      <c r="G1892" s="114" t="s">
        <v>4100</v>
      </c>
      <c r="H1892" s="114" t="s">
        <v>4521</v>
      </c>
      <c r="I1892" s="173" t="s">
        <v>256</v>
      </c>
      <c r="J1892" s="112" t="s">
        <v>471</v>
      </c>
      <c r="K1892" s="236" t="s">
        <v>4672</v>
      </c>
      <c r="L1892" s="116" t="n">
        <v>45772</v>
      </c>
      <c r="M1892" s="114" t="n">
        <v>3626</v>
      </c>
      <c r="N1892" s="114" t="n">
        <v>4595</v>
      </c>
      <c r="O1892" s="114" t="n">
        <v>969</v>
      </c>
      <c r="P1892" s="114" t="n">
        <v>940</v>
      </c>
      <c r="Q1892" s="114" t="n">
        <f aca="false">ROUND(SUM(P1887:P1892),2)</f>
        <v>2856</v>
      </c>
      <c r="R1892" s="117" t="n">
        <f aca="false">合約與計費!$D$4</f>
        <v>0.296</v>
      </c>
      <c r="S1892" s="118" t="n">
        <f aca="false">ROUND(P1892*R1892,0)</f>
        <v>278</v>
      </c>
      <c r="T1892" s="119" t="n">
        <f aca="false">ROUND(SUM(S1887:S1892),2)</f>
        <v>845</v>
      </c>
      <c r="U1892" s="114"/>
      <c r="V1892" s="114"/>
      <c r="W1892" s="120"/>
      <c r="X1892" s="114"/>
      <c r="Y1892" s="114" t="n">
        <f aca="false">ROUND(SUM(X1887:X1892),2)</f>
        <v>14</v>
      </c>
      <c r="Z1892" s="121"/>
      <c r="AA1892" s="122"/>
      <c r="AB1892" s="123" t="n">
        <f aca="false">ROUND(SUM(AA1887:AA1892),2)</f>
        <v>39</v>
      </c>
      <c r="AC1892" s="124"/>
      <c r="AD1892" s="42" t="n">
        <v>0.0793</v>
      </c>
      <c r="AE1892" s="43" t="n">
        <v>0.9</v>
      </c>
    </row>
    <row r="1893" customFormat="false" ht="16.5" hidden="false" customHeight="true" outlineLevel="0" collapsed="false">
      <c r="A1893" s="84" t="n">
        <f aca="false">ROW(A1882)</f>
        <v>1882</v>
      </c>
      <c r="B1893" s="84" t="s">
        <v>455</v>
      </c>
      <c r="C1893" s="32" t="n">
        <v>1</v>
      </c>
      <c r="D1893" s="85" t="n">
        <v>341</v>
      </c>
      <c r="E1893" s="86" t="s">
        <v>4673</v>
      </c>
      <c r="F1893" s="87" t="s">
        <v>4674</v>
      </c>
      <c r="G1893" s="32" t="s">
        <v>4100</v>
      </c>
      <c r="H1893" s="32" t="s">
        <v>4521</v>
      </c>
      <c r="I1893" s="172" t="s">
        <v>302</v>
      </c>
      <c r="J1893" s="86" t="s">
        <v>460</v>
      </c>
      <c r="K1893" s="88" t="s">
        <v>4675</v>
      </c>
      <c r="L1893" s="89" t="n">
        <v>45747</v>
      </c>
      <c r="M1893" s="32" t="n">
        <v>16</v>
      </c>
      <c r="N1893" s="32" t="n">
        <v>21</v>
      </c>
      <c r="O1893" s="32" t="n">
        <v>5</v>
      </c>
      <c r="P1893" s="32" t="n">
        <v>5</v>
      </c>
      <c r="Q1893" s="32"/>
      <c r="R1893" s="90" t="n">
        <f aca="false">合約與計費!$D$4</f>
        <v>0.296</v>
      </c>
      <c r="S1893" s="91" t="n">
        <f aca="false">ROUND(P1893*R1893,0)</f>
        <v>1</v>
      </c>
      <c r="T1893" s="92"/>
      <c r="U1893" s="32" t="n">
        <v>135</v>
      </c>
      <c r="V1893" s="32" t="n">
        <v>183</v>
      </c>
      <c r="W1893" s="32" t="n">
        <v>48</v>
      </c>
      <c r="X1893" s="32" t="n">
        <v>47</v>
      </c>
      <c r="Y1893" s="32"/>
      <c r="Z1893" s="93" t="n">
        <f aca="false">合約與計費!$E$4</f>
        <v>2.8</v>
      </c>
      <c r="AA1893" s="94" t="n">
        <f aca="false">ROUND(X1893*Z1893,0)</f>
        <v>132</v>
      </c>
      <c r="AB1893" s="95"/>
      <c r="AC1893" s="254"/>
      <c r="AD1893" s="42"/>
      <c r="AE1893" s="43"/>
    </row>
    <row r="1894" customFormat="false" ht="16.5" hidden="false" customHeight="true" outlineLevel="0" collapsed="false">
      <c r="A1894" s="97" t="n">
        <f aca="false">ROW(A1883)</f>
        <v>1883</v>
      </c>
      <c r="B1894" s="97" t="s">
        <v>462</v>
      </c>
      <c r="C1894" s="100" t="n">
        <v>1</v>
      </c>
      <c r="D1894" s="85"/>
      <c r="E1894" s="98" t="s">
        <v>4676</v>
      </c>
      <c r="F1894" s="99" t="s">
        <v>4674</v>
      </c>
      <c r="G1894" s="100" t="s">
        <v>4100</v>
      </c>
      <c r="H1894" s="100" t="s">
        <v>4521</v>
      </c>
      <c r="I1894" s="175" t="s">
        <v>302</v>
      </c>
      <c r="J1894" s="98" t="s">
        <v>464</v>
      </c>
      <c r="K1894" s="101" t="s">
        <v>4677</v>
      </c>
      <c r="L1894" s="102" t="n">
        <v>45747</v>
      </c>
      <c r="M1894" s="100" t="n">
        <v>1212</v>
      </c>
      <c r="N1894" s="100" t="n">
        <v>1426</v>
      </c>
      <c r="O1894" s="100" t="n">
        <v>214</v>
      </c>
      <c r="P1894" s="100" t="n">
        <v>208</v>
      </c>
      <c r="Q1894" s="100"/>
      <c r="R1894" s="103" t="n">
        <f aca="false">合約與計費!$D$4</f>
        <v>0.296</v>
      </c>
      <c r="S1894" s="104" t="n">
        <f aca="false">ROUND(P1894*R1894,0)</f>
        <v>62</v>
      </c>
      <c r="T1894" s="105"/>
      <c r="U1894" s="100"/>
      <c r="V1894" s="100"/>
      <c r="W1894" s="106"/>
      <c r="X1894" s="100"/>
      <c r="Y1894" s="100"/>
      <c r="Z1894" s="107"/>
      <c r="AA1894" s="108"/>
      <c r="AB1894" s="109"/>
      <c r="AC1894" s="110"/>
      <c r="AD1894" s="42" t="n">
        <v>0.058</v>
      </c>
      <c r="AE1894" s="43" t="n">
        <v>0.3</v>
      </c>
    </row>
    <row r="1895" customFormat="false" ht="16.5" hidden="false" customHeight="true" outlineLevel="0" collapsed="false">
      <c r="A1895" s="111" t="n">
        <f aca="false">ROW(A1884)</f>
        <v>1884</v>
      </c>
      <c r="B1895" s="111" t="s">
        <v>466</v>
      </c>
      <c r="C1895" s="114" t="n">
        <v>1</v>
      </c>
      <c r="D1895" s="85"/>
      <c r="E1895" s="112" t="s">
        <v>4678</v>
      </c>
      <c r="F1895" s="113" t="s">
        <v>4674</v>
      </c>
      <c r="G1895" s="114" t="s">
        <v>4100</v>
      </c>
      <c r="H1895" s="114" t="s">
        <v>4521</v>
      </c>
      <c r="I1895" s="173" t="s">
        <v>302</v>
      </c>
      <c r="J1895" s="112" t="s">
        <v>471</v>
      </c>
      <c r="K1895" s="115" t="s">
        <v>4679</v>
      </c>
      <c r="L1895" s="116" t="n">
        <v>45747</v>
      </c>
      <c r="M1895" s="114" t="n">
        <v>2899</v>
      </c>
      <c r="N1895" s="114" t="n">
        <v>4187</v>
      </c>
      <c r="O1895" s="114" t="n">
        <v>1288</v>
      </c>
      <c r="P1895" s="114" t="n">
        <v>1249</v>
      </c>
      <c r="Q1895" s="114" t="n">
        <f aca="false">ROUND(SUM(P1893:P1895),2)</f>
        <v>1462</v>
      </c>
      <c r="R1895" s="117" t="n">
        <f aca="false">合約與計費!$D$4</f>
        <v>0.296</v>
      </c>
      <c r="S1895" s="118" t="n">
        <f aca="false">ROUND(P1895*R1895,0)</f>
        <v>370</v>
      </c>
      <c r="T1895" s="119" t="n">
        <f aca="false">ROUND(SUM(S1893:S1895),2)</f>
        <v>433</v>
      </c>
      <c r="U1895" s="114"/>
      <c r="V1895" s="114"/>
      <c r="W1895" s="120"/>
      <c r="X1895" s="114"/>
      <c r="Y1895" s="114" t="n">
        <f aca="false">ROUND(SUM(X1893:X1895),2)</f>
        <v>47</v>
      </c>
      <c r="Z1895" s="121"/>
      <c r="AA1895" s="122"/>
      <c r="AB1895" s="123" t="n">
        <f aca="false">ROUND(SUM(AA1893:AA1895),2)</f>
        <v>132</v>
      </c>
      <c r="AC1895" s="124"/>
      <c r="AD1895" s="42" t="n">
        <v>0.0954</v>
      </c>
      <c r="AE1895" s="43" t="n">
        <v>0.7</v>
      </c>
    </row>
    <row r="1896" customFormat="false" ht="16.5" hidden="false" customHeight="true" outlineLevel="0" collapsed="false">
      <c r="A1896" s="84" t="n">
        <f aca="false">ROW(A1885)</f>
        <v>1885</v>
      </c>
      <c r="B1896" s="84" t="s">
        <v>455</v>
      </c>
      <c r="C1896" s="32" t="n">
        <v>1</v>
      </c>
      <c r="D1896" s="85" t="n">
        <v>346</v>
      </c>
      <c r="E1896" s="86" t="s">
        <v>4680</v>
      </c>
      <c r="F1896" s="87" t="s">
        <v>4681</v>
      </c>
      <c r="G1896" s="32" t="s">
        <v>4100</v>
      </c>
      <c r="H1896" s="32" t="s">
        <v>4521</v>
      </c>
      <c r="I1896" s="172" t="s">
        <v>69</v>
      </c>
      <c r="J1896" s="86" t="s">
        <v>464</v>
      </c>
      <c r="K1896" s="225" t="s">
        <v>4682</v>
      </c>
      <c r="L1896" s="89" t="n">
        <v>45776</v>
      </c>
      <c r="M1896" s="32" t="n">
        <v>697</v>
      </c>
      <c r="N1896" s="32" t="n">
        <v>839</v>
      </c>
      <c r="O1896" s="32" t="n">
        <v>142</v>
      </c>
      <c r="P1896" s="32" t="n">
        <v>138</v>
      </c>
      <c r="Q1896" s="32"/>
      <c r="R1896" s="90" t="n">
        <f aca="false">合約與計費!$D$4</f>
        <v>0.296</v>
      </c>
      <c r="S1896" s="91" t="n">
        <f aca="false">ROUND(P1896*R1896,0)</f>
        <v>41</v>
      </c>
      <c r="T1896" s="92"/>
      <c r="U1896" s="32"/>
      <c r="V1896" s="32"/>
      <c r="W1896" s="226"/>
      <c r="X1896" s="32"/>
      <c r="Y1896" s="32"/>
      <c r="Z1896" s="93"/>
      <c r="AA1896" s="94"/>
      <c r="AB1896" s="95"/>
      <c r="AC1896" s="254"/>
      <c r="AD1896" s="42" t="n">
        <v>0.0503</v>
      </c>
      <c r="AE1896" s="43" t="n">
        <v>0.7</v>
      </c>
    </row>
    <row r="1897" customFormat="false" ht="16.5" hidden="false" customHeight="true" outlineLevel="0" collapsed="false">
      <c r="A1897" s="111" t="n">
        <f aca="false">ROW(A1886)</f>
        <v>1886</v>
      </c>
      <c r="B1897" s="111" t="s">
        <v>462</v>
      </c>
      <c r="C1897" s="114" t="n">
        <v>1</v>
      </c>
      <c r="D1897" s="85"/>
      <c r="E1897" s="112" t="s">
        <v>4683</v>
      </c>
      <c r="F1897" s="113" t="s">
        <v>4681</v>
      </c>
      <c r="G1897" s="114" t="s">
        <v>4100</v>
      </c>
      <c r="H1897" s="114" t="s">
        <v>4521</v>
      </c>
      <c r="I1897" s="173" t="s">
        <v>69</v>
      </c>
      <c r="J1897" s="112" t="s">
        <v>471</v>
      </c>
      <c r="K1897" s="115" t="s">
        <v>4684</v>
      </c>
      <c r="L1897" s="116" t="n">
        <v>45776</v>
      </c>
      <c r="M1897" s="114" t="n">
        <v>1521</v>
      </c>
      <c r="N1897" s="114" t="n">
        <v>1867</v>
      </c>
      <c r="O1897" s="114" t="n">
        <v>346</v>
      </c>
      <c r="P1897" s="114" t="n">
        <v>336</v>
      </c>
      <c r="Q1897" s="114" t="n">
        <f aca="false">ROUND(SUM(P1896:P1897),2)</f>
        <v>474</v>
      </c>
      <c r="R1897" s="117" t="n">
        <f aca="false">合約與計費!$D$4</f>
        <v>0.296</v>
      </c>
      <c r="S1897" s="118" t="n">
        <f aca="false">ROUND(P1897*R1897,0)</f>
        <v>99</v>
      </c>
      <c r="T1897" s="119" t="n">
        <f aca="false">ROUND(SUM(S1896:S1897),2)</f>
        <v>140</v>
      </c>
      <c r="U1897" s="114"/>
      <c r="V1897" s="114"/>
      <c r="W1897" s="120"/>
      <c r="X1897" s="114"/>
      <c r="Y1897" s="114"/>
      <c r="Z1897" s="121"/>
      <c r="AA1897" s="108"/>
      <c r="AB1897" s="109"/>
      <c r="AC1897" s="124"/>
      <c r="AD1897" s="42" t="n">
        <v>0.0487</v>
      </c>
      <c r="AE1897" s="43" t="n">
        <v>0.3</v>
      </c>
    </row>
    <row r="1898" customFormat="false" ht="16.5" hidden="false" customHeight="true" outlineLevel="0" collapsed="false">
      <c r="A1898" s="85" t="n">
        <f aca="false">ROW(A1887)</f>
        <v>1887</v>
      </c>
      <c r="B1898" s="85" t="s">
        <v>455</v>
      </c>
      <c r="C1898" s="216" t="n">
        <v>1</v>
      </c>
      <c r="D1898" s="85" t="n">
        <v>419</v>
      </c>
      <c r="E1898" s="214" t="s">
        <v>4685</v>
      </c>
      <c r="F1898" s="215" t="s">
        <v>4686</v>
      </c>
      <c r="G1898" s="216" t="s">
        <v>4100</v>
      </c>
      <c r="H1898" s="216" t="s">
        <v>4521</v>
      </c>
      <c r="I1898" s="246" t="s">
        <v>4687</v>
      </c>
      <c r="J1898" s="214" t="s">
        <v>464</v>
      </c>
      <c r="K1898" s="232" t="s">
        <v>4688</v>
      </c>
      <c r="L1898" s="218" t="n">
        <v>45744</v>
      </c>
      <c r="M1898" s="216" t="n">
        <v>676</v>
      </c>
      <c r="N1898" s="216" t="n">
        <v>794</v>
      </c>
      <c r="O1898" s="114" t="n">
        <v>118</v>
      </c>
      <c r="P1898" s="114" t="n">
        <v>114</v>
      </c>
      <c r="Q1898" s="114" t="n">
        <f aca="false">ROUND(SUM(P1898),2)</f>
        <v>114</v>
      </c>
      <c r="R1898" s="219" t="n">
        <f aca="false">合約與計費!$D$4</f>
        <v>0.296</v>
      </c>
      <c r="S1898" s="220" t="n">
        <f aca="false">ROUND(P1898*R1898,0)</f>
        <v>34</v>
      </c>
      <c r="T1898" s="119" t="n">
        <f aca="false">ROUND(SUM(S1898),2)</f>
        <v>34</v>
      </c>
      <c r="U1898" s="216"/>
      <c r="V1898" s="216"/>
      <c r="W1898" s="247"/>
      <c r="X1898" s="216"/>
      <c r="Y1898" s="216"/>
      <c r="Z1898" s="221"/>
      <c r="AA1898" s="222"/>
      <c r="AB1898" s="223"/>
      <c r="AC1898" s="224"/>
      <c r="AD1898" s="42" t="n">
        <v>0.0473</v>
      </c>
      <c r="AE1898" s="43" t="n">
        <v>0.7</v>
      </c>
    </row>
    <row r="1899" customFormat="false" ht="16.5" hidden="false" customHeight="true" outlineLevel="0" collapsed="false">
      <c r="A1899" s="84" t="n">
        <f aca="false">ROW(A1888)</f>
        <v>1888</v>
      </c>
      <c r="B1899" s="84" t="s">
        <v>455</v>
      </c>
      <c r="C1899" s="32" t="n">
        <v>1</v>
      </c>
      <c r="D1899" s="85" t="n">
        <v>176</v>
      </c>
      <c r="E1899" s="86" t="s">
        <v>4689</v>
      </c>
      <c r="F1899" s="87" t="s">
        <v>4690</v>
      </c>
      <c r="G1899" s="32" t="s">
        <v>4100</v>
      </c>
      <c r="H1899" s="32" t="s">
        <v>4691</v>
      </c>
      <c r="I1899" s="32" t="s">
        <v>249</v>
      </c>
      <c r="J1899" s="86" t="s">
        <v>460</v>
      </c>
      <c r="K1899" s="88" t="s">
        <v>4692</v>
      </c>
      <c r="L1899" s="89" t="n">
        <v>45723</v>
      </c>
      <c r="M1899" s="32" t="n">
        <v>713</v>
      </c>
      <c r="N1899" s="32" t="n">
        <v>837</v>
      </c>
      <c r="O1899" s="32" t="n">
        <v>124</v>
      </c>
      <c r="P1899" s="32" t="n">
        <v>120</v>
      </c>
      <c r="Q1899" s="32"/>
      <c r="R1899" s="90" t="n">
        <f aca="false">合約與計費!$D$4</f>
        <v>0.296</v>
      </c>
      <c r="S1899" s="91" t="n">
        <f aca="false">ROUND(P1899*R1899,0)</f>
        <v>36</v>
      </c>
      <c r="T1899" s="92"/>
      <c r="U1899" s="32" t="n">
        <v>831</v>
      </c>
      <c r="V1899" s="32" t="n">
        <v>948</v>
      </c>
      <c r="W1899" s="32" t="n">
        <v>117</v>
      </c>
      <c r="X1899" s="32" t="n">
        <v>113</v>
      </c>
      <c r="Y1899" s="32"/>
      <c r="Z1899" s="93" t="n">
        <f aca="false">合約與計費!$E$4</f>
        <v>2.8</v>
      </c>
      <c r="AA1899" s="94" t="n">
        <f aca="false">ROUND(X1899*Z1899,0)</f>
        <v>316</v>
      </c>
      <c r="AB1899" s="95"/>
      <c r="AC1899" s="254"/>
      <c r="AD1899" s="42"/>
      <c r="AE1899" s="43"/>
    </row>
    <row r="1900" customFormat="false" ht="16.5" hidden="false" customHeight="true" outlineLevel="0" collapsed="false">
      <c r="A1900" s="97" t="n">
        <f aca="false">ROW(A1889)</f>
        <v>1889</v>
      </c>
      <c r="B1900" s="97" t="s">
        <v>462</v>
      </c>
      <c r="C1900" s="100" t="n">
        <v>1</v>
      </c>
      <c r="D1900" s="85"/>
      <c r="E1900" s="98" t="s">
        <v>4693</v>
      </c>
      <c r="F1900" s="99" t="s">
        <v>4690</v>
      </c>
      <c r="G1900" s="100" t="s">
        <v>4100</v>
      </c>
      <c r="H1900" s="100" t="s">
        <v>4691</v>
      </c>
      <c r="I1900" s="100" t="s">
        <v>249</v>
      </c>
      <c r="J1900" s="98" t="s">
        <v>464</v>
      </c>
      <c r="K1900" s="101" t="s">
        <v>4694</v>
      </c>
      <c r="L1900" s="102" t="n">
        <v>45723</v>
      </c>
      <c r="M1900" s="100" t="n">
        <v>894</v>
      </c>
      <c r="N1900" s="100" t="n">
        <v>1120</v>
      </c>
      <c r="O1900" s="100" t="n">
        <v>226</v>
      </c>
      <c r="P1900" s="100" t="n">
        <v>219</v>
      </c>
      <c r="Q1900" s="100"/>
      <c r="R1900" s="103" t="n">
        <f aca="false">合約與計費!$D$4</f>
        <v>0.296</v>
      </c>
      <c r="S1900" s="104" t="n">
        <f aca="false">ROUND(P1900*R1900,0)</f>
        <v>65</v>
      </c>
      <c r="T1900" s="105"/>
      <c r="U1900" s="100"/>
      <c r="V1900" s="100"/>
      <c r="W1900" s="106"/>
      <c r="X1900" s="100"/>
      <c r="Y1900" s="100"/>
      <c r="Z1900" s="107"/>
      <c r="AA1900" s="108"/>
      <c r="AB1900" s="109"/>
      <c r="AC1900" s="110"/>
      <c r="AD1900" s="42" t="n">
        <v>0.0543</v>
      </c>
      <c r="AE1900" s="43" t="n">
        <v>0.6</v>
      </c>
    </row>
    <row r="1901" customFormat="false" ht="16.5" hidden="false" customHeight="true" outlineLevel="0" collapsed="false">
      <c r="A1901" s="97" t="n">
        <f aca="false">ROW(A1890)</f>
        <v>1890</v>
      </c>
      <c r="B1901" s="97" t="s">
        <v>466</v>
      </c>
      <c r="C1901" s="100" t="n">
        <v>1</v>
      </c>
      <c r="D1901" s="85"/>
      <c r="E1901" s="98" t="s">
        <v>4695</v>
      </c>
      <c r="F1901" s="99" t="s">
        <v>4690</v>
      </c>
      <c r="G1901" s="100" t="s">
        <v>4100</v>
      </c>
      <c r="H1901" s="100" t="s">
        <v>4691</v>
      </c>
      <c r="I1901" s="100" t="s">
        <v>249</v>
      </c>
      <c r="J1901" s="98" t="s">
        <v>527</v>
      </c>
      <c r="K1901" s="101" t="s">
        <v>4696</v>
      </c>
      <c r="L1901" s="102" t="n">
        <v>45723</v>
      </c>
      <c r="M1901" s="100" t="n">
        <v>5079</v>
      </c>
      <c r="N1901" s="100" t="n">
        <v>6094</v>
      </c>
      <c r="O1901" s="100" t="n">
        <v>1015</v>
      </c>
      <c r="P1901" s="100" t="n">
        <v>985</v>
      </c>
      <c r="Q1901" s="100"/>
      <c r="R1901" s="103" t="n">
        <f aca="false">合約與計費!$D$4</f>
        <v>0.296</v>
      </c>
      <c r="S1901" s="104" t="n">
        <f aca="false">ROUND(P1901*R1901,0)</f>
        <v>292</v>
      </c>
      <c r="T1901" s="105"/>
      <c r="U1901" s="100"/>
      <c r="V1901" s="100"/>
      <c r="W1901" s="106"/>
      <c r="X1901" s="100"/>
      <c r="Y1901" s="100"/>
      <c r="Z1901" s="107"/>
      <c r="AA1901" s="108"/>
      <c r="AB1901" s="109"/>
      <c r="AC1901" s="110"/>
      <c r="AD1901" s="42"/>
      <c r="AE1901" s="43"/>
    </row>
    <row r="1902" customFormat="false" ht="16.5" hidden="false" customHeight="true" outlineLevel="0" collapsed="false">
      <c r="A1902" s="97" t="n">
        <f aca="false">ROW(A1891)</f>
        <v>1891</v>
      </c>
      <c r="B1902" s="97" t="s">
        <v>469</v>
      </c>
      <c r="C1902" s="100" t="n">
        <v>1</v>
      </c>
      <c r="D1902" s="85"/>
      <c r="E1902" s="98" t="s">
        <v>4697</v>
      </c>
      <c r="F1902" s="99" t="s">
        <v>4690</v>
      </c>
      <c r="G1902" s="100" t="s">
        <v>4100</v>
      </c>
      <c r="H1902" s="100" t="s">
        <v>4691</v>
      </c>
      <c r="I1902" s="100" t="s">
        <v>249</v>
      </c>
      <c r="J1902" s="98" t="s">
        <v>527</v>
      </c>
      <c r="K1902" s="101" t="s">
        <v>4698</v>
      </c>
      <c r="L1902" s="102" t="n">
        <v>45723</v>
      </c>
      <c r="M1902" s="100" t="n">
        <v>14</v>
      </c>
      <c r="N1902" s="100" t="n">
        <v>15</v>
      </c>
      <c r="O1902" s="100" t="n">
        <v>1</v>
      </c>
      <c r="P1902" s="100" t="n">
        <v>1</v>
      </c>
      <c r="Q1902" s="100"/>
      <c r="R1902" s="103" t="n">
        <f aca="false">合約與計費!$D$4</f>
        <v>0.296</v>
      </c>
      <c r="S1902" s="104" t="n">
        <f aca="false">ROUND(P1902*R1902,0)</f>
        <v>0</v>
      </c>
      <c r="T1902" s="105"/>
      <c r="U1902" s="100"/>
      <c r="V1902" s="100"/>
      <c r="W1902" s="106"/>
      <c r="X1902" s="100"/>
      <c r="Y1902" s="100"/>
      <c r="Z1902" s="107"/>
      <c r="AA1902" s="108"/>
      <c r="AB1902" s="109"/>
      <c r="AC1902" s="110"/>
      <c r="AD1902" s="42"/>
      <c r="AE1902" s="43"/>
    </row>
    <row r="1903" customFormat="false" ht="16.5" hidden="false" customHeight="true" outlineLevel="0" collapsed="false">
      <c r="A1903" s="97" t="n">
        <f aca="false">ROW(A1892)</f>
        <v>1892</v>
      </c>
      <c r="B1903" s="97" t="s">
        <v>473</v>
      </c>
      <c r="C1903" s="100" t="n">
        <v>1</v>
      </c>
      <c r="D1903" s="85"/>
      <c r="E1903" s="98" t="s">
        <v>4699</v>
      </c>
      <c r="F1903" s="99" t="s">
        <v>4690</v>
      </c>
      <c r="G1903" s="100" t="s">
        <v>4100</v>
      </c>
      <c r="H1903" s="100" t="s">
        <v>4691</v>
      </c>
      <c r="I1903" s="100" t="s">
        <v>249</v>
      </c>
      <c r="J1903" s="98" t="s">
        <v>527</v>
      </c>
      <c r="K1903" s="101" t="s">
        <v>4700</v>
      </c>
      <c r="L1903" s="102" t="n">
        <v>45723</v>
      </c>
      <c r="M1903" s="100" t="n">
        <v>3626</v>
      </c>
      <c r="N1903" s="100" t="n">
        <v>4240</v>
      </c>
      <c r="O1903" s="100" t="n">
        <v>614</v>
      </c>
      <c r="P1903" s="100" t="n">
        <v>596</v>
      </c>
      <c r="Q1903" s="100"/>
      <c r="R1903" s="103" t="n">
        <f aca="false">合約與計費!$D$4</f>
        <v>0.296</v>
      </c>
      <c r="S1903" s="104" t="n">
        <f aca="false">ROUND(P1903*R1903,0)</f>
        <v>176</v>
      </c>
      <c r="T1903" s="105"/>
      <c r="U1903" s="100"/>
      <c r="V1903" s="100"/>
      <c r="W1903" s="106"/>
      <c r="X1903" s="100"/>
      <c r="Y1903" s="100"/>
      <c r="Z1903" s="107"/>
      <c r="AA1903" s="108"/>
      <c r="AB1903" s="109"/>
      <c r="AC1903" s="110"/>
      <c r="AD1903" s="42"/>
      <c r="AE1903" s="43"/>
    </row>
    <row r="1904" customFormat="false" ht="16.5" hidden="false" customHeight="true" outlineLevel="0" collapsed="false">
      <c r="A1904" s="97" t="n">
        <f aca="false">ROW(A1893)</f>
        <v>1893</v>
      </c>
      <c r="B1904" s="97" t="s">
        <v>476</v>
      </c>
      <c r="C1904" s="100" t="n">
        <v>1</v>
      </c>
      <c r="D1904" s="85"/>
      <c r="E1904" s="98" t="s">
        <v>4701</v>
      </c>
      <c r="F1904" s="99" t="s">
        <v>4690</v>
      </c>
      <c r="G1904" s="100" t="s">
        <v>4100</v>
      </c>
      <c r="H1904" s="100" t="s">
        <v>4691</v>
      </c>
      <c r="I1904" s="100" t="s">
        <v>249</v>
      </c>
      <c r="J1904" s="98" t="s">
        <v>527</v>
      </c>
      <c r="K1904" s="101" t="s">
        <v>4702</v>
      </c>
      <c r="L1904" s="102" t="n">
        <v>45723</v>
      </c>
      <c r="M1904" s="100" t="n">
        <v>1499</v>
      </c>
      <c r="N1904" s="100" t="n">
        <v>1796</v>
      </c>
      <c r="O1904" s="100" t="n">
        <v>297</v>
      </c>
      <c r="P1904" s="100" t="n">
        <v>288</v>
      </c>
      <c r="Q1904" s="100"/>
      <c r="R1904" s="103" t="n">
        <f aca="false">合約與計費!$D$4</f>
        <v>0.296</v>
      </c>
      <c r="S1904" s="104" t="n">
        <f aca="false">ROUND(P1904*R1904,0)</f>
        <v>85</v>
      </c>
      <c r="T1904" s="105"/>
      <c r="U1904" s="100"/>
      <c r="V1904" s="100"/>
      <c r="W1904" s="106"/>
      <c r="X1904" s="100"/>
      <c r="Y1904" s="100"/>
      <c r="Z1904" s="107"/>
      <c r="AA1904" s="108"/>
      <c r="AB1904" s="109"/>
      <c r="AC1904" s="110"/>
      <c r="AD1904" s="42"/>
      <c r="AE1904" s="43"/>
    </row>
    <row r="1905" customFormat="false" ht="16.5" hidden="false" customHeight="true" outlineLevel="0" collapsed="false">
      <c r="A1905" s="97" t="n">
        <f aca="false">ROW(A1894)</f>
        <v>1894</v>
      </c>
      <c r="B1905" s="97" t="s">
        <v>479</v>
      </c>
      <c r="C1905" s="100" t="n">
        <v>1</v>
      </c>
      <c r="D1905" s="85"/>
      <c r="E1905" s="98" t="s">
        <v>4703</v>
      </c>
      <c r="F1905" s="99" t="s">
        <v>4690</v>
      </c>
      <c r="G1905" s="100" t="s">
        <v>4100</v>
      </c>
      <c r="H1905" s="100" t="s">
        <v>4691</v>
      </c>
      <c r="I1905" s="100" t="s">
        <v>249</v>
      </c>
      <c r="J1905" s="98" t="s">
        <v>527</v>
      </c>
      <c r="K1905" s="101" t="s">
        <v>4704</v>
      </c>
      <c r="L1905" s="102" t="n">
        <v>45723</v>
      </c>
      <c r="M1905" s="100" t="n">
        <v>7895</v>
      </c>
      <c r="N1905" s="100" t="n">
        <v>9047</v>
      </c>
      <c r="O1905" s="100" t="n">
        <v>1152</v>
      </c>
      <c r="P1905" s="100" t="n">
        <v>1117</v>
      </c>
      <c r="Q1905" s="100"/>
      <c r="R1905" s="103" t="n">
        <f aca="false">合約與計費!$D$4</f>
        <v>0.296</v>
      </c>
      <c r="S1905" s="104" t="n">
        <f aca="false">ROUND(P1905*R1905,0)</f>
        <v>331</v>
      </c>
      <c r="T1905" s="105"/>
      <c r="U1905" s="100"/>
      <c r="V1905" s="100"/>
      <c r="W1905" s="106"/>
      <c r="X1905" s="100"/>
      <c r="Y1905" s="100"/>
      <c r="Z1905" s="107"/>
      <c r="AA1905" s="108"/>
      <c r="AB1905" s="109"/>
      <c r="AC1905" s="110"/>
      <c r="AD1905" s="42"/>
      <c r="AE1905" s="43"/>
    </row>
    <row r="1906" customFormat="false" ht="16.5" hidden="false" customHeight="true" outlineLevel="0" collapsed="false">
      <c r="A1906" s="111" t="n">
        <f aca="false">ROW(A1895)</f>
        <v>1895</v>
      </c>
      <c r="B1906" s="111" t="s">
        <v>482</v>
      </c>
      <c r="C1906" s="114" t="n">
        <v>1</v>
      </c>
      <c r="D1906" s="85"/>
      <c r="E1906" s="112" t="s">
        <v>4705</v>
      </c>
      <c r="F1906" s="113" t="s">
        <v>4690</v>
      </c>
      <c r="G1906" s="114" t="s">
        <v>4100</v>
      </c>
      <c r="H1906" s="114" t="s">
        <v>4691</v>
      </c>
      <c r="I1906" s="173" t="s">
        <v>249</v>
      </c>
      <c r="J1906" s="98" t="s">
        <v>527</v>
      </c>
      <c r="K1906" s="101" t="s">
        <v>4706</v>
      </c>
      <c r="L1906" s="102" t="n">
        <v>45723</v>
      </c>
      <c r="M1906" s="100" t="n">
        <v>5504</v>
      </c>
      <c r="N1906" s="100" t="n">
        <v>6349</v>
      </c>
      <c r="O1906" s="100" t="n">
        <v>845</v>
      </c>
      <c r="P1906" s="100" t="n">
        <v>820</v>
      </c>
      <c r="Q1906" s="100" t="n">
        <f aca="false">ROUND(SUM(P1899:P1906),2)</f>
        <v>4146</v>
      </c>
      <c r="R1906" s="103" t="n">
        <f aca="false">合約與計費!$D$4</f>
        <v>0.296</v>
      </c>
      <c r="S1906" s="104" t="n">
        <f aca="false">ROUND(P1906*R1906,0)</f>
        <v>243</v>
      </c>
      <c r="T1906" s="105" t="n">
        <f aca="false">ROUND(SUM(S1899:S1906),2)</f>
        <v>1228</v>
      </c>
      <c r="U1906" s="100"/>
      <c r="V1906" s="100"/>
      <c r="W1906" s="106"/>
      <c r="X1906" s="100"/>
      <c r="Y1906" s="114" t="n">
        <f aca="false">ROUND(SUM(X1899:X1906),2)</f>
        <v>113</v>
      </c>
      <c r="Z1906" s="121"/>
      <c r="AA1906" s="122"/>
      <c r="AB1906" s="123" t="n">
        <f aca="false">ROUND(SUM(AA1899:AA1906),2)</f>
        <v>316</v>
      </c>
      <c r="AC1906" s="110"/>
      <c r="AD1906" s="42"/>
      <c r="AE1906" s="43"/>
    </row>
    <row r="1907" customFormat="false" ht="16.5" hidden="false" customHeight="true" outlineLevel="0" collapsed="false">
      <c r="A1907" s="84" t="n">
        <f aca="false">ROW(A1896)</f>
        <v>1896</v>
      </c>
      <c r="B1907" s="84" t="s">
        <v>455</v>
      </c>
      <c r="C1907" s="32" t="n">
        <v>1</v>
      </c>
      <c r="D1907" s="85" t="n">
        <v>180</v>
      </c>
      <c r="E1907" s="86" t="s">
        <v>4707</v>
      </c>
      <c r="F1907" s="87" t="s">
        <v>4708</v>
      </c>
      <c r="G1907" s="32" t="s">
        <v>4100</v>
      </c>
      <c r="H1907" s="32" t="s">
        <v>4691</v>
      </c>
      <c r="I1907" s="32" t="s">
        <v>383</v>
      </c>
      <c r="J1907" s="86" t="s">
        <v>460</v>
      </c>
      <c r="K1907" s="88" t="s">
        <v>4709</v>
      </c>
      <c r="L1907" s="89" t="n">
        <v>45744</v>
      </c>
      <c r="M1907" s="32" t="n">
        <v>282</v>
      </c>
      <c r="N1907" s="32" t="n">
        <v>333</v>
      </c>
      <c r="O1907" s="32" t="n">
        <v>51</v>
      </c>
      <c r="P1907" s="32" t="n">
        <v>49</v>
      </c>
      <c r="Q1907" s="32"/>
      <c r="R1907" s="90" t="n">
        <f aca="false">合約與計費!$D$4</f>
        <v>0.296</v>
      </c>
      <c r="S1907" s="91" t="n">
        <f aca="false">ROUND(P1907*R1907,0)</f>
        <v>15</v>
      </c>
      <c r="T1907" s="92"/>
      <c r="U1907" s="32" t="n">
        <v>351</v>
      </c>
      <c r="V1907" s="32" t="n">
        <v>424</v>
      </c>
      <c r="W1907" s="32" t="n">
        <v>73</v>
      </c>
      <c r="X1907" s="32" t="n">
        <v>71</v>
      </c>
      <c r="Y1907" s="32"/>
      <c r="Z1907" s="93" t="n">
        <f aca="false">合約與計費!$E$4</f>
        <v>2.8</v>
      </c>
      <c r="AA1907" s="94" t="n">
        <f aca="false">ROUND(X1907*Z1907,0)</f>
        <v>199</v>
      </c>
      <c r="AB1907" s="95"/>
      <c r="AC1907" s="254"/>
      <c r="AD1907" s="42"/>
      <c r="AE1907" s="43"/>
    </row>
    <row r="1908" customFormat="false" ht="16.5" hidden="false" customHeight="true" outlineLevel="0" collapsed="false">
      <c r="A1908" s="97" t="n">
        <f aca="false">ROW(A1897)</f>
        <v>1897</v>
      </c>
      <c r="B1908" s="97" t="s">
        <v>462</v>
      </c>
      <c r="C1908" s="100" t="n">
        <v>1</v>
      </c>
      <c r="D1908" s="85"/>
      <c r="E1908" s="98" t="s">
        <v>4710</v>
      </c>
      <c r="F1908" s="99" t="s">
        <v>4708</v>
      </c>
      <c r="G1908" s="100" t="s">
        <v>4100</v>
      </c>
      <c r="H1908" s="100" t="s">
        <v>4691</v>
      </c>
      <c r="I1908" s="100" t="s">
        <v>383</v>
      </c>
      <c r="J1908" s="98" t="s">
        <v>527</v>
      </c>
      <c r="K1908" s="101" t="s">
        <v>4711</v>
      </c>
      <c r="L1908" s="102" t="n">
        <v>45744</v>
      </c>
      <c r="M1908" s="100" t="n">
        <v>9705</v>
      </c>
      <c r="N1908" s="100" t="n">
        <v>12206</v>
      </c>
      <c r="O1908" s="100" t="n">
        <v>2501</v>
      </c>
      <c r="P1908" s="100" t="n">
        <v>2426</v>
      </c>
      <c r="Q1908" s="100"/>
      <c r="R1908" s="103" t="n">
        <f aca="false">合約與計費!$D$4</f>
        <v>0.296</v>
      </c>
      <c r="S1908" s="104" t="n">
        <f aca="false">ROUND(P1908*R1908,0)</f>
        <v>718</v>
      </c>
      <c r="T1908" s="105"/>
      <c r="U1908" s="100"/>
      <c r="V1908" s="100"/>
      <c r="W1908" s="106"/>
      <c r="X1908" s="100"/>
      <c r="Y1908" s="100"/>
      <c r="Z1908" s="107"/>
      <c r="AA1908" s="108"/>
      <c r="AB1908" s="109"/>
      <c r="AC1908" s="110"/>
      <c r="AD1908" s="42"/>
      <c r="AE1908" s="43"/>
    </row>
    <row r="1909" customFormat="false" ht="16.5" hidden="false" customHeight="true" outlineLevel="0" collapsed="false">
      <c r="A1909" s="97" t="n">
        <f aca="false">ROW(A1898)</f>
        <v>1898</v>
      </c>
      <c r="B1909" s="97" t="s">
        <v>466</v>
      </c>
      <c r="C1909" s="100" t="n">
        <v>1</v>
      </c>
      <c r="D1909" s="85"/>
      <c r="E1909" s="98" t="s">
        <v>4712</v>
      </c>
      <c r="F1909" s="99" t="s">
        <v>4708</v>
      </c>
      <c r="G1909" s="100" t="s">
        <v>4100</v>
      </c>
      <c r="H1909" s="100" t="s">
        <v>4691</v>
      </c>
      <c r="I1909" s="100" t="s">
        <v>383</v>
      </c>
      <c r="J1909" s="98" t="s">
        <v>527</v>
      </c>
      <c r="K1909" s="101" t="s">
        <v>4713</v>
      </c>
      <c r="L1909" s="102" t="n">
        <v>45744</v>
      </c>
      <c r="M1909" s="100" t="n">
        <v>1176</v>
      </c>
      <c r="N1909" s="100" t="n">
        <v>1348</v>
      </c>
      <c r="O1909" s="100" t="n">
        <v>172</v>
      </c>
      <c r="P1909" s="100" t="n">
        <v>167</v>
      </c>
      <c r="Q1909" s="100"/>
      <c r="R1909" s="103" t="n">
        <f aca="false">合約與計費!$D$4</f>
        <v>0.296</v>
      </c>
      <c r="S1909" s="104" t="n">
        <f aca="false">ROUND(P1909*R1909,0)</f>
        <v>49</v>
      </c>
      <c r="T1909" s="105"/>
      <c r="U1909" s="100"/>
      <c r="V1909" s="100"/>
      <c r="W1909" s="106"/>
      <c r="X1909" s="100"/>
      <c r="Y1909" s="100"/>
      <c r="Z1909" s="107"/>
      <c r="AA1909" s="108"/>
      <c r="AB1909" s="109"/>
      <c r="AC1909" s="110"/>
      <c r="AD1909" s="42"/>
      <c r="AE1909" s="43"/>
    </row>
    <row r="1910" customFormat="false" ht="16.5" hidden="false" customHeight="true" outlineLevel="0" collapsed="false">
      <c r="A1910" s="97" t="n">
        <f aca="false">ROW(A1899)</f>
        <v>1899</v>
      </c>
      <c r="B1910" s="97" t="s">
        <v>469</v>
      </c>
      <c r="C1910" s="100" t="n">
        <v>1</v>
      </c>
      <c r="D1910" s="85"/>
      <c r="E1910" s="98" t="s">
        <v>4714</v>
      </c>
      <c r="F1910" s="99" t="s">
        <v>4708</v>
      </c>
      <c r="G1910" s="100" t="s">
        <v>4100</v>
      </c>
      <c r="H1910" s="100" t="s">
        <v>4691</v>
      </c>
      <c r="I1910" s="100" t="s">
        <v>383</v>
      </c>
      <c r="J1910" s="98" t="s">
        <v>527</v>
      </c>
      <c r="K1910" s="101" t="s">
        <v>4715</v>
      </c>
      <c r="L1910" s="102" t="n">
        <v>45744</v>
      </c>
      <c r="M1910" s="100" t="n">
        <v>8394</v>
      </c>
      <c r="N1910" s="100" t="n">
        <v>10164</v>
      </c>
      <c r="O1910" s="100" t="n">
        <v>1770</v>
      </c>
      <c r="P1910" s="100" t="n">
        <v>1717</v>
      </c>
      <c r="Q1910" s="100"/>
      <c r="R1910" s="103" t="n">
        <f aca="false">合約與計費!$D$4</f>
        <v>0.296</v>
      </c>
      <c r="S1910" s="104" t="n">
        <f aca="false">ROUND(P1910*R1910,0)</f>
        <v>508</v>
      </c>
      <c r="T1910" s="105"/>
      <c r="U1910" s="100"/>
      <c r="V1910" s="100"/>
      <c r="W1910" s="106"/>
      <c r="X1910" s="100"/>
      <c r="Y1910" s="100"/>
      <c r="Z1910" s="107"/>
      <c r="AA1910" s="108"/>
      <c r="AB1910" s="109"/>
      <c r="AC1910" s="110"/>
      <c r="AD1910" s="42"/>
      <c r="AE1910" s="43"/>
    </row>
    <row r="1911" customFormat="false" ht="16.5" hidden="false" customHeight="true" outlineLevel="0" collapsed="false">
      <c r="A1911" s="111" t="n">
        <f aca="false">ROW(A1900)</f>
        <v>1900</v>
      </c>
      <c r="B1911" s="111" t="s">
        <v>473</v>
      </c>
      <c r="C1911" s="114" t="n">
        <v>1</v>
      </c>
      <c r="D1911" s="85"/>
      <c r="E1911" s="112" t="s">
        <v>4716</v>
      </c>
      <c r="F1911" s="113" t="s">
        <v>4708</v>
      </c>
      <c r="G1911" s="114" t="s">
        <v>4100</v>
      </c>
      <c r="H1911" s="114" t="s">
        <v>4691</v>
      </c>
      <c r="I1911" s="114" t="s">
        <v>383</v>
      </c>
      <c r="J1911" s="112" t="s">
        <v>527</v>
      </c>
      <c r="K1911" s="115" t="s">
        <v>4717</v>
      </c>
      <c r="L1911" s="116" t="n">
        <v>45744</v>
      </c>
      <c r="M1911" s="114" t="n">
        <v>10093</v>
      </c>
      <c r="N1911" s="114" t="n">
        <v>12319</v>
      </c>
      <c r="O1911" s="114" t="n">
        <v>2226</v>
      </c>
      <c r="P1911" s="114" t="n">
        <v>2159</v>
      </c>
      <c r="Q1911" s="114" t="n">
        <f aca="false">ROUND(SUM(P1907:P1911),2)</f>
        <v>6518</v>
      </c>
      <c r="R1911" s="117" t="n">
        <f aca="false">合約與計費!$D$4</f>
        <v>0.296</v>
      </c>
      <c r="S1911" s="118" t="n">
        <f aca="false">ROUND(P1911*R1911,0)</f>
        <v>639</v>
      </c>
      <c r="T1911" s="119" t="n">
        <f aca="false">ROUND(SUM(S1907:S1911),2)</f>
        <v>1929</v>
      </c>
      <c r="U1911" s="114"/>
      <c r="V1911" s="114"/>
      <c r="W1911" s="120"/>
      <c r="X1911" s="114"/>
      <c r="Y1911" s="114" t="n">
        <f aca="false">ROUND(SUM(X1907:X1911),2)</f>
        <v>71</v>
      </c>
      <c r="Z1911" s="121"/>
      <c r="AA1911" s="122"/>
      <c r="AB1911" s="123" t="n">
        <f aca="false">ROUND(SUM(AA1907:AA1911),2)</f>
        <v>199</v>
      </c>
      <c r="AC1911" s="124"/>
      <c r="AD1911" s="42"/>
      <c r="AE1911" s="43"/>
    </row>
    <row r="1912" customFormat="false" ht="16.5" hidden="false" customHeight="true" outlineLevel="0" collapsed="false">
      <c r="A1912" s="84" t="n">
        <f aca="false">ROW(A1901)</f>
        <v>1901</v>
      </c>
      <c r="B1912" s="84" t="s">
        <v>455</v>
      </c>
      <c r="C1912" s="32" t="n">
        <v>1</v>
      </c>
      <c r="D1912" s="85" t="n">
        <v>181</v>
      </c>
      <c r="E1912" s="86" t="s">
        <v>4718</v>
      </c>
      <c r="F1912" s="87" t="s">
        <v>4719</v>
      </c>
      <c r="G1912" s="32" t="s">
        <v>4100</v>
      </c>
      <c r="H1912" s="32" t="s">
        <v>4691</v>
      </c>
      <c r="I1912" s="32" t="s">
        <v>388</v>
      </c>
      <c r="J1912" s="86" t="s">
        <v>460</v>
      </c>
      <c r="K1912" s="88" t="s">
        <v>4720</v>
      </c>
      <c r="L1912" s="89" t="n">
        <v>45743</v>
      </c>
      <c r="M1912" s="32" t="n">
        <v>220</v>
      </c>
      <c r="N1912" s="32" t="n">
        <v>272</v>
      </c>
      <c r="O1912" s="32" t="n">
        <v>52</v>
      </c>
      <c r="P1912" s="32" t="n">
        <v>50</v>
      </c>
      <c r="Q1912" s="32"/>
      <c r="R1912" s="90" t="n">
        <f aca="false">合約與計費!$D$4</f>
        <v>0.296</v>
      </c>
      <c r="S1912" s="91" t="n">
        <f aca="false">ROUND(P1912*R1912,0)</f>
        <v>15</v>
      </c>
      <c r="T1912" s="92"/>
      <c r="U1912" s="32" t="n">
        <v>232</v>
      </c>
      <c r="V1912" s="32" t="n">
        <v>271</v>
      </c>
      <c r="W1912" s="32" t="n">
        <v>39</v>
      </c>
      <c r="X1912" s="32" t="n">
        <v>38</v>
      </c>
      <c r="Y1912" s="32"/>
      <c r="Z1912" s="93" t="n">
        <f aca="false">合約與計費!$E$4</f>
        <v>2.8</v>
      </c>
      <c r="AA1912" s="94" t="n">
        <f aca="false">ROUND(X1912*Z1912,0)</f>
        <v>106</v>
      </c>
      <c r="AB1912" s="95"/>
      <c r="AC1912" s="254"/>
      <c r="AD1912" s="42"/>
      <c r="AE1912" s="43"/>
    </row>
    <row r="1913" customFormat="false" ht="16.5" hidden="false" customHeight="true" outlineLevel="0" collapsed="false">
      <c r="A1913" s="97" t="n">
        <f aca="false">ROW(A1902)</f>
        <v>1902</v>
      </c>
      <c r="B1913" s="97" t="s">
        <v>462</v>
      </c>
      <c r="C1913" s="100" t="n">
        <v>1</v>
      </c>
      <c r="D1913" s="85"/>
      <c r="E1913" s="98" t="s">
        <v>4721</v>
      </c>
      <c r="F1913" s="99" t="s">
        <v>4719</v>
      </c>
      <c r="G1913" s="100" t="s">
        <v>4100</v>
      </c>
      <c r="H1913" s="100" t="s">
        <v>4691</v>
      </c>
      <c r="I1913" s="100" t="s">
        <v>388</v>
      </c>
      <c r="J1913" s="98" t="s">
        <v>464</v>
      </c>
      <c r="K1913" s="101" t="s">
        <v>4722</v>
      </c>
      <c r="L1913" s="102" t="n">
        <v>45743</v>
      </c>
      <c r="M1913" s="100" t="n">
        <v>2677</v>
      </c>
      <c r="N1913" s="100" t="n">
        <v>2980</v>
      </c>
      <c r="O1913" s="100" t="n">
        <v>303</v>
      </c>
      <c r="P1913" s="100" t="n">
        <v>294</v>
      </c>
      <c r="Q1913" s="100"/>
      <c r="R1913" s="103" t="n">
        <f aca="false">合約與計費!$D$4</f>
        <v>0.296</v>
      </c>
      <c r="S1913" s="104" t="n">
        <f aca="false">ROUND(P1913*R1913,0)</f>
        <v>87</v>
      </c>
      <c r="T1913" s="105"/>
      <c r="U1913" s="100"/>
      <c r="V1913" s="100"/>
      <c r="W1913" s="106"/>
      <c r="X1913" s="100"/>
      <c r="Y1913" s="100"/>
      <c r="Z1913" s="107"/>
      <c r="AA1913" s="108"/>
      <c r="AB1913" s="109"/>
      <c r="AC1913" s="110"/>
      <c r="AD1913" s="42" t="n">
        <v>0.068</v>
      </c>
      <c r="AE1913" s="43" t="n">
        <v>1</v>
      </c>
    </row>
    <row r="1914" customFormat="false" ht="16.5" hidden="false" customHeight="true" outlineLevel="0" collapsed="false">
      <c r="A1914" s="97" t="n">
        <f aca="false">ROW(A1903)</f>
        <v>1903</v>
      </c>
      <c r="B1914" s="97" t="s">
        <v>466</v>
      </c>
      <c r="C1914" s="100" t="n">
        <v>1</v>
      </c>
      <c r="D1914" s="85"/>
      <c r="E1914" s="98" t="s">
        <v>4723</v>
      </c>
      <c r="F1914" s="99" t="s">
        <v>4719</v>
      </c>
      <c r="G1914" s="100" t="s">
        <v>4100</v>
      </c>
      <c r="H1914" s="100" t="s">
        <v>4691</v>
      </c>
      <c r="I1914" s="100" t="s">
        <v>388</v>
      </c>
      <c r="J1914" s="98" t="s">
        <v>527</v>
      </c>
      <c r="K1914" s="101" t="s">
        <v>4724</v>
      </c>
      <c r="L1914" s="102" t="n">
        <v>45743</v>
      </c>
      <c r="M1914" s="100" t="n">
        <v>3112</v>
      </c>
      <c r="N1914" s="100" t="n">
        <v>3844</v>
      </c>
      <c r="O1914" s="100" t="n">
        <v>732</v>
      </c>
      <c r="P1914" s="100" t="n">
        <v>710</v>
      </c>
      <c r="Q1914" s="100"/>
      <c r="R1914" s="103" t="n">
        <f aca="false">合約與計費!$D$4</f>
        <v>0.296</v>
      </c>
      <c r="S1914" s="104" t="n">
        <f aca="false">ROUND(P1914*R1914,0)</f>
        <v>210</v>
      </c>
      <c r="T1914" s="105"/>
      <c r="U1914" s="100"/>
      <c r="V1914" s="100"/>
      <c r="W1914" s="106"/>
      <c r="X1914" s="100"/>
      <c r="Y1914" s="100"/>
      <c r="Z1914" s="107"/>
      <c r="AA1914" s="108"/>
      <c r="AB1914" s="109"/>
      <c r="AC1914" s="110"/>
      <c r="AD1914" s="42"/>
      <c r="AE1914" s="43"/>
    </row>
    <row r="1915" customFormat="false" ht="16.5" hidden="false" customHeight="true" outlineLevel="0" collapsed="false">
      <c r="A1915" s="97" t="n">
        <f aca="false">ROW(A1904)</f>
        <v>1904</v>
      </c>
      <c r="B1915" s="97" t="s">
        <v>469</v>
      </c>
      <c r="C1915" s="100" t="n">
        <v>1</v>
      </c>
      <c r="D1915" s="85"/>
      <c r="E1915" s="98" t="s">
        <v>4725</v>
      </c>
      <c r="F1915" s="99" t="s">
        <v>4719</v>
      </c>
      <c r="G1915" s="100" t="s">
        <v>4100</v>
      </c>
      <c r="H1915" s="100" t="s">
        <v>4691</v>
      </c>
      <c r="I1915" s="100" t="s">
        <v>388</v>
      </c>
      <c r="J1915" s="98" t="s">
        <v>527</v>
      </c>
      <c r="K1915" s="101" t="s">
        <v>4726</v>
      </c>
      <c r="L1915" s="102" t="n">
        <v>45743</v>
      </c>
      <c r="M1915" s="100" t="n">
        <v>5968</v>
      </c>
      <c r="N1915" s="100" t="n">
        <v>7161</v>
      </c>
      <c r="O1915" s="100" t="n">
        <v>1193</v>
      </c>
      <c r="P1915" s="100" t="n">
        <v>1157</v>
      </c>
      <c r="Q1915" s="100"/>
      <c r="R1915" s="103" t="n">
        <f aca="false">合約與計費!$D$4</f>
        <v>0.296</v>
      </c>
      <c r="S1915" s="104" t="n">
        <f aca="false">ROUND(P1915*R1915,0)</f>
        <v>342</v>
      </c>
      <c r="T1915" s="105"/>
      <c r="U1915" s="100"/>
      <c r="V1915" s="100"/>
      <c r="W1915" s="106"/>
      <c r="X1915" s="100"/>
      <c r="Y1915" s="100"/>
      <c r="Z1915" s="107"/>
      <c r="AA1915" s="108"/>
      <c r="AB1915" s="109"/>
      <c r="AC1915" s="110"/>
      <c r="AD1915" s="42"/>
      <c r="AE1915" s="43"/>
    </row>
    <row r="1916" customFormat="false" ht="16.5" hidden="false" customHeight="true" outlineLevel="0" collapsed="false">
      <c r="A1916" s="97" t="n">
        <f aca="false">ROW(A1905)</f>
        <v>1905</v>
      </c>
      <c r="B1916" s="97" t="s">
        <v>473</v>
      </c>
      <c r="C1916" s="100" t="n">
        <v>1</v>
      </c>
      <c r="D1916" s="85"/>
      <c r="E1916" s="98" t="s">
        <v>4727</v>
      </c>
      <c r="F1916" s="99" t="s">
        <v>4719</v>
      </c>
      <c r="G1916" s="100" t="s">
        <v>4100</v>
      </c>
      <c r="H1916" s="100" t="s">
        <v>4691</v>
      </c>
      <c r="I1916" s="100" t="s">
        <v>388</v>
      </c>
      <c r="J1916" s="98" t="s">
        <v>527</v>
      </c>
      <c r="K1916" s="101" t="s">
        <v>4728</v>
      </c>
      <c r="L1916" s="102" t="n">
        <v>45743</v>
      </c>
      <c r="M1916" s="100" t="n">
        <v>2966</v>
      </c>
      <c r="N1916" s="100" t="n">
        <v>3526</v>
      </c>
      <c r="O1916" s="100" t="n">
        <v>560</v>
      </c>
      <c r="P1916" s="100" t="n">
        <v>543</v>
      </c>
      <c r="Q1916" s="100"/>
      <c r="R1916" s="103" t="n">
        <f aca="false">合約與計費!$D$4</f>
        <v>0.296</v>
      </c>
      <c r="S1916" s="104" t="n">
        <f aca="false">ROUND(P1916*R1916,0)</f>
        <v>161</v>
      </c>
      <c r="T1916" s="105"/>
      <c r="U1916" s="100"/>
      <c r="V1916" s="100"/>
      <c r="W1916" s="106"/>
      <c r="X1916" s="100"/>
      <c r="Y1916" s="100"/>
      <c r="Z1916" s="107"/>
      <c r="AA1916" s="108"/>
      <c r="AB1916" s="109"/>
      <c r="AC1916" s="110"/>
      <c r="AD1916" s="42"/>
      <c r="AE1916" s="43"/>
    </row>
    <row r="1917" customFormat="false" ht="16.5" hidden="false" customHeight="true" outlineLevel="0" collapsed="false">
      <c r="A1917" s="97" t="n">
        <f aca="false">ROW(A1906)</f>
        <v>1906</v>
      </c>
      <c r="B1917" s="97" t="s">
        <v>476</v>
      </c>
      <c r="C1917" s="100" t="n">
        <v>1</v>
      </c>
      <c r="D1917" s="85"/>
      <c r="E1917" s="98" t="s">
        <v>4729</v>
      </c>
      <c r="F1917" s="99" t="s">
        <v>4719</v>
      </c>
      <c r="G1917" s="100" t="s">
        <v>4100</v>
      </c>
      <c r="H1917" s="100" t="s">
        <v>4691</v>
      </c>
      <c r="I1917" s="100" t="s">
        <v>388</v>
      </c>
      <c r="J1917" s="98" t="s">
        <v>527</v>
      </c>
      <c r="K1917" s="101" t="s">
        <v>4730</v>
      </c>
      <c r="L1917" s="102" t="n">
        <v>45743</v>
      </c>
      <c r="M1917" s="100" t="n">
        <v>5896</v>
      </c>
      <c r="N1917" s="100" t="n">
        <v>6816</v>
      </c>
      <c r="O1917" s="100" t="n">
        <v>920</v>
      </c>
      <c r="P1917" s="100" t="n">
        <v>892</v>
      </c>
      <c r="Q1917" s="100"/>
      <c r="R1917" s="103" t="n">
        <f aca="false">合約與計費!$D$4</f>
        <v>0.296</v>
      </c>
      <c r="S1917" s="104" t="n">
        <f aca="false">ROUND(P1917*R1917,0)</f>
        <v>264</v>
      </c>
      <c r="T1917" s="105"/>
      <c r="U1917" s="100"/>
      <c r="V1917" s="100"/>
      <c r="W1917" s="106"/>
      <c r="X1917" s="100"/>
      <c r="Y1917" s="100"/>
      <c r="Z1917" s="107"/>
      <c r="AA1917" s="108"/>
      <c r="AB1917" s="109"/>
      <c r="AC1917" s="110"/>
      <c r="AD1917" s="42"/>
      <c r="AE1917" s="43"/>
    </row>
    <row r="1918" customFormat="false" ht="16.5" hidden="false" customHeight="true" outlineLevel="0" collapsed="false">
      <c r="A1918" s="97" t="n">
        <f aca="false">ROW(A1907)</f>
        <v>1907</v>
      </c>
      <c r="B1918" s="97" t="s">
        <v>479</v>
      </c>
      <c r="C1918" s="100" t="n">
        <v>1</v>
      </c>
      <c r="D1918" s="85"/>
      <c r="E1918" s="98" t="s">
        <v>4731</v>
      </c>
      <c r="F1918" s="99" t="s">
        <v>4719</v>
      </c>
      <c r="G1918" s="100" t="s">
        <v>4100</v>
      </c>
      <c r="H1918" s="100" t="s">
        <v>4691</v>
      </c>
      <c r="I1918" s="100" t="s">
        <v>388</v>
      </c>
      <c r="J1918" s="98" t="s">
        <v>527</v>
      </c>
      <c r="K1918" s="101" t="s">
        <v>4732</v>
      </c>
      <c r="L1918" s="102" t="n">
        <v>45743</v>
      </c>
      <c r="M1918" s="100" t="n">
        <v>3999</v>
      </c>
      <c r="N1918" s="100" t="n">
        <v>4591</v>
      </c>
      <c r="O1918" s="100" t="n">
        <v>592</v>
      </c>
      <c r="P1918" s="100" t="n">
        <v>574</v>
      </c>
      <c r="Q1918" s="100"/>
      <c r="R1918" s="103" t="n">
        <f aca="false">合約與計費!$D$4</f>
        <v>0.296</v>
      </c>
      <c r="S1918" s="104" t="n">
        <f aca="false">ROUND(P1918*R1918,0)</f>
        <v>170</v>
      </c>
      <c r="T1918" s="105"/>
      <c r="U1918" s="100"/>
      <c r="V1918" s="100"/>
      <c r="W1918" s="106"/>
      <c r="X1918" s="100"/>
      <c r="Y1918" s="100"/>
      <c r="Z1918" s="107"/>
      <c r="AA1918" s="108"/>
      <c r="AB1918" s="109"/>
      <c r="AC1918" s="110"/>
      <c r="AD1918" s="42"/>
      <c r="AE1918" s="43"/>
    </row>
    <row r="1919" customFormat="false" ht="16.5" hidden="false" customHeight="true" outlineLevel="0" collapsed="false">
      <c r="A1919" s="97" t="n">
        <f aca="false">ROW(A1908)</f>
        <v>1908</v>
      </c>
      <c r="B1919" s="97" t="s">
        <v>482</v>
      </c>
      <c r="C1919" s="100" t="n">
        <v>1</v>
      </c>
      <c r="D1919" s="85"/>
      <c r="E1919" s="98" t="s">
        <v>4733</v>
      </c>
      <c r="F1919" s="99" t="s">
        <v>4719</v>
      </c>
      <c r="G1919" s="100" t="s">
        <v>4100</v>
      </c>
      <c r="H1919" s="100" t="s">
        <v>4691</v>
      </c>
      <c r="I1919" s="100" t="s">
        <v>388</v>
      </c>
      <c r="J1919" s="98" t="s">
        <v>527</v>
      </c>
      <c r="K1919" s="101" t="s">
        <v>4734</v>
      </c>
      <c r="L1919" s="102" t="n">
        <v>45743</v>
      </c>
      <c r="M1919" s="100" t="n">
        <v>886</v>
      </c>
      <c r="N1919" s="100" t="n">
        <v>1032</v>
      </c>
      <c r="O1919" s="100" t="n">
        <v>146</v>
      </c>
      <c r="P1919" s="100" t="n">
        <v>142</v>
      </c>
      <c r="Q1919" s="100"/>
      <c r="R1919" s="103" t="n">
        <f aca="false">合約與計費!$D$4</f>
        <v>0.296</v>
      </c>
      <c r="S1919" s="104" t="n">
        <f aca="false">ROUND(P1919*R1919,0)</f>
        <v>42</v>
      </c>
      <c r="T1919" s="105"/>
      <c r="U1919" s="100"/>
      <c r="V1919" s="100"/>
      <c r="W1919" s="106"/>
      <c r="X1919" s="100"/>
      <c r="Y1919" s="100"/>
      <c r="Z1919" s="107"/>
      <c r="AA1919" s="108"/>
      <c r="AB1919" s="109"/>
      <c r="AC1919" s="110"/>
      <c r="AD1919" s="42"/>
      <c r="AE1919" s="43"/>
    </row>
    <row r="1920" customFormat="false" ht="16.5" hidden="false" customHeight="true" outlineLevel="0" collapsed="false">
      <c r="A1920" s="97" t="n">
        <f aca="false">ROW(A1909)</f>
        <v>1909</v>
      </c>
      <c r="B1920" s="97" t="s">
        <v>485</v>
      </c>
      <c r="C1920" s="100" t="n">
        <v>1</v>
      </c>
      <c r="D1920" s="85"/>
      <c r="E1920" s="98" t="s">
        <v>4735</v>
      </c>
      <c r="F1920" s="99" t="s">
        <v>4719</v>
      </c>
      <c r="G1920" s="100" t="s">
        <v>4100</v>
      </c>
      <c r="H1920" s="100" t="s">
        <v>4691</v>
      </c>
      <c r="I1920" s="100" t="s">
        <v>388</v>
      </c>
      <c r="J1920" s="98" t="s">
        <v>527</v>
      </c>
      <c r="K1920" s="101" t="s">
        <v>4736</v>
      </c>
      <c r="L1920" s="102" t="n">
        <v>45743</v>
      </c>
      <c r="M1920" s="100" t="n">
        <v>2479</v>
      </c>
      <c r="N1920" s="100" t="n">
        <v>2958</v>
      </c>
      <c r="O1920" s="100" t="n">
        <v>479</v>
      </c>
      <c r="P1920" s="100" t="n">
        <v>465</v>
      </c>
      <c r="Q1920" s="100"/>
      <c r="R1920" s="103" t="n">
        <f aca="false">合約與計費!$D$4</f>
        <v>0.296</v>
      </c>
      <c r="S1920" s="104" t="n">
        <f aca="false">ROUND(P1920*R1920,0)</f>
        <v>138</v>
      </c>
      <c r="T1920" s="105"/>
      <c r="U1920" s="100"/>
      <c r="V1920" s="100"/>
      <c r="W1920" s="106"/>
      <c r="X1920" s="100"/>
      <c r="Y1920" s="100"/>
      <c r="Z1920" s="107"/>
      <c r="AA1920" s="108"/>
      <c r="AB1920" s="109"/>
      <c r="AC1920" s="110"/>
      <c r="AD1920" s="42"/>
      <c r="AE1920" s="43"/>
    </row>
    <row r="1921" customFormat="false" ht="16.5" hidden="false" customHeight="true" outlineLevel="0" collapsed="false">
      <c r="A1921" s="97" t="n">
        <f aca="false">ROW(A1910)</f>
        <v>1910</v>
      </c>
      <c r="B1921" s="97" t="n">
        <v>10</v>
      </c>
      <c r="C1921" s="100" t="n">
        <v>1</v>
      </c>
      <c r="D1921" s="85"/>
      <c r="E1921" s="98" t="s">
        <v>4737</v>
      </c>
      <c r="F1921" s="99" t="s">
        <v>4719</v>
      </c>
      <c r="G1921" s="100" t="s">
        <v>4100</v>
      </c>
      <c r="H1921" s="100" t="s">
        <v>4691</v>
      </c>
      <c r="I1921" s="100" t="s">
        <v>388</v>
      </c>
      <c r="J1921" s="98" t="s">
        <v>527</v>
      </c>
      <c r="K1921" s="101" t="s">
        <v>4738</v>
      </c>
      <c r="L1921" s="102" t="n">
        <v>45743</v>
      </c>
      <c r="M1921" s="100" t="n">
        <v>4349</v>
      </c>
      <c r="N1921" s="100" t="n">
        <v>4812</v>
      </c>
      <c r="O1921" s="100" t="n">
        <v>463</v>
      </c>
      <c r="P1921" s="100" t="n">
        <v>449</v>
      </c>
      <c r="Q1921" s="100"/>
      <c r="R1921" s="103" t="n">
        <f aca="false">合約與計費!$D$4</f>
        <v>0.296</v>
      </c>
      <c r="S1921" s="104" t="n">
        <f aca="false">ROUND(P1921*R1921,0)</f>
        <v>133</v>
      </c>
      <c r="T1921" s="105"/>
      <c r="U1921" s="100"/>
      <c r="V1921" s="100"/>
      <c r="W1921" s="106"/>
      <c r="X1921" s="100"/>
      <c r="Y1921" s="100"/>
      <c r="Z1921" s="107"/>
      <c r="AA1921" s="108"/>
      <c r="AB1921" s="109"/>
      <c r="AC1921" s="110"/>
      <c r="AD1921" s="42"/>
      <c r="AE1921" s="43"/>
    </row>
    <row r="1922" customFormat="false" ht="16.5" hidden="false" customHeight="true" outlineLevel="0" collapsed="false">
      <c r="A1922" s="111" t="n">
        <f aca="false">ROW(A1911)</f>
        <v>1911</v>
      </c>
      <c r="B1922" s="111" t="n">
        <v>11</v>
      </c>
      <c r="C1922" s="114" t="n">
        <v>1</v>
      </c>
      <c r="D1922" s="85"/>
      <c r="E1922" s="112" t="s">
        <v>4739</v>
      </c>
      <c r="F1922" s="113" t="s">
        <v>4719</v>
      </c>
      <c r="G1922" s="114" t="s">
        <v>4100</v>
      </c>
      <c r="H1922" s="114" t="s">
        <v>4691</v>
      </c>
      <c r="I1922" s="114" t="s">
        <v>388</v>
      </c>
      <c r="J1922" s="98" t="s">
        <v>527</v>
      </c>
      <c r="K1922" s="101" t="s">
        <v>4740</v>
      </c>
      <c r="L1922" s="102" t="n">
        <v>45743</v>
      </c>
      <c r="M1922" s="100" t="n">
        <v>4837</v>
      </c>
      <c r="N1922" s="100" t="n">
        <v>5525</v>
      </c>
      <c r="O1922" s="114" t="n">
        <v>688</v>
      </c>
      <c r="P1922" s="114" t="n">
        <v>667</v>
      </c>
      <c r="Q1922" s="114" t="n">
        <f aca="false">ROUND(SUM(P1912:P1922),2)</f>
        <v>5943</v>
      </c>
      <c r="R1922" s="117" t="n">
        <f aca="false">合約與計費!$D$4</f>
        <v>0.296</v>
      </c>
      <c r="S1922" s="118" t="n">
        <f aca="false">ROUND(P1922*R1922,0)</f>
        <v>197</v>
      </c>
      <c r="T1922" s="119" t="n">
        <f aca="false">ROUND(SUM(S1912:S1922),2)</f>
        <v>1759</v>
      </c>
      <c r="U1922" s="100"/>
      <c r="V1922" s="100"/>
      <c r="W1922" s="106"/>
      <c r="X1922" s="100"/>
      <c r="Y1922" s="114" t="n">
        <f aca="false">ROUND(SUM(X1912:X1922),2)</f>
        <v>38</v>
      </c>
      <c r="Z1922" s="121"/>
      <c r="AA1922" s="122"/>
      <c r="AB1922" s="123" t="n">
        <f aca="false">ROUND(SUM(AA1912:AA1922),2)</f>
        <v>106</v>
      </c>
      <c r="AC1922" s="110"/>
      <c r="AD1922" s="42"/>
      <c r="AE1922" s="43"/>
    </row>
    <row r="1923" customFormat="false" ht="16.5" hidden="false" customHeight="true" outlineLevel="0" collapsed="false">
      <c r="A1923" s="85" t="n">
        <f aca="false">ROW(A1912)</f>
        <v>1912</v>
      </c>
      <c r="B1923" s="85" t="s">
        <v>455</v>
      </c>
      <c r="C1923" s="216" t="n">
        <v>1</v>
      </c>
      <c r="D1923" s="85" t="n">
        <v>302</v>
      </c>
      <c r="E1923" s="214" t="s">
        <v>4741</v>
      </c>
      <c r="F1923" s="215" t="s">
        <v>4742</v>
      </c>
      <c r="G1923" s="216" t="s">
        <v>4100</v>
      </c>
      <c r="H1923" s="216" t="s">
        <v>4691</v>
      </c>
      <c r="I1923" s="246" t="s">
        <v>73</v>
      </c>
      <c r="J1923" s="214" t="s">
        <v>460</v>
      </c>
      <c r="K1923" s="217" t="s">
        <v>4743</v>
      </c>
      <c r="L1923" s="218" t="n">
        <v>45726</v>
      </c>
      <c r="M1923" s="216" t="n">
        <v>57</v>
      </c>
      <c r="N1923" s="216" t="n">
        <v>60</v>
      </c>
      <c r="O1923" s="114" t="n">
        <v>3</v>
      </c>
      <c r="P1923" s="114" t="n">
        <v>3</v>
      </c>
      <c r="Q1923" s="114" t="n">
        <f aca="false">ROUND(SUM(P1923),2)</f>
        <v>3</v>
      </c>
      <c r="R1923" s="219" t="n">
        <f aca="false">合約與計費!$D$4</f>
        <v>0.296</v>
      </c>
      <c r="S1923" s="220" t="n">
        <f aca="false">ROUND(P1923*R1923,0)</f>
        <v>1</v>
      </c>
      <c r="T1923" s="119" t="n">
        <f aca="false">ROUND(SUM(S1923),2)</f>
        <v>1</v>
      </c>
      <c r="U1923" s="216" t="n">
        <v>334</v>
      </c>
      <c r="V1923" s="216" t="n">
        <v>410</v>
      </c>
      <c r="W1923" s="216" t="n">
        <v>76</v>
      </c>
      <c r="X1923" s="216" t="n">
        <v>74</v>
      </c>
      <c r="Y1923" s="216" t="n">
        <f aca="false">ROUND(SUM(X1923),2)</f>
        <v>74</v>
      </c>
      <c r="Z1923" s="221" t="n">
        <f aca="false">合約與計費!$E$4</f>
        <v>2.8</v>
      </c>
      <c r="AA1923" s="222" t="n">
        <f aca="false">ROUND(X1923*Z1923,0)</f>
        <v>207</v>
      </c>
      <c r="AB1923" s="223" t="n">
        <f aca="false">ROUND(SUM(AA1923),2)</f>
        <v>207</v>
      </c>
      <c r="AC1923" s="224"/>
      <c r="AD1923" s="42"/>
      <c r="AE1923" s="43"/>
    </row>
    <row r="1924" customFormat="false" ht="16.5" hidden="false" customHeight="true" outlineLevel="0" collapsed="false">
      <c r="A1924" s="84" t="n">
        <f aca="false">ROW(A1913)</f>
        <v>1913</v>
      </c>
      <c r="B1924" s="84" t="s">
        <v>455</v>
      </c>
      <c r="C1924" s="32" t="n">
        <v>1</v>
      </c>
      <c r="D1924" s="85" t="n">
        <v>303</v>
      </c>
      <c r="E1924" s="86" t="s">
        <v>4744</v>
      </c>
      <c r="F1924" s="87" t="s">
        <v>4745</v>
      </c>
      <c r="G1924" s="32" t="s">
        <v>4100</v>
      </c>
      <c r="H1924" s="32" t="s">
        <v>4691</v>
      </c>
      <c r="I1924" s="172" t="s">
        <v>194</v>
      </c>
      <c r="J1924" s="86" t="s">
        <v>460</v>
      </c>
      <c r="K1924" s="225" t="s">
        <v>4746</v>
      </c>
      <c r="L1924" s="89" t="n">
        <v>45726</v>
      </c>
      <c r="M1924" s="32" t="n">
        <v>1119</v>
      </c>
      <c r="N1924" s="32" t="n">
        <v>1262</v>
      </c>
      <c r="O1924" s="32" t="n">
        <v>143</v>
      </c>
      <c r="P1924" s="32" t="n">
        <v>139</v>
      </c>
      <c r="Q1924" s="32"/>
      <c r="R1924" s="90" t="n">
        <f aca="false">合約與計費!$D$4</f>
        <v>0.296</v>
      </c>
      <c r="S1924" s="91" t="n">
        <f aca="false">ROUND(P1924*R1924,0)</f>
        <v>41</v>
      </c>
      <c r="T1924" s="92"/>
      <c r="U1924" s="32" t="n">
        <v>97</v>
      </c>
      <c r="V1924" s="32" t="n">
        <v>105</v>
      </c>
      <c r="W1924" s="32" t="n">
        <v>8</v>
      </c>
      <c r="X1924" s="32" t="n">
        <v>8</v>
      </c>
      <c r="Y1924" s="32"/>
      <c r="Z1924" s="93" t="n">
        <f aca="false">合約與計費!$E$4</f>
        <v>2.8</v>
      </c>
      <c r="AA1924" s="94" t="n">
        <f aca="false">ROUND(X1924*Z1924,0)</f>
        <v>22</v>
      </c>
      <c r="AB1924" s="95"/>
      <c r="AC1924" s="254"/>
      <c r="AD1924" s="42"/>
      <c r="AE1924" s="43"/>
    </row>
    <row r="1925" customFormat="false" ht="16.5" hidden="false" customHeight="true" outlineLevel="0" collapsed="false">
      <c r="A1925" s="97" t="n">
        <f aca="false">ROW(A1914)</f>
        <v>1914</v>
      </c>
      <c r="B1925" s="97" t="s">
        <v>462</v>
      </c>
      <c r="C1925" s="100" t="n">
        <v>1</v>
      </c>
      <c r="D1925" s="85"/>
      <c r="E1925" s="98" t="s">
        <v>4747</v>
      </c>
      <c r="F1925" s="99" t="s">
        <v>4745</v>
      </c>
      <c r="G1925" s="100" t="s">
        <v>4100</v>
      </c>
      <c r="H1925" s="100" t="s">
        <v>4691</v>
      </c>
      <c r="I1925" s="175" t="s">
        <v>194</v>
      </c>
      <c r="J1925" s="98" t="s">
        <v>464</v>
      </c>
      <c r="K1925" s="101" t="s">
        <v>4748</v>
      </c>
      <c r="L1925" s="102" t="n">
        <v>45726</v>
      </c>
      <c r="M1925" s="100" t="n">
        <v>319</v>
      </c>
      <c r="N1925" s="100" t="n">
        <v>369</v>
      </c>
      <c r="O1925" s="100" t="n">
        <v>50</v>
      </c>
      <c r="P1925" s="100" t="n">
        <v>49</v>
      </c>
      <c r="Q1925" s="100"/>
      <c r="R1925" s="103" t="n">
        <f aca="false">合約與計費!$D$4</f>
        <v>0.296</v>
      </c>
      <c r="S1925" s="104" t="n">
        <f aca="false">ROUND(P1925*R1925,0)</f>
        <v>15</v>
      </c>
      <c r="T1925" s="105"/>
      <c r="U1925" s="100"/>
      <c r="V1925" s="100"/>
      <c r="W1925" s="106"/>
      <c r="X1925" s="100"/>
      <c r="Y1925" s="100"/>
      <c r="Z1925" s="107"/>
      <c r="AA1925" s="108"/>
      <c r="AB1925" s="109"/>
      <c r="AC1925" s="110"/>
      <c r="AD1925" s="42" t="n">
        <v>0.0373</v>
      </c>
      <c r="AE1925" s="43" t="n">
        <v>0.9</v>
      </c>
    </row>
    <row r="1926" customFormat="false" ht="16.5" hidden="false" customHeight="true" outlineLevel="0" collapsed="false">
      <c r="A1926" s="111" t="n">
        <f aca="false">ROW(A1915)</f>
        <v>1915</v>
      </c>
      <c r="B1926" s="111" t="s">
        <v>466</v>
      </c>
      <c r="C1926" s="114" t="n">
        <v>1</v>
      </c>
      <c r="D1926" s="85"/>
      <c r="E1926" s="112" t="s">
        <v>4749</v>
      </c>
      <c r="F1926" s="113" t="s">
        <v>4745</v>
      </c>
      <c r="G1926" s="114" t="s">
        <v>4100</v>
      </c>
      <c r="H1926" s="114" t="s">
        <v>4691</v>
      </c>
      <c r="I1926" s="173" t="s">
        <v>194</v>
      </c>
      <c r="J1926" s="112" t="s">
        <v>527</v>
      </c>
      <c r="K1926" s="115" t="s">
        <v>4750</v>
      </c>
      <c r="L1926" s="116" t="n">
        <v>45726</v>
      </c>
      <c r="M1926" s="114" t="n">
        <v>1221</v>
      </c>
      <c r="N1926" s="114" t="n">
        <v>1452</v>
      </c>
      <c r="O1926" s="114" t="n">
        <v>231</v>
      </c>
      <c r="P1926" s="114" t="n">
        <v>224</v>
      </c>
      <c r="Q1926" s="114" t="n">
        <f aca="false">ROUND(SUM(P1924:P1926),2)</f>
        <v>412</v>
      </c>
      <c r="R1926" s="117" t="n">
        <f aca="false">合約與計費!$D$4</f>
        <v>0.296</v>
      </c>
      <c r="S1926" s="118" t="n">
        <f aca="false">ROUND(P1926*R1926,0)</f>
        <v>66</v>
      </c>
      <c r="T1926" s="119" t="n">
        <f aca="false">ROUND(SUM(S1924:S1926),2)</f>
        <v>122</v>
      </c>
      <c r="U1926" s="114"/>
      <c r="V1926" s="114"/>
      <c r="W1926" s="120"/>
      <c r="X1926" s="114"/>
      <c r="Y1926" s="100" t="n">
        <f aca="false">ROUND(SUM(X1924:X1926),2)</f>
        <v>8</v>
      </c>
      <c r="Z1926" s="121"/>
      <c r="AA1926" s="108"/>
      <c r="AB1926" s="109" t="n">
        <f aca="false">ROUND(SUM(AA1924:AA1926),2)</f>
        <v>22</v>
      </c>
      <c r="AC1926" s="124"/>
      <c r="AD1926" s="42"/>
      <c r="AE1926" s="43"/>
    </row>
    <row r="1927" customFormat="false" ht="16.5" hidden="false" customHeight="true" outlineLevel="0" collapsed="false">
      <c r="A1927" s="85" t="n">
        <f aca="false">ROW(A1916)</f>
        <v>1916</v>
      </c>
      <c r="B1927" s="85" t="s">
        <v>455</v>
      </c>
      <c r="C1927" s="216" t="n">
        <v>1</v>
      </c>
      <c r="D1927" s="85" t="n">
        <v>376</v>
      </c>
      <c r="E1927" s="214" t="s">
        <v>4751</v>
      </c>
      <c r="F1927" s="215" t="s">
        <v>4752</v>
      </c>
      <c r="G1927" s="216" t="s">
        <v>4100</v>
      </c>
      <c r="H1927" s="216" t="s">
        <v>4691</v>
      </c>
      <c r="I1927" s="246" t="s">
        <v>216</v>
      </c>
      <c r="J1927" s="214" t="s">
        <v>460</v>
      </c>
      <c r="K1927" s="217" t="s">
        <v>4753</v>
      </c>
      <c r="L1927" s="218" t="n">
        <v>45727</v>
      </c>
      <c r="M1927" s="268" t="n">
        <v>405</v>
      </c>
      <c r="N1927" s="268" t="n">
        <v>496</v>
      </c>
      <c r="O1927" s="268" t="n">
        <v>91</v>
      </c>
      <c r="P1927" s="268" t="n">
        <v>88</v>
      </c>
      <c r="Q1927" s="268" t="n">
        <f aca="false">ROUND(SUM(P1927),2)</f>
        <v>88</v>
      </c>
      <c r="R1927" s="269" t="n">
        <f aca="false">合約與計費!$D$4</f>
        <v>0.296</v>
      </c>
      <c r="S1927" s="270" t="n">
        <f aca="false">ROUND(P1927*R1927,0)</f>
        <v>26</v>
      </c>
      <c r="T1927" s="271" t="n">
        <f aca="false">ROUND(SUM(S1927),2)</f>
        <v>26</v>
      </c>
      <c r="U1927" s="216" t="n">
        <v>258</v>
      </c>
      <c r="V1927" s="216" t="n">
        <v>423</v>
      </c>
      <c r="W1927" s="216" t="n">
        <v>165</v>
      </c>
      <c r="X1927" s="216" t="n">
        <v>160</v>
      </c>
      <c r="Y1927" s="216" t="n">
        <f aca="false">ROUND(SUM(X1927),2)</f>
        <v>160</v>
      </c>
      <c r="Z1927" s="221" t="n">
        <f aca="false">合約與計費!$E$4</f>
        <v>2.8</v>
      </c>
      <c r="AA1927" s="222" t="n">
        <f aca="false">ROUND(X1927*Z1927,0)</f>
        <v>448</v>
      </c>
      <c r="AB1927" s="223" t="n">
        <f aca="false">ROUND(SUM(AA1927),2)</f>
        <v>448</v>
      </c>
      <c r="AC1927" s="224"/>
      <c r="AD1927" s="42"/>
      <c r="AE1927" s="43"/>
    </row>
    <row r="1928" customFormat="false" ht="16.5" hidden="false" customHeight="true" outlineLevel="0" collapsed="false">
      <c r="A1928" s="84" t="n">
        <f aca="false">ROW(A1917)</f>
        <v>1917</v>
      </c>
      <c r="B1928" s="84" t="s">
        <v>455</v>
      </c>
      <c r="C1928" s="32" t="n">
        <v>1</v>
      </c>
      <c r="D1928" s="85" t="n">
        <v>377</v>
      </c>
      <c r="E1928" s="86" t="s">
        <v>4754</v>
      </c>
      <c r="F1928" s="87" t="s">
        <v>4755</v>
      </c>
      <c r="G1928" s="32" t="s">
        <v>4100</v>
      </c>
      <c r="H1928" s="32" t="s">
        <v>4691</v>
      </c>
      <c r="I1928" s="172" t="s">
        <v>208</v>
      </c>
      <c r="J1928" s="86" t="s">
        <v>460</v>
      </c>
      <c r="K1928" s="88" t="s">
        <v>4756</v>
      </c>
      <c r="L1928" s="89" t="n">
        <v>45727</v>
      </c>
      <c r="M1928" s="32" t="n">
        <v>2363</v>
      </c>
      <c r="N1928" s="32" t="n">
        <v>2605</v>
      </c>
      <c r="O1928" s="32" t="n">
        <v>242</v>
      </c>
      <c r="P1928" s="32" t="n">
        <v>235</v>
      </c>
      <c r="Q1928" s="32"/>
      <c r="R1928" s="90" t="n">
        <f aca="false">合約與計費!$D$4</f>
        <v>0.296</v>
      </c>
      <c r="S1928" s="91" t="n">
        <f aca="false">ROUND(P1928*R1928,0)</f>
        <v>70</v>
      </c>
      <c r="T1928" s="92"/>
      <c r="U1928" s="32" t="n">
        <v>1103</v>
      </c>
      <c r="V1928" s="32" t="n">
        <v>1218</v>
      </c>
      <c r="W1928" s="32" t="n">
        <v>115</v>
      </c>
      <c r="X1928" s="32" t="n">
        <v>112</v>
      </c>
      <c r="Y1928" s="32"/>
      <c r="Z1928" s="93" t="n">
        <f aca="false">合約與計費!$E$4</f>
        <v>2.8</v>
      </c>
      <c r="AA1928" s="94" t="n">
        <f aca="false">ROUND(X1928*Z1928,0)</f>
        <v>314</v>
      </c>
      <c r="AB1928" s="95"/>
      <c r="AC1928" s="254"/>
      <c r="AD1928" s="42"/>
      <c r="AE1928" s="43"/>
    </row>
    <row r="1929" customFormat="false" ht="16.5" hidden="false" customHeight="true" outlineLevel="0" collapsed="false">
      <c r="A1929" s="111" t="n">
        <f aca="false">ROW(A1918)</f>
        <v>1918</v>
      </c>
      <c r="B1929" s="111" t="s">
        <v>462</v>
      </c>
      <c r="C1929" s="114" t="n">
        <v>1</v>
      </c>
      <c r="D1929" s="85"/>
      <c r="E1929" s="112" t="s">
        <v>4757</v>
      </c>
      <c r="F1929" s="113" t="s">
        <v>4755</v>
      </c>
      <c r="G1929" s="114" t="s">
        <v>4100</v>
      </c>
      <c r="H1929" s="114" t="s">
        <v>4691</v>
      </c>
      <c r="I1929" s="173" t="s">
        <v>208</v>
      </c>
      <c r="J1929" s="112" t="s">
        <v>464</v>
      </c>
      <c r="K1929" s="236" t="s">
        <v>4758</v>
      </c>
      <c r="L1929" s="116" t="n">
        <v>45727</v>
      </c>
      <c r="M1929" s="114" t="n">
        <v>231</v>
      </c>
      <c r="N1929" s="114" t="n">
        <v>265</v>
      </c>
      <c r="O1929" s="114" t="n">
        <v>34</v>
      </c>
      <c r="P1929" s="114" t="n">
        <v>33</v>
      </c>
      <c r="Q1929" s="114" t="n">
        <f aca="false">ROUND(SUM(P1928:P1929),2)</f>
        <v>268</v>
      </c>
      <c r="R1929" s="117" t="n">
        <f aca="false">合約與計費!$D$4</f>
        <v>0.296</v>
      </c>
      <c r="S1929" s="118" t="n">
        <f aca="false">ROUND(P1929*R1929,0)</f>
        <v>10</v>
      </c>
      <c r="T1929" s="119" t="n">
        <f aca="false">ROUND(SUM(S1928:S1929),2)</f>
        <v>80</v>
      </c>
      <c r="U1929" s="114"/>
      <c r="V1929" s="114"/>
      <c r="W1929" s="120"/>
      <c r="X1929" s="114"/>
      <c r="Y1929" s="114" t="n">
        <f aca="false">ROUND(SUM(X1928:X1929),2)</f>
        <v>112</v>
      </c>
      <c r="Z1929" s="121"/>
      <c r="AA1929" s="122"/>
      <c r="AB1929" s="123" t="n">
        <f aca="false">ROUND(SUM(AA1928:AA1929),2)</f>
        <v>314</v>
      </c>
      <c r="AC1929" s="124"/>
      <c r="AD1929" s="42" t="n">
        <v>0.0464</v>
      </c>
      <c r="AE1929" s="43" t="n">
        <v>0.9</v>
      </c>
    </row>
    <row r="1930" customFormat="false" ht="16.5" hidden="false" customHeight="true" outlineLevel="0" collapsed="false">
      <c r="A1930" s="85" t="n">
        <f aca="false">ROW(A1919)</f>
        <v>1919</v>
      </c>
      <c r="B1930" s="85" t="s">
        <v>455</v>
      </c>
      <c r="C1930" s="216" t="n">
        <v>1</v>
      </c>
      <c r="D1930" s="85" t="n">
        <v>379</v>
      </c>
      <c r="E1930" s="214" t="s">
        <v>4759</v>
      </c>
      <c r="F1930" s="215" t="s">
        <v>4760</v>
      </c>
      <c r="G1930" s="216" t="s">
        <v>4100</v>
      </c>
      <c r="H1930" s="216" t="s">
        <v>4691</v>
      </c>
      <c r="I1930" s="246" t="s">
        <v>195</v>
      </c>
      <c r="J1930" s="214" t="s">
        <v>460</v>
      </c>
      <c r="K1930" s="217" t="s">
        <v>4761</v>
      </c>
      <c r="L1930" s="218" t="n">
        <v>45727</v>
      </c>
      <c r="M1930" s="216" t="n">
        <v>25</v>
      </c>
      <c r="N1930" s="216" t="n">
        <v>31</v>
      </c>
      <c r="O1930" s="114" t="n">
        <v>6</v>
      </c>
      <c r="P1930" s="114" t="n">
        <v>6</v>
      </c>
      <c r="Q1930" s="114" t="n">
        <f aca="false">ROUND(SUM(P1930),2)</f>
        <v>6</v>
      </c>
      <c r="R1930" s="219" t="n">
        <f aca="false">合約與計費!$D$4</f>
        <v>0.296</v>
      </c>
      <c r="S1930" s="220" t="n">
        <f aca="false">ROUND(P1930*R1930,0)</f>
        <v>2</v>
      </c>
      <c r="T1930" s="119" t="n">
        <f aca="false">ROUND(SUM(S1930),2)</f>
        <v>2</v>
      </c>
      <c r="U1930" s="216" t="n">
        <v>4</v>
      </c>
      <c r="V1930" s="216" t="n">
        <v>30</v>
      </c>
      <c r="W1930" s="216" t="n">
        <v>26</v>
      </c>
      <c r="X1930" s="216" t="n">
        <v>25</v>
      </c>
      <c r="Y1930" s="216" t="n">
        <f aca="false">ROUND(SUM(X1930),2)</f>
        <v>25</v>
      </c>
      <c r="Z1930" s="221" t="n">
        <f aca="false">合約與計費!$E$4</f>
        <v>2.8</v>
      </c>
      <c r="AA1930" s="222" t="n">
        <f aca="false">ROUND(X1930*Z1930,0)</f>
        <v>70</v>
      </c>
      <c r="AB1930" s="223" t="n">
        <f aca="false">ROUND(SUM(AA1930),2)</f>
        <v>70</v>
      </c>
      <c r="AC1930" s="224"/>
      <c r="AD1930" s="42"/>
      <c r="AE1930" s="43"/>
    </row>
    <row r="1931" customFormat="false" ht="16.5" hidden="false" customHeight="true" outlineLevel="0" collapsed="false">
      <c r="A1931" s="85" t="n">
        <f aca="false">ROW(A1920)</f>
        <v>1920</v>
      </c>
      <c r="B1931" s="85" t="s">
        <v>455</v>
      </c>
      <c r="C1931" s="216" t="n">
        <v>1</v>
      </c>
      <c r="D1931" s="85" t="n">
        <v>380</v>
      </c>
      <c r="E1931" s="214" t="s">
        <v>4762</v>
      </c>
      <c r="F1931" s="215" t="s">
        <v>4763</v>
      </c>
      <c r="G1931" s="216" t="s">
        <v>4100</v>
      </c>
      <c r="H1931" s="216" t="s">
        <v>4691</v>
      </c>
      <c r="I1931" s="246" t="s">
        <v>222</v>
      </c>
      <c r="J1931" s="214" t="s">
        <v>460</v>
      </c>
      <c r="K1931" s="217" t="s">
        <v>4764</v>
      </c>
      <c r="L1931" s="218" t="n">
        <v>45728</v>
      </c>
      <c r="M1931" s="216" t="n">
        <v>20</v>
      </c>
      <c r="N1931" s="216" t="n">
        <v>32</v>
      </c>
      <c r="O1931" s="114" t="n">
        <v>12</v>
      </c>
      <c r="P1931" s="114" t="n">
        <v>12</v>
      </c>
      <c r="Q1931" s="114" t="n">
        <f aca="false">ROUND(SUM(P1931),2)</f>
        <v>12</v>
      </c>
      <c r="R1931" s="219" t="n">
        <f aca="false">合約與計費!$D$4</f>
        <v>0.296</v>
      </c>
      <c r="S1931" s="220" t="n">
        <f aca="false">ROUND(P1931*R1931,0)</f>
        <v>4</v>
      </c>
      <c r="T1931" s="119" t="n">
        <f aca="false">ROUND(SUM(S1931),2)</f>
        <v>4</v>
      </c>
      <c r="U1931" s="216" t="n">
        <v>43</v>
      </c>
      <c r="V1931" s="216" t="n">
        <v>51</v>
      </c>
      <c r="W1931" s="216" t="n">
        <v>8</v>
      </c>
      <c r="X1931" s="216" t="n">
        <v>8</v>
      </c>
      <c r="Y1931" s="216" t="n">
        <f aca="false">ROUND(SUM(X1931),2)</f>
        <v>8</v>
      </c>
      <c r="Z1931" s="221" t="n">
        <f aca="false">合約與計費!$E$4</f>
        <v>2.8</v>
      </c>
      <c r="AA1931" s="222" t="n">
        <f aca="false">ROUND(X1931*Z1931,0)</f>
        <v>22</v>
      </c>
      <c r="AB1931" s="223" t="n">
        <f aca="false">ROUND(SUM(AA1931),2)</f>
        <v>22</v>
      </c>
      <c r="AC1931" s="224"/>
      <c r="AD1931" s="42"/>
      <c r="AE1931" s="43"/>
    </row>
    <row r="1932" customFormat="false" ht="16.5" hidden="false" customHeight="true" outlineLevel="0" collapsed="false">
      <c r="A1932" s="85" t="n">
        <f aca="false">ROW(A1921)</f>
        <v>1921</v>
      </c>
      <c r="B1932" s="85" t="s">
        <v>455</v>
      </c>
      <c r="C1932" s="216" t="n">
        <v>1</v>
      </c>
      <c r="D1932" s="85" t="n">
        <v>382</v>
      </c>
      <c r="E1932" s="214" t="s">
        <v>4765</v>
      </c>
      <c r="F1932" s="215" t="s">
        <v>4766</v>
      </c>
      <c r="G1932" s="216" t="s">
        <v>4100</v>
      </c>
      <c r="H1932" s="216" t="s">
        <v>4691</v>
      </c>
      <c r="I1932" s="246" t="s">
        <v>425</v>
      </c>
      <c r="J1932" s="214" t="s">
        <v>464</v>
      </c>
      <c r="K1932" s="217" t="s">
        <v>4767</v>
      </c>
      <c r="L1932" s="218" t="n">
        <v>45726</v>
      </c>
      <c r="M1932" s="216" t="n">
        <v>287</v>
      </c>
      <c r="N1932" s="216" t="n">
        <v>356</v>
      </c>
      <c r="O1932" s="114" t="n">
        <v>69</v>
      </c>
      <c r="P1932" s="114" t="n">
        <v>67</v>
      </c>
      <c r="Q1932" s="114" t="n">
        <f aca="false">ROUND(SUM(P1932),2)</f>
        <v>67</v>
      </c>
      <c r="R1932" s="219" t="n">
        <f aca="false">合約與計費!$D$4</f>
        <v>0.296</v>
      </c>
      <c r="S1932" s="220" t="n">
        <f aca="false">ROUND(P1932*R1932,0)</f>
        <v>20</v>
      </c>
      <c r="T1932" s="119" t="n">
        <f aca="false">ROUND(SUM(S1932),2)</f>
        <v>20</v>
      </c>
      <c r="U1932" s="216"/>
      <c r="V1932" s="216"/>
      <c r="W1932" s="247"/>
      <c r="X1932" s="216"/>
      <c r="Y1932" s="216"/>
      <c r="Z1932" s="221"/>
      <c r="AA1932" s="222"/>
      <c r="AB1932" s="223"/>
      <c r="AC1932" s="224"/>
      <c r="AD1932" s="42" t="n">
        <v>0.0434</v>
      </c>
      <c r="AE1932" s="43" t="n">
        <v>0.9</v>
      </c>
    </row>
    <row r="1933" customFormat="false" ht="16.5" hidden="false" customHeight="true" outlineLevel="0" collapsed="false">
      <c r="A1933" s="85" t="n">
        <f aca="false">ROW(A1922)</f>
        <v>1922</v>
      </c>
      <c r="B1933" s="85" t="s">
        <v>455</v>
      </c>
      <c r="C1933" s="216" t="n">
        <v>1</v>
      </c>
      <c r="D1933" s="85" t="n">
        <v>385</v>
      </c>
      <c r="E1933" s="214" t="s">
        <v>4768</v>
      </c>
      <c r="F1933" s="215" t="s">
        <v>4769</v>
      </c>
      <c r="G1933" s="216" t="s">
        <v>4100</v>
      </c>
      <c r="H1933" s="216" t="s">
        <v>4691</v>
      </c>
      <c r="I1933" s="246" t="s">
        <v>366</v>
      </c>
      <c r="J1933" s="214" t="s">
        <v>460</v>
      </c>
      <c r="K1933" s="217" t="s">
        <v>4770</v>
      </c>
      <c r="L1933" s="218" t="n">
        <v>45728</v>
      </c>
      <c r="M1933" s="216" t="n">
        <v>60</v>
      </c>
      <c r="N1933" s="216" t="n">
        <v>67</v>
      </c>
      <c r="O1933" s="114" t="n">
        <v>7</v>
      </c>
      <c r="P1933" s="114" t="n">
        <v>7</v>
      </c>
      <c r="Q1933" s="114" t="n">
        <f aca="false">ROUND(SUM(P1933),2)</f>
        <v>7</v>
      </c>
      <c r="R1933" s="219" t="n">
        <f aca="false">合約與計費!$D$4</f>
        <v>0.296</v>
      </c>
      <c r="S1933" s="220" t="n">
        <f aca="false">ROUND(P1933*R1933,0)</f>
        <v>2</v>
      </c>
      <c r="T1933" s="119" t="n">
        <f aca="false">ROUND(SUM(S1933),2)</f>
        <v>2</v>
      </c>
      <c r="U1933" s="216" t="n">
        <v>150</v>
      </c>
      <c r="V1933" s="216" t="n">
        <v>177</v>
      </c>
      <c r="W1933" s="216" t="n">
        <v>27</v>
      </c>
      <c r="X1933" s="216" t="n">
        <v>26</v>
      </c>
      <c r="Y1933" s="216" t="n">
        <f aca="false">ROUND(SUM(X1933),2)</f>
        <v>26</v>
      </c>
      <c r="Z1933" s="221" t="n">
        <f aca="false">合約與計費!$E$4</f>
        <v>2.8</v>
      </c>
      <c r="AA1933" s="222" t="n">
        <f aca="false">ROUND(X1933*Z1933,0)</f>
        <v>73</v>
      </c>
      <c r="AB1933" s="223" t="n">
        <f aca="false">ROUND(SUM(AA1933),2)</f>
        <v>73</v>
      </c>
      <c r="AC1933" s="224"/>
      <c r="AD1933" s="42"/>
      <c r="AE1933" s="43"/>
    </row>
    <row r="1934" customFormat="false" ht="16.5" hidden="false" customHeight="true" outlineLevel="0" collapsed="false">
      <c r="A1934" s="85" t="n">
        <f aca="false">ROW(A1923)</f>
        <v>1923</v>
      </c>
      <c r="B1934" s="85" t="s">
        <v>455</v>
      </c>
      <c r="C1934" s="216" t="n">
        <v>1</v>
      </c>
      <c r="D1934" s="85" t="n">
        <v>389</v>
      </c>
      <c r="E1934" s="214" t="s">
        <v>4771</v>
      </c>
      <c r="F1934" s="215" t="s">
        <v>4772</v>
      </c>
      <c r="G1934" s="216" t="s">
        <v>4100</v>
      </c>
      <c r="H1934" s="216" t="s">
        <v>4691</v>
      </c>
      <c r="I1934" s="246" t="s">
        <v>353</v>
      </c>
      <c r="J1934" s="214" t="s">
        <v>464</v>
      </c>
      <c r="K1934" s="217" t="s">
        <v>4773</v>
      </c>
      <c r="L1934" s="218" t="n">
        <v>45728</v>
      </c>
      <c r="M1934" s="216" t="n">
        <v>682</v>
      </c>
      <c r="N1934" s="216" t="n">
        <v>745</v>
      </c>
      <c r="O1934" s="114" t="n">
        <v>63</v>
      </c>
      <c r="P1934" s="114" t="n">
        <v>61</v>
      </c>
      <c r="Q1934" s="114" t="n">
        <f aca="false">ROUND(SUM(P1934),2)</f>
        <v>61</v>
      </c>
      <c r="R1934" s="219" t="n">
        <f aca="false">合約與計費!$D$4</f>
        <v>0.296</v>
      </c>
      <c r="S1934" s="220" t="n">
        <f aca="false">ROUND(P1934*R1934,0)</f>
        <v>18</v>
      </c>
      <c r="T1934" s="119" t="n">
        <f aca="false">ROUND(SUM(S1934),2)</f>
        <v>18</v>
      </c>
      <c r="U1934" s="216"/>
      <c r="V1934" s="216"/>
      <c r="W1934" s="247"/>
      <c r="X1934" s="216"/>
      <c r="Y1934" s="216"/>
      <c r="Z1934" s="221"/>
      <c r="AA1934" s="222"/>
      <c r="AB1934" s="223"/>
      <c r="AC1934" s="224"/>
      <c r="AD1934" s="42" t="n">
        <v>0.0617</v>
      </c>
      <c r="AE1934" s="43" t="n">
        <v>0.7</v>
      </c>
    </row>
    <row r="1935" customFormat="false" ht="16.5" hidden="false" customHeight="true" outlineLevel="0" collapsed="false">
      <c r="A1935" s="85" t="n">
        <f aca="false">ROW(A1924)</f>
        <v>1924</v>
      </c>
      <c r="B1935" s="85" t="s">
        <v>455</v>
      </c>
      <c r="C1935" s="216" t="n">
        <v>1</v>
      </c>
      <c r="D1935" s="85" t="n">
        <v>427</v>
      </c>
      <c r="E1935" s="214" t="s">
        <v>4774</v>
      </c>
      <c r="F1935" s="215" t="s">
        <v>4775</v>
      </c>
      <c r="G1935" s="216" t="s">
        <v>4100</v>
      </c>
      <c r="H1935" s="216" t="s">
        <v>4691</v>
      </c>
      <c r="I1935" s="246" t="s">
        <v>4776</v>
      </c>
      <c r="J1935" s="214" t="s">
        <v>460</v>
      </c>
      <c r="K1935" s="217" t="s">
        <v>4777</v>
      </c>
      <c r="L1935" s="218" t="n">
        <v>45868</v>
      </c>
      <c r="M1935" s="216" t="n">
        <v>2089</v>
      </c>
      <c r="N1935" s="216" t="n">
        <v>2195</v>
      </c>
      <c r="O1935" s="114" t="n">
        <v>504</v>
      </c>
      <c r="P1935" s="114" t="n">
        <v>489</v>
      </c>
      <c r="Q1935" s="114" t="n">
        <f aca="false">ROUND(SUM(P1935),2)</f>
        <v>489</v>
      </c>
      <c r="R1935" s="219" t="n">
        <f aca="false">合約與計費!$D$4</f>
        <v>0.296</v>
      </c>
      <c r="S1935" s="220" t="n">
        <f aca="false">ROUND(P1935*R1935,0)</f>
        <v>145</v>
      </c>
      <c r="T1935" s="119" t="n">
        <f aca="false">ROUND(SUM(S1935),2)</f>
        <v>145</v>
      </c>
      <c r="U1935" s="216" t="n">
        <v>279</v>
      </c>
      <c r="V1935" s="216" t="n">
        <v>338</v>
      </c>
      <c r="W1935" s="216" t="n">
        <v>59</v>
      </c>
      <c r="X1935" s="216" t="n">
        <v>57</v>
      </c>
      <c r="Y1935" s="216" t="n">
        <f aca="false">ROUND(SUM(X1935),2)</f>
        <v>57</v>
      </c>
      <c r="Z1935" s="221" t="n">
        <f aca="false">合約與計費!$E$4</f>
        <v>2.8</v>
      </c>
      <c r="AA1935" s="222" t="n">
        <f aca="false">ROUND(X1935*Z1935,0)</f>
        <v>160</v>
      </c>
      <c r="AB1935" s="223" t="n">
        <f aca="false">ROUND(SUM(AA1935),2)</f>
        <v>160</v>
      </c>
      <c r="AC1935" s="224"/>
      <c r="AD1935" s="42"/>
      <c r="AE1935" s="43"/>
    </row>
    <row r="1936" customFormat="false" ht="16.5" hidden="false" customHeight="true" outlineLevel="0" collapsed="false">
      <c r="A1936" s="84" t="n">
        <f aca="false">ROW(A1925)</f>
        <v>1925</v>
      </c>
      <c r="B1936" s="84" t="s">
        <v>455</v>
      </c>
      <c r="C1936" s="32" t="n">
        <v>1</v>
      </c>
      <c r="D1936" s="85" t="n">
        <v>362</v>
      </c>
      <c r="E1936" s="86" t="s">
        <v>4778</v>
      </c>
      <c r="F1936" s="87" t="s">
        <v>4779</v>
      </c>
      <c r="G1936" s="32" t="s">
        <v>4100</v>
      </c>
      <c r="H1936" s="32" t="s">
        <v>4780</v>
      </c>
      <c r="I1936" s="172" t="s">
        <v>133</v>
      </c>
      <c r="J1936" s="86" t="s">
        <v>460</v>
      </c>
      <c r="K1936" s="225" t="s">
        <v>4781</v>
      </c>
      <c r="L1936" s="89" t="n">
        <v>45749</v>
      </c>
      <c r="M1936" s="32" t="n">
        <v>1230</v>
      </c>
      <c r="N1936" s="32" t="n">
        <v>1439</v>
      </c>
      <c r="O1936" s="32" t="n">
        <v>209</v>
      </c>
      <c r="P1936" s="32" t="n">
        <v>203</v>
      </c>
      <c r="Q1936" s="32"/>
      <c r="R1936" s="90" t="n">
        <f aca="false">合約與計費!$D$4</f>
        <v>0.296</v>
      </c>
      <c r="S1936" s="91" t="n">
        <f aca="false">ROUND(P1936*R1936,0)</f>
        <v>60</v>
      </c>
      <c r="T1936" s="92"/>
      <c r="U1936" s="32" t="n">
        <v>60</v>
      </c>
      <c r="V1936" s="32" t="n">
        <v>85</v>
      </c>
      <c r="W1936" s="32" t="n">
        <v>25</v>
      </c>
      <c r="X1936" s="32" t="n">
        <v>24</v>
      </c>
      <c r="Y1936" s="32"/>
      <c r="Z1936" s="93" t="n">
        <f aca="false">合約與計費!$E$4</f>
        <v>2.8</v>
      </c>
      <c r="AA1936" s="94" t="n">
        <f aca="false">ROUND(X1936*Z1936,0)</f>
        <v>67</v>
      </c>
      <c r="AB1936" s="95"/>
      <c r="AC1936" s="254"/>
      <c r="AD1936" s="42"/>
      <c r="AE1936" s="43"/>
    </row>
    <row r="1937" customFormat="false" ht="16.5" hidden="false" customHeight="true" outlineLevel="0" collapsed="false">
      <c r="A1937" s="97" t="n">
        <f aca="false">ROW(A1926)</f>
        <v>1926</v>
      </c>
      <c r="B1937" s="97" t="s">
        <v>462</v>
      </c>
      <c r="C1937" s="100" t="n">
        <v>1</v>
      </c>
      <c r="D1937" s="85"/>
      <c r="E1937" s="98" t="s">
        <v>4782</v>
      </c>
      <c r="F1937" s="99" t="s">
        <v>4779</v>
      </c>
      <c r="G1937" s="100" t="s">
        <v>4100</v>
      </c>
      <c r="H1937" s="100" t="s">
        <v>4780</v>
      </c>
      <c r="I1937" s="175" t="s">
        <v>133</v>
      </c>
      <c r="J1937" s="98" t="s">
        <v>464</v>
      </c>
      <c r="K1937" s="101" t="s">
        <v>4783</v>
      </c>
      <c r="L1937" s="102" t="n">
        <v>45749</v>
      </c>
      <c r="M1937" s="100" t="n">
        <v>3668</v>
      </c>
      <c r="N1937" s="100" t="n">
        <v>4171</v>
      </c>
      <c r="O1937" s="100" t="n">
        <v>503</v>
      </c>
      <c r="P1937" s="100" t="n">
        <v>488</v>
      </c>
      <c r="Q1937" s="100"/>
      <c r="R1937" s="103" t="n">
        <f aca="false">合約與計費!$D$4</f>
        <v>0.296</v>
      </c>
      <c r="S1937" s="104" t="n">
        <f aca="false">ROUND(P1937*R1937,0)</f>
        <v>144</v>
      </c>
      <c r="T1937" s="105"/>
      <c r="U1937" s="100"/>
      <c r="V1937" s="100"/>
      <c r="W1937" s="106"/>
      <c r="X1937" s="100"/>
      <c r="Y1937" s="100"/>
      <c r="Z1937" s="107"/>
      <c r="AA1937" s="108"/>
      <c r="AB1937" s="109"/>
      <c r="AC1937" s="110"/>
      <c r="AD1937" s="42" t="n">
        <v>0.2413</v>
      </c>
      <c r="AE1937" s="43" t="n">
        <v>0.7</v>
      </c>
    </row>
    <row r="1938" customFormat="false" ht="16.5" hidden="false" customHeight="true" outlineLevel="0" collapsed="false">
      <c r="A1938" s="97" t="n">
        <f aca="false">ROW(A1927)</f>
        <v>1927</v>
      </c>
      <c r="B1938" s="97" t="s">
        <v>466</v>
      </c>
      <c r="C1938" s="100" t="n">
        <v>1</v>
      </c>
      <c r="D1938" s="85"/>
      <c r="E1938" s="98" t="s">
        <v>4784</v>
      </c>
      <c r="F1938" s="99" t="s">
        <v>4779</v>
      </c>
      <c r="G1938" s="100" t="s">
        <v>4100</v>
      </c>
      <c r="H1938" s="100" t="s">
        <v>4780</v>
      </c>
      <c r="I1938" s="175" t="s">
        <v>133</v>
      </c>
      <c r="J1938" s="98" t="s">
        <v>471</v>
      </c>
      <c r="K1938" s="101" t="s">
        <v>4785</v>
      </c>
      <c r="L1938" s="102" t="n">
        <v>45679</v>
      </c>
      <c r="M1938" s="100" t="n">
        <v>4825</v>
      </c>
      <c r="N1938" s="100" t="n">
        <v>5303</v>
      </c>
      <c r="O1938" s="100" t="n">
        <v>478</v>
      </c>
      <c r="P1938" s="100" t="n">
        <v>464</v>
      </c>
      <c r="Q1938" s="100"/>
      <c r="R1938" s="103" t="n">
        <f aca="false">合約與計費!$D$4</f>
        <v>0.296</v>
      </c>
      <c r="S1938" s="104" t="n">
        <f aca="false">ROUND(P1938*R1938,0)</f>
        <v>137</v>
      </c>
      <c r="T1938" s="105"/>
      <c r="U1938" s="100"/>
      <c r="V1938" s="100"/>
      <c r="W1938" s="106"/>
      <c r="X1938" s="100"/>
      <c r="Y1938" s="100"/>
      <c r="Z1938" s="107"/>
      <c r="AA1938" s="108"/>
      <c r="AB1938" s="109"/>
      <c r="AC1938" s="110"/>
      <c r="AD1938" s="42" t="n">
        <v>0.0837</v>
      </c>
      <c r="AE1938" s="43" t="n">
        <v>0.8</v>
      </c>
    </row>
    <row r="1939" customFormat="false" ht="16.5" hidden="false" customHeight="true" outlineLevel="0" collapsed="false">
      <c r="A1939" s="97" t="n">
        <f aca="false">ROW(A1928)</f>
        <v>1928</v>
      </c>
      <c r="B1939" s="97" t="s">
        <v>469</v>
      </c>
      <c r="C1939" s="100" t="n">
        <v>1</v>
      </c>
      <c r="D1939" s="85"/>
      <c r="E1939" s="98" t="s">
        <v>4786</v>
      </c>
      <c r="F1939" s="99" t="s">
        <v>4779</v>
      </c>
      <c r="G1939" s="100" t="s">
        <v>4100</v>
      </c>
      <c r="H1939" s="100" t="s">
        <v>4780</v>
      </c>
      <c r="I1939" s="175" t="s">
        <v>133</v>
      </c>
      <c r="J1939" s="98" t="s">
        <v>471</v>
      </c>
      <c r="K1939" s="101" t="s">
        <v>4787</v>
      </c>
      <c r="L1939" s="102" t="n">
        <v>45679</v>
      </c>
      <c r="M1939" s="100" t="n">
        <v>6934</v>
      </c>
      <c r="N1939" s="100" t="n">
        <v>7712</v>
      </c>
      <c r="O1939" s="100" t="n">
        <v>778</v>
      </c>
      <c r="P1939" s="100" t="n">
        <v>755</v>
      </c>
      <c r="Q1939" s="100"/>
      <c r="R1939" s="103" t="n">
        <f aca="false">合約與計費!$D$4</f>
        <v>0.296</v>
      </c>
      <c r="S1939" s="104" t="n">
        <f aca="false">ROUND(P1939*R1939,0)</f>
        <v>223</v>
      </c>
      <c r="T1939" s="105"/>
      <c r="U1939" s="100"/>
      <c r="V1939" s="100"/>
      <c r="W1939" s="106"/>
      <c r="X1939" s="100"/>
      <c r="Y1939" s="100"/>
      <c r="Z1939" s="107"/>
      <c r="AA1939" s="108"/>
      <c r="AB1939" s="109"/>
      <c r="AC1939" s="110"/>
      <c r="AD1939" s="42" t="n">
        <v>0.0902</v>
      </c>
      <c r="AE1939" s="43" t="n">
        <v>0.3</v>
      </c>
    </row>
    <row r="1940" customFormat="false" ht="16.5" hidden="false" customHeight="true" outlineLevel="0" collapsed="false">
      <c r="A1940" s="97" t="n">
        <f aca="false">ROW(A1929)</f>
        <v>1929</v>
      </c>
      <c r="B1940" s="97" t="s">
        <v>473</v>
      </c>
      <c r="C1940" s="100" t="n">
        <v>1</v>
      </c>
      <c r="D1940" s="85"/>
      <c r="E1940" s="98" t="s">
        <v>4788</v>
      </c>
      <c r="F1940" s="99" t="s">
        <v>4779</v>
      </c>
      <c r="G1940" s="100" t="s">
        <v>4100</v>
      </c>
      <c r="H1940" s="100" t="s">
        <v>4780</v>
      </c>
      <c r="I1940" s="175" t="s">
        <v>133</v>
      </c>
      <c r="J1940" s="98" t="s">
        <v>471</v>
      </c>
      <c r="K1940" s="101" t="s">
        <v>4789</v>
      </c>
      <c r="L1940" s="102" t="n">
        <v>45679</v>
      </c>
      <c r="M1940" s="100" t="n">
        <v>5133</v>
      </c>
      <c r="N1940" s="100" t="n">
        <v>5659</v>
      </c>
      <c r="O1940" s="100" t="n">
        <v>526</v>
      </c>
      <c r="P1940" s="100" t="n">
        <v>510</v>
      </c>
      <c r="Q1940" s="100"/>
      <c r="R1940" s="103" t="n">
        <f aca="false">合約與計費!$D$4</f>
        <v>0.296</v>
      </c>
      <c r="S1940" s="104" t="n">
        <f aca="false">ROUND(P1940*R1940,0)</f>
        <v>151</v>
      </c>
      <c r="T1940" s="105"/>
      <c r="U1940" s="100"/>
      <c r="V1940" s="100"/>
      <c r="W1940" s="106"/>
      <c r="X1940" s="100"/>
      <c r="Y1940" s="100"/>
      <c r="Z1940" s="107"/>
      <c r="AA1940" s="108"/>
      <c r="AB1940" s="109"/>
      <c r="AC1940" s="110"/>
      <c r="AD1940" s="42" t="n">
        <v>0.0772</v>
      </c>
      <c r="AE1940" s="43" t="n">
        <v>0.8</v>
      </c>
    </row>
    <row r="1941" customFormat="false" ht="16.5" hidden="false" customHeight="true" outlineLevel="0" collapsed="false">
      <c r="A1941" s="97" t="n">
        <f aca="false">ROW(A1930)</f>
        <v>1930</v>
      </c>
      <c r="B1941" s="97" t="s">
        <v>476</v>
      </c>
      <c r="C1941" s="100" t="n">
        <v>1</v>
      </c>
      <c r="D1941" s="85"/>
      <c r="E1941" s="98" t="s">
        <v>4790</v>
      </c>
      <c r="F1941" s="99" t="s">
        <v>4779</v>
      </c>
      <c r="G1941" s="100" t="s">
        <v>4100</v>
      </c>
      <c r="H1941" s="100" t="s">
        <v>4780</v>
      </c>
      <c r="I1941" s="175" t="s">
        <v>133</v>
      </c>
      <c r="J1941" s="98" t="s">
        <v>471</v>
      </c>
      <c r="K1941" s="101" t="s">
        <v>4791</v>
      </c>
      <c r="L1941" s="102" t="n">
        <v>45679</v>
      </c>
      <c r="M1941" s="100" t="n">
        <v>6604</v>
      </c>
      <c r="N1941" s="100" t="n">
        <v>7204</v>
      </c>
      <c r="O1941" s="100" t="n">
        <v>600</v>
      </c>
      <c r="P1941" s="100" t="n">
        <v>582</v>
      </c>
      <c r="Q1941" s="100"/>
      <c r="R1941" s="103" t="n">
        <f aca="false">合約與計費!$D$4</f>
        <v>0.296</v>
      </c>
      <c r="S1941" s="104" t="n">
        <f aca="false">ROUND(P1941*R1941,0)</f>
        <v>172</v>
      </c>
      <c r="T1941" s="105"/>
      <c r="U1941" s="100"/>
      <c r="V1941" s="100"/>
      <c r="W1941" s="106"/>
      <c r="X1941" s="100"/>
      <c r="Y1941" s="100"/>
      <c r="Z1941" s="107"/>
      <c r="AA1941" s="108"/>
      <c r="AB1941" s="109"/>
      <c r="AC1941" s="110"/>
      <c r="AD1941" s="42" t="n">
        <v>0.0945</v>
      </c>
      <c r="AE1941" s="43" t="n">
        <v>0.3</v>
      </c>
    </row>
    <row r="1942" customFormat="false" ht="16.5" hidden="false" customHeight="true" outlineLevel="0" collapsed="false">
      <c r="A1942" s="97" t="n">
        <f aca="false">ROW(A1931)</f>
        <v>1931</v>
      </c>
      <c r="B1942" s="97" t="s">
        <v>479</v>
      </c>
      <c r="C1942" s="100" t="n">
        <v>1</v>
      </c>
      <c r="D1942" s="85"/>
      <c r="E1942" s="98" t="s">
        <v>4792</v>
      </c>
      <c r="F1942" s="99" t="s">
        <v>4779</v>
      </c>
      <c r="G1942" s="100" t="s">
        <v>4100</v>
      </c>
      <c r="H1942" s="100" t="s">
        <v>4780</v>
      </c>
      <c r="I1942" s="175" t="s">
        <v>133</v>
      </c>
      <c r="J1942" s="98" t="s">
        <v>471</v>
      </c>
      <c r="K1942" s="101" t="s">
        <v>4793</v>
      </c>
      <c r="L1942" s="102" t="n">
        <v>45679</v>
      </c>
      <c r="M1942" s="100" t="n">
        <v>4979</v>
      </c>
      <c r="N1942" s="100" t="n">
        <v>5847</v>
      </c>
      <c r="O1942" s="100" t="n">
        <v>868</v>
      </c>
      <c r="P1942" s="100" t="n">
        <v>842</v>
      </c>
      <c r="Q1942" s="100"/>
      <c r="R1942" s="103" t="n">
        <f aca="false">合約與計費!$D$4</f>
        <v>0.296</v>
      </c>
      <c r="S1942" s="104" t="n">
        <f aca="false">ROUND(P1942*R1942,0)</f>
        <v>249</v>
      </c>
      <c r="T1942" s="105"/>
      <c r="U1942" s="100"/>
      <c r="V1942" s="100"/>
      <c r="W1942" s="106"/>
      <c r="X1942" s="100"/>
      <c r="Y1942" s="100"/>
      <c r="Z1942" s="107"/>
      <c r="AA1942" s="108"/>
      <c r="AB1942" s="109"/>
      <c r="AC1942" s="110"/>
      <c r="AD1942" s="42" t="n">
        <v>0.0815</v>
      </c>
      <c r="AE1942" s="43" t="n">
        <v>0.6</v>
      </c>
    </row>
    <row r="1943" customFormat="false" ht="16.5" hidden="false" customHeight="true" outlineLevel="0" collapsed="false">
      <c r="A1943" s="97" t="n">
        <f aca="false">ROW(A1932)</f>
        <v>1932</v>
      </c>
      <c r="B1943" s="97" t="s">
        <v>482</v>
      </c>
      <c r="C1943" s="100" t="n">
        <v>1</v>
      </c>
      <c r="D1943" s="85"/>
      <c r="E1943" s="98" t="s">
        <v>4794</v>
      </c>
      <c r="F1943" s="99" t="s">
        <v>4779</v>
      </c>
      <c r="G1943" s="100" t="s">
        <v>4100</v>
      </c>
      <c r="H1943" s="100" t="s">
        <v>4780</v>
      </c>
      <c r="I1943" s="175" t="s">
        <v>133</v>
      </c>
      <c r="J1943" s="98" t="s">
        <v>471</v>
      </c>
      <c r="K1943" s="101" t="s">
        <v>4795</v>
      </c>
      <c r="L1943" s="102" t="n">
        <v>45679</v>
      </c>
      <c r="M1943" s="100" t="n">
        <v>4731</v>
      </c>
      <c r="N1943" s="100" t="n">
        <v>5683</v>
      </c>
      <c r="O1943" s="100" t="n">
        <v>952</v>
      </c>
      <c r="P1943" s="100" t="n">
        <v>923</v>
      </c>
      <c r="Q1943" s="100"/>
      <c r="R1943" s="103" t="n">
        <f aca="false">合約與計費!$D$4</f>
        <v>0.296</v>
      </c>
      <c r="S1943" s="104" t="n">
        <f aca="false">ROUND(P1943*R1943,0)</f>
        <v>273</v>
      </c>
      <c r="T1943" s="105"/>
      <c r="U1943" s="100"/>
      <c r="V1943" s="100"/>
      <c r="W1943" s="106"/>
      <c r="X1943" s="100"/>
      <c r="Y1943" s="100"/>
      <c r="Z1943" s="107"/>
      <c r="AA1943" s="108"/>
      <c r="AB1943" s="109"/>
      <c r="AC1943" s="110"/>
      <c r="AD1943" s="42" t="n">
        <v>0.0786</v>
      </c>
      <c r="AE1943" s="43" t="n">
        <v>0.9</v>
      </c>
    </row>
    <row r="1944" customFormat="false" ht="16.5" hidden="false" customHeight="true" outlineLevel="0" collapsed="false">
      <c r="A1944" s="97" t="n">
        <f aca="false">ROW(A1933)</f>
        <v>1933</v>
      </c>
      <c r="B1944" s="97" t="s">
        <v>485</v>
      </c>
      <c r="C1944" s="100" t="n">
        <v>1</v>
      </c>
      <c r="D1944" s="85"/>
      <c r="E1944" s="98" t="s">
        <v>4796</v>
      </c>
      <c r="F1944" s="99" t="s">
        <v>4779</v>
      </c>
      <c r="G1944" s="100" t="s">
        <v>4100</v>
      </c>
      <c r="H1944" s="100" t="s">
        <v>4780</v>
      </c>
      <c r="I1944" s="175" t="s">
        <v>133</v>
      </c>
      <c r="J1944" s="98" t="s">
        <v>471</v>
      </c>
      <c r="K1944" s="101" t="s">
        <v>4797</v>
      </c>
      <c r="L1944" s="102" t="n">
        <v>45679</v>
      </c>
      <c r="M1944" s="100" t="n">
        <v>4987</v>
      </c>
      <c r="N1944" s="100" t="n">
        <v>5578</v>
      </c>
      <c r="O1944" s="100" t="n">
        <v>591</v>
      </c>
      <c r="P1944" s="100" t="n">
        <v>573</v>
      </c>
      <c r="Q1944" s="100"/>
      <c r="R1944" s="103" t="n">
        <f aca="false">合約與計費!$D$4</f>
        <v>0.296</v>
      </c>
      <c r="S1944" s="104" t="n">
        <f aca="false">ROUND(P1944*R1944,0)</f>
        <v>170</v>
      </c>
      <c r="T1944" s="105"/>
      <c r="U1944" s="100"/>
      <c r="V1944" s="100"/>
      <c r="W1944" s="106"/>
      <c r="X1944" s="100"/>
      <c r="Y1944" s="100"/>
      <c r="Z1944" s="107"/>
      <c r="AA1944" s="108"/>
      <c r="AB1944" s="109"/>
      <c r="AC1944" s="110"/>
      <c r="AD1944" s="42" t="n">
        <v>0.095</v>
      </c>
      <c r="AE1944" s="43" t="n">
        <v>0.7</v>
      </c>
    </row>
    <row r="1945" customFormat="false" ht="16.5" hidden="false" customHeight="true" outlineLevel="0" collapsed="false">
      <c r="A1945" s="97" t="n">
        <f aca="false">ROW(A1934)</f>
        <v>1934</v>
      </c>
      <c r="B1945" s="97" t="n">
        <v>10</v>
      </c>
      <c r="C1945" s="100" t="n">
        <v>1</v>
      </c>
      <c r="D1945" s="85"/>
      <c r="E1945" s="98" t="s">
        <v>4798</v>
      </c>
      <c r="F1945" s="99" t="s">
        <v>4779</v>
      </c>
      <c r="G1945" s="100" t="s">
        <v>4100</v>
      </c>
      <c r="H1945" s="100" t="s">
        <v>4780</v>
      </c>
      <c r="I1945" s="175" t="s">
        <v>133</v>
      </c>
      <c r="J1945" s="98" t="s">
        <v>471</v>
      </c>
      <c r="K1945" s="101" t="s">
        <v>4799</v>
      </c>
      <c r="L1945" s="102" t="n">
        <v>45679</v>
      </c>
      <c r="M1945" s="100" t="n">
        <v>2021</v>
      </c>
      <c r="N1945" s="100" t="n">
        <v>2306</v>
      </c>
      <c r="O1945" s="100" t="n">
        <v>285</v>
      </c>
      <c r="P1945" s="100" t="n">
        <v>276</v>
      </c>
      <c r="Q1945" s="100"/>
      <c r="R1945" s="103" t="n">
        <f aca="false">合約與計費!$D$4</f>
        <v>0.296</v>
      </c>
      <c r="S1945" s="104" t="n">
        <f aca="false">ROUND(P1945*R1945,0)</f>
        <v>82</v>
      </c>
      <c r="T1945" s="105"/>
      <c r="U1945" s="100"/>
      <c r="V1945" s="100"/>
      <c r="W1945" s="106"/>
      <c r="X1945" s="100"/>
      <c r="Y1945" s="100"/>
      <c r="Z1945" s="107"/>
      <c r="AA1945" s="108"/>
      <c r="AB1945" s="109"/>
      <c r="AC1945" s="110"/>
      <c r="AD1945" s="42" t="n">
        <v>0.0477</v>
      </c>
      <c r="AE1945" s="43" t="n">
        <v>0.2</v>
      </c>
    </row>
    <row r="1946" customFormat="false" ht="16.5" hidden="false" customHeight="true" outlineLevel="0" collapsed="false">
      <c r="A1946" s="97" t="n">
        <f aca="false">ROW(A1935)</f>
        <v>1935</v>
      </c>
      <c r="B1946" s="97" t="n">
        <v>11</v>
      </c>
      <c r="C1946" s="100" t="n">
        <v>1</v>
      </c>
      <c r="D1946" s="85"/>
      <c r="E1946" s="98" t="s">
        <v>4800</v>
      </c>
      <c r="F1946" s="99" t="s">
        <v>4779</v>
      </c>
      <c r="G1946" s="100" t="s">
        <v>4100</v>
      </c>
      <c r="H1946" s="100" t="s">
        <v>4780</v>
      </c>
      <c r="I1946" s="175" t="s">
        <v>133</v>
      </c>
      <c r="J1946" s="98" t="s">
        <v>471</v>
      </c>
      <c r="K1946" s="101" t="s">
        <v>4801</v>
      </c>
      <c r="L1946" s="102" t="n">
        <v>45749</v>
      </c>
      <c r="M1946" s="100" t="n">
        <v>4674</v>
      </c>
      <c r="N1946" s="100" t="n">
        <v>5331</v>
      </c>
      <c r="O1946" s="100" t="n">
        <v>657</v>
      </c>
      <c r="P1946" s="100" t="n">
        <v>637</v>
      </c>
      <c r="Q1946" s="100"/>
      <c r="R1946" s="103" t="n">
        <f aca="false">合約與計費!$D$4</f>
        <v>0.296</v>
      </c>
      <c r="S1946" s="104" t="n">
        <f aca="false">ROUND(P1946*R1946,0)</f>
        <v>189</v>
      </c>
      <c r="T1946" s="105"/>
      <c r="U1946" s="100"/>
      <c r="V1946" s="100"/>
      <c r="W1946" s="106"/>
      <c r="X1946" s="100"/>
      <c r="Y1946" s="100"/>
      <c r="Z1946" s="107"/>
      <c r="AA1946" s="108"/>
      <c r="AB1946" s="109"/>
      <c r="AC1946" s="110"/>
      <c r="AD1946" s="42" t="n">
        <v>0.1084</v>
      </c>
      <c r="AE1946" s="43" t="n">
        <v>0.5</v>
      </c>
    </row>
    <row r="1947" customFormat="false" ht="16.5" hidden="false" customHeight="true" outlineLevel="0" collapsed="false">
      <c r="A1947" s="97" t="n">
        <f aca="false">ROW(A1936)</f>
        <v>1936</v>
      </c>
      <c r="B1947" s="97" t="n">
        <v>12</v>
      </c>
      <c r="C1947" s="100" t="n">
        <v>1</v>
      </c>
      <c r="D1947" s="85"/>
      <c r="E1947" s="98" t="s">
        <v>4802</v>
      </c>
      <c r="F1947" s="99" t="s">
        <v>4779</v>
      </c>
      <c r="G1947" s="100" t="s">
        <v>4100</v>
      </c>
      <c r="H1947" s="100" t="s">
        <v>4780</v>
      </c>
      <c r="I1947" s="175" t="s">
        <v>133</v>
      </c>
      <c r="J1947" s="98" t="s">
        <v>471</v>
      </c>
      <c r="K1947" s="101" t="s">
        <v>4803</v>
      </c>
      <c r="L1947" s="102" t="n">
        <v>45749</v>
      </c>
      <c r="M1947" s="100" t="n">
        <v>8575</v>
      </c>
      <c r="N1947" s="100" t="n">
        <v>9718</v>
      </c>
      <c r="O1947" s="100" t="n">
        <v>1143</v>
      </c>
      <c r="P1947" s="100" t="n">
        <v>1109</v>
      </c>
      <c r="Q1947" s="100"/>
      <c r="R1947" s="103" t="n">
        <f aca="false">合約與計費!$D$4</f>
        <v>0.296</v>
      </c>
      <c r="S1947" s="104" t="n">
        <f aca="false">ROUND(P1947*R1947,0)</f>
        <v>328</v>
      </c>
      <c r="T1947" s="105"/>
      <c r="U1947" s="100"/>
      <c r="V1947" s="100"/>
      <c r="W1947" s="106"/>
      <c r="X1947" s="100"/>
      <c r="Y1947" s="100"/>
      <c r="Z1947" s="107"/>
      <c r="AA1947" s="108"/>
      <c r="AB1947" s="109"/>
      <c r="AC1947" s="110"/>
      <c r="AD1947" s="42" t="n">
        <v>0.0962</v>
      </c>
      <c r="AE1947" s="43" t="n">
        <v>0.2</v>
      </c>
    </row>
    <row r="1948" customFormat="false" ht="16.5" hidden="false" customHeight="true" outlineLevel="0" collapsed="false">
      <c r="A1948" s="97" t="n">
        <f aca="false">ROW(A1937)</f>
        <v>1937</v>
      </c>
      <c r="B1948" s="97" t="n">
        <v>13</v>
      </c>
      <c r="C1948" s="100" t="n">
        <v>1</v>
      </c>
      <c r="D1948" s="85"/>
      <c r="E1948" s="98" t="s">
        <v>4804</v>
      </c>
      <c r="F1948" s="99" t="s">
        <v>4779</v>
      </c>
      <c r="G1948" s="100" t="s">
        <v>4100</v>
      </c>
      <c r="H1948" s="100" t="s">
        <v>4780</v>
      </c>
      <c r="I1948" s="175" t="s">
        <v>133</v>
      </c>
      <c r="J1948" s="98" t="s">
        <v>471</v>
      </c>
      <c r="K1948" s="101" t="s">
        <v>4805</v>
      </c>
      <c r="L1948" s="102" t="n">
        <v>45749</v>
      </c>
      <c r="M1948" s="100" t="n">
        <v>5357</v>
      </c>
      <c r="N1948" s="100" t="n">
        <v>6197</v>
      </c>
      <c r="O1948" s="100" t="n">
        <v>840</v>
      </c>
      <c r="P1948" s="100" t="n">
        <v>815</v>
      </c>
      <c r="Q1948" s="100"/>
      <c r="R1948" s="103" t="n">
        <f aca="false">合約與計費!$D$4</f>
        <v>0.296</v>
      </c>
      <c r="S1948" s="104" t="n">
        <f aca="false">ROUND(P1948*R1948,0)</f>
        <v>241</v>
      </c>
      <c r="T1948" s="105"/>
      <c r="U1948" s="100"/>
      <c r="V1948" s="100"/>
      <c r="W1948" s="106"/>
      <c r="X1948" s="100"/>
      <c r="Y1948" s="100"/>
      <c r="Z1948" s="107"/>
      <c r="AA1948" s="108"/>
      <c r="AB1948" s="109"/>
      <c r="AC1948" s="110"/>
      <c r="AD1948" s="42" t="n">
        <v>0.0884</v>
      </c>
      <c r="AE1948" s="43" t="n">
        <v>0.6</v>
      </c>
    </row>
    <row r="1949" customFormat="false" ht="16.5" hidden="false" customHeight="true" outlineLevel="0" collapsed="false">
      <c r="A1949" s="97" t="n">
        <f aca="false">ROW(A1938)</f>
        <v>1938</v>
      </c>
      <c r="B1949" s="97" t="n">
        <v>14</v>
      </c>
      <c r="C1949" s="100" t="n">
        <v>1</v>
      </c>
      <c r="D1949" s="85"/>
      <c r="E1949" s="98" t="s">
        <v>4806</v>
      </c>
      <c r="F1949" s="99" t="s">
        <v>4779</v>
      </c>
      <c r="G1949" s="100" t="s">
        <v>4100</v>
      </c>
      <c r="H1949" s="100" t="s">
        <v>4780</v>
      </c>
      <c r="I1949" s="175" t="s">
        <v>133</v>
      </c>
      <c r="J1949" s="98" t="s">
        <v>471</v>
      </c>
      <c r="K1949" s="101" t="s">
        <v>4807</v>
      </c>
      <c r="L1949" s="102" t="n">
        <v>45749</v>
      </c>
      <c r="M1949" s="100" t="n">
        <v>3635</v>
      </c>
      <c r="N1949" s="100" t="n">
        <v>4261</v>
      </c>
      <c r="O1949" s="100" t="n">
        <v>626</v>
      </c>
      <c r="P1949" s="100" t="n">
        <v>607</v>
      </c>
      <c r="Q1949" s="100"/>
      <c r="R1949" s="103" t="n">
        <f aca="false">合約與計費!$D$4</f>
        <v>0.296</v>
      </c>
      <c r="S1949" s="104" t="n">
        <f aca="false">ROUND(P1949*R1949,0)</f>
        <v>180</v>
      </c>
      <c r="T1949" s="105"/>
      <c r="U1949" s="100"/>
      <c r="V1949" s="100"/>
      <c r="W1949" s="106"/>
      <c r="X1949" s="100"/>
      <c r="Y1949" s="100"/>
      <c r="Z1949" s="107"/>
      <c r="AA1949" s="108"/>
      <c r="AB1949" s="109"/>
      <c r="AC1949" s="110"/>
      <c r="AD1949" s="42" t="n">
        <v>0.0803</v>
      </c>
      <c r="AE1949" s="43" t="n">
        <v>0.9</v>
      </c>
    </row>
    <row r="1950" customFormat="false" ht="16.5" hidden="false" customHeight="true" outlineLevel="0" collapsed="false">
      <c r="A1950" s="97" t="n">
        <f aca="false">ROW(A1939)</f>
        <v>1939</v>
      </c>
      <c r="B1950" s="97" t="n">
        <v>15</v>
      </c>
      <c r="C1950" s="100" t="n">
        <v>1</v>
      </c>
      <c r="D1950" s="85"/>
      <c r="E1950" s="98" t="s">
        <v>4808</v>
      </c>
      <c r="F1950" s="99" t="s">
        <v>4779</v>
      </c>
      <c r="G1950" s="100" t="s">
        <v>4100</v>
      </c>
      <c r="H1950" s="100" t="s">
        <v>4780</v>
      </c>
      <c r="I1950" s="175" t="s">
        <v>133</v>
      </c>
      <c r="J1950" s="98" t="s">
        <v>471</v>
      </c>
      <c r="K1950" s="101" t="s">
        <v>4809</v>
      </c>
      <c r="L1950" s="102" t="n">
        <v>45749</v>
      </c>
      <c r="M1950" s="100" t="n">
        <v>2606</v>
      </c>
      <c r="N1950" s="100" t="n">
        <v>2948</v>
      </c>
      <c r="O1950" s="100" t="n">
        <v>342</v>
      </c>
      <c r="P1950" s="100" t="n">
        <v>332</v>
      </c>
      <c r="Q1950" s="100"/>
      <c r="R1950" s="103" t="n">
        <f aca="false">合約與計費!$D$4</f>
        <v>0.296</v>
      </c>
      <c r="S1950" s="104" t="n">
        <f aca="false">ROUND(P1950*R1950,0)</f>
        <v>98</v>
      </c>
      <c r="T1950" s="105"/>
      <c r="U1950" s="100"/>
      <c r="V1950" s="100"/>
      <c r="W1950" s="106"/>
      <c r="X1950" s="100"/>
      <c r="Y1950" s="100"/>
      <c r="Z1950" s="107"/>
      <c r="AA1950" s="108"/>
      <c r="AB1950" s="109"/>
      <c r="AC1950" s="110"/>
      <c r="AD1950" s="42" t="n">
        <v>0.0439</v>
      </c>
      <c r="AE1950" s="43" t="n">
        <v>0.1</v>
      </c>
    </row>
    <row r="1951" customFormat="false" ht="16.5" hidden="false" customHeight="true" outlineLevel="0" collapsed="false">
      <c r="A1951" s="111" t="n">
        <f aca="false">ROW(A1940)</f>
        <v>1940</v>
      </c>
      <c r="B1951" s="111" t="n">
        <v>16</v>
      </c>
      <c r="C1951" s="114" t="n">
        <v>1</v>
      </c>
      <c r="D1951" s="85"/>
      <c r="E1951" s="112" t="s">
        <v>4810</v>
      </c>
      <c r="F1951" s="113" t="s">
        <v>4779</v>
      </c>
      <c r="G1951" s="114" t="s">
        <v>4100</v>
      </c>
      <c r="H1951" s="114" t="s">
        <v>4780</v>
      </c>
      <c r="I1951" s="173" t="s">
        <v>133</v>
      </c>
      <c r="J1951" s="112" t="s">
        <v>471</v>
      </c>
      <c r="K1951" s="115" t="s">
        <v>4811</v>
      </c>
      <c r="L1951" s="116" t="n">
        <v>45749</v>
      </c>
      <c r="M1951" s="114" t="n">
        <v>3675</v>
      </c>
      <c r="N1951" s="114" t="n">
        <v>4221</v>
      </c>
      <c r="O1951" s="114" t="n">
        <v>546</v>
      </c>
      <c r="P1951" s="114" t="n">
        <v>530</v>
      </c>
      <c r="Q1951" s="114" t="n">
        <f aca="false">ROUND(SUM(P1936:P1951),2)</f>
        <v>9646</v>
      </c>
      <c r="R1951" s="117" t="n">
        <f aca="false">合約與計費!$D$4</f>
        <v>0.296</v>
      </c>
      <c r="S1951" s="118" t="n">
        <f aca="false">ROUND(P1951*R1951,0)</f>
        <v>157</v>
      </c>
      <c r="T1951" s="119" t="n">
        <f aca="false">ROUND(SUM(S1936:S1951),2)</f>
        <v>2854</v>
      </c>
      <c r="U1951" s="114"/>
      <c r="V1951" s="114"/>
      <c r="W1951" s="120"/>
      <c r="X1951" s="114"/>
      <c r="Y1951" s="114" t="n">
        <f aca="false">ROUND(SUM(X1936:X1951),2)</f>
        <v>24</v>
      </c>
      <c r="Z1951" s="121"/>
      <c r="AA1951" s="122"/>
      <c r="AB1951" s="123" t="n">
        <f aca="false">ROUND(SUM(AA1936:AA1951),2)</f>
        <v>67</v>
      </c>
      <c r="AC1951" s="124"/>
      <c r="AD1951" s="42" t="n">
        <v>0.1054</v>
      </c>
      <c r="AE1951" s="43" t="n">
        <v>0.8</v>
      </c>
    </row>
    <row r="1952" customFormat="false" ht="16.5" hidden="false" customHeight="true" outlineLevel="0" collapsed="false">
      <c r="A1952" s="84" t="n">
        <f aca="false">ROW(A1941)</f>
        <v>1941</v>
      </c>
      <c r="B1952" s="84" t="s">
        <v>455</v>
      </c>
      <c r="C1952" s="32" t="n">
        <v>1</v>
      </c>
      <c r="D1952" s="85" t="n">
        <v>406</v>
      </c>
      <c r="E1952" s="86" t="s">
        <v>4812</v>
      </c>
      <c r="F1952" s="87" t="s">
        <v>4813</v>
      </c>
      <c r="G1952" s="32" t="s">
        <v>4100</v>
      </c>
      <c r="H1952" s="32" t="s">
        <v>4780</v>
      </c>
      <c r="I1952" s="172" t="s">
        <v>177</v>
      </c>
      <c r="J1952" s="86" t="s">
        <v>460</v>
      </c>
      <c r="K1952" s="225" t="s">
        <v>4814</v>
      </c>
      <c r="L1952" s="89" t="n">
        <v>45831</v>
      </c>
      <c r="M1952" s="32" t="n">
        <v>130</v>
      </c>
      <c r="N1952" s="32" t="n">
        <v>140</v>
      </c>
      <c r="O1952" s="32" t="n">
        <v>10</v>
      </c>
      <c r="P1952" s="32" t="n">
        <v>10</v>
      </c>
      <c r="Q1952" s="32"/>
      <c r="R1952" s="90" t="n">
        <f aca="false">合約與計費!$D$4</f>
        <v>0.296</v>
      </c>
      <c r="S1952" s="91" t="n">
        <f aca="false">ROUND(P1952*R1952,0)</f>
        <v>3</v>
      </c>
      <c r="T1952" s="92"/>
      <c r="U1952" s="32" t="n">
        <v>12</v>
      </c>
      <c r="V1952" s="32" t="n">
        <v>14</v>
      </c>
      <c r="W1952" s="32" t="n">
        <v>2</v>
      </c>
      <c r="X1952" s="32" t="n">
        <v>2</v>
      </c>
      <c r="Y1952" s="32"/>
      <c r="Z1952" s="93" t="n">
        <f aca="false">合約與計費!$E$4</f>
        <v>2.8</v>
      </c>
      <c r="AA1952" s="94" t="n">
        <f aca="false">ROUND(X1952*Z1952,0)</f>
        <v>6</v>
      </c>
      <c r="AB1952" s="95"/>
      <c r="AC1952" s="254"/>
      <c r="AD1952" s="42"/>
      <c r="AE1952" s="43"/>
    </row>
    <row r="1953" customFormat="false" ht="16.5" hidden="false" customHeight="true" outlineLevel="0" collapsed="false">
      <c r="A1953" s="97" t="n">
        <f aca="false">ROW(A1942)</f>
        <v>1942</v>
      </c>
      <c r="B1953" s="97" t="s">
        <v>462</v>
      </c>
      <c r="C1953" s="100" t="n">
        <v>1</v>
      </c>
      <c r="D1953" s="85"/>
      <c r="E1953" s="98" t="s">
        <v>4815</v>
      </c>
      <c r="F1953" s="99" t="s">
        <v>4813</v>
      </c>
      <c r="G1953" s="100" t="s">
        <v>4100</v>
      </c>
      <c r="H1953" s="100" t="s">
        <v>4780</v>
      </c>
      <c r="I1953" s="175" t="s">
        <v>177</v>
      </c>
      <c r="J1953" s="98" t="s">
        <v>464</v>
      </c>
      <c r="K1953" s="101" t="s">
        <v>4816</v>
      </c>
      <c r="L1953" s="102" t="n">
        <v>45756</v>
      </c>
      <c r="M1953" s="100" t="n">
        <v>231</v>
      </c>
      <c r="N1953" s="100" t="n">
        <v>286</v>
      </c>
      <c r="O1953" s="100" t="n">
        <v>55</v>
      </c>
      <c r="P1953" s="100" t="n">
        <v>53</v>
      </c>
      <c r="Q1953" s="100"/>
      <c r="R1953" s="103" t="n">
        <f aca="false">合約與計費!$D$4</f>
        <v>0.296</v>
      </c>
      <c r="S1953" s="104" t="n">
        <f aca="false">ROUND(P1953*R1953,0)</f>
        <v>16</v>
      </c>
      <c r="T1953" s="105"/>
      <c r="U1953" s="100"/>
      <c r="V1953" s="100"/>
      <c r="W1953" s="106"/>
      <c r="X1953" s="100"/>
      <c r="Y1953" s="100"/>
      <c r="Z1953" s="107"/>
      <c r="AA1953" s="108"/>
      <c r="AB1953" s="109"/>
      <c r="AC1953" s="110"/>
      <c r="AD1953" s="42" t="n">
        <v>0.0406</v>
      </c>
      <c r="AE1953" s="43" t="n">
        <v>0.9</v>
      </c>
    </row>
    <row r="1954" customFormat="false" ht="16.5" hidden="false" customHeight="true" outlineLevel="0" collapsed="false">
      <c r="A1954" s="97" t="n">
        <f aca="false">ROW(A1943)</f>
        <v>1943</v>
      </c>
      <c r="B1954" s="97" t="s">
        <v>466</v>
      </c>
      <c r="C1954" s="100" t="n">
        <v>1</v>
      </c>
      <c r="D1954" s="85"/>
      <c r="E1954" s="98" t="s">
        <v>4817</v>
      </c>
      <c r="F1954" s="99" t="s">
        <v>4813</v>
      </c>
      <c r="G1954" s="100" t="s">
        <v>4100</v>
      </c>
      <c r="H1954" s="100" t="s">
        <v>4780</v>
      </c>
      <c r="I1954" s="175" t="s">
        <v>177</v>
      </c>
      <c r="J1954" s="98" t="s">
        <v>471</v>
      </c>
      <c r="K1954" s="101" t="s">
        <v>4818</v>
      </c>
      <c r="L1954" s="102" t="n">
        <v>45831</v>
      </c>
      <c r="M1954" s="100" t="n">
        <v>3165</v>
      </c>
      <c r="N1954" s="100" t="n">
        <v>3841</v>
      </c>
      <c r="O1954" s="100" t="n">
        <v>676</v>
      </c>
      <c r="P1954" s="100" t="n">
        <v>656</v>
      </c>
      <c r="Q1954" s="100"/>
      <c r="R1954" s="103" t="n">
        <f aca="false">合約與計費!$D$4</f>
        <v>0.296</v>
      </c>
      <c r="S1954" s="104" t="n">
        <f aca="false">ROUND(P1954*R1954,0)</f>
        <v>194</v>
      </c>
      <c r="T1954" s="105"/>
      <c r="U1954" s="100"/>
      <c r="V1954" s="100"/>
      <c r="W1954" s="106"/>
      <c r="X1954" s="100"/>
      <c r="Y1954" s="100"/>
      <c r="Z1954" s="107"/>
      <c r="AA1954" s="108"/>
      <c r="AB1954" s="109"/>
      <c r="AC1954" s="110"/>
      <c r="AD1954" s="42" t="n">
        <v>0.0679</v>
      </c>
      <c r="AE1954" s="43" t="n">
        <v>0.9</v>
      </c>
    </row>
    <row r="1955" customFormat="false" ht="16.5" hidden="false" customHeight="true" outlineLevel="0" collapsed="false">
      <c r="A1955" s="111" t="n">
        <f aca="false">ROW(A1944)</f>
        <v>1944</v>
      </c>
      <c r="B1955" s="111" t="s">
        <v>469</v>
      </c>
      <c r="C1955" s="114" t="n">
        <v>1</v>
      </c>
      <c r="D1955" s="85"/>
      <c r="E1955" s="112" t="s">
        <v>4819</v>
      </c>
      <c r="F1955" s="113" t="s">
        <v>4813</v>
      </c>
      <c r="G1955" s="114" t="s">
        <v>4100</v>
      </c>
      <c r="H1955" s="114" t="s">
        <v>4780</v>
      </c>
      <c r="I1955" s="173" t="s">
        <v>177</v>
      </c>
      <c r="J1955" s="112" t="s">
        <v>471</v>
      </c>
      <c r="K1955" s="115" t="s">
        <v>4820</v>
      </c>
      <c r="L1955" s="116" t="n">
        <v>45831</v>
      </c>
      <c r="M1955" s="114" t="n">
        <v>1191</v>
      </c>
      <c r="N1955" s="114" t="n">
        <v>1470</v>
      </c>
      <c r="O1955" s="114" t="n">
        <v>279</v>
      </c>
      <c r="P1955" s="114" t="n">
        <v>271</v>
      </c>
      <c r="Q1955" s="114" t="n">
        <f aca="false">ROUND(SUM(P1952:P1955),2)</f>
        <v>990</v>
      </c>
      <c r="R1955" s="117" t="n">
        <f aca="false">合約與計費!$D$4</f>
        <v>0.296</v>
      </c>
      <c r="S1955" s="118" t="n">
        <f aca="false">ROUND(P1955*R1955,0)</f>
        <v>80</v>
      </c>
      <c r="T1955" s="119" t="n">
        <f aca="false">ROUND(SUM(S1952:S1955),2)</f>
        <v>293</v>
      </c>
      <c r="U1955" s="114"/>
      <c r="V1955" s="114"/>
      <c r="W1955" s="120"/>
      <c r="X1955" s="114"/>
      <c r="Y1955" s="114" t="n">
        <f aca="false">ROUND(SUM(X1952:X1955),2)</f>
        <v>2</v>
      </c>
      <c r="Z1955" s="121"/>
      <c r="AA1955" s="122"/>
      <c r="AB1955" s="123" t="n">
        <f aca="false">ROUND(SUM(AA1952:AA1955),2)</f>
        <v>6</v>
      </c>
      <c r="AC1955" s="124"/>
      <c r="AD1955" s="42" t="n">
        <v>0.05</v>
      </c>
      <c r="AE1955" s="43" t="n">
        <v>0.5</v>
      </c>
    </row>
    <row r="1956" customFormat="false" ht="16.5" hidden="false" customHeight="true" outlineLevel="0" collapsed="false">
      <c r="A1956" s="272" t="n">
        <f aca="false">ROW(A1945)</f>
        <v>1945</v>
      </c>
      <c r="B1956" s="272" t="s">
        <v>455</v>
      </c>
      <c r="C1956" s="273" t="n">
        <v>1</v>
      </c>
      <c r="D1956" s="272" t="n">
        <v>398</v>
      </c>
      <c r="E1956" s="273" t="s">
        <v>4821</v>
      </c>
      <c r="F1956" s="274" t="s">
        <v>4822</v>
      </c>
      <c r="G1956" s="275" t="s">
        <v>2515</v>
      </c>
      <c r="H1956" s="275" t="s">
        <v>2645</v>
      </c>
      <c r="I1956" s="276" t="s">
        <v>305</v>
      </c>
      <c r="J1956" s="273" t="s">
        <v>464</v>
      </c>
      <c r="K1956" s="277" t="s">
        <v>4823</v>
      </c>
      <c r="L1956" s="278" t="n">
        <v>45765</v>
      </c>
      <c r="M1956" s="275" t="n">
        <v>2070</v>
      </c>
      <c r="N1956" s="275" t="n">
        <v>2406</v>
      </c>
      <c r="O1956" s="279" t="n">
        <v>336</v>
      </c>
      <c r="P1956" s="279" t="n">
        <v>326</v>
      </c>
      <c r="Q1956" s="279" t="n">
        <f aca="false">ROUND(SUM(P1956),2)</f>
        <v>326</v>
      </c>
      <c r="R1956" s="280" t="n">
        <f aca="false">合約與計費!$D$4</f>
        <v>0.296</v>
      </c>
      <c r="S1956" s="281" t="n">
        <f aca="false">ROUND(P1956*R1956,0)</f>
        <v>96</v>
      </c>
      <c r="T1956" s="282" t="n">
        <f aca="false">ROUND(SUM(S1956),2)</f>
        <v>96</v>
      </c>
      <c r="U1956" s="275"/>
      <c r="V1956" s="275"/>
      <c r="W1956" s="283"/>
      <c r="X1956" s="275"/>
      <c r="Y1956" s="275"/>
      <c r="Z1956" s="284"/>
      <c r="AA1956" s="285"/>
      <c r="AB1956" s="286"/>
      <c r="AC1956" s="287"/>
      <c r="AD1956" s="288" t="n">
        <v>0.0358</v>
      </c>
      <c r="AE1956" s="289" t="n">
        <v>1</v>
      </c>
    </row>
    <row r="1957" customFormat="false" ht="16.5" hidden="false" customHeight="true" outlineLevel="0" collapsed="false">
      <c r="A1957" s="290" t="n">
        <f aca="false">ROW(A1946)</f>
        <v>1946</v>
      </c>
      <c r="B1957" s="290" t="s">
        <v>455</v>
      </c>
      <c r="C1957" s="291" t="n">
        <v>1</v>
      </c>
      <c r="D1957" s="272" t="n">
        <v>312</v>
      </c>
      <c r="E1957" s="292" t="s">
        <v>4824</v>
      </c>
      <c r="F1957" s="293" t="s">
        <v>4825</v>
      </c>
      <c r="G1957" s="294" t="s">
        <v>3278</v>
      </c>
      <c r="H1957" s="294" t="s">
        <v>3855</v>
      </c>
      <c r="I1957" s="295" t="s">
        <v>283</v>
      </c>
      <c r="J1957" s="291" t="s">
        <v>460</v>
      </c>
      <c r="K1957" s="296" t="s">
        <v>4826</v>
      </c>
      <c r="L1957" s="297" t="n">
        <v>45754</v>
      </c>
      <c r="M1957" s="294" t="n">
        <v>594</v>
      </c>
      <c r="N1957" s="294" t="n">
        <v>683</v>
      </c>
      <c r="O1957" s="294" t="n">
        <v>89</v>
      </c>
      <c r="P1957" s="294" t="n">
        <v>86</v>
      </c>
      <c r="Q1957" s="294"/>
      <c r="R1957" s="298" t="n">
        <f aca="false">合約與計費!$D$4</f>
        <v>0.296</v>
      </c>
      <c r="S1957" s="299" t="n">
        <f aca="false">ROUND(P1957*R1957,0)</f>
        <v>25</v>
      </c>
      <c r="T1957" s="300"/>
      <c r="U1957" s="294" t="n">
        <v>777</v>
      </c>
      <c r="V1957" s="294" t="n">
        <v>1152</v>
      </c>
      <c r="W1957" s="294" t="n">
        <v>375</v>
      </c>
      <c r="X1957" s="294" t="n">
        <v>364</v>
      </c>
      <c r="Y1957" s="294"/>
      <c r="Z1957" s="301" t="n">
        <f aca="false">合約與計費!$E$4</f>
        <v>2.8</v>
      </c>
      <c r="AA1957" s="285" t="n">
        <f aca="false">ROUND(X1957*Z1957,0)</f>
        <v>1019</v>
      </c>
      <c r="AB1957" s="302"/>
      <c r="AC1957" s="303"/>
      <c r="AD1957" s="288"/>
      <c r="AE1957" s="289"/>
    </row>
    <row r="1958" customFormat="false" ht="16.5" hidden="false" customHeight="true" outlineLevel="0" collapsed="false">
      <c r="A1958" s="304" t="n">
        <f aca="false">ROW(A1947)</f>
        <v>1947</v>
      </c>
      <c r="B1958" s="304" t="s">
        <v>462</v>
      </c>
      <c r="C1958" s="305" t="n">
        <v>1</v>
      </c>
      <c r="D1958" s="272"/>
      <c r="E1958" s="306" t="s">
        <v>4827</v>
      </c>
      <c r="F1958" s="307" t="s">
        <v>4825</v>
      </c>
      <c r="G1958" s="308" t="s">
        <v>3278</v>
      </c>
      <c r="H1958" s="308" t="s">
        <v>3855</v>
      </c>
      <c r="I1958" s="309" t="s">
        <v>283</v>
      </c>
      <c r="J1958" s="305" t="s">
        <v>464</v>
      </c>
      <c r="K1958" s="310" t="s">
        <v>4828</v>
      </c>
      <c r="L1958" s="311" t="n">
        <v>45759</v>
      </c>
      <c r="M1958" s="308" t="n">
        <v>756</v>
      </c>
      <c r="N1958" s="308" t="n">
        <v>1101</v>
      </c>
      <c r="O1958" s="308" t="n">
        <v>345</v>
      </c>
      <c r="P1958" s="308" t="n">
        <v>335</v>
      </c>
      <c r="Q1958" s="308"/>
      <c r="R1958" s="312" t="n">
        <f aca="false">合約與計費!$D$4</f>
        <v>0.296</v>
      </c>
      <c r="S1958" s="313" t="n">
        <f aca="false">ROUND(P1958*R1958,0)</f>
        <v>99</v>
      </c>
      <c r="T1958" s="314"/>
      <c r="U1958" s="308"/>
      <c r="V1958" s="308"/>
      <c r="W1958" s="315"/>
      <c r="X1958" s="308"/>
      <c r="Y1958" s="308"/>
      <c r="Z1958" s="316"/>
      <c r="AA1958" s="317"/>
      <c r="AB1958" s="318"/>
      <c r="AC1958" s="319"/>
      <c r="AD1958" s="288" t="n">
        <v>0.0563</v>
      </c>
      <c r="AE1958" s="289" t="n">
        <v>0.6</v>
      </c>
    </row>
    <row r="1959" customFormat="false" ht="16.5" hidden="false" customHeight="true" outlineLevel="0" collapsed="false">
      <c r="A1959" s="304" t="n">
        <f aca="false">ROW(A1948)</f>
        <v>1948</v>
      </c>
      <c r="B1959" s="304" t="s">
        <v>466</v>
      </c>
      <c r="C1959" s="308" t="n">
        <v>1</v>
      </c>
      <c r="D1959" s="272"/>
      <c r="E1959" s="306" t="s">
        <v>4829</v>
      </c>
      <c r="F1959" s="307" t="s">
        <v>4825</v>
      </c>
      <c r="G1959" s="308" t="s">
        <v>3278</v>
      </c>
      <c r="H1959" s="308" t="s">
        <v>3855</v>
      </c>
      <c r="I1959" s="309" t="s">
        <v>283</v>
      </c>
      <c r="J1959" s="305" t="s">
        <v>527</v>
      </c>
      <c r="K1959" s="310" t="s">
        <v>4830</v>
      </c>
      <c r="L1959" s="311" t="n">
        <v>45754</v>
      </c>
      <c r="M1959" s="308" t="n">
        <v>4908</v>
      </c>
      <c r="N1959" s="308" t="n">
        <v>6739</v>
      </c>
      <c r="O1959" s="308" t="n">
        <v>1831</v>
      </c>
      <c r="P1959" s="308" t="n">
        <v>1776</v>
      </c>
      <c r="Q1959" s="308"/>
      <c r="R1959" s="312" t="n">
        <f aca="false">合約與計費!$D$4</f>
        <v>0.296</v>
      </c>
      <c r="S1959" s="313" t="n">
        <f aca="false">ROUND(P1959*R1959,0)</f>
        <v>526</v>
      </c>
      <c r="T1959" s="314"/>
      <c r="U1959" s="308"/>
      <c r="V1959" s="308"/>
      <c r="W1959" s="315"/>
      <c r="X1959" s="308"/>
      <c r="Y1959" s="308"/>
      <c r="Z1959" s="316"/>
      <c r="AA1959" s="317"/>
      <c r="AB1959" s="318"/>
      <c r="AC1959" s="319"/>
      <c r="AD1959" s="288"/>
      <c r="AE1959" s="289"/>
    </row>
    <row r="1960" customFormat="false" ht="16.5" hidden="false" customHeight="true" outlineLevel="0" collapsed="false">
      <c r="A1960" s="304" t="n">
        <f aca="false">ROW(A1949)</f>
        <v>1949</v>
      </c>
      <c r="B1960" s="304" t="s">
        <v>469</v>
      </c>
      <c r="C1960" s="308" t="n">
        <v>1</v>
      </c>
      <c r="D1960" s="272"/>
      <c r="E1960" s="306" t="s">
        <v>4831</v>
      </c>
      <c r="F1960" s="307" t="s">
        <v>4825</v>
      </c>
      <c r="G1960" s="308" t="s">
        <v>3278</v>
      </c>
      <c r="H1960" s="308" t="s">
        <v>3855</v>
      </c>
      <c r="I1960" s="309" t="s">
        <v>283</v>
      </c>
      <c r="J1960" s="305" t="s">
        <v>527</v>
      </c>
      <c r="K1960" s="310" t="s">
        <v>4832</v>
      </c>
      <c r="L1960" s="311" t="n">
        <v>45754</v>
      </c>
      <c r="M1960" s="308" t="n">
        <v>2237</v>
      </c>
      <c r="N1960" s="308" t="n">
        <v>3352</v>
      </c>
      <c r="O1960" s="308" t="n">
        <v>1115</v>
      </c>
      <c r="P1960" s="308" t="n">
        <v>1082</v>
      </c>
      <c r="Q1960" s="308"/>
      <c r="R1960" s="312" t="n">
        <f aca="false">合約與計費!$D$4</f>
        <v>0.296</v>
      </c>
      <c r="S1960" s="313" t="n">
        <f aca="false">ROUND(P1960*R1960,0)</f>
        <v>320</v>
      </c>
      <c r="T1960" s="314"/>
      <c r="U1960" s="308"/>
      <c r="V1960" s="308"/>
      <c r="W1960" s="315"/>
      <c r="X1960" s="308"/>
      <c r="Y1960" s="308"/>
      <c r="Z1960" s="316"/>
      <c r="AA1960" s="317"/>
      <c r="AB1960" s="318"/>
      <c r="AC1960" s="319"/>
      <c r="AD1960" s="288"/>
      <c r="AE1960" s="289"/>
    </row>
    <row r="1961" customFormat="false" ht="16.5" hidden="false" customHeight="true" outlineLevel="0" collapsed="false">
      <c r="A1961" s="304" t="n">
        <f aca="false">ROW(A1950)</f>
        <v>1950</v>
      </c>
      <c r="B1961" s="304" t="s">
        <v>473</v>
      </c>
      <c r="C1961" s="308" t="n">
        <v>1</v>
      </c>
      <c r="D1961" s="272"/>
      <c r="E1961" s="306" t="s">
        <v>4833</v>
      </c>
      <c r="F1961" s="307" t="s">
        <v>4825</v>
      </c>
      <c r="G1961" s="308" t="s">
        <v>3278</v>
      </c>
      <c r="H1961" s="308" t="s">
        <v>3855</v>
      </c>
      <c r="I1961" s="309" t="s">
        <v>283</v>
      </c>
      <c r="J1961" s="305" t="s">
        <v>527</v>
      </c>
      <c r="K1961" s="310" t="s">
        <v>4834</v>
      </c>
      <c r="L1961" s="311" t="n">
        <v>45754</v>
      </c>
      <c r="M1961" s="308" t="n">
        <v>3696</v>
      </c>
      <c r="N1961" s="308" t="n">
        <v>5555</v>
      </c>
      <c r="O1961" s="308" t="n">
        <v>1859</v>
      </c>
      <c r="P1961" s="308" t="n">
        <v>1803</v>
      </c>
      <c r="Q1961" s="308"/>
      <c r="R1961" s="312" t="n">
        <f aca="false">合約與計費!$D$4</f>
        <v>0.296</v>
      </c>
      <c r="S1961" s="313" t="n">
        <f aca="false">ROUND(P1961*R1961,0)</f>
        <v>534</v>
      </c>
      <c r="T1961" s="314"/>
      <c r="U1961" s="308"/>
      <c r="V1961" s="308"/>
      <c r="W1961" s="315"/>
      <c r="X1961" s="308"/>
      <c r="Y1961" s="308"/>
      <c r="Z1961" s="316"/>
      <c r="AA1961" s="317"/>
      <c r="AB1961" s="318"/>
      <c r="AC1961" s="319"/>
      <c r="AD1961" s="288"/>
      <c r="AE1961" s="289"/>
    </row>
    <row r="1962" customFormat="false" ht="16.5" hidden="false" customHeight="true" outlineLevel="0" collapsed="false">
      <c r="A1962" s="304" t="n">
        <f aca="false">ROW(A1951)</f>
        <v>1951</v>
      </c>
      <c r="B1962" s="304" t="s">
        <v>476</v>
      </c>
      <c r="C1962" s="308" t="n">
        <v>1</v>
      </c>
      <c r="D1962" s="272"/>
      <c r="E1962" s="306" t="s">
        <v>4835</v>
      </c>
      <c r="F1962" s="307" t="s">
        <v>4825</v>
      </c>
      <c r="G1962" s="308" t="s">
        <v>3278</v>
      </c>
      <c r="H1962" s="308" t="s">
        <v>3855</v>
      </c>
      <c r="I1962" s="309" t="s">
        <v>283</v>
      </c>
      <c r="J1962" s="305" t="s">
        <v>527</v>
      </c>
      <c r="K1962" s="310" t="s">
        <v>4836</v>
      </c>
      <c r="L1962" s="311" t="n">
        <v>45754</v>
      </c>
      <c r="M1962" s="308" t="n">
        <v>6332</v>
      </c>
      <c r="N1962" s="308" t="n">
        <v>9676</v>
      </c>
      <c r="O1962" s="308" t="n">
        <v>3344</v>
      </c>
      <c r="P1962" s="308" t="n">
        <v>3244</v>
      </c>
      <c r="Q1962" s="308"/>
      <c r="R1962" s="312" t="n">
        <f aca="false">合約與計費!$D$4</f>
        <v>0.296</v>
      </c>
      <c r="S1962" s="313" t="n">
        <f aca="false">ROUND(P1962*R1962,0)</f>
        <v>960</v>
      </c>
      <c r="T1962" s="314"/>
      <c r="U1962" s="308"/>
      <c r="V1962" s="308"/>
      <c r="W1962" s="315"/>
      <c r="X1962" s="308"/>
      <c r="Y1962" s="308"/>
      <c r="Z1962" s="316"/>
      <c r="AA1962" s="317"/>
      <c r="AB1962" s="318"/>
      <c r="AC1962" s="319"/>
      <c r="AD1962" s="288"/>
      <c r="AE1962" s="289"/>
    </row>
    <row r="1963" customFormat="false" ht="16.5" hidden="false" customHeight="true" outlineLevel="0" collapsed="false">
      <c r="A1963" s="304" t="n">
        <f aca="false">ROW(A1952)</f>
        <v>1952</v>
      </c>
      <c r="B1963" s="304" t="s">
        <v>479</v>
      </c>
      <c r="C1963" s="308" t="n">
        <v>1</v>
      </c>
      <c r="D1963" s="272"/>
      <c r="E1963" s="306" t="s">
        <v>4837</v>
      </c>
      <c r="F1963" s="307" t="s">
        <v>4825</v>
      </c>
      <c r="G1963" s="308" t="s">
        <v>3278</v>
      </c>
      <c r="H1963" s="308" t="s">
        <v>3855</v>
      </c>
      <c r="I1963" s="309" t="s">
        <v>283</v>
      </c>
      <c r="J1963" s="305" t="s">
        <v>527</v>
      </c>
      <c r="K1963" s="310" t="s">
        <v>4838</v>
      </c>
      <c r="L1963" s="311" t="n">
        <v>45754</v>
      </c>
      <c r="M1963" s="308" t="n">
        <v>3463</v>
      </c>
      <c r="N1963" s="308" t="n">
        <v>4877</v>
      </c>
      <c r="O1963" s="308" t="n">
        <v>1414</v>
      </c>
      <c r="P1963" s="308" t="n">
        <v>1372</v>
      </c>
      <c r="Q1963" s="308"/>
      <c r="R1963" s="312" t="n">
        <f aca="false">合約與計費!$D$4</f>
        <v>0.296</v>
      </c>
      <c r="S1963" s="313" t="n">
        <f aca="false">ROUND(P1963*R1963,0)</f>
        <v>406</v>
      </c>
      <c r="T1963" s="314"/>
      <c r="U1963" s="308"/>
      <c r="V1963" s="308"/>
      <c r="W1963" s="315"/>
      <c r="X1963" s="308"/>
      <c r="Y1963" s="308"/>
      <c r="Z1963" s="316"/>
      <c r="AA1963" s="317"/>
      <c r="AB1963" s="318"/>
      <c r="AC1963" s="319"/>
      <c r="AD1963" s="288"/>
      <c r="AE1963" s="289"/>
    </row>
    <row r="1964" customFormat="false" ht="16.5" hidden="false" customHeight="true" outlineLevel="0" collapsed="false">
      <c r="A1964" s="304" t="n">
        <f aca="false">ROW(A1953)</f>
        <v>1953</v>
      </c>
      <c r="B1964" s="304" t="s">
        <v>482</v>
      </c>
      <c r="C1964" s="308" t="n">
        <v>1</v>
      </c>
      <c r="D1964" s="272"/>
      <c r="E1964" s="306" t="s">
        <v>4839</v>
      </c>
      <c r="F1964" s="307" t="s">
        <v>4825</v>
      </c>
      <c r="G1964" s="308" t="s">
        <v>3278</v>
      </c>
      <c r="H1964" s="308" t="s">
        <v>3855</v>
      </c>
      <c r="I1964" s="309" t="s">
        <v>283</v>
      </c>
      <c r="J1964" s="305" t="s">
        <v>527</v>
      </c>
      <c r="K1964" s="310" t="s">
        <v>4840</v>
      </c>
      <c r="L1964" s="311" t="n">
        <v>45754</v>
      </c>
      <c r="M1964" s="308" t="n">
        <v>3185</v>
      </c>
      <c r="N1964" s="308" t="n">
        <v>4916</v>
      </c>
      <c r="O1964" s="308" t="n">
        <v>1731</v>
      </c>
      <c r="P1964" s="308" t="n">
        <v>1679</v>
      </c>
      <c r="Q1964" s="308"/>
      <c r="R1964" s="312" t="n">
        <f aca="false">合約與計費!$D$4</f>
        <v>0.296</v>
      </c>
      <c r="S1964" s="313" t="n">
        <f aca="false">ROUND(P1964*R1964,0)</f>
        <v>497</v>
      </c>
      <c r="T1964" s="314"/>
      <c r="U1964" s="308"/>
      <c r="V1964" s="308"/>
      <c r="W1964" s="315"/>
      <c r="X1964" s="308"/>
      <c r="Y1964" s="308"/>
      <c r="Z1964" s="316"/>
      <c r="AA1964" s="317"/>
      <c r="AB1964" s="318"/>
      <c r="AC1964" s="319"/>
      <c r="AD1964" s="288"/>
      <c r="AE1964" s="289"/>
    </row>
    <row r="1965" customFormat="false" ht="16.5" hidden="false" customHeight="true" outlineLevel="0" collapsed="false">
      <c r="A1965" s="320" t="n">
        <f aca="false">ROW(A1954)</f>
        <v>1954</v>
      </c>
      <c r="B1965" s="320" t="s">
        <v>485</v>
      </c>
      <c r="C1965" s="279" t="n">
        <v>1</v>
      </c>
      <c r="D1965" s="272"/>
      <c r="E1965" s="321" t="s">
        <v>4841</v>
      </c>
      <c r="F1965" s="322" t="s">
        <v>4825</v>
      </c>
      <c r="G1965" s="323" t="s">
        <v>3278</v>
      </c>
      <c r="H1965" s="323" t="s">
        <v>3855</v>
      </c>
      <c r="I1965" s="324" t="s">
        <v>283</v>
      </c>
      <c r="J1965" s="305" t="s">
        <v>527</v>
      </c>
      <c r="K1965" s="325" t="s">
        <v>4842</v>
      </c>
      <c r="L1965" s="311" t="n">
        <v>45754</v>
      </c>
      <c r="M1965" s="308" t="n">
        <v>2893</v>
      </c>
      <c r="N1965" s="308" t="n">
        <v>4588</v>
      </c>
      <c r="O1965" s="308" t="n">
        <v>1695</v>
      </c>
      <c r="P1965" s="308" t="n">
        <v>1644</v>
      </c>
      <c r="Q1965" s="308" t="n">
        <f aca="false">ROUND(SUM(P1957:P1965),2)</f>
        <v>13021</v>
      </c>
      <c r="R1965" s="312" t="n">
        <f aca="false">合約與計費!$D$4</f>
        <v>0.296</v>
      </c>
      <c r="S1965" s="313" t="n">
        <f aca="false">ROUND(P1965*R1965,0)</f>
        <v>487</v>
      </c>
      <c r="T1965" s="282" t="n">
        <f aca="false">ROUND(SUM(S1957:S1965),2)</f>
        <v>3854</v>
      </c>
      <c r="U1965" s="308"/>
      <c r="V1965" s="308"/>
      <c r="W1965" s="315"/>
      <c r="X1965" s="308"/>
      <c r="Y1965" s="308" t="n">
        <f aca="false">ROUND(SUM(X1957:X1965),2)</f>
        <v>364</v>
      </c>
      <c r="Z1965" s="316"/>
      <c r="AA1965" s="317"/>
      <c r="AB1965" s="318" t="n">
        <f aca="false">ROUND(SUM(AA1957:AA1965),2)</f>
        <v>1019</v>
      </c>
      <c r="AC1965" s="319"/>
      <c r="AD1965" s="288"/>
      <c r="AE1965" s="289"/>
    </row>
    <row r="1966" customFormat="false" ht="16.5" hidden="false" customHeight="true" outlineLevel="0" collapsed="false">
      <c r="A1966" s="272" t="n">
        <f aca="false">ROW(A1955)</f>
        <v>1955</v>
      </c>
      <c r="B1966" s="272" t="s">
        <v>455</v>
      </c>
      <c r="C1966" s="275" t="n">
        <v>1</v>
      </c>
      <c r="D1966" s="272" t="n">
        <v>313</v>
      </c>
      <c r="E1966" s="326" t="s">
        <v>4843</v>
      </c>
      <c r="F1966" s="274" t="s">
        <v>4844</v>
      </c>
      <c r="G1966" s="275" t="s">
        <v>3278</v>
      </c>
      <c r="H1966" s="275" t="s">
        <v>3855</v>
      </c>
      <c r="I1966" s="276" t="s">
        <v>329</v>
      </c>
      <c r="J1966" s="273" t="s">
        <v>527</v>
      </c>
      <c r="K1966" s="277" t="s">
        <v>4845</v>
      </c>
      <c r="L1966" s="278" t="n">
        <v>45754</v>
      </c>
      <c r="M1966" s="275" t="n">
        <v>1324</v>
      </c>
      <c r="N1966" s="275" t="n">
        <v>1929</v>
      </c>
      <c r="O1966" s="275" t="n">
        <v>605</v>
      </c>
      <c r="P1966" s="275" t="n">
        <v>587</v>
      </c>
      <c r="Q1966" s="275" t="n">
        <f aca="false">ROUND(SUM(P1966),2)</f>
        <v>587</v>
      </c>
      <c r="R1966" s="280" t="n">
        <f aca="false">合約與計費!$D$4</f>
        <v>0.296</v>
      </c>
      <c r="S1966" s="281" t="n">
        <f aca="false">ROUND(P1966*R1966,0)</f>
        <v>174</v>
      </c>
      <c r="T1966" s="282" t="n">
        <f aca="false">ROUND(SUM(S1966),2)</f>
        <v>174</v>
      </c>
      <c r="U1966" s="275"/>
      <c r="V1966" s="275"/>
      <c r="W1966" s="283"/>
      <c r="X1966" s="275"/>
      <c r="Y1966" s="275"/>
      <c r="Z1966" s="284"/>
      <c r="AA1966" s="285"/>
      <c r="AB1966" s="286"/>
      <c r="AC1966" s="287"/>
      <c r="AD1966" s="288"/>
      <c r="AE1966" s="289"/>
    </row>
    <row r="1967" customFormat="false" ht="16.5" hidden="false" customHeight="true" outlineLevel="0" collapsed="false">
      <c r="A1967" s="272" t="n">
        <f aca="false">ROW(A1956)</f>
        <v>1956</v>
      </c>
      <c r="B1967" s="272" t="s">
        <v>455</v>
      </c>
      <c r="C1967" s="275" t="n">
        <v>1</v>
      </c>
      <c r="D1967" s="272" t="n">
        <v>314</v>
      </c>
      <c r="E1967" s="326" t="s">
        <v>4846</v>
      </c>
      <c r="F1967" s="274" t="s">
        <v>4847</v>
      </c>
      <c r="G1967" s="275" t="s">
        <v>3278</v>
      </c>
      <c r="H1967" s="275" t="s">
        <v>3855</v>
      </c>
      <c r="I1967" s="276" t="s">
        <v>390</v>
      </c>
      <c r="J1967" s="273" t="s">
        <v>527</v>
      </c>
      <c r="K1967" s="277" t="s">
        <v>4848</v>
      </c>
      <c r="L1967" s="278" t="n">
        <v>45754</v>
      </c>
      <c r="M1967" s="275" t="n">
        <v>972</v>
      </c>
      <c r="N1967" s="275" t="n">
        <v>1535</v>
      </c>
      <c r="O1967" s="323" t="n">
        <v>563</v>
      </c>
      <c r="P1967" s="323" t="n">
        <v>546</v>
      </c>
      <c r="Q1967" s="323" t="n">
        <f aca="false">ROUND(SUM(P1967),2)</f>
        <v>546</v>
      </c>
      <c r="R1967" s="280" t="n">
        <f aca="false">合約與計費!$D$4</f>
        <v>0.296</v>
      </c>
      <c r="S1967" s="281" t="n">
        <f aca="false">ROUND(P1967*R1967,0)</f>
        <v>162</v>
      </c>
      <c r="T1967" s="282" t="n">
        <f aca="false">ROUND(SUM(S1967),2)</f>
        <v>162</v>
      </c>
      <c r="U1967" s="275"/>
      <c r="V1967" s="275"/>
      <c r="W1967" s="283"/>
      <c r="X1967" s="275"/>
      <c r="Y1967" s="275"/>
      <c r="Z1967" s="284"/>
      <c r="AA1967" s="285"/>
      <c r="AB1967" s="286"/>
      <c r="AC1967" s="287"/>
      <c r="AD1967" s="288"/>
      <c r="AE1967" s="289"/>
    </row>
    <row r="1968" customFormat="false" ht="16.5" hidden="false" customHeight="true" outlineLevel="0" collapsed="false">
      <c r="A1968" s="272" t="n">
        <f aca="false">ROW(A1957)</f>
        <v>1957</v>
      </c>
      <c r="B1968" s="272" t="s">
        <v>455</v>
      </c>
      <c r="C1968" s="275" t="n">
        <v>1</v>
      </c>
      <c r="D1968" s="272" t="n">
        <v>315</v>
      </c>
      <c r="E1968" s="326" t="s">
        <v>4849</v>
      </c>
      <c r="F1968" s="274" t="s">
        <v>4850</v>
      </c>
      <c r="G1968" s="275" t="s">
        <v>3278</v>
      </c>
      <c r="H1968" s="275" t="s">
        <v>3855</v>
      </c>
      <c r="I1968" s="276" t="s">
        <v>189</v>
      </c>
      <c r="J1968" s="273" t="s">
        <v>527</v>
      </c>
      <c r="K1968" s="277" t="s">
        <v>4851</v>
      </c>
      <c r="L1968" s="278" t="n">
        <v>45754</v>
      </c>
      <c r="M1968" s="275" t="n">
        <v>1410</v>
      </c>
      <c r="N1968" s="275" t="n">
        <v>2125</v>
      </c>
      <c r="O1968" s="323" t="n">
        <v>715</v>
      </c>
      <c r="P1968" s="323" t="n">
        <v>694</v>
      </c>
      <c r="Q1968" s="323" t="n">
        <f aca="false">ROUND(SUM(P1968),2)</f>
        <v>694</v>
      </c>
      <c r="R1968" s="280" t="n">
        <f aca="false">合約與計費!$D$4</f>
        <v>0.296</v>
      </c>
      <c r="S1968" s="281" t="n">
        <f aca="false">ROUND(P1968*R1968,0)</f>
        <v>205</v>
      </c>
      <c r="T1968" s="282" t="n">
        <f aca="false">ROUND(SUM(S1968),2)</f>
        <v>205</v>
      </c>
      <c r="U1968" s="275"/>
      <c r="V1968" s="275"/>
      <c r="W1968" s="283"/>
      <c r="X1968" s="275"/>
      <c r="Y1968" s="275"/>
      <c r="Z1968" s="284"/>
      <c r="AA1968" s="285"/>
      <c r="AB1968" s="286"/>
      <c r="AC1968" s="287"/>
      <c r="AD1968" s="288"/>
      <c r="AE1968" s="289"/>
    </row>
    <row r="1969" customFormat="false" ht="16.5" hidden="false" customHeight="true" outlineLevel="0" collapsed="false">
      <c r="A1969" s="272" t="n">
        <f aca="false">ROW(A1958)</f>
        <v>1958</v>
      </c>
      <c r="B1969" s="272" t="s">
        <v>455</v>
      </c>
      <c r="C1969" s="275" t="n">
        <v>1</v>
      </c>
      <c r="D1969" s="272" t="n">
        <v>316</v>
      </c>
      <c r="E1969" s="326" t="s">
        <v>4852</v>
      </c>
      <c r="F1969" s="274" t="s">
        <v>4853</v>
      </c>
      <c r="G1969" s="275" t="s">
        <v>3278</v>
      </c>
      <c r="H1969" s="275" t="s">
        <v>3855</v>
      </c>
      <c r="I1969" s="276" t="s">
        <v>158</v>
      </c>
      <c r="J1969" s="273" t="s">
        <v>527</v>
      </c>
      <c r="K1969" s="277" t="s">
        <v>4854</v>
      </c>
      <c r="L1969" s="278" t="n">
        <v>45754</v>
      </c>
      <c r="M1969" s="275" t="n">
        <v>1006</v>
      </c>
      <c r="N1969" s="275" t="n">
        <v>1534</v>
      </c>
      <c r="O1969" s="323" t="n">
        <v>528</v>
      </c>
      <c r="P1969" s="323" t="n">
        <v>512</v>
      </c>
      <c r="Q1969" s="323" t="n">
        <f aca="false">ROUND(SUM(P1969),2)</f>
        <v>512</v>
      </c>
      <c r="R1969" s="280" t="n">
        <f aca="false">合約與計費!$D$4</f>
        <v>0.296</v>
      </c>
      <c r="S1969" s="281" t="n">
        <f aca="false">ROUND(P1969*R1969,0)</f>
        <v>152</v>
      </c>
      <c r="T1969" s="282" t="n">
        <f aca="false">ROUND(SUM(S1969),2)</f>
        <v>152</v>
      </c>
      <c r="U1969" s="275"/>
      <c r="V1969" s="275"/>
      <c r="W1969" s="283"/>
      <c r="X1969" s="275"/>
      <c r="Y1969" s="275"/>
      <c r="Z1969" s="284"/>
      <c r="AA1969" s="285"/>
      <c r="AB1969" s="286"/>
      <c r="AC1969" s="287"/>
      <c r="AD1969" s="288"/>
      <c r="AE1969" s="289"/>
    </row>
    <row r="1970" customFormat="false" ht="16.5" hidden="false" customHeight="true" outlineLevel="0" collapsed="false">
      <c r="A1970" s="272" t="n">
        <f aca="false">ROW(A1959)</f>
        <v>1959</v>
      </c>
      <c r="B1970" s="272" t="s">
        <v>455</v>
      </c>
      <c r="C1970" s="275" t="n">
        <v>1</v>
      </c>
      <c r="D1970" s="272" t="n">
        <v>336</v>
      </c>
      <c r="E1970" s="326" t="s">
        <v>4855</v>
      </c>
      <c r="F1970" s="274" t="s">
        <v>4856</v>
      </c>
      <c r="G1970" s="275" t="s">
        <v>4100</v>
      </c>
      <c r="H1970" s="275" t="s">
        <v>4270</v>
      </c>
      <c r="I1970" s="276" t="s">
        <v>234</v>
      </c>
      <c r="J1970" s="273" t="s">
        <v>460</v>
      </c>
      <c r="K1970" s="277" t="s">
        <v>4857</v>
      </c>
      <c r="L1970" s="278" t="n">
        <v>45769</v>
      </c>
      <c r="M1970" s="275" t="n">
        <v>30</v>
      </c>
      <c r="N1970" s="275" t="n">
        <v>536</v>
      </c>
      <c r="O1970" s="323" t="n">
        <v>506</v>
      </c>
      <c r="P1970" s="323" t="n">
        <v>491</v>
      </c>
      <c r="Q1970" s="323" t="n">
        <f aca="false">ROUND(SUM(P1970),2)</f>
        <v>491</v>
      </c>
      <c r="R1970" s="280" t="n">
        <f aca="false">合約與計費!$D$4</f>
        <v>0.296</v>
      </c>
      <c r="S1970" s="281" t="n">
        <f aca="false">ROUND(P1970*R1970,0)</f>
        <v>145</v>
      </c>
      <c r="T1970" s="282" t="n">
        <f aca="false">ROUND(SUM(S1970),2)</f>
        <v>145</v>
      </c>
      <c r="U1970" s="275" t="n">
        <v>176</v>
      </c>
      <c r="V1970" s="275" t="n">
        <v>270</v>
      </c>
      <c r="W1970" s="294" t="n">
        <v>94</v>
      </c>
      <c r="X1970" s="294" t="n">
        <v>91</v>
      </c>
      <c r="Y1970" s="275" t="n">
        <f aca="false">ROUND(SUM(X1970),2)</f>
        <v>91</v>
      </c>
      <c r="Z1970" s="284" t="n">
        <f aca="false">合約與計費!$E$4</f>
        <v>2.8</v>
      </c>
      <c r="AA1970" s="327" t="n">
        <f aca="false">ROUND(X1970*Z1970,0)</f>
        <v>255</v>
      </c>
      <c r="AB1970" s="286" t="n">
        <f aca="false">ROUND(SUM(AA1970),2)</f>
        <v>255</v>
      </c>
      <c r="AC1970" s="287"/>
      <c r="AD1970" s="288"/>
      <c r="AE1970" s="289"/>
    </row>
    <row r="1971" customFormat="false" ht="16.5" hidden="false" customHeight="true" outlineLevel="0" collapsed="false">
      <c r="A1971" s="290" t="n">
        <f aca="false">ROW(A1960)</f>
        <v>1960</v>
      </c>
      <c r="B1971" s="290" t="s">
        <v>455</v>
      </c>
      <c r="C1971" s="294" t="n">
        <v>1</v>
      </c>
      <c r="D1971" s="272" t="n">
        <v>368</v>
      </c>
      <c r="E1971" s="291" t="s">
        <v>4858</v>
      </c>
      <c r="F1971" s="293" t="s">
        <v>4859</v>
      </c>
      <c r="G1971" s="294" t="s">
        <v>4100</v>
      </c>
      <c r="H1971" s="294" t="s">
        <v>4691</v>
      </c>
      <c r="I1971" s="295" t="s">
        <v>280</v>
      </c>
      <c r="J1971" s="291" t="s">
        <v>460</v>
      </c>
      <c r="K1971" s="296" t="s">
        <v>4860</v>
      </c>
      <c r="L1971" s="297" t="n">
        <v>45754</v>
      </c>
      <c r="M1971" s="294" t="n">
        <v>300</v>
      </c>
      <c r="N1971" s="294" t="n">
        <v>466</v>
      </c>
      <c r="O1971" s="294" t="n">
        <v>166</v>
      </c>
      <c r="P1971" s="294" t="n">
        <v>161</v>
      </c>
      <c r="Q1971" s="294"/>
      <c r="R1971" s="298" t="n">
        <f aca="false">合約與計費!$D$4</f>
        <v>0.296</v>
      </c>
      <c r="S1971" s="299" t="n">
        <f aca="false">ROUND(P1971*R1971,0)</f>
        <v>48</v>
      </c>
      <c r="T1971" s="300"/>
      <c r="U1971" s="294" t="n">
        <v>53</v>
      </c>
      <c r="V1971" s="294" t="n">
        <v>107</v>
      </c>
      <c r="W1971" s="294" t="n">
        <v>54</v>
      </c>
      <c r="X1971" s="294" t="n">
        <v>52</v>
      </c>
      <c r="Y1971" s="294" t="n">
        <f aca="false">ROUND(SUM(X1971),2)</f>
        <v>52</v>
      </c>
      <c r="Z1971" s="301" t="n">
        <f aca="false">合約與計費!$E$4</f>
        <v>2.8</v>
      </c>
      <c r="AA1971" s="285" t="n">
        <f aca="false">ROUND(X1971*Z1971,0)</f>
        <v>146</v>
      </c>
      <c r="AB1971" s="302"/>
      <c r="AC1971" s="303"/>
      <c r="AD1971" s="288"/>
      <c r="AE1971" s="289"/>
    </row>
    <row r="1972" customFormat="false" ht="16.5" hidden="false" customHeight="true" outlineLevel="0" collapsed="false">
      <c r="A1972" s="320" t="n">
        <f aca="false">ROW(A1961)</f>
        <v>1961</v>
      </c>
      <c r="B1972" s="320" t="s">
        <v>462</v>
      </c>
      <c r="C1972" s="323" t="n">
        <v>1</v>
      </c>
      <c r="D1972" s="272"/>
      <c r="E1972" s="279" t="s">
        <v>4861</v>
      </c>
      <c r="F1972" s="322" t="s">
        <v>4859</v>
      </c>
      <c r="G1972" s="323" t="s">
        <v>4100</v>
      </c>
      <c r="H1972" s="323" t="s">
        <v>4691</v>
      </c>
      <c r="I1972" s="324" t="s">
        <v>280</v>
      </c>
      <c r="J1972" s="279" t="s">
        <v>527</v>
      </c>
      <c r="K1972" s="328" t="s">
        <v>4862</v>
      </c>
      <c r="L1972" s="329" t="n">
        <v>45754</v>
      </c>
      <c r="M1972" s="323" t="n">
        <v>368</v>
      </c>
      <c r="N1972" s="323" t="n">
        <v>485</v>
      </c>
      <c r="O1972" s="308" t="n">
        <v>117</v>
      </c>
      <c r="P1972" s="308" t="n">
        <v>113</v>
      </c>
      <c r="Q1972" s="323" t="n">
        <f aca="false">ROUND(SUM(P1971:P1972),2)</f>
        <v>274</v>
      </c>
      <c r="R1972" s="330" t="n">
        <f aca="false">合約與計費!$D$4</f>
        <v>0.296</v>
      </c>
      <c r="S1972" s="331" t="n">
        <f aca="false">ROUND(P1972*R1972,0)</f>
        <v>33</v>
      </c>
      <c r="T1972" s="282" t="n">
        <f aca="false">ROUND(SUM(S1971:S1972),2)</f>
        <v>81</v>
      </c>
      <c r="U1972" s="323"/>
      <c r="V1972" s="323"/>
      <c r="W1972" s="332"/>
      <c r="X1972" s="323"/>
      <c r="Y1972" s="323"/>
      <c r="Z1972" s="333"/>
      <c r="AA1972" s="334"/>
      <c r="AB1972" s="335" t="n">
        <f aca="false">ROUND(SUM(AA1971:AA1972),2)</f>
        <v>146</v>
      </c>
      <c r="AC1972" s="336"/>
      <c r="AD1972" s="288"/>
      <c r="AE1972" s="289"/>
    </row>
    <row r="1973" customFormat="false" ht="16.5" hidden="false" customHeight="true" outlineLevel="0" collapsed="false">
      <c r="A1973" s="337" t="n">
        <f aca="false">ROW(A1962)</f>
        <v>1962</v>
      </c>
      <c r="B1973" s="337" t="s">
        <v>455</v>
      </c>
      <c r="C1973" s="275" t="n">
        <v>1</v>
      </c>
      <c r="D1973" s="272" t="n">
        <v>428</v>
      </c>
      <c r="E1973" s="273" t="s">
        <v>4863</v>
      </c>
      <c r="F1973" s="274" t="s">
        <v>4864</v>
      </c>
      <c r="G1973" s="275" t="s">
        <v>4100</v>
      </c>
      <c r="H1973" s="275" t="s">
        <v>4270</v>
      </c>
      <c r="I1973" s="276" t="s">
        <v>4865</v>
      </c>
      <c r="J1973" s="273" t="s">
        <v>460</v>
      </c>
      <c r="K1973" s="277" t="s">
        <v>4866</v>
      </c>
      <c r="L1973" s="278" t="n">
        <v>45921</v>
      </c>
      <c r="M1973" s="275" t="n">
        <v>0</v>
      </c>
      <c r="N1973" s="275" t="n">
        <v>2</v>
      </c>
      <c r="O1973" s="275" t="n">
        <v>2</v>
      </c>
      <c r="P1973" s="275" t="n">
        <v>2</v>
      </c>
      <c r="Q1973" s="323" t="n">
        <f aca="false">ROUND(SUM(P1973),2)</f>
        <v>2</v>
      </c>
      <c r="R1973" s="280" t="n">
        <f aca="false">合約與計費!$D$4</f>
        <v>0.296</v>
      </c>
      <c r="S1973" s="281" t="n">
        <f aca="false">ROUND(P1973*R1973,0)</f>
        <v>1</v>
      </c>
      <c r="T1973" s="282" t="n">
        <f aca="false">ROUND(SUM(S1973),2)</f>
        <v>1</v>
      </c>
      <c r="U1973" s="275" t="n">
        <v>0</v>
      </c>
      <c r="V1973" s="275" t="n">
        <v>2</v>
      </c>
      <c r="W1973" s="275" t="n">
        <v>2</v>
      </c>
      <c r="X1973" s="275" t="n">
        <v>2</v>
      </c>
      <c r="Y1973" s="323" t="n">
        <f aca="false">ROUND(SUM(X1973),2)</f>
        <v>2</v>
      </c>
      <c r="Z1973" s="284" t="n">
        <f aca="false">合約與計費!$E$4</f>
        <v>2.8</v>
      </c>
      <c r="AA1973" s="327" t="n">
        <f aca="false">ROUND(X1973*Z1973,0)</f>
        <v>6</v>
      </c>
      <c r="AB1973" s="286" t="n">
        <f aca="false">ROUND(SUM(AA1973),2)</f>
        <v>6</v>
      </c>
      <c r="AC1973" s="287"/>
      <c r="AD1973" s="288"/>
      <c r="AE1973" s="289"/>
    </row>
    <row r="1974" customFormat="false" ht="16.5" hidden="false" customHeight="true" outlineLevel="0" collapsed="false">
      <c r="A1974" s="84" t="n">
        <f aca="false">ROW(A1963)</f>
        <v>1963</v>
      </c>
      <c r="B1974" s="84" t="s">
        <v>455</v>
      </c>
      <c r="C1974" s="32" t="n">
        <v>1</v>
      </c>
      <c r="D1974" s="85" t="n">
        <v>188</v>
      </c>
      <c r="E1974" s="86" t="s">
        <v>4867</v>
      </c>
      <c r="F1974" s="87" t="s">
        <v>4868</v>
      </c>
      <c r="G1974" s="32" t="s">
        <v>4869</v>
      </c>
      <c r="H1974" s="32" t="s">
        <v>4870</v>
      </c>
      <c r="I1974" s="172" t="s">
        <v>291</v>
      </c>
      <c r="J1974" s="86" t="s">
        <v>460</v>
      </c>
      <c r="K1974" s="88" t="s">
        <v>4871</v>
      </c>
      <c r="L1974" s="89" t="n">
        <v>45772</v>
      </c>
      <c r="M1974" s="32" t="n">
        <v>546</v>
      </c>
      <c r="N1974" s="32" t="n">
        <v>567</v>
      </c>
      <c r="O1974" s="32" t="n">
        <v>21</v>
      </c>
      <c r="P1974" s="32" t="n">
        <v>20</v>
      </c>
      <c r="Q1974" s="32" t="n">
        <f aca="false">ROUND(SUM(P1974),2)</f>
        <v>20</v>
      </c>
      <c r="R1974" s="90" t="n">
        <f aca="false">合約與計費!$D$4</f>
        <v>0.296</v>
      </c>
      <c r="S1974" s="91" t="n">
        <f aca="false">ROUND(P1974*R1974,0)</f>
        <v>6</v>
      </c>
      <c r="T1974" s="92" t="n">
        <f aca="false">ROUND(SUM(S1974),2)</f>
        <v>6</v>
      </c>
      <c r="U1974" s="32" t="n">
        <v>222</v>
      </c>
      <c r="V1974" s="32" t="n">
        <v>222</v>
      </c>
      <c r="W1974" s="32" t="n">
        <v>0</v>
      </c>
      <c r="X1974" s="32" t="n">
        <v>0</v>
      </c>
      <c r="Y1974" s="32" t="n">
        <f aca="false">ROUND(SUM(X1974),2)</f>
        <v>0</v>
      </c>
      <c r="Z1974" s="93" t="n">
        <f aca="false">合約與計費!$E$4</f>
        <v>2.8</v>
      </c>
      <c r="AA1974" s="94" t="n">
        <f aca="false">ROUND(X1974*Z1974,0)</f>
        <v>0</v>
      </c>
      <c r="AB1974" s="94" t="n">
        <f aca="false">ROUND(SUM(AA1974),2)</f>
        <v>0</v>
      </c>
      <c r="AC1974" s="254"/>
      <c r="AD1974" s="42"/>
      <c r="AE1974" s="43"/>
    </row>
    <row r="1975" customFormat="false" ht="16.5" hidden="false" customHeight="true" outlineLevel="0" collapsed="false">
      <c r="A1975" s="111"/>
      <c r="B1975" s="111"/>
      <c r="C1975" s="114"/>
      <c r="D1975" s="85"/>
      <c r="E1975" s="114"/>
      <c r="F1975" s="113"/>
      <c r="G1975" s="114"/>
      <c r="H1975" s="114"/>
      <c r="I1975" s="173"/>
      <c r="J1975" s="112" t="s">
        <v>460</v>
      </c>
      <c r="K1975" s="115"/>
      <c r="L1975" s="116"/>
      <c r="M1975" s="114"/>
      <c r="N1975" s="114"/>
      <c r="O1975" s="114"/>
      <c r="P1975" s="114"/>
      <c r="Q1975" s="114"/>
      <c r="R1975" s="117" t="n">
        <f aca="false">合約與計費!$D$4</f>
        <v>0.296</v>
      </c>
      <c r="S1975" s="118" t="n">
        <f aca="false">ROUND(P1975*R1975,0)</f>
        <v>0</v>
      </c>
      <c r="T1975" s="119"/>
      <c r="U1975" s="114"/>
      <c r="V1975" s="114"/>
      <c r="W1975" s="120"/>
      <c r="X1975" s="114"/>
      <c r="Y1975" s="114"/>
      <c r="Z1975" s="121"/>
      <c r="AA1975" s="122"/>
      <c r="AB1975" s="122"/>
      <c r="AC1975" s="124"/>
      <c r="AD1975" s="42"/>
      <c r="AE1975" s="43"/>
    </row>
    <row r="1976" customFormat="false" ht="16.5" hidden="false" customHeight="true" outlineLevel="0" collapsed="false">
      <c r="A1976" s="84"/>
      <c r="B1976" s="84" t="s">
        <v>455</v>
      </c>
      <c r="C1976" s="32"/>
      <c r="D1976" s="85" t="n">
        <v>212</v>
      </c>
      <c r="E1976" s="86" t="s">
        <v>4872</v>
      </c>
      <c r="F1976" s="87" t="s">
        <v>4873</v>
      </c>
      <c r="G1976" s="32" t="s">
        <v>4869</v>
      </c>
      <c r="H1976" s="32" t="s">
        <v>4870</v>
      </c>
      <c r="I1976" s="172" t="s">
        <v>12</v>
      </c>
      <c r="J1976" s="86" t="s">
        <v>464</v>
      </c>
      <c r="K1976" s="88" t="s">
        <v>4874</v>
      </c>
      <c r="L1976" s="89" t="n">
        <v>45769</v>
      </c>
      <c r="M1976" s="32" t="n">
        <v>5629</v>
      </c>
      <c r="N1976" s="32" t="n">
        <v>5741</v>
      </c>
      <c r="O1976" s="32"/>
      <c r="P1976" s="32"/>
      <c r="Q1976" s="32"/>
      <c r="R1976" s="90" t="n">
        <f aca="false">合約與計費!$D$4</f>
        <v>0.296</v>
      </c>
      <c r="S1976" s="91" t="n">
        <f aca="false">ROUND(P1976*R1976,0)</f>
        <v>0</v>
      </c>
      <c r="T1976" s="92" t="n">
        <f aca="false">ROUND(SUM(S1976),2)</f>
        <v>0</v>
      </c>
      <c r="U1976" s="32"/>
      <c r="V1976" s="32"/>
      <c r="W1976" s="226"/>
      <c r="X1976" s="32"/>
      <c r="Y1976" s="32"/>
      <c r="Z1976" s="93"/>
      <c r="AA1976" s="94"/>
      <c r="AB1976" s="95"/>
      <c r="AC1976" s="254"/>
      <c r="AD1976" s="42" t="n">
        <v>0.0715</v>
      </c>
      <c r="AE1976" s="43" t="n">
        <v>0.7</v>
      </c>
    </row>
    <row r="1977" customFormat="false" ht="16.5" hidden="false" customHeight="true" outlineLevel="0" collapsed="false">
      <c r="A1977" s="111"/>
      <c r="B1977" s="111"/>
      <c r="C1977" s="114"/>
      <c r="D1977" s="85"/>
      <c r="E1977" s="114"/>
      <c r="F1977" s="113"/>
      <c r="G1977" s="114"/>
      <c r="H1977" s="114"/>
      <c r="I1977" s="173"/>
      <c r="J1977" s="112" t="s">
        <v>464</v>
      </c>
      <c r="K1977" s="115"/>
      <c r="L1977" s="116"/>
      <c r="M1977" s="114"/>
      <c r="N1977" s="114"/>
      <c r="O1977" s="114"/>
      <c r="P1977" s="114"/>
      <c r="Q1977" s="114"/>
      <c r="R1977" s="117" t="n">
        <f aca="false">合約與計費!$D$4</f>
        <v>0.296</v>
      </c>
      <c r="S1977" s="118" t="n">
        <f aca="false">ROUND(P1977*R1977,0)</f>
        <v>0</v>
      </c>
      <c r="T1977" s="119"/>
      <c r="U1977" s="114"/>
      <c r="V1977" s="114"/>
      <c r="W1977" s="120"/>
      <c r="X1977" s="114"/>
      <c r="Y1977" s="114"/>
      <c r="Z1977" s="121"/>
      <c r="AA1977" s="122"/>
      <c r="AB1977" s="123"/>
      <c r="AC1977" s="124" t="s">
        <v>4875</v>
      </c>
      <c r="AD1977" s="42"/>
      <c r="AE1977" s="43"/>
    </row>
    <row r="1978" customFormat="false" ht="16.5" hidden="false" customHeight="true" outlineLevel="0" collapsed="false">
      <c r="A1978" s="84"/>
      <c r="B1978" s="84" t="s">
        <v>455</v>
      </c>
      <c r="C1978" s="32"/>
      <c r="D1978" s="85" t="n">
        <v>185</v>
      </c>
      <c r="E1978" s="86" t="s">
        <v>4876</v>
      </c>
      <c r="F1978" s="87" t="s">
        <v>4877</v>
      </c>
      <c r="G1978" s="32" t="s">
        <v>4878</v>
      </c>
      <c r="H1978" s="32" t="s">
        <v>2100</v>
      </c>
      <c r="I1978" s="172" t="s">
        <v>4879</v>
      </c>
      <c r="J1978" s="86" t="s">
        <v>460</v>
      </c>
      <c r="K1978" s="88" t="s">
        <v>4880</v>
      </c>
      <c r="L1978" s="89" t="n">
        <v>45758</v>
      </c>
      <c r="M1978" s="32" t="n">
        <v>515</v>
      </c>
      <c r="N1978" s="32" t="n">
        <v>624</v>
      </c>
      <c r="O1978" s="32"/>
      <c r="P1978" s="32"/>
      <c r="Q1978" s="32"/>
      <c r="R1978" s="90" t="n">
        <f aca="false">合約與計費!$D$4</f>
        <v>0.296</v>
      </c>
      <c r="S1978" s="91" t="n">
        <f aca="false">ROUND(P1978*R1978,0)</f>
        <v>0</v>
      </c>
      <c r="T1978" s="92" t="n">
        <f aca="false">ROUND(SUM(S1978),2)</f>
        <v>0</v>
      </c>
      <c r="U1978" s="32" t="n">
        <v>33</v>
      </c>
      <c r="V1978" s="32" t="n">
        <v>34</v>
      </c>
      <c r="W1978" s="32"/>
      <c r="X1978" s="32"/>
      <c r="Y1978" s="32"/>
      <c r="Z1978" s="93" t="n">
        <f aca="false">合約與計費!$E$4</f>
        <v>2.8</v>
      </c>
      <c r="AA1978" s="94" t="n">
        <f aca="false">ROUND(X1978*Z1978,0)</f>
        <v>0</v>
      </c>
      <c r="AB1978" s="95"/>
      <c r="AC1978" s="254"/>
      <c r="AD1978" s="42"/>
      <c r="AE1978" s="43"/>
    </row>
    <row r="1979" customFormat="false" ht="16.5" hidden="false" customHeight="true" outlineLevel="0" collapsed="false">
      <c r="A1979" s="111"/>
      <c r="B1979" s="111"/>
      <c r="C1979" s="114"/>
      <c r="D1979" s="85"/>
      <c r="E1979" s="114"/>
      <c r="F1979" s="113"/>
      <c r="G1979" s="114"/>
      <c r="H1979" s="114"/>
      <c r="I1979" s="173"/>
      <c r="J1979" s="112" t="s">
        <v>460</v>
      </c>
      <c r="K1979" s="115"/>
      <c r="L1979" s="116"/>
      <c r="M1979" s="114"/>
      <c r="N1979" s="114"/>
      <c r="O1979" s="114"/>
      <c r="P1979" s="114"/>
      <c r="Q1979" s="114"/>
      <c r="R1979" s="117" t="n">
        <f aca="false">合約與計費!$D$4</f>
        <v>0.296</v>
      </c>
      <c r="S1979" s="118" t="n">
        <f aca="false">ROUND(P1979*R1979,0)</f>
        <v>0</v>
      </c>
      <c r="T1979" s="119"/>
      <c r="U1979" s="114"/>
      <c r="V1979" s="114"/>
      <c r="W1979" s="114"/>
      <c r="X1979" s="114"/>
      <c r="Y1979" s="114"/>
      <c r="Z1979" s="121" t="n">
        <f aca="false">合約與計費!$E$4</f>
        <v>2.8</v>
      </c>
      <c r="AA1979" s="122" t="n">
        <f aca="false">ROUND(X1979*Z1979,0)</f>
        <v>0</v>
      </c>
      <c r="AB1979" s="123" t="n">
        <f aca="false">ROUND(SUM(AA1978:AA1979),2)</f>
        <v>0</v>
      </c>
      <c r="AC1979" s="124" t="s">
        <v>4875</v>
      </c>
      <c r="AD1979" s="42"/>
      <c r="AE1979" s="43"/>
    </row>
    <row r="1980" customFormat="false" ht="16.5" hidden="true" customHeight="true" outlineLevel="0" collapsed="false">
      <c r="A1980" s="338"/>
      <c r="B1980" s="338"/>
      <c r="C1980" s="192"/>
      <c r="D1980" s="339"/>
      <c r="E1980" s="192"/>
      <c r="F1980" s="191"/>
      <c r="G1980" s="192"/>
      <c r="H1980" s="192"/>
      <c r="I1980" s="340"/>
      <c r="J1980" s="192"/>
      <c r="K1980" s="193"/>
      <c r="L1980" s="194"/>
      <c r="M1980" s="192"/>
      <c r="N1980" s="192"/>
      <c r="O1980" s="192"/>
      <c r="P1980" s="192"/>
      <c r="Q1980" s="192"/>
      <c r="R1980" s="195"/>
      <c r="S1980" s="196"/>
      <c r="T1980" s="197"/>
      <c r="U1980" s="192"/>
      <c r="V1980" s="192"/>
      <c r="W1980" s="179"/>
      <c r="X1980" s="192"/>
      <c r="Y1980" s="192"/>
      <c r="Z1980" s="199"/>
      <c r="AA1980" s="200"/>
      <c r="AB1980" s="201"/>
      <c r="AC1980" s="202"/>
      <c r="AD1980" s="42"/>
      <c r="AE1980" s="43"/>
    </row>
    <row r="1981" customFormat="false" ht="16.5" hidden="true" customHeight="true" outlineLevel="0" collapsed="false">
      <c r="A1981" s="341"/>
      <c r="B1981" s="341"/>
      <c r="C1981" s="341"/>
      <c r="D1981" s="342"/>
      <c r="E1981" s="343"/>
      <c r="F1981" s="342"/>
      <c r="G1981" s="342"/>
      <c r="H1981" s="342"/>
      <c r="I1981" s="344"/>
      <c r="J1981" s="344"/>
      <c r="K1981" s="345"/>
      <c r="L1981" s="346"/>
      <c r="R1981" s="347"/>
      <c r="T1981" s="348"/>
      <c r="AC1981" s="349"/>
    </row>
    <row r="1982" customFormat="false" ht="16.5" hidden="false" customHeight="true" outlineLevel="0" collapsed="false">
      <c r="A1982" s="350"/>
      <c r="B1982" s="350"/>
      <c r="C1982" s="351" t="n">
        <f aca="false">SUM(C3:C1981)</f>
        <v>1963</v>
      </c>
      <c r="D1982" s="350" t="n">
        <f aca="false">COUNT(D3:D1981)-1</f>
        <v>391</v>
      </c>
      <c r="E1982" s="352"/>
      <c r="F1982" s="351"/>
      <c r="G1982" s="351"/>
      <c r="H1982" s="351"/>
      <c r="I1982" s="351"/>
      <c r="J1982" s="353" t="n">
        <f aca="false">SUBTOTAL(9,J3:J1981)</f>
        <v>0</v>
      </c>
      <c r="K1982" s="354"/>
      <c r="L1982" s="355"/>
      <c r="M1982" s="351"/>
      <c r="N1982" s="351"/>
      <c r="O1982" s="351" t="n">
        <f aca="false">SUM(O3:O1981)</f>
        <v>1725632</v>
      </c>
      <c r="P1982" s="351" t="n">
        <f aca="false">SUM(P3:P1981)</f>
        <v>1673869</v>
      </c>
      <c r="Q1982" s="351" t="n">
        <f aca="false">SUM(Q3:Q1981)</f>
        <v>1673869</v>
      </c>
      <c r="R1982" s="356"/>
      <c r="S1982" s="357" t="n">
        <f aca="false">SUM(S3:S1981)</f>
        <v>495461</v>
      </c>
      <c r="T1982" s="357" t="n">
        <f aca="false">SUM(T3:T1981)</f>
        <v>495461</v>
      </c>
      <c r="U1982" s="351"/>
      <c r="V1982" s="351"/>
      <c r="W1982" s="351" t="n">
        <f aca="false">SUM(W3:W1981)</f>
        <v>22501</v>
      </c>
      <c r="X1982" s="351" t="n">
        <f aca="false">SUM(X3:X1981)</f>
        <v>21837</v>
      </c>
      <c r="Y1982" s="351" t="n">
        <f aca="false">SUM(Y3:Y1981)</f>
        <v>21837</v>
      </c>
      <c r="Z1982" s="358"/>
      <c r="AA1982" s="357" t="n">
        <f aca="false">SUM(AA3:AA1981)</f>
        <v>61139</v>
      </c>
      <c r="AB1982" s="357" t="n">
        <f aca="false">SUM(AB3:AB1981)</f>
        <v>61139</v>
      </c>
      <c r="AC1982" s="349"/>
    </row>
    <row r="1983" customFormat="false" ht="16.5" hidden="false" customHeight="true" outlineLevel="0" collapsed="false">
      <c r="A1983" s="341"/>
      <c r="B1983" s="341"/>
      <c r="C1983" s="359"/>
      <c r="D1983" s="342"/>
      <c r="E1983" s="343"/>
      <c r="AC1983" s="349"/>
    </row>
    <row r="1996" customFormat="false" ht="16.5" hidden="false" customHeight="true" outlineLevel="0" collapsed="false">
      <c r="J1996" s="13"/>
    </row>
    <row r="1997" customFormat="false" ht="16.5" hidden="false" customHeight="true" outlineLevel="0" collapsed="false">
      <c r="J1997" s="13"/>
    </row>
  </sheetData>
  <autoFilter ref="A2:AE1979"/>
  <mergeCells count="39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E1"/>
    <mergeCell ref="D3:D20"/>
    <mergeCell ref="D21:D27"/>
    <mergeCell ref="D28:D32"/>
    <mergeCell ref="D33:D37"/>
    <mergeCell ref="D38:D43"/>
    <mergeCell ref="D44:D50"/>
    <mergeCell ref="D51:D68"/>
    <mergeCell ref="D69:D71"/>
    <mergeCell ref="D72:D77"/>
    <mergeCell ref="AC72:AC77"/>
    <mergeCell ref="D78:D82"/>
    <mergeCell ref="D83:D88"/>
    <mergeCell ref="D89:D102"/>
    <mergeCell ref="D103:D113"/>
    <mergeCell ref="D114:D119"/>
    <mergeCell ref="D120:D125"/>
    <mergeCell ref="D126:D130"/>
    <mergeCell ref="D131:D132"/>
    <mergeCell ref="D133:D138"/>
    <mergeCell ref="D139:D141"/>
    <mergeCell ref="D142:D143"/>
    <mergeCell ref="D144:D145"/>
    <mergeCell ref="D146:D156"/>
    <mergeCell ref="D157:D160"/>
    <mergeCell ref="D161:D172"/>
    <mergeCell ref="D173:D176"/>
    <mergeCell ref="D177:D182"/>
    <mergeCell ref="D183:D187"/>
    <mergeCell ref="D188:D192"/>
    <mergeCell ref="D193:D196"/>
    <mergeCell ref="D197:D198"/>
    <mergeCell ref="D199:D200"/>
    <mergeCell ref="D201:D219"/>
    <mergeCell ref="D220:D224"/>
    <mergeCell ref="D225:D228"/>
    <mergeCell ref="D229:D233"/>
    <mergeCell ref="D234:D239"/>
    <mergeCell ref="D240:D245"/>
    <mergeCell ref="D246:D254"/>
    <mergeCell ref="D255:D256"/>
    <mergeCell ref="D257:D258"/>
    <mergeCell ref="D259:D260"/>
    <mergeCell ref="D261:D269"/>
    <mergeCell ref="D270:D273"/>
    <mergeCell ref="D274:D279"/>
    <mergeCell ref="D280:D284"/>
    <mergeCell ref="D285:D286"/>
    <mergeCell ref="D287:D288"/>
    <mergeCell ref="D289:D293"/>
    <mergeCell ref="D294:D298"/>
    <mergeCell ref="D299:D303"/>
    <mergeCell ref="D304:D309"/>
    <mergeCell ref="D310:D314"/>
    <mergeCell ref="D315:D335"/>
    <mergeCell ref="D336:D340"/>
    <mergeCell ref="D341:D345"/>
    <mergeCell ref="D353:D358"/>
    <mergeCell ref="D359:D363"/>
    <mergeCell ref="D364:D368"/>
    <mergeCell ref="D369:D374"/>
    <mergeCell ref="D375:D379"/>
    <mergeCell ref="D380:D383"/>
    <mergeCell ref="D384:D389"/>
    <mergeCell ref="D390:D394"/>
    <mergeCell ref="D395:D403"/>
    <mergeCell ref="D404:D409"/>
    <mergeCell ref="D410:D413"/>
    <mergeCell ref="D414:D415"/>
    <mergeCell ref="D416:D417"/>
    <mergeCell ref="D418:D422"/>
    <mergeCell ref="D423:D427"/>
    <mergeCell ref="D428:D432"/>
    <mergeCell ref="D433:D436"/>
    <mergeCell ref="D437:D442"/>
    <mergeCell ref="D443:D446"/>
    <mergeCell ref="D447:D452"/>
    <mergeCell ref="D453:D454"/>
    <mergeCell ref="D455:D459"/>
    <mergeCell ref="D460:D462"/>
    <mergeCell ref="D463:D466"/>
    <mergeCell ref="D467:D481"/>
    <mergeCell ref="D482:D485"/>
    <mergeCell ref="D486:D489"/>
    <mergeCell ref="D490:D494"/>
    <mergeCell ref="D495:D497"/>
    <mergeCell ref="D498:D499"/>
    <mergeCell ref="D500:D501"/>
    <mergeCell ref="D502:D522"/>
    <mergeCell ref="D523:D527"/>
    <mergeCell ref="D528:D532"/>
    <mergeCell ref="D533:D537"/>
    <mergeCell ref="D538:D541"/>
    <mergeCell ref="D542:D547"/>
    <mergeCell ref="D548:D551"/>
    <mergeCell ref="D552:D553"/>
    <mergeCell ref="D554:D555"/>
    <mergeCell ref="D556:D558"/>
    <mergeCell ref="D559:D562"/>
    <mergeCell ref="D563:D578"/>
    <mergeCell ref="D579:D584"/>
    <mergeCell ref="D585:D587"/>
    <mergeCell ref="D589:D591"/>
    <mergeCell ref="D592:D601"/>
    <mergeCell ref="D602:D619"/>
    <mergeCell ref="D620:D622"/>
    <mergeCell ref="D623:D625"/>
    <mergeCell ref="D626:D629"/>
    <mergeCell ref="D630:D632"/>
    <mergeCell ref="D633:D634"/>
    <mergeCell ref="D635:D637"/>
    <mergeCell ref="AC635:AC637"/>
    <mergeCell ref="D638:D639"/>
    <mergeCell ref="D640:D641"/>
    <mergeCell ref="D642:D646"/>
    <mergeCell ref="D654:D658"/>
    <mergeCell ref="D659:D662"/>
    <mergeCell ref="D663:D666"/>
    <mergeCell ref="D667:D671"/>
    <mergeCell ref="D672:D675"/>
    <mergeCell ref="D676:D679"/>
    <mergeCell ref="D680:D684"/>
    <mergeCell ref="D685:D686"/>
    <mergeCell ref="D687:D688"/>
    <mergeCell ref="D689:D690"/>
    <mergeCell ref="D691:D699"/>
    <mergeCell ref="D700:D703"/>
    <mergeCell ref="D704:D708"/>
    <mergeCell ref="D709:D713"/>
    <mergeCell ref="D714:D732"/>
    <mergeCell ref="D733:D734"/>
    <mergeCell ref="D735:D736"/>
    <mergeCell ref="D737:D738"/>
    <mergeCell ref="D739:D748"/>
    <mergeCell ref="D749:D753"/>
    <mergeCell ref="D754:D763"/>
    <mergeCell ref="D764:D767"/>
    <mergeCell ref="D768:D772"/>
    <mergeCell ref="D773:D784"/>
    <mergeCell ref="D785:D793"/>
    <mergeCell ref="D795:D796"/>
    <mergeCell ref="D797:D815"/>
    <mergeCell ref="D816:D823"/>
    <mergeCell ref="D824:D835"/>
    <mergeCell ref="D836:D840"/>
    <mergeCell ref="D841:D847"/>
    <mergeCell ref="D848:D857"/>
    <mergeCell ref="D858:D859"/>
    <mergeCell ref="D860:D861"/>
    <mergeCell ref="D866:D867"/>
    <mergeCell ref="D868:D874"/>
    <mergeCell ref="D875:D879"/>
    <mergeCell ref="D880:D897"/>
    <mergeCell ref="D898:D907"/>
    <mergeCell ref="D908:D909"/>
    <mergeCell ref="D910:D912"/>
    <mergeCell ref="D913:D915"/>
    <mergeCell ref="D916:D917"/>
    <mergeCell ref="D918:D919"/>
    <mergeCell ref="D920:D921"/>
    <mergeCell ref="D922:D923"/>
    <mergeCell ref="D924:D927"/>
    <mergeCell ref="D928:D935"/>
    <mergeCell ref="D936:D944"/>
    <mergeCell ref="D945:D949"/>
    <mergeCell ref="D950:D954"/>
    <mergeCell ref="D955:D959"/>
    <mergeCell ref="D960:D964"/>
    <mergeCell ref="D965:D969"/>
    <mergeCell ref="D970:D975"/>
    <mergeCell ref="D976:D977"/>
    <mergeCell ref="D978:D981"/>
    <mergeCell ref="D982:D985"/>
    <mergeCell ref="D986:D989"/>
    <mergeCell ref="D990:D995"/>
    <mergeCell ref="D996:D999"/>
    <mergeCell ref="D1000:D1004"/>
    <mergeCell ref="D1005:D1009"/>
    <mergeCell ref="D1010:D1014"/>
    <mergeCell ref="D1015:D1019"/>
    <mergeCell ref="D1020:D1025"/>
    <mergeCell ref="D1026:D1027"/>
    <mergeCell ref="D1028:D1030"/>
    <mergeCell ref="D1031:D1034"/>
    <mergeCell ref="D1035:D1039"/>
    <mergeCell ref="D1040:D1043"/>
    <mergeCell ref="D1044:D1047"/>
    <mergeCell ref="D1048:D1053"/>
    <mergeCell ref="D1054:D1058"/>
    <mergeCell ref="D1059:D1063"/>
    <mergeCell ref="D1064:D1065"/>
    <mergeCell ref="D1066:D1067"/>
    <mergeCell ref="D1068:D1074"/>
    <mergeCell ref="D1075:D1076"/>
    <mergeCell ref="D1078:D1081"/>
    <mergeCell ref="D1082:D1086"/>
    <mergeCell ref="D1087:D1090"/>
    <mergeCell ref="D1091:D1094"/>
    <mergeCell ref="D1095:D1100"/>
    <mergeCell ref="D1101:D1104"/>
    <mergeCell ref="D1105:D1108"/>
    <mergeCell ref="D1109:D1111"/>
    <mergeCell ref="D1112:D1115"/>
    <mergeCell ref="D1116:D1117"/>
    <mergeCell ref="D1118:D1123"/>
    <mergeCell ref="D1124:D1134"/>
    <mergeCell ref="D1135:D1140"/>
    <mergeCell ref="D1141:D1144"/>
    <mergeCell ref="D1145:D1152"/>
    <mergeCell ref="D1153:D1158"/>
    <mergeCell ref="D1159:D1165"/>
    <mergeCell ref="D1166:D1169"/>
    <mergeCell ref="D1170:D1173"/>
    <mergeCell ref="D1174:D1178"/>
    <mergeCell ref="D1179:D1182"/>
    <mergeCell ref="D1183:D1187"/>
    <mergeCell ref="D1188:D1193"/>
    <mergeCell ref="D1194:D1205"/>
    <mergeCell ref="D1206:D1208"/>
    <mergeCell ref="D1209:D1215"/>
    <mergeCell ref="D1216:D1220"/>
    <mergeCell ref="D1221:D1224"/>
    <mergeCell ref="D1225:D1229"/>
    <mergeCell ref="D1230:D1234"/>
    <mergeCell ref="D1235:D1240"/>
    <mergeCell ref="D1241:D1244"/>
    <mergeCell ref="D1245:D1249"/>
    <mergeCell ref="D1250:D1254"/>
    <mergeCell ref="D1255:D1266"/>
    <mergeCell ref="D1267:D1272"/>
    <mergeCell ref="D1273:D1281"/>
    <mergeCell ref="D1282:D1284"/>
    <mergeCell ref="D1285:D1288"/>
    <mergeCell ref="D1289:D1291"/>
    <mergeCell ref="D1292:D1294"/>
    <mergeCell ref="D1295:D1298"/>
    <mergeCell ref="D1299:D1304"/>
    <mergeCell ref="D1305:D1308"/>
    <mergeCell ref="D1309:D1312"/>
    <mergeCell ref="D1313:D1320"/>
    <mergeCell ref="D1321:D1322"/>
    <mergeCell ref="D1324:D1329"/>
    <mergeCell ref="D1330:D1331"/>
    <mergeCell ref="D1332:D1333"/>
    <mergeCell ref="D1335:D1340"/>
    <mergeCell ref="D1341:D1345"/>
    <mergeCell ref="D1346:D1350"/>
    <mergeCell ref="D1351:D1354"/>
    <mergeCell ref="D1355:D1358"/>
    <mergeCell ref="D1359:D1362"/>
    <mergeCell ref="D1363:D1366"/>
    <mergeCell ref="D1367:D1369"/>
    <mergeCell ref="D1370:D1373"/>
    <mergeCell ref="D1374:D1377"/>
    <mergeCell ref="D1378:D1386"/>
    <mergeCell ref="D1387:D1393"/>
    <mergeCell ref="D1394:D1398"/>
    <mergeCell ref="D1399:D1404"/>
    <mergeCell ref="D1405:D1408"/>
    <mergeCell ref="D1409:D1413"/>
    <mergeCell ref="D1414:D1416"/>
    <mergeCell ref="D1417:D1419"/>
    <mergeCell ref="D1420:D1424"/>
    <mergeCell ref="D1426:D1428"/>
    <mergeCell ref="D1430:D1435"/>
    <mergeCell ref="D1436:D1437"/>
    <mergeCell ref="D1438:D1439"/>
    <mergeCell ref="D1440:D1441"/>
    <mergeCell ref="D1442:D1443"/>
    <mergeCell ref="D1444:D1445"/>
    <mergeCell ref="D1446:D1447"/>
    <mergeCell ref="D1448:D1449"/>
    <mergeCell ref="D1450:D1452"/>
    <mergeCell ref="D1453:D1454"/>
    <mergeCell ref="D1456:D1457"/>
    <mergeCell ref="D1458:D1459"/>
    <mergeCell ref="D1460:D1461"/>
    <mergeCell ref="D1462:D1468"/>
    <mergeCell ref="D1469:D1476"/>
    <mergeCell ref="AC1469:AC1476"/>
    <mergeCell ref="D1477:D1486"/>
    <mergeCell ref="D1487:D1493"/>
    <mergeCell ref="D1494:D1498"/>
    <mergeCell ref="D1499:D1502"/>
    <mergeCell ref="D1503:D1506"/>
    <mergeCell ref="D1507:D1512"/>
    <mergeCell ref="D1513:D1514"/>
    <mergeCell ref="D1515:D1517"/>
    <mergeCell ref="D1518:D1520"/>
    <mergeCell ref="D1521:D1525"/>
    <mergeCell ref="D1526:D1536"/>
    <mergeCell ref="D1537:D1540"/>
    <mergeCell ref="D1541:D1545"/>
    <mergeCell ref="D1546:D1552"/>
    <mergeCell ref="D1553:D1559"/>
    <mergeCell ref="D1560:D1564"/>
    <mergeCell ref="D1565:D1567"/>
    <mergeCell ref="D1568:D1569"/>
    <mergeCell ref="D1570:D1574"/>
    <mergeCell ref="D1575:D1581"/>
    <mergeCell ref="D1582:D1588"/>
    <mergeCell ref="D1589:D1593"/>
    <mergeCell ref="D1594:D1598"/>
    <mergeCell ref="D1599:D1608"/>
    <mergeCell ref="D1609:D1616"/>
    <mergeCell ref="D1617:D1619"/>
    <mergeCell ref="D1621:D1622"/>
    <mergeCell ref="D1623:D1627"/>
    <mergeCell ref="D1628:D1629"/>
    <mergeCell ref="D1630:D1637"/>
    <mergeCell ref="D1638:D1643"/>
    <mergeCell ref="D1644:D1650"/>
    <mergeCell ref="D1651:D1655"/>
    <mergeCell ref="D1656:D1661"/>
    <mergeCell ref="D1662:D1669"/>
    <mergeCell ref="D1670:D1677"/>
    <mergeCell ref="D1678:D1684"/>
    <mergeCell ref="D1685:D1687"/>
    <mergeCell ref="D1688:D1695"/>
    <mergeCell ref="D1696:D1705"/>
    <mergeCell ref="D1706:D1707"/>
    <mergeCell ref="D1708:D1714"/>
    <mergeCell ref="D1715:D1722"/>
    <mergeCell ref="D1723:D1728"/>
    <mergeCell ref="D1729:D1734"/>
    <mergeCell ref="D1735:D1740"/>
    <mergeCell ref="D1743:D1744"/>
    <mergeCell ref="D1745:D1751"/>
    <mergeCell ref="D1752:D1757"/>
    <mergeCell ref="D1758:D1771"/>
    <mergeCell ref="D1772:D1778"/>
    <mergeCell ref="D1779:D1785"/>
    <mergeCell ref="D1786:D1791"/>
    <mergeCell ref="D1792:D1795"/>
    <mergeCell ref="D1796:D1803"/>
    <mergeCell ref="D1804:D1807"/>
    <mergeCell ref="D1808:D1809"/>
    <mergeCell ref="D1810:D1811"/>
    <mergeCell ref="D1812:D1817"/>
    <mergeCell ref="D1819:D1820"/>
    <mergeCell ref="D1821:D1831"/>
    <mergeCell ref="D1832:D1842"/>
    <mergeCell ref="D1843:D1852"/>
    <mergeCell ref="D1853:D1863"/>
    <mergeCell ref="D1864:D1873"/>
    <mergeCell ref="D1874:D1879"/>
    <mergeCell ref="D1880:D1886"/>
    <mergeCell ref="D1887:D1892"/>
    <mergeCell ref="D1893:D1895"/>
    <mergeCell ref="D1896:D1897"/>
    <mergeCell ref="D1899:D1906"/>
    <mergeCell ref="D1907:D1911"/>
    <mergeCell ref="D1912:D1922"/>
    <mergeCell ref="D1924:D1926"/>
    <mergeCell ref="D1928:D1929"/>
    <mergeCell ref="D1936:D1951"/>
    <mergeCell ref="D1952:D1955"/>
    <mergeCell ref="D1957:D1965"/>
    <mergeCell ref="D1971:D1972"/>
    <mergeCell ref="D1974:D1975"/>
    <mergeCell ref="D1976:D1977"/>
    <mergeCell ref="D1978:D19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1328125" defaultRowHeight="16.5" zeroHeight="false" outlineLevelRow="0" outlineLevelCol="0"/>
  <cols>
    <col collapsed="false" customWidth="true" hidden="false" outlineLevel="0" max="12" min="12" style="0" width="12.5"/>
  </cols>
  <sheetData>
    <row r="1" customFormat="false" ht="16.5" hidden="false" customHeight="true" outlineLevel="0" collapsed="false">
      <c r="A1" s="18" t="s">
        <v>429</v>
      </c>
      <c r="B1" s="18" t="s">
        <v>430</v>
      </c>
      <c r="C1" s="18" t="s">
        <v>431</v>
      </c>
      <c r="D1" s="18" t="s">
        <v>432</v>
      </c>
      <c r="E1" s="18" t="s">
        <v>433</v>
      </c>
      <c r="F1" s="18" t="s">
        <v>434</v>
      </c>
      <c r="G1" s="18" t="s">
        <v>435</v>
      </c>
      <c r="H1" s="18" t="s">
        <v>436</v>
      </c>
      <c r="I1" s="18" t="s">
        <v>0</v>
      </c>
      <c r="J1" s="18" t="s">
        <v>437</v>
      </c>
      <c r="K1" s="18" t="s">
        <v>438</v>
      </c>
      <c r="L1" s="19" t="s">
        <v>439</v>
      </c>
      <c r="M1" s="360" t="s">
        <v>4881</v>
      </c>
      <c r="N1" s="361" t="s">
        <v>4882</v>
      </c>
      <c r="O1" s="361"/>
      <c r="P1" s="361"/>
      <c r="Q1" s="361"/>
      <c r="R1" s="361"/>
      <c r="S1" s="361"/>
      <c r="T1" s="361"/>
      <c r="U1" s="361"/>
      <c r="V1" s="362" t="s">
        <v>4881</v>
      </c>
      <c r="W1" s="363" t="s">
        <v>4883</v>
      </c>
      <c r="X1" s="363"/>
      <c r="Y1" s="363"/>
      <c r="Z1" s="363"/>
      <c r="AA1" s="363"/>
      <c r="AB1" s="363"/>
      <c r="AC1" s="363"/>
      <c r="AD1" s="363"/>
      <c r="AE1" s="23" t="s">
        <v>451</v>
      </c>
      <c r="AF1" s="364" t="s">
        <v>4884</v>
      </c>
      <c r="AG1" s="364"/>
      <c r="AH1" s="364" t="s">
        <v>4885</v>
      </c>
      <c r="AI1" s="364"/>
    </row>
    <row r="2" customFormat="false" ht="63" hidden="false" customHeight="tru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360"/>
      <c r="N2" s="365" t="s">
        <v>4886</v>
      </c>
      <c r="O2" s="366" t="s">
        <v>4887</v>
      </c>
      <c r="P2" s="367" t="s">
        <v>4888</v>
      </c>
      <c r="Q2" s="367" t="s">
        <v>4889</v>
      </c>
      <c r="R2" s="367" t="s">
        <v>4890</v>
      </c>
      <c r="S2" s="366" t="s">
        <v>4891</v>
      </c>
      <c r="T2" s="366" t="s">
        <v>446</v>
      </c>
      <c r="U2" s="368" t="s">
        <v>4892</v>
      </c>
      <c r="V2" s="362"/>
      <c r="W2" s="369" t="s">
        <v>4886</v>
      </c>
      <c r="X2" s="370" t="s">
        <v>4887</v>
      </c>
      <c r="Y2" s="371" t="s">
        <v>4888</v>
      </c>
      <c r="Z2" s="371" t="s">
        <v>4889</v>
      </c>
      <c r="AA2" s="371" t="s">
        <v>4890</v>
      </c>
      <c r="AB2" s="370" t="s">
        <v>4893</v>
      </c>
      <c r="AC2" s="370" t="s">
        <v>449</v>
      </c>
      <c r="AD2" s="372" t="s">
        <v>4894</v>
      </c>
      <c r="AE2" s="23"/>
      <c r="AF2" s="373" t="s">
        <v>453</v>
      </c>
      <c r="AG2" s="374" t="s">
        <v>454</v>
      </c>
      <c r="AH2" s="373" t="s">
        <v>453</v>
      </c>
      <c r="AI2" s="374" t="s">
        <v>454</v>
      </c>
    </row>
    <row r="3" customFormat="false" ht="16.5" hidden="false" customHeight="true" outlineLevel="0" collapsed="false">
      <c r="A3" s="375" t="s">
        <v>4895</v>
      </c>
      <c r="B3" s="27" t="s">
        <v>455</v>
      </c>
      <c r="C3" s="31" t="n">
        <v>1</v>
      </c>
      <c r="D3" s="29" t="n">
        <v>129</v>
      </c>
      <c r="E3" s="28" t="s">
        <v>4896</v>
      </c>
      <c r="F3" s="30" t="s">
        <v>4897</v>
      </c>
      <c r="G3" s="31" t="s">
        <v>2515</v>
      </c>
      <c r="H3" s="31" t="s">
        <v>3002</v>
      </c>
      <c r="I3" s="31" t="s">
        <v>81</v>
      </c>
      <c r="J3" s="28" t="s">
        <v>527</v>
      </c>
      <c r="K3" s="33" t="s">
        <v>3517</v>
      </c>
      <c r="L3" s="34" t="n">
        <v>45743</v>
      </c>
      <c r="M3" s="31" t="n">
        <v>758.54</v>
      </c>
      <c r="N3" s="376" t="n">
        <v>782</v>
      </c>
      <c r="O3" s="31"/>
      <c r="P3" s="31" t="n">
        <f aca="false">O3-N3</f>
        <v>-782</v>
      </c>
      <c r="Q3" s="31" t="n">
        <f aca="false">ROUND(P3*0.97,2)</f>
        <v>-758.54</v>
      </c>
      <c r="R3" s="31"/>
      <c r="S3" s="31" t="n">
        <f aca="false">合約與計費!$D$4</f>
        <v>0.296</v>
      </c>
      <c r="T3" s="31" t="n">
        <f aca="false">ROUND(Q3*S3,0)</f>
        <v>-225</v>
      </c>
      <c r="U3" s="377"/>
      <c r="V3" s="31" t="n">
        <v>0</v>
      </c>
      <c r="W3" s="376"/>
      <c r="X3" s="31"/>
      <c r="Y3" s="31" t="n">
        <f aca="false">X3-W3</f>
        <v>0</v>
      </c>
      <c r="Z3" s="31" t="n">
        <f aca="false">ROUND(Y3*0.97,2)</f>
        <v>0</v>
      </c>
      <c r="AA3" s="31"/>
      <c r="AB3" s="31" t="n">
        <f aca="false">合約與計費!$E$4</f>
        <v>2.8</v>
      </c>
      <c r="AC3" s="31"/>
      <c r="AD3" s="377"/>
      <c r="AE3" s="41"/>
      <c r="AF3" s="16"/>
      <c r="AG3" s="17"/>
      <c r="AH3" s="16"/>
      <c r="AI3" s="17"/>
    </row>
    <row r="4" customFormat="false" ht="16.5" hidden="false" customHeight="true" outlineLevel="0" collapsed="false">
      <c r="A4" s="378" t="s">
        <v>4898</v>
      </c>
      <c r="B4" s="44" t="s">
        <v>462</v>
      </c>
      <c r="C4" s="47" t="n">
        <v>1</v>
      </c>
      <c r="D4" s="29"/>
      <c r="E4" s="45" t="s">
        <v>4899</v>
      </c>
      <c r="F4" s="46" t="s">
        <v>4897</v>
      </c>
      <c r="G4" s="47" t="s">
        <v>2515</v>
      </c>
      <c r="H4" s="47" t="s">
        <v>3002</v>
      </c>
      <c r="I4" s="47" t="s">
        <v>81</v>
      </c>
      <c r="J4" s="45" t="s">
        <v>527</v>
      </c>
      <c r="K4" s="48" t="s">
        <v>3519</v>
      </c>
      <c r="L4" s="49" t="n">
        <v>45743</v>
      </c>
      <c r="M4" s="47" t="n">
        <v>1531.63</v>
      </c>
      <c r="N4" s="379" t="n">
        <v>1579</v>
      </c>
      <c r="O4" s="47"/>
      <c r="P4" s="47" t="n">
        <f aca="false">O4-N4</f>
        <v>-1579</v>
      </c>
      <c r="Q4" s="47" t="n">
        <f aca="false">ROUND(P4*0.97,2)</f>
        <v>-1531.63</v>
      </c>
      <c r="R4" s="47"/>
      <c r="S4" s="47" t="n">
        <f aca="false">合約與計費!$D$4</f>
        <v>0.296</v>
      </c>
      <c r="T4" s="47" t="n">
        <f aca="false">ROUND(Q4*S4,0)</f>
        <v>-453</v>
      </c>
      <c r="U4" s="380"/>
      <c r="V4" s="47" t="n">
        <v>0</v>
      </c>
      <c r="W4" s="379"/>
      <c r="X4" s="47"/>
      <c r="Y4" s="47" t="n">
        <f aca="false">X4-W4</f>
        <v>0</v>
      </c>
      <c r="Z4" s="47" t="n">
        <f aca="false">ROUND(Y4*0.97,2)</f>
        <v>0</v>
      </c>
      <c r="AA4" s="47"/>
      <c r="AB4" s="47" t="n">
        <f aca="false">合約與計費!$E$4</f>
        <v>2.8</v>
      </c>
      <c r="AC4" s="47"/>
      <c r="AD4" s="380"/>
      <c r="AE4" s="57"/>
      <c r="AF4" s="16"/>
      <c r="AG4" s="17"/>
      <c r="AH4" s="16"/>
      <c r="AI4" s="17"/>
    </row>
    <row r="5" customFormat="false" ht="16.5" hidden="false" customHeight="true" outlineLevel="0" collapsed="false">
      <c r="A5" s="378" t="s">
        <v>4900</v>
      </c>
      <c r="B5" s="44" t="s">
        <v>466</v>
      </c>
      <c r="C5" s="47" t="n">
        <v>1</v>
      </c>
      <c r="D5" s="29"/>
      <c r="E5" s="45" t="s">
        <v>4901</v>
      </c>
      <c r="F5" s="46" t="s">
        <v>4897</v>
      </c>
      <c r="G5" s="47" t="s">
        <v>2515</v>
      </c>
      <c r="H5" s="47" t="s">
        <v>3002</v>
      </c>
      <c r="I5" s="47" t="s">
        <v>81</v>
      </c>
      <c r="J5" s="45" t="s">
        <v>464</v>
      </c>
      <c r="K5" s="48" t="s">
        <v>3515</v>
      </c>
      <c r="L5" s="49" t="n">
        <v>45743</v>
      </c>
      <c r="M5" s="47" t="n">
        <v>37.83</v>
      </c>
      <c r="N5" s="379" t="n">
        <v>39</v>
      </c>
      <c r="O5" s="47"/>
      <c r="P5" s="47" t="n">
        <f aca="false">O5-N5</f>
        <v>-39</v>
      </c>
      <c r="Q5" s="47" t="n">
        <f aca="false">ROUND(P5*0.97,2)</f>
        <v>-37.83</v>
      </c>
      <c r="R5" s="47"/>
      <c r="S5" s="47" t="n">
        <f aca="false">合約與計費!$D$4</f>
        <v>0.296</v>
      </c>
      <c r="T5" s="47" t="n">
        <f aca="false">ROUND(Q5*S5,0)</f>
        <v>-11</v>
      </c>
      <c r="U5" s="380"/>
      <c r="V5" s="47" t="n">
        <v>0</v>
      </c>
      <c r="W5" s="379"/>
      <c r="X5" s="47"/>
      <c r="Y5" s="47" t="n">
        <f aca="false">X5-W5</f>
        <v>0</v>
      </c>
      <c r="Z5" s="47" t="n">
        <f aca="false">ROUND(Y5*0.97,2)</f>
        <v>0</v>
      </c>
      <c r="AA5" s="47"/>
      <c r="AB5" s="47" t="n">
        <f aca="false">合約與計費!$E$4</f>
        <v>2.8</v>
      </c>
      <c r="AC5" s="47"/>
      <c r="AD5" s="380"/>
      <c r="AE5" s="57"/>
      <c r="AF5" s="16" t="n">
        <v>0.0241</v>
      </c>
      <c r="AG5" s="17" t="n">
        <v>1</v>
      </c>
      <c r="AH5" s="16"/>
      <c r="AI5" s="17"/>
    </row>
    <row r="6" customFormat="false" ht="16.5" hidden="false" customHeight="true" outlineLevel="0" collapsed="false">
      <c r="A6" s="381" t="s">
        <v>4902</v>
      </c>
      <c r="B6" s="59" t="s">
        <v>469</v>
      </c>
      <c r="C6" s="62" t="n">
        <v>1</v>
      </c>
      <c r="D6" s="29"/>
      <c r="E6" s="60" t="s">
        <v>4903</v>
      </c>
      <c r="F6" s="61" t="s">
        <v>4897</v>
      </c>
      <c r="G6" s="62" t="s">
        <v>2515</v>
      </c>
      <c r="H6" s="62" t="s">
        <v>3002</v>
      </c>
      <c r="I6" s="62" t="s">
        <v>81</v>
      </c>
      <c r="J6" s="60" t="s">
        <v>460</v>
      </c>
      <c r="K6" s="82" t="s">
        <v>3513</v>
      </c>
      <c r="L6" s="64" t="n">
        <v>45743</v>
      </c>
      <c r="M6" s="62" t="n">
        <v>80.51</v>
      </c>
      <c r="N6" s="382" t="n">
        <v>83</v>
      </c>
      <c r="O6" s="62"/>
      <c r="P6" s="62" t="n">
        <f aca="false">O6-N6</f>
        <v>-83</v>
      </c>
      <c r="Q6" s="62" t="n">
        <f aca="false">ROUND(P6*0.97,2)</f>
        <v>-80.51</v>
      </c>
      <c r="R6" s="62" t="n">
        <f aca="false">ROUND(SUM(Q3:Q6),2)</f>
        <v>-2408.51</v>
      </c>
      <c r="S6" s="62" t="n">
        <f aca="false">合約與計費!$D$4</f>
        <v>0.296</v>
      </c>
      <c r="T6" s="62" t="n">
        <f aca="false">ROUND(Q6*S6,0)</f>
        <v>-24</v>
      </c>
      <c r="U6" s="383" t="n">
        <f aca="false">ROUND(SUM(T3:T6),2)</f>
        <v>-713</v>
      </c>
      <c r="V6" s="62" t="n">
        <v>10.67</v>
      </c>
      <c r="W6" s="382" t="n">
        <v>11</v>
      </c>
      <c r="X6" s="62"/>
      <c r="Y6" s="62" t="n">
        <f aca="false">X6-W6</f>
        <v>-11</v>
      </c>
      <c r="Z6" s="62" t="n">
        <f aca="false">ROUND(Y6*0.97,2)</f>
        <v>-10.67</v>
      </c>
      <c r="AA6" s="62" t="n">
        <f aca="false">ROUND(SUM(Z3:Z6),2)</f>
        <v>-10.67</v>
      </c>
      <c r="AB6" s="62" t="n">
        <f aca="false">合約與計費!$E$4</f>
        <v>2.8</v>
      </c>
      <c r="AC6" s="62" t="n">
        <f aca="false">ROUND(Z6*AB6,0)</f>
        <v>-30</v>
      </c>
      <c r="AD6" s="383" t="n">
        <f aca="false">ROUND(SUM(AC3:AC6),2)</f>
        <v>-30</v>
      </c>
      <c r="AE6" s="69"/>
      <c r="AF6" s="16"/>
      <c r="AG6" s="17"/>
      <c r="AH6" s="16"/>
      <c r="AI6" s="17"/>
    </row>
    <row r="7" customFormat="false" ht="17.25" hidden="false" customHeight="false" outlineLevel="0" collapsed="false"/>
  </sheetData>
  <mergeCells count="2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U1"/>
    <mergeCell ref="V1:V2"/>
    <mergeCell ref="W1:AD1"/>
    <mergeCell ref="AE1:AE2"/>
    <mergeCell ref="AF1:AG1"/>
    <mergeCell ref="AH1:AI1"/>
    <mergeCell ref="D3:D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O20" activeCellId="0" sqref="AO20"/>
    </sheetView>
  </sheetViews>
  <sheetFormatPr defaultColWidth="8.61328125" defaultRowHeight="16.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.38"/>
    <col collapsed="false" customWidth="true" hidden="false" outlineLevel="0" max="3" min="3" style="0" width="6.25"/>
    <col collapsed="false" customWidth="true" hidden="false" outlineLevel="0" max="4" min="4" style="0" width="8.38"/>
    <col collapsed="false" customWidth="true" hidden="false" outlineLevel="0" max="5" min="5" style="0" width="8.86"/>
    <col collapsed="false" customWidth="true" hidden="false" outlineLevel="0" max="6" min="6" style="0" width="25.88"/>
    <col collapsed="false" customWidth="true" hidden="false" outlineLevel="0" max="7" min="7" style="0" width="15.75"/>
    <col collapsed="false" customWidth="true" hidden="false" outlineLevel="0" max="8" min="8" style="0" width="13.25"/>
    <col collapsed="false" customWidth="true" hidden="false" outlineLevel="0" max="9" min="9" style="0" width="20"/>
    <col collapsed="false" customWidth="true" hidden="false" outlineLevel="0" max="10" min="10" style="0" width="19.5"/>
    <col collapsed="false" customWidth="true" hidden="false" outlineLevel="0" max="11" min="11" style="0" width="14.5"/>
    <col collapsed="false" customWidth="true" hidden="false" outlineLevel="0" max="12" min="12" style="0" width="12.75"/>
    <col collapsed="false" customWidth="true" hidden="false" outlineLevel="0" max="15" min="13" style="0" width="8.38"/>
    <col collapsed="false" customWidth="true" hidden="false" outlineLevel="0" max="16" min="16" style="0" width="15.38"/>
    <col collapsed="false" customWidth="true" hidden="false" outlineLevel="0" max="18" min="17" style="0" width="8.38"/>
    <col collapsed="false" customWidth="true" hidden="false" outlineLevel="0" max="19" min="19" style="0" width="15.38"/>
    <col collapsed="false" customWidth="true" hidden="false" outlineLevel="0" max="21" min="20" style="0" width="8.38"/>
    <col collapsed="false" customWidth="true" hidden="false" outlineLevel="0" max="22" min="22" style="0" width="15.38"/>
    <col collapsed="false" customWidth="true" hidden="false" outlineLevel="0" max="24" min="23" style="0" width="8.38"/>
    <col collapsed="false" customWidth="true" hidden="false" outlineLevel="0" max="25" min="25" style="0" width="15.38"/>
    <col collapsed="false" customWidth="true" hidden="false" outlineLevel="0" max="26" min="26" style="0" width="10.5"/>
    <col collapsed="false" customWidth="true" hidden="false" outlineLevel="0" max="28" min="27" style="0" width="10.89"/>
    <col collapsed="false" customWidth="true" hidden="false" outlineLevel="0" max="29" min="29" style="0" width="8.5"/>
    <col collapsed="false" customWidth="true" hidden="false" outlineLevel="0" max="31" min="30" style="0" width="8.38"/>
    <col collapsed="false" customWidth="true" hidden="false" outlineLevel="0" max="32" min="32" style="0" width="14.89"/>
    <col collapsed="false" customWidth="true" hidden="false" outlineLevel="0" max="34" min="33" style="0" width="8.38"/>
    <col collapsed="false" customWidth="true" hidden="false" outlineLevel="0" max="35" min="35" style="0" width="14.89"/>
    <col collapsed="false" customWidth="true" hidden="false" outlineLevel="0" max="37" min="36" style="0" width="8.38"/>
    <col collapsed="false" customWidth="true" hidden="false" outlineLevel="0" max="38" min="38" style="0" width="14.89"/>
    <col collapsed="false" customWidth="true" hidden="false" outlineLevel="0" max="40" min="39" style="0" width="8.38"/>
    <col collapsed="false" customWidth="true" hidden="false" outlineLevel="0" max="41" min="41" style="0" width="14.89"/>
    <col collapsed="false" customWidth="true" hidden="false" outlineLevel="0" max="42" min="42" style="0" width="10.63"/>
    <col collapsed="false" customWidth="true" hidden="false" outlineLevel="0" max="44" min="43" style="0" width="10.89"/>
    <col collapsed="false" customWidth="true" hidden="false" outlineLevel="0" max="46" min="45" style="0" width="8.38"/>
    <col collapsed="false" customWidth="true" hidden="false" outlineLevel="0" max="47" min="47" style="0" width="6.37"/>
    <col collapsed="false" customWidth="true" hidden="false" outlineLevel="0" max="48" min="48" style="0" width="8.38"/>
    <col collapsed="false" customWidth="true" hidden="false" outlineLevel="0" max="49" min="49" style="0" width="6.37"/>
    <col collapsed="false" customWidth="true" hidden="false" outlineLevel="0" max="50" min="50" style="0" width="8.38"/>
    <col collapsed="false" customWidth="true" hidden="false" outlineLevel="0" max="51" min="51" style="0" width="6.37"/>
    <col collapsed="false" customWidth="true" hidden="false" outlineLevel="0" max="52" min="52" style="0" width="8.38"/>
    <col collapsed="false" customWidth="true" hidden="false" outlineLevel="0" max="53" min="53" style="0" width="6.37"/>
  </cols>
  <sheetData>
    <row r="1" customFormat="false" ht="16.5" hidden="false" customHeight="true" outlineLevel="0" collapsed="false">
      <c r="A1" s="384" t="s">
        <v>429</v>
      </c>
      <c r="B1" s="18" t="s">
        <v>430</v>
      </c>
      <c r="C1" s="18" t="s">
        <v>431</v>
      </c>
      <c r="D1" s="18" t="s">
        <v>432</v>
      </c>
      <c r="E1" s="18" t="s">
        <v>433</v>
      </c>
      <c r="F1" s="18" t="s">
        <v>434</v>
      </c>
      <c r="G1" s="18" t="s">
        <v>435</v>
      </c>
      <c r="H1" s="18" t="s">
        <v>436</v>
      </c>
      <c r="I1" s="18" t="s">
        <v>0</v>
      </c>
      <c r="J1" s="18" t="s">
        <v>437</v>
      </c>
      <c r="K1" s="18" t="s">
        <v>438</v>
      </c>
      <c r="L1" s="19" t="s">
        <v>439</v>
      </c>
      <c r="M1" s="361" t="s">
        <v>4882</v>
      </c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3" t="s">
        <v>4883</v>
      </c>
      <c r="AD1" s="363"/>
      <c r="AE1" s="363"/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85" t="s">
        <v>451</v>
      </c>
      <c r="AT1" s="24" t="s">
        <v>4884</v>
      </c>
      <c r="AU1" s="24"/>
      <c r="AV1" s="24" t="s">
        <v>4885</v>
      </c>
      <c r="AW1" s="24"/>
      <c r="AX1" s="24" t="s">
        <v>4904</v>
      </c>
      <c r="AY1" s="24"/>
      <c r="AZ1" s="24" t="s">
        <v>4905</v>
      </c>
      <c r="BA1" s="24"/>
    </row>
    <row r="2" customFormat="false" ht="63" hidden="false" customHeight="true" outlineLevel="0" collapsed="false">
      <c r="A2" s="384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386" t="s">
        <v>4886</v>
      </c>
      <c r="N2" s="387" t="s">
        <v>4906</v>
      </c>
      <c r="O2" s="367" t="s">
        <v>4907</v>
      </c>
      <c r="P2" s="367" t="s">
        <v>4908</v>
      </c>
      <c r="Q2" s="367" t="s">
        <v>4909</v>
      </c>
      <c r="R2" s="367" t="s">
        <v>4888</v>
      </c>
      <c r="S2" s="367" t="s">
        <v>4889</v>
      </c>
      <c r="T2" s="367" t="s">
        <v>4910</v>
      </c>
      <c r="U2" s="367" t="s">
        <v>4911</v>
      </c>
      <c r="V2" s="367" t="s">
        <v>4912</v>
      </c>
      <c r="W2" s="366" t="s">
        <v>4887</v>
      </c>
      <c r="X2" s="367" t="s">
        <v>4913</v>
      </c>
      <c r="Y2" s="367" t="s">
        <v>4914</v>
      </c>
      <c r="Z2" s="366" t="s">
        <v>4891</v>
      </c>
      <c r="AA2" s="388" t="s">
        <v>446</v>
      </c>
      <c r="AB2" s="368" t="s">
        <v>4892</v>
      </c>
      <c r="AC2" s="389" t="s">
        <v>4886</v>
      </c>
      <c r="AD2" s="390" t="s">
        <v>4906</v>
      </c>
      <c r="AE2" s="391" t="s">
        <v>4907</v>
      </c>
      <c r="AF2" s="391" t="s">
        <v>4908</v>
      </c>
      <c r="AG2" s="391" t="s">
        <v>4909</v>
      </c>
      <c r="AH2" s="391" t="s">
        <v>4888</v>
      </c>
      <c r="AI2" s="391" t="s">
        <v>4889</v>
      </c>
      <c r="AJ2" s="391" t="s">
        <v>4910</v>
      </c>
      <c r="AK2" s="391" t="s">
        <v>4911</v>
      </c>
      <c r="AL2" s="391" t="s">
        <v>4912</v>
      </c>
      <c r="AM2" s="392" t="s">
        <v>4887</v>
      </c>
      <c r="AN2" s="391" t="s">
        <v>4913</v>
      </c>
      <c r="AO2" s="391" t="s">
        <v>4914</v>
      </c>
      <c r="AP2" s="392" t="s">
        <v>4893</v>
      </c>
      <c r="AQ2" s="393" t="s">
        <v>449</v>
      </c>
      <c r="AR2" s="394" t="s">
        <v>4894</v>
      </c>
      <c r="AS2" s="385"/>
      <c r="AT2" s="395" t="s">
        <v>453</v>
      </c>
      <c r="AU2" s="26" t="s">
        <v>454</v>
      </c>
      <c r="AV2" s="395" t="s">
        <v>453</v>
      </c>
      <c r="AW2" s="26" t="s">
        <v>454</v>
      </c>
      <c r="AX2" s="395" t="s">
        <v>453</v>
      </c>
      <c r="AY2" s="26" t="s">
        <v>454</v>
      </c>
      <c r="AZ2" s="395" t="s">
        <v>453</v>
      </c>
      <c r="BA2" s="26" t="s">
        <v>454</v>
      </c>
    </row>
    <row r="3" customFormat="false" ht="16.5" hidden="false" customHeight="true" outlineLevel="0" collapsed="false">
      <c r="A3" s="396" t="s">
        <v>4915</v>
      </c>
      <c r="B3" s="27" t="s">
        <v>455</v>
      </c>
      <c r="C3" s="31" t="n">
        <v>1</v>
      </c>
      <c r="D3" s="27" t="n">
        <v>188</v>
      </c>
      <c r="E3" s="28" t="s">
        <v>4867</v>
      </c>
      <c r="F3" s="30" t="s">
        <v>4868</v>
      </c>
      <c r="G3" s="31" t="s">
        <v>4869</v>
      </c>
      <c r="H3" s="31" t="s">
        <v>4870</v>
      </c>
      <c r="I3" s="31" t="s">
        <v>291</v>
      </c>
      <c r="J3" s="28" t="s">
        <v>460</v>
      </c>
      <c r="K3" s="80" t="s">
        <v>4871</v>
      </c>
      <c r="L3" s="397" t="n">
        <v>45772</v>
      </c>
      <c r="M3" s="41"/>
      <c r="N3" s="398" t="n">
        <v>105</v>
      </c>
      <c r="O3" s="31" t="n">
        <f aca="false">N3-M3</f>
        <v>105</v>
      </c>
      <c r="P3" s="31" t="n">
        <f aca="false">ROUND(O3*0.97,2)</f>
        <v>101.85</v>
      </c>
      <c r="Q3" s="31" t="n">
        <v>370</v>
      </c>
      <c r="R3" s="31" t="n">
        <f aca="false">Q3-M3</f>
        <v>370</v>
      </c>
      <c r="S3" s="31" t="n">
        <f aca="false">ROUND(R3*0.97,2)</f>
        <v>358.9</v>
      </c>
      <c r="T3" s="31" t="n">
        <v>450</v>
      </c>
      <c r="U3" s="31" t="n">
        <f aca="false">T3-Q3</f>
        <v>80</v>
      </c>
      <c r="V3" s="31" t="n">
        <f aca="false">ROUND(U3*0.97,0)</f>
        <v>78</v>
      </c>
      <c r="W3" s="31" t="n">
        <v>546</v>
      </c>
      <c r="X3" s="31" t="n">
        <f aca="false">W3-T3</f>
        <v>96</v>
      </c>
      <c r="Y3" s="31" t="n">
        <f aca="false">ROUND(X3*0.97,0)</f>
        <v>93</v>
      </c>
      <c r="Z3" s="31" t="n">
        <f aca="false">合約與計費!$D$4</f>
        <v>0.296</v>
      </c>
      <c r="AA3" s="399" t="n">
        <f aca="false">ROUND(Y3*Z3,0)</f>
        <v>28</v>
      </c>
      <c r="AB3" s="377"/>
      <c r="AC3" s="41"/>
      <c r="AD3" s="398" t="n">
        <v>59</v>
      </c>
      <c r="AE3" s="31" t="n">
        <f aca="false">AD3-AC3</f>
        <v>59</v>
      </c>
      <c r="AF3" s="31" t="n">
        <f aca="false">ROUND(AE3*0.97,2)</f>
        <v>57.23</v>
      </c>
      <c r="AG3" s="31" t="n">
        <v>100</v>
      </c>
      <c r="AH3" s="31" t="n">
        <f aca="false">AG3-AC3</f>
        <v>100</v>
      </c>
      <c r="AI3" s="31" t="n">
        <f aca="false">ROUND(AH3*0.97,2)</f>
        <v>97</v>
      </c>
      <c r="AJ3" s="31" t="n">
        <v>122</v>
      </c>
      <c r="AK3" s="31" t="n">
        <f aca="false">AJ3-AG3</f>
        <v>22</v>
      </c>
      <c r="AL3" s="31" t="n">
        <f aca="false">ROUND(AK3*0.97,0)</f>
        <v>21</v>
      </c>
      <c r="AM3" s="31" t="n">
        <v>222</v>
      </c>
      <c r="AN3" s="31" t="n">
        <f aca="false">AM3-AJ3</f>
        <v>100</v>
      </c>
      <c r="AO3" s="31" t="n">
        <f aca="false">ROUND(AN3*0.97,0)</f>
        <v>97</v>
      </c>
      <c r="AP3" s="31" t="n">
        <f aca="false">合約與計費!$E$4</f>
        <v>2.8</v>
      </c>
      <c r="AQ3" s="31" t="n">
        <f aca="false">ROUND(AO3*AP3,0)</f>
        <v>272</v>
      </c>
      <c r="AR3" s="400"/>
      <c r="AS3" s="401"/>
      <c r="AT3" s="42"/>
      <c r="AU3" s="43" t="n">
        <f aca="false">ROUND(AT3*0.97,2)</f>
        <v>0</v>
      </c>
      <c r="AV3" s="42"/>
      <c r="AW3" s="43"/>
      <c r="AX3" s="42"/>
      <c r="AY3" s="43"/>
      <c r="AZ3" s="42"/>
      <c r="BA3" s="43"/>
    </row>
    <row r="4" customFormat="false" ht="16.5" hidden="false" customHeight="true" outlineLevel="0" collapsed="false">
      <c r="A4" s="402"/>
      <c r="B4" s="403"/>
      <c r="C4" s="404"/>
      <c r="D4" s="403"/>
      <c r="E4" s="404"/>
      <c r="F4" s="405"/>
      <c r="G4" s="404"/>
      <c r="H4" s="155"/>
      <c r="I4" s="404"/>
      <c r="J4" s="404"/>
      <c r="K4" s="406"/>
      <c r="L4" s="407"/>
      <c r="M4" s="408"/>
      <c r="N4" s="409"/>
      <c r="O4" s="155"/>
      <c r="P4" s="404"/>
      <c r="Q4" s="404"/>
      <c r="R4" s="404" t="n">
        <f aca="false">Q3-N3-R3</f>
        <v>-105</v>
      </c>
      <c r="S4" s="404"/>
      <c r="T4" s="404"/>
      <c r="U4" s="404" t="n">
        <f aca="false">Q3-N3-R3</f>
        <v>-105</v>
      </c>
      <c r="V4" s="404" t="n">
        <f aca="false">ROUND(U4*0.97,0)</f>
        <v>-102</v>
      </c>
      <c r="W4" s="404"/>
      <c r="X4" s="404" t="n">
        <f aca="false">Q3-N3-R3+U3</f>
        <v>-25</v>
      </c>
      <c r="Y4" s="404" t="n">
        <f aca="false">ROUND(X4*0.97,0)</f>
        <v>-24</v>
      </c>
      <c r="Z4" s="404" t="n">
        <f aca="false">合約與計費!$D$4</f>
        <v>0.296</v>
      </c>
      <c r="AA4" s="410" t="n">
        <f aca="false">ROUND(Y4*Z4,0)</f>
        <v>-7</v>
      </c>
      <c r="AB4" s="411" t="n">
        <f aca="false">SUM(AA3:AA4)</f>
        <v>21</v>
      </c>
      <c r="AC4" s="408"/>
      <c r="AD4" s="409"/>
      <c r="AE4" s="155"/>
      <c r="AF4" s="404"/>
      <c r="AG4" s="404"/>
      <c r="AH4" s="404" t="n">
        <f aca="false">AG3-AD3-AH3</f>
        <v>-59</v>
      </c>
      <c r="AI4" s="404"/>
      <c r="AJ4" s="404"/>
      <c r="AK4" s="404" t="n">
        <f aca="false">AG3-AD3-AH3+AK3</f>
        <v>-37</v>
      </c>
      <c r="AL4" s="404" t="n">
        <f aca="false">ROUND(AK4*0.97,0)</f>
        <v>-36</v>
      </c>
      <c r="AM4" s="404"/>
      <c r="AN4" s="404" t="n">
        <f aca="false">AG3-AD3-AH3+AK3</f>
        <v>-37</v>
      </c>
      <c r="AO4" s="404" t="n">
        <f aca="false">ROUND(AN4*0.97,0)</f>
        <v>-36</v>
      </c>
      <c r="AP4" s="404" t="n">
        <f aca="false">合約與計費!$E$4</f>
        <v>2.8</v>
      </c>
      <c r="AQ4" s="404" t="n">
        <f aca="false">ROUND(AO4*AP4,0)</f>
        <v>-101</v>
      </c>
      <c r="AR4" s="62" t="n">
        <f aca="false">SUM(AQ3:AQ4)</f>
        <v>171</v>
      </c>
      <c r="AS4" s="412"/>
      <c r="AT4" s="42"/>
      <c r="AU4" s="43"/>
      <c r="AV4" s="42"/>
      <c r="AW4" s="43"/>
      <c r="AX4" s="42"/>
      <c r="AY4" s="43"/>
      <c r="AZ4" s="42"/>
      <c r="BA4" s="43"/>
    </row>
    <row r="5" customFormat="false" ht="16.5" hidden="false" customHeight="true" outlineLevel="0" collapsed="false">
      <c r="A5" s="396" t="s">
        <v>4916</v>
      </c>
      <c r="B5" s="27" t="s">
        <v>455</v>
      </c>
      <c r="C5" s="31" t="n">
        <v>1</v>
      </c>
      <c r="D5" s="27" t="n">
        <v>212</v>
      </c>
      <c r="E5" s="28" t="s">
        <v>4872</v>
      </c>
      <c r="F5" s="30" t="s">
        <v>4873</v>
      </c>
      <c r="G5" s="31" t="s">
        <v>4869</v>
      </c>
      <c r="H5" s="31" t="s">
        <v>4870</v>
      </c>
      <c r="I5" s="31" t="s">
        <v>12</v>
      </c>
      <c r="J5" s="28" t="s">
        <v>464</v>
      </c>
      <c r="K5" s="80" t="s">
        <v>4874</v>
      </c>
      <c r="L5" s="397" t="n">
        <v>45769</v>
      </c>
      <c r="M5" s="41"/>
      <c r="N5" s="398" t="n">
        <v>2709</v>
      </c>
      <c r="O5" s="31" t="n">
        <f aca="false">N5-M5</f>
        <v>2709</v>
      </c>
      <c r="P5" s="31" t="n">
        <f aca="false">ROUND(O5*0.97,2)</f>
        <v>2627.73</v>
      </c>
      <c r="Q5" s="31" t="n">
        <v>3380</v>
      </c>
      <c r="R5" s="31" t="n">
        <f aca="false">Q5-M5</f>
        <v>3380</v>
      </c>
      <c r="S5" s="31" t="n">
        <f aca="false">ROUND(R5*0.97,2)</f>
        <v>3278.6</v>
      </c>
      <c r="T5" s="31" t="n">
        <v>5099</v>
      </c>
      <c r="U5" s="31" t="n">
        <f aca="false">T5-Q5</f>
        <v>1719</v>
      </c>
      <c r="V5" s="31" t="n">
        <f aca="false">ROUND(U5*0.97,0)</f>
        <v>1667</v>
      </c>
      <c r="W5" s="31" t="n">
        <v>5629</v>
      </c>
      <c r="X5" s="31" t="n">
        <f aca="false">W5-T5</f>
        <v>530</v>
      </c>
      <c r="Y5" s="31" t="n">
        <f aca="false">ROUND(X5*0.97,0)</f>
        <v>514</v>
      </c>
      <c r="Z5" s="31" t="n">
        <f aca="false">合約與計費!$D$4</f>
        <v>0.296</v>
      </c>
      <c r="AA5" s="399" t="n">
        <f aca="false">ROUND(Y5*Z5,0)</f>
        <v>152</v>
      </c>
      <c r="AB5" s="377"/>
      <c r="AC5" s="41"/>
      <c r="AD5" s="398"/>
      <c r="AE5" s="31" t="n">
        <f aca="false">AD5-AC5</f>
        <v>0</v>
      </c>
      <c r="AF5" s="31" t="n">
        <f aca="false">ROUND(AE5*0.97,2)</f>
        <v>0</v>
      </c>
      <c r="AG5" s="31"/>
      <c r="AH5" s="31" t="n">
        <f aca="false">AG5-AC5</f>
        <v>0</v>
      </c>
      <c r="AI5" s="31" t="n">
        <f aca="false">ROUND(AH5*0.97,2)</f>
        <v>0</v>
      </c>
      <c r="AJ5" s="31"/>
      <c r="AK5" s="31" t="n">
        <f aca="false">AJ5-AG5</f>
        <v>0</v>
      </c>
      <c r="AL5" s="31" t="n">
        <f aca="false">ROUND(AK5*0.97,2)</f>
        <v>0</v>
      </c>
      <c r="AM5" s="31"/>
      <c r="AN5" s="31" t="n">
        <f aca="false">AM5-AG5</f>
        <v>0</v>
      </c>
      <c r="AO5" s="31" t="n">
        <f aca="false">ROUND(AN5*0.97,2)</f>
        <v>0</v>
      </c>
      <c r="AP5" s="31" t="n">
        <f aca="false">合約與計費!$E$4</f>
        <v>2.8</v>
      </c>
      <c r="AQ5" s="31" t="n">
        <f aca="false">ROUND(AO5*AP5,0)</f>
        <v>0</v>
      </c>
      <c r="AR5" s="400"/>
      <c r="AS5" s="401"/>
      <c r="AT5" s="42" t="n">
        <v>0.0603</v>
      </c>
      <c r="AU5" s="43" t="n">
        <v>1</v>
      </c>
      <c r="AV5" s="42" t="n">
        <v>0.065</v>
      </c>
      <c r="AW5" s="43" t="n">
        <v>0.9</v>
      </c>
      <c r="AX5" s="42" t="n">
        <v>0.069</v>
      </c>
      <c r="AY5" s="43" t="n">
        <v>0.8</v>
      </c>
      <c r="AZ5" s="42" t="n">
        <v>0.07</v>
      </c>
      <c r="BA5" s="43" t="n">
        <v>0.7</v>
      </c>
    </row>
    <row r="6" customFormat="false" ht="16.5" hidden="false" customHeight="true" outlineLevel="0" collapsed="false">
      <c r="A6" s="402"/>
      <c r="B6" s="403"/>
      <c r="C6" s="404"/>
      <c r="D6" s="403"/>
      <c r="E6" s="404"/>
      <c r="F6" s="405"/>
      <c r="G6" s="404"/>
      <c r="H6" s="155"/>
      <c r="I6" s="404"/>
      <c r="J6" s="404"/>
      <c r="K6" s="406"/>
      <c r="L6" s="407"/>
      <c r="M6" s="408"/>
      <c r="N6" s="409"/>
      <c r="O6" s="155"/>
      <c r="P6" s="404"/>
      <c r="Q6" s="404"/>
      <c r="R6" s="404" t="n">
        <f aca="false">Q5-N5-R5</f>
        <v>-2709</v>
      </c>
      <c r="S6" s="404"/>
      <c r="T6" s="404"/>
      <c r="U6" s="404" t="n">
        <f aca="false">Q5-N5-R5</f>
        <v>-2709</v>
      </c>
      <c r="V6" s="404" t="n">
        <f aca="false">ROUND(U6*0.97,0)</f>
        <v>-2628</v>
      </c>
      <c r="W6" s="404"/>
      <c r="X6" s="404" t="n">
        <f aca="false">Q5-N5-R5+U5</f>
        <v>-990</v>
      </c>
      <c r="Y6" s="404" t="n">
        <f aca="false">ROUND(X6*0.97,0)</f>
        <v>-960</v>
      </c>
      <c r="Z6" s="404" t="n">
        <f aca="false">合約與計費!$D$4</f>
        <v>0.296</v>
      </c>
      <c r="AA6" s="410" t="n">
        <f aca="false">ROUND(Y6*Z6,0)</f>
        <v>-284</v>
      </c>
      <c r="AB6" s="411"/>
      <c r="AC6" s="408"/>
      <c r="AD6" s="409"/>
      <c r="AE6" s="155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62"/>
      <c r="AS6" s="412"/>
      <c r="AT6" s="42"/>
      <c r="AU6" s="43"/>
      <c r="AV6" s="42"/>
      <c r="AW6" s="43"/>
      <c r="AX6" s="42"/>
      <c r="AY6" s="43"/>
      <c r="AZ6" s="42"/>
      <c r="BA6" s="43"/>
    </row>
    <row r="7" customFormat="false" ht="16.5" hidden="false" customHeight="true" outlineLevel="0" collapsed="false">
      <c r="A7" s="396" t="s">
        <v>4917</v>
      </c>
      <c r="B7" s="27" t="s">
        <v>455</v>
      </c>
      <c r="C7" s="31" t="n">
        <v>1</v>
      </c>
      <c r="D7" s="27" t="n">
        <v>185</v>
      </c>
      <c r="E7" s="28" t="s">
        <v>4876</v>
      </c>
      <c r="F7" s="30" t="s">
        <v>4877</v>
      </c>
      <c r="G7" s="31" t="s">
        <v>4878</v>
      </c>
      <c r="H7" s="31" t="s">
        <v>2100</v>
      </c>
      <c r="I7" s="31" t="s">
        <v>4879</v>
      </c>
      <c r="J7" s="28" t="s">
        <v>460</v>
      </c>
      <c r="K7" s="80" t="s">
        <v>4880</v>
      </c>
      <c r="L7" s="397" t="n">
        <v>45758</v>
      </c>
      <c r="M7" s="41"/>
      <c r="N7" s="398" t="n">
        <v>291</v>
      </c>
      <c r="O7" s="31" t="n">
        <f aca="false">N7-M7</f>
        <v>291</v>
      </c>
      <c r="P7" s="31" t="n">
        <f aca="false">ROUND(O7*0.97,2)</f>
        <v>282.27</v>
      </c>
      <c r="Q7" s="31" t="n">
        <v>371</v>
      </c>
      <c r="R7" s="31" t="n">
        <f aca="false">Q7-M7</f>
        <v>371</v>
      </c>
      <c r="S7" s="31" t="n">
        <f aca="false">ROUND(R7*0.97,2)</f>
        <v>359.87</v>
      </c>
      <c r="T7" s="31" t="n">
        <v>447</v>
      </c>
      <c r="U7" s="31" t="n">
        <f aca="false">T7-Q7</f>
        <v>76</v>
      </c>
      <c r="V7" s="31" t="n">
        <f aca="false">ROUND(U7*0.97,0)</f>
        <v>74</v>
      </c>
      <c r="W7" s="31" t="n">
        <v>515</v>
      </c>
      <c r="X7" s="31" t="n">
        <f aca="false">W7-T7</f>
        <v>68</v>
      </c>
      <c r="Y7" s="31" t="n">
        <f aca="false">ROUND(X7*0.97,0)</f>
        <v>66</v>
      </c>
      <c r="Z7" s="31" t="n">
        <f aca="false">合約與計費!$D$4</f>
        <v>0.296</v>
      </c>
      <c r="AA7" s="399" t="n">
        <f aca="false">ROUND(Y7*Z7,0)</f>
        <v>20</v>
      </c>
      <c r="AB7" s="377"/>
      <c r="AC7" s="41"/>
      <c r="AD7" s="398" t="n">
        <v>24</v>
      </c>
      <c r="AE7" s="31" t="n">
        <f aca="false">AD7-AC7</f>
        <v>24</v>
      </c>
      <c r="AF7" s="31" t="n">
        <f aca="false">ROUND(AE7*0.97,2)</f>
        <v>23.28</v>
      </c>
      <c r="AG7" s="31" t="n">
        <v>27</v>
      </c>
      <c r="AH7" s="31" t="n">
        <f aca="false">AG7-AC7</f>
        <v>27</v>
      </c>
      <c r="AI7" s="31" t="n">
        <f aca="false">ROUND(AH7*0.97,2)</f>
        <v>26.19</v>
      </c>
      <c r="AJ7" s="31" t="n">
        <v>31</v>
      </c>
      <c r="AK7" s="31" t="n">
        <f aca="false">AJ7-AG7</f>
        <v>4</v>
      </c>
      <c r="AL7" s="31" t="n">
        <f aca="false">ROUND(AK7*0.97,0)</f>
        <v>4</v>
      </c>
      <c r="AM7" s="31" t="n">
        <v>33</v>
      </c>
      <c r="AN7" s="31" t="n">
        <f aca="false">AM7-AJ7</f>
        <v>2</v>
      </c>
      <c r="AO7" s="31" t="n">
        <f aca="false">ROUND(AN7*0.97,0)</f>
        <v>2</v>
      </c>
      <c r="AP7" s="31" t="n">
        <f aca="false">合約與計費!$E$4</f>
        <v>2.8</v>
      </c>
      <c r="AQ7" s="31"/>
      <c r="AR7" s="400"/>
      <c r="AS7" s="401"/>
      <c r="AT7" s="42"/>
      <c r="AU7" s="43" t="n">
        <f aca="false">ROUND(AT7*0.97,2)</f>
        <v>0</v>
      </c>
      <c r="AV7" s="42"/>
      <c r="AW7" s="43"/>
      <c r="AX7" s="42"/>
      <c r="AY7" s="43"/>
      <c r="AZ7" s="42"/>
      <c r="BA7" s="43"/>
    </row>
    <row r="8" customFormat="false" ht="16.5" hidden="false" customHeight="true" outlineLevel="0" collapsed="false">
      <c r="A8" s="402"/>
      <c r="B8" s="403"/>
      <c r="C8" s="404"/>
      <c r="D8" s="403"/>
      <c r="E8" s="404"/>
      <c r="F8" s="405"/>
      <c r="G8" s="404"/>
      <c r="H8" s="155"/>
      <c r="I8" s="404"/>
      <c r="J8" s="404"/>
      <c r="K8" s="406"/>
      <c r="L8" s="407"/>
      <c r="M8" s="408"/>
      <c r="N8" s="409"/>
      <c r="O8" s="155"/>
      <c r="P8" s="404"/>
      <c r="Q8" s="404"/>
      <c r="R8" s="404" t="n">
        <f aca="false">Q7-N7-R7</f>
        <v>-291</v>
      </c>
      <c r="S8" s="404"/>
      <c r="T8" s="404"/>
      <c r="U8" s="404" t="n">
        <f aca="false">Q7-N7-R7</f>
        <v>-291</v>
      </c>
      <c r="V8" s="404" t="n">
        <f aca="false">ROUND(U8*0.97,0)</f>
        <v>-282</v>
      </c>
      <c r="W8" s="404"/>
      <c r="X8" s="404" t="n">
        <f aca="false">Q7-N7-R7+U7</f>
        <v>-215</v>
      </c>
      <c r="Y8" s="404" t="n">
        <f aca="false">ROUND(X8*0.97,0)</f>
        <v>-209</v>
      </c>
      <c r="Z8" s="404" t="n">
        <f aca="false">合約與計費!$D$4</f>
        <v>0.296</v>
      </c>
      <c r="AA8" s="410" t="n">
        <f aca="false">ROUND(Y8*Z8,0)</f>
        <v>-62</v>
      </c>
      <c r="AB8" s="411"/>
      <c r="AC8" s="408"/>
      <c r="AD8" s="409"/>
      <c r="AE8" s="155"/>
      <c r="AF8" s="404"/>
      <c r="AG8" s="404"/>
      <c r="AH8" s="404" t="n">
        <f aca="false">AG7-AD7-AH7</f>
        <v>-24</v>
      </c>
      <c r="AI8" s="404"/>
      <c r="AJ8" s="404"/>
      <c r="AK8" s="404" t="n">
        <f aca="false">AG7-AD7-AH7+AK7</f>
        <v>-20</v>
      </c>
      <c r="AL8" s="404" t="n">
        <f aca="false">ROUND(AK8*0.97,0)</f>
        <v>-19</v>
      </c>
      <c r="AM8" s="404"/>
      <c r="AN8" s="404" t="n">
        <f aca="false">AG7-AD7-AH7+AK7+AN7</f>
        <v>-18</v>
      </c>
      <c r="AO8" s="404" t="n">
        <f aca="false">ROUND(AN8*0.97,0)</f>
        <v>-17</v>
      </c>
      <c r="AP8" s="404" t="n">
        <f aca="false">合約與計費!$E$4</f>
        <v>2.8</v>
      </c>
      <c r="AQ8" s="404"/>
      <c r="AR8" s="62"/>
      <c r="AS8" s="412"/>
      <c r="AT8" s="42"/>
      <c r="AU8" s="43"/>
      <c r="AV8" s="42"/>
      <c r="AW8" s="43"/>
      <c r="AX8" s="42"/>
      <c r="AY8" s="43"/>
      <c r="AZ8" s="42"/>
      <c r="BA8" s="43"/>
    </row>
    <row r="9" customFormat="false" ht="17.25" hidden="false" customHeight="false" outlineLevel="0" collapsed="false">
      <c r="C9" s="351" t="n">
        <f aca="false">COUNT(C3:C7)</f>
        <v>3</v>
      </c>
      <c r="O9" s="342" t="n">
        <f aca="false">SUM(O3:O8)</f>
        <v>3105</v>
      </c>
      <c r="P9" s="342" t="n">
        <f aca="false">SUM(P3:P8)</f>
        <v>3011.85</v>
      </c>
      <c r="R9" s="342" t="n">
        <f aca="false">SUM(R3:R8)</f>
        <v>1016</v>
      </c>
      <c r="S9" s="342" t="n">
        <f aca="false">SUM(S3:S8)</f>
        <v>3997.37</v>
      </c>
      <c r="T9" s="342"/>
      <c r="U9" s="342" t="n">
        <f aca="false">SUM(U3:U8)</f>
        <v>-1230</v>
      </c>
      <c r="V9" s="342" t="n">
        <f aca="false">SUM(V3:V8)</f>
        <v>-1193</v>
      </c>
      <c r="W9" s="342"/>
      <c r="X9" s="342" t="n">
        <f aca="false">SUM(X3:X8)</f>
        <v>-536</v>
      </c>
      <c r="Y9" s="342" t="n">
        <f aca="false">SUM(Y3:Y8)</f>
        <v>-520</v>
      </c>
      <c r="AA9" s="413" t="n">
        <f aca="false">SUM(AA3:AA7)</f>
        <v>-91</v>
      </c>
      <c r="AB9" s="413"/>
      <c r="AE9" s="342" t="n">
        <f aca="false">SUM(AE3:AE7)</f>
        <v>83</v>
      </c>
      <c r="AF9" s="342" t="n">
        <f aca="false">SUM(AF3:AF7)</f>
        <v>80.51</v>
      </c>
      <c r="AH9" s="351" t="n">
        <f aca="false">SUM(AH3:AH7)</f>
        <v>68</v>
      </c>
      <c r="AI9" s="351" t="n">
        <f aca="false">SUM(AI3:AI7)</f>
        <v>123.19</v>
      </c>
      <c r="AK9" s="351" t="n">
        <f aca="false">SUM(AK3:AK8)</f>
        <v>-31</v>
      </c>
      <c r="AL9" s="351" t="n">
        <f aca="false">SUM(AL3:AL8)</f>
        <v>-30</v>
      </c>
      <c r="AN9" s="351" t="n">
        <f aca="false">SUM(AN3:AN8)</f>
        <v>47</v>
      </c>
      <c r="AO9" s="351" t="n">
        <f aca="false">SUM(AO3:AO8)</f>
        <v>46</v>
      </c>
      <c r="AQ9" s="414" t="n">
        <f aca="false">SUM(AQ3:AQ8)</f>
        <v>171</v>
      </c>
      <c r="AR9" s="413" t="n">
        <f aca="false">SUM(AR3:AR8)</f>
        <v>171</v>
      </c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AB1"/>
    <mergeCell ref="AC1:AR1"/>
    <mergeCell ref="AS1:AS2"/>
    <mergeCell ref="AT1:AU1"/>
    <mergeCell ref="AV1:AW1"/>
    <mergeCell ref="AX1:AY1"/>
    <mergeCell ref="AZ1:BA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1328125" defaultRowHeight="16.5" zeroHeight="false" outlineLevelRow="0" outlineLevelCol="0"/>
  <cols>
    <col collapsed="false" customWidth="true" hidden="false" outlineLevel="0" max="2" min="2" style="0" width="24.62"/>
    <col collapsed="false" customWidth="true" hidden="false" outlineLevel="0" max="3" min="3" style="0" width="8.5"/>
    <col collapsed="false" customWidth="true" hidden="false" outlineLevel="0" max="5" min="4" style="0" width="12.63"/>
    <col collapsed="false" customWidth="true" hidden="false" outlineLevel="0" max="6" min="6" style="0" width="6.89"/>
    <col collapsed="false" customWidth="true" hidden="false" outlineLevel="0" max="7" min="7" style="0" width="24.62"/>
    <col collapsed="false" customWidth="true" hidden="false" outlineLevel="0" max="8" min="8" style="0" width="8.86"/>
    <col collapsed="false" customWidth="true" hidden="false" outlineLevel="0" max="9" min="9" style="0" width="14.63"/>
    <col collapsed="false" customWidth="true" hidden="false" outlineLevel="0" max="10" min="10" style="0" width="12.63"/>
    <col collapsed="false" customWidth="true" hidden="false" outlineLevel="0" max="11" min="11" style="0" width="10.89"/>
  </cols>
  <sheetData>
    <row r="3" customFormat="false" ht="16.5" hidden="false" customHeight="false" outlineLevel="0" collapsed="false">
      <c r="B3" s="415" t="s">
        <v>4918</v>
      </c>
      <c r="C3" s="416" t="str">
        <f aca="false">門市請款明細表!D1982&amp;"家"</f>
        <v>391家</v>
      </c>
      <c r="D3" s="417" t="s">
        <v>4919</v>
      </c>
      <c r="E3" s="417" t="s">
        <v>4920</v>
      </c>
    </row>
    <row r="4" customFormat="false" ht="16.5" hidden="false" customHeight="false" outlineLevel="0" collapsed="false">
      <c r="B4" s="418" t="s">
        <v>527</v>
      </c>
      <c r="C4" s="142" t="n">
        <f aca="false">SUMIF(門市請款明細表!$J$1:$J$1981,B4,門市請款明細表!$C$1:$C$1981)</f>
        <v>502</v>
      </c>
      <c r="D4" s="142" t="n">
        <f aca="false">SUMIF(門市請款明細表!$J$3:$J$1981,B4,門市請款明細表!$P$3:$P$1981)</f>
        <v>584964</v>
      </c>
      <c r="E4" s="419"/>
    </row>
    <row r="5" customFormat="false" ht="16.5" hidden="false" customHeight="false" outlineLevel="0" collapsed="false">
      <c r="B5" s="418" t="s">
        <v>471</v>
      </c>
      <c r="C5" s="142" t="n">
        <f aca="false">SUMIF(門市請款明細表!$J$1:$J$1981,B5,門市請款明細表!$C$1:$C$1981)</f>
        <v>789</v>
      </c>
      <c r="D5" s="142" t="n">
        <f aca="false">SUMIF(門市請款明細表!$J$3:$J$1981,B5,門市請款明細表!$P$3:$P$1981)</f>
        <v>924270</v>
      </c>
      <c r="E5" s="419"/>
    </row>
    <row r="6" customFormat="false" ht="16.5" hidden="false" customHeight="false" outlineLevel="0" collapsed="false">
      <c r="B6" s="418" t="s">
        <v>464</v>
      </c>
      <c r="C6" s="142" t="n">
        <f aca="false">SUMIF(門市請款明細表!$J$1:$J$1981,B6,門市請款明細表!$C$1:$C$1981)</f>
        <v>306</v>
      </c>
      <c r="D6" s="142" t="n">
        <f aca="false">SUMIF(門市請款明細表!$J$3:$J$1981,B6,門市請款明細表!$P$3:$P$1981)</f>
        <v>116125</v>
      </c>
      <c r="E6" s="419"/>
    </row>
    <row r="7" customFormat="false" ht="17.25" hidden="false" customHeight="false" outlineLevel="0" collapsed="false">
      <c r="B7" s="418" t="s">
        <v>460</v>
      </c>
      <c r="C7" s="142" t="n">
        <f aca="false">SUMIF(門市請款明細表!$J$1:$J$1981,B7,門市請款明細表!$C$1:$C$1981)</f>
        <v>366</v>
      </c>
      <c r="D7" s="142" t="n">
        <f aca="false">SUMIF(門市請款明細表!$J$3:$J$1981,B7,門市請款明細表!$P$3:$P$1981)</f>
        <v>48510</v>
      </c>
      <c r="E7" s="420" t="n">
        <f aca="false">SUMIF(門市請款明細表!$J$3:$J$1981,B7,門市請款明細表!$X3:$X1980)</f>
        <v>21837</v>
      </c>
    </row>
    <row r="8" customFormat="false" ht="17.25" hidden="false" customHeight="false" outlineLevel="0" collapsed="false">
      <c r="B8" s="415" t="s">
        <v>4921</v>
      </c>
      <c r="C8" s="421" t="str">
        <f aca="false">SUM(C4:C7)&amp;"台"</f>
        <v>1963台</v>
      </c>
      <c r="D8" s="421" t="n">
        <f aca="false">ROUND(SUM(D4:D7),0)</f>
        <v>1673869</v>
      </c>
      <c r="E8" s="421" t="n">
        <f aca="false">ROUND(SUM(E4:E7),0)</f>
        <v>21837</v>
      </c>
    </row>
    <row r="9" customFormat="false" ht="16.5" hidden="false" customHeight="false" outlineLevel="0" collapsed="false">
      <c r="B9" s="415" t="s">
        <v>4922</v>
      </c>
      <c r="C9" s="415"/>
      <c r="D9" s="422" t="n">
        <f aca="false">門市請款明細表!S1982</f>
        <v>495461</v>
      </c>
      <c r="E9" s="422" t="n">
        <f aca="false">門市請款明細表!AA1982</f>
        <v>61139</v>
      </c>
    </row>
    <row r="10" customFormat="false" ht="17.25" hidden="false" customHeight="false" outlineLevel="0" collapsed="false">
      <c r="B10" s="415" t="s">
        <v>4923</v>
      </c>
      <c r="C10" s="415"/>
      <c r="D10" s="423" t="n">
        <f aca="false">SUM(D9:E9)</f>
        <v>556600</v>
      </c>
      <c r="E10" s="423"/>
    </row>
    <row r="11" customFormat="false" ht="17.25" hidden="false" customHeight="false" outlineLevel="0" collapsed="false">
      <c r="B11" s="424" t="s">
        <v>4924</v>
      </c>
      <c r="C11" s="424"/>
      <c r="D11" s="425" t="n">
        <f aca="false">ROUND((D10)/1.05,2)</f>
        <v>530095.24</v>
      </c>
      <c r="E11" s="425"/>
    </row>
    <row r="12" customFormat="false" ht="16.5" hidden="false" customHeight="true" outlineLevel="0" collapsed="false">
      <c r="A12" s="12"/>
      <c r="B12" s="415" t="s">
        <v>4925</v>
      </c>
      <c r="C12" s="415"/>
      <c r="D12" s="423" t="n">
        <f aca="false">D10-D11</f>
        <v>26504.76</v>
      </c>
      <c r="E12" s="423"/>
      <c r="K12" s="426"/>
      <c r="AC12" s="16"/>
      <c r="AD12" s="16"/>
      <c r="AE12" s="427"/>
    </row>
    <row r="13" customFormat="false" ht="16.5" hidden="false" customHeight="true" outlineLevel="0" collapsed="false">
      <c r="A13" s="12"/>
      <c r="B13" s="415" t="s">
        <v>4926</v>
      </c>
      <c r="C13" s="415"/>
      <c r="D13" s="423" t="n">
        <f aca="false">ROUND(D11*1.05,0)</f>
        <v>556600</v>
      </c>
      <c r="E13" s="423"/>
      <c r="AC13" s="16"/>
      <c r="AD13" s="16"/>
      <c r="AE13" s="427"/>
    </row>
    <row r="14" customFormat="false" ht="16.5" hidden="false" customHeight="true" outlineLevel="0" collapsed="false">
      <c r="A14" s="12"/>
      <c r="B14" s="12"/>
      <c r="C14" s="12"/>
      <c r="J14" s="13"/>
      <c r="AC14" s="16"/>
      <c r="AD14" s="16"/>
      <c r="AE14" s="427"/>
    </row>
    <row r="15" customFormat="false" ht="16.5" hidden="false" customHeight="true" outlineLevel="0" collapsed="false">
      <c r="A15" s="12"/>
      <c r="B15" s="12"/>
      <c r="C15" s="12"/>
      <c r="J15" s="13"/>
      <c r="AC15" s="16"/>
      <c r="AD15" s="16"/>
      <c r="AE15" s="427"/>
    </row>
    <row r="16" customFormat="false" ht="16.5" hidden="false" customHeight="true" outlineLevel="0" collapsed="false">
      <c r="A16" s="12"/>
      <c r="B16" s="12"/>
      <c r="C16" s="12"/>
      <c r="J16" s="13"/>
      <c r="AC16" s="16"/>
      <c r="AD16" s="16"/>
      <c r="AE16" s="427"/>
    </row>
    <row r="17" customFormat="false" ht="16.5" hidden="false" customHeight="true" outlineLevel="0" collapsed="false">
      <c r="A17" s="12"/>
      <c r="B17" s="12"/>
      <c r="C17" s="12"/>
      <c r="J17" s="13"/>
      <c r="AC17" s="16"/>
      <c r="AD17" s="16"/>
      <c r="AE17" s="427"/>
    </row>
    <row r="18" customFormat="false" ht="16.5" hidden="false" customHeight="true" outlineLevel="0" collapsed="false">
      <c r="A18" s="12"/>
      <c r="B18" s="12"/>
      <c r="C18" s="12"/>
      <c r="J18" s="13"/>
      <c r="AC18" s="16"/>
      <c r="AD18" s="16"/>
      <c r="AE18" s="427"/>
    </row>
    <row r="19" customFormat="false" ht="16.5" hidden="false" customHeight="true" outlineLevel="0" collapsed="false">
      <c r="A19" s="12"/>
      <c r="B19" s="12"/>
      <c r="C19" s="12"/>
      <c r="J19" s="13"/>
      <c r="AE19" s="349"/>
      <c r="AF19" s="16"/>
      <c r="AG19" s="17"/>
      <c r="AH19" s="16"/>
      <c r="AI19" s="17"/>
    </row>
    <row r="20" customFormat="false" ht="16.5" hidden="false" customHeight="true" outlineLevel="0" collapsed="false">
      <c r="A20" s="12"/>
      <c r="B20" s="12"/>
      <c r="C20" s="12"/>
      <c r="J20" s="13"/>
      <c r="AE20" s="349"/>
      <c r="AF20" s="16"/>
      <c r="AG20" s="17"/>
      <c r="AH20" s="16"/>
      <c r="AI20" s="17"/>
    </row>
    <row r="21" customFormat="false" ht="16.5" hidden="false" customHeight="true" outlineLevel="0" collapsed="false">
      <c r="A21" s="12"/>
      <c r="B21" s="12"/>
      <c r="C21" s="12"/>
      <c r="J21" s="13"/>
      <c r="AE21" s="349"/>
      <c r="AF21" s="16"/>
      <c r="AG21" s="17"/>
      <c r="AH21" s="16"/>
      <c r="AI21" s="17"/>
    </row>
    <row r="22" customFormat="false" ht="16.5" hidden="false" customHeight="true" outlineLevel="0" collapsed="false">
      <c r="A22" s="12"/>
      <c r="B22" s="12"/>
      <c r="C22" s="12"/>
      <c r="J22" s="13"/>
      <c r="AE22" s="349"/>
      <c r="AF22" s="16"/>
      <c r="AG22" s="17"/>
      <c r="AH22" s="16"/>
      <c r="AI22" s="17"/>
    </row>
    <row r="23" customFormat="false" ht="16.5" hidden="false" customHeight="true" outlineLevel="0" collapsed="false">
      <c r="A23" s="12"/>
      <c r="B23" s="12"/>
      <c r="C23" s="12"/>
      <c r="J23" s="13"/>
      <c r="AE23" s="15"/>
      <c r="AF23" s="16"/>
      <c r="AG23" s="17"/>
      <c r="AH23" s="16"/>
      <c r="AI23" s="17"/>
    </row>
  </sheetData>
  <mergeCells count="9">
    <mergeCell ref="B9:C9"/>
    <mergeCell ref="B10:C10"/>
    <mergeCell ref="D10:E10"/>
    <mergeCell ref="B11:C11"/>
    <mergeCell ref="D11:E11"/>
    <mergeCell ref="B12:C12"/>
    <mergeCell ref="D12:E12"/>
    <mergeCell ref="B13:C13"/>
    <mergeCell ref="D13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1328125" defaultRowHeight="16.5" zeroHeight="false" outlineLevelRow="0" outlineLevelCol="0"/>
  <cols>
    <col collapsed="false" customWidth="true" hidden="false" outlineLevel="0" max="1" min="1" style="0" width="7.5"/>
    <col collapsed="false" customWidth="true" hidden="true" outlineLevel="0" max="2" min="2" style="0" width="9.5"/>
    <col collapsed="false" customWidth="true" hidden="false" outlineLevel="0" max="3" min="3" style="15" width="19"/>
    <col collapsed="false" customWidth="true" hidden="false" outlineLevel="0" max="4" min="4" style="15" width="9.5"/>
    <col collapsed="false" customWidth="true" hidden="false" outlineLevel="0" max="5" min="5" style="0" width="15.25"/>
    <col collapsed="false" customWidth="true" hidden="false" outlineLevel="0" max="6" min="6" style="0" width="26.63"/>
    <col collapsed="false" customWidth="true" hidden="false" outlineLevel="0" max="7" min="7" style="0" width="20.88"/>
    <col collapsed="false" customWidth="true" hidden="false" outlineLevel="0" max="8" min="8" style="0" width="20"/>
    <col collapsed="false" customWidth="true" hidden="false" outlineLevel="0" max="9" min="9" style="0" width="6.25"/>
    <col collapsed="false" customWidth="true" hidden="false" outlineLevel="0" max="10" min="10" style="0" width="3.5"/>
    <col collapsed="false" customWidth="true" hidden="false" outlineLevel="0" max="12" min="11" style="0" width="9"/>
    <col collapsed="false" customWidth="true" hidden="false" outlineLevel="0" max="13" min="13" style="0" width="16"/>
  </cols>
  <sheetData>
    <row r="1" customFormat="false" ht="16.5" hidden="false" customHeight="false" outlineLevel="0" collapsed="false">
      <c r="A1" s="428" t="s">
        <v>4927</v>
      </c>
      <c r="B1" s="429" t="s">
        <v>4928</v>
      </c>
      <c r="C1" s="429" t="s">
        <v>0</v>
      </c>
      <c r="D1" s="429" t="s">
        <v>428</v>
      </c>
      <c r="E1" s="339" t="s">
        <v>527</v>
      </c>
      <c r="F1" s="339" t="s">
        <v>471</v>
      </c>
      <c r="G1" s="339" t="s">
        <v>464</v>
      </c>
      <c r="H1" s="339" t="s">
        <v>460</v>
      </c>
      <c r="I1" s="3"/>
      <c r="J1" s="3"/>
      <c r="K1" s="3"/>
      <c r="L1" s="3"/>
      <c r="M1" s="430"/>
      <c r="N1" s="3"/>
    </row>
    <row r="2" customFormat="false" ht="16.5" hidden="false" customHeight="false" outlineLevel="0" collapsed="false">
      <c r="A2" s="431" t="n">
        <v>1</v>
      </c>
      <c r="B2" s="139" t="s">
        <v>4929</v>
      </c>
      <c r="C2" s="141" t="s">
        <v>296</v>
      </c>
      <c r="D2" s="141" t="n">
        <f aca="false">SUMIF(門市請款明細表!$H$3:$H$1981,$C2,門市請款明細表!$J$3:$J$1981)</f>
        <v>0</v>
      </c>
      <c r="E2" s="431" t="n">
        <f aca="false">SUMIFS(門市請款明細表!$J$3:$J$1981,門市請款明細表!$H$3:$H$1981,$C2,門市請款明細表!$I$3:$I$1981,E$1)</f>
        <v>0</v>
      </c>
      <c r="F2" s="431" t="n">
        <f aca="false">SUMIFS(門市請款明細表!$J$3:$J$1981,門市請款明細表!$H$3:$H$1981,$C2,門市請款明細表!$I$3:$I$1981,F$1)</f>
        <v>0</v>
      </c>
      <c r="G2" s="431" t="n">
        <f aca="false">SUMIFS(門市請款明細表!$J$3:$J$1981,門市請款明細表!$H$3:$H$1981,$C2,門市請款明細表!$I$3:$I$1981,G$1)</f>
        <v>0</v>
      </c>
      <c r="H2" s="431" t="n">
        <f aca="false">SUMIFS(門市請款明細表!$J$3:$J$1981,門市請款明細表!$H$3:$H$1981,$C2,門市請款明細表!$I$3:$I$1981,H$1)</f>
        <v>0</v>
      </c>
      <c r="I2" s="15" t="n">
        <f aca="false">SUM(E2:H2)</f>
        <v>0</v>
      </c>
      <c r="J2" s="0" t="str">
        <f aca="false">IF(D2=I2,"●","✖")</f>
        <v>●</v>
      </c>
    </row>
    <row r="3" customFormat="false" ht="16.5" hidden="false" customHeight="false" outlineLevel="0" collapsed="false">
      <c r="A3" s="431" t="n">
        <v>2</v>
      </c>
      <c r="B3" s="139" t="s">
        <v>4929</v>
      </c>
      <c r="C3" s="141" t="s">
        <v>18</v>
      </c>
      <c r="D3" s="141" t="n">
        <f aca="false">SUMIF(門市請款明細表!$H$3:$H$1981,$C3,門市請款明細表!$J$3:$J$1981)</f>
        <v>0</v>
      </c>
      <c r="E3" s="431" t="n">
        <f aca="false">SUMIFS(門市請款明細表!$J$3:$J$1981,門市請款明細表!$H$3:$H$1981,$C3,門市請款明細表!$I$3:$I$1981,E$1)</f>
        <v>0</v>
      </c>
      <c r="F3" s="431" t="n">
        <f aca="false">SUMIFS(門市請款明細表!$J$3:$J$1981,門市請款明細表!$H$3:$H$1981,$C3,門市請款明細表!$I$3:$I$1981,F$1)</f>
        <v>0</v>
      </c>
      <c r="G3" s="431" t="n">
        <f aca="false">SUMIFS(門市請款明細表!$J$3:$J$1981,門市請款明細表!$H$3:$H$1981,$C3,門市請款明細表!$I$3:$I$1981,G$1)</f>
        <v>0</v>
      </c>
      <c r="H3" s="431" t="n">
        <f aca="false">SUMIFS(門市請款明細表!$J$3:$J$1981,門市請款明細表!$H$3:$H$1981,$C3,門市請款明細表!$I$3:$I$1981,H$1)</f>
        <v>0</v>
      </c>
      <c r="I3" s="15" t="n">
        <f aca="false">SUM(E3:H3)</f>
        <v>0</v>
      </c>
      <c r="J3" s="0" t="str">
        <f aca="false">IF(D3=I3,"●","✖")</f>
        <v>●</v>
      </c>
    </row>
    <row r="4" customFormat="false" ht="16.5" hidden="false" customHeight="false" outlineLevel="0" collapsed="false">
      <c r="A4" s="431" t="n">
        <v>3</v>
      </c>
      <c r="B4" s="139" t="s">
        <v>4929</v>
      </c>
      <c r="C4" s="141" t="s">
        <v>124</v>
      </c>
      <c r="D4" s="141" t="n">
        <f aca="false">SUMIF(門市請款明細表!$H$3:$H$1981,$C4,門市請款明細表!$J$3:$J$1981)</f>
        <v>0</v>
      </c>
      <c r="E4" s="431" t="n">
        <f aca="false">SUMIFS(門市請款明細表!$J$3:$J$1981,門市請款明細表!$H$3:$H$1981,$C4,門市請款明細表!$I$3:$I$1981,E$1)</f>
        <v>0</v>
      </c>
      <c r="F4" s="431" t="n">
        <f aca="false">SUMIFS(門市請款明細表!$J$3:$J$1981,門市請款明細表!$H$3:$H$1981,$C4,門市請款明細表!$I$3:$I$1981,F$1)</f>
        <v>0</v>
      </c>
      <c r="G4" s="431" t="n">
        <f aca="false">SUMIFS(門市請款明細表!$J$3:$J$1981,門市請款明細表!$H$3:$H$1981,$C4,門市請款明細表!$I$3:$I$1981,G$1)</f>
        <v>0</v>
      </c>
      <c r="H4" s="431" t="n">
        <f aca="false">SUMIFS(門市請款明細表!$J$3:$J$1981,門市請款明細表!$H$3:$H$1981,$C4,門市請款明細表!$I$3:$I$1981,H$1)</f>
        <v>0</v>
      </c>
      <c r="I4" s="15" t="n">
        <f aca="false">SUM(E4:H4)</f>
        <v>0</v>
      </c>
      <c r="J4" s="0" t="str">
        <f aca="false">IF(D4=I4,"●","✖")</f>
        <v>●</v>
      </c>
    </row>
    <row r="5" customFormat="false" ht="16.5" hidden="false" customHeight="false" outlineLevel="0" collapsed="false">
      <c r="A5" s="431" t="n">
        <v>4</v>
      </c>
      <c r="B5" s="139" t="s">
        <v>4930</v>
      </c>
      <c r="C5" s="141" t="s">
        <v>220</v>
      </c>
      <c r="D5" s="141" t="n">
        <f aca="false">SUMIF(門市請款明細表!$H$3:$H$1981,$C5,門市請款明細表!$J$3:$J$1981)</f>
        <v>0</v>
      </c>
      <c r="E5" s="431" t="n">
        <f aca="false">SUMIFS(門市請款明細表!$J$3:$J$1981,門市請款明細表!$H$3:$H$1981,$C5,門市請款明細表!$I$3:$I$1981,E$1)</f>
        <v>0</v>
      </c>
      <c r="F5" s="431" t="n">
        <f aca="false">SUMIFS(門市請款明細表!$J$3:$J$1981,門市請款明細表!$H$3:$H$1981,$C5,門市請款明細表!$I$3:$I$1981,F$1)</f>
        <v>0</v>
      </c>
      <c r="G5" s="431" t="n">
        <f aca="false">SUMIFS(門市請款明細表!$J$3:$J$1981,門市請款明細表!$H$3:$H$1981,$C5,門市請款明細表!$I$3:$I$1981,G$1)</f>
        <v>0</v>
      </c>
      <c r="H5" s="431" t="n">
        <f aca="false">SUMIFS(門市請款明細表!$J$3:$J$1981,門市請款明細表!$H$3:$H$1981,$C5,門市請款明細表!$I$3:$I$1981,H$1)</f>
        <v>0</v>
      </c>
      <c r="I5" s="15" t="n">
        <f aca="false">SUM(E5:H5)</f>
        <v>0</v>
      </c>
      <c r="J5" s="0" t="str">
        <f aca="false">IF(D5=I5,"●","✖")</f>
        <v>●</v>
      </c>
    </row>
    <row r="6" customFormat="false" ht="16.5" hidden="false" customHeight="false" outlineLevel="0" collapsed="false">
      <c r="A6" s="431" t="n">
        <v>5</v>
      </c>
      <c r="B6" s="139" t="s">
        <v>4929</v>
      </c>
      <c r="C6" s="141" t="s">
        <v>123</v>
      </c>
      <c r="D6" s="141" t="n">
        <f aca="false">SUMIF(門市請款明細表!$H$3:$H$1981,$C6,門市請款明細表!$J$3:$J$1981)</f>
        <v>0</v>
      </c>
      <c r="E6" s="431" t="n">
        <f aca="false">SUMIFS(門市請款明細表!$J$3:$J$1981,門市請款明細表!$H$3:$H$1981,$C6,門市請款明細表!$I$3:$I$1981,E$1)</f>
        <v>0</v>
      </c>
      <c r="F6" s="431" t="n">
        <f aca="false">SUMIFS(門市請款明細表!$J$3:$J$1981,門市請款明細表!$H$3:$H$1981,$C6,門市請款明細表!$I$3:$I$1981,F$1)</f>
        <v>0</v>
      </c>
      <c r="G6" s="431" t="n">
        <f aca="false">SUMIFS(門市請款明細表!$J$3:$J$1981,門市請款明細表!$H$3:$H$1981,$C6,門市請款明細表!$I$3:$I$1981,G$1)</f>
        <v>0</v>
      </c>
      <c r="H6" s="431" t="n">
        <f aca="false">SUMIFS(門市請款明細表!$J$3:$J$1981,門市請款明細表!$H$3:$H$1981,$C6,門市請款明細表!$I$3:$I$1981,H$1)</f>
        <v>0</v>
      </c>
      <c r="I6" s="15" t="n">
        <f aca="false">SUM(E6:H6)</f>
        <v>0</v>
      </c>
      <c r="J6" s="0" t="str">
        <f aca="false">IF(D6=I6,"●","✖")</f>
        <v>●</v>
      </c>
    </row>
    <row r="7" customFormat="false" ht="16.5" hidden="false" customHeight="false" outlineLevel="0" collapsed="false">
      <c r="A7" s="431" t="n">
        <v>6</v>
      </c>
      <c r="B7" s="139" t="s">
        <v>4929</v>
      </c>
      <c r="C7" s="141" t="s">
        <v>235</v>
      </c>
      <c r="D7" s="141" t="n">
        <f aca="false">SUMIF(門市請款明細表!$H$3:$H$1981,$C7,門市請款明細表!$J$3:$J$1981)</f>
        <v>0</v>
      </c>
      <c r="E7" s="431" t="n">
        <f aca="false">SUMIFS(門市請款明細表!$J$3:$J$1981,門市請款明細表!$H$3:$H$1981,$C7,門市請款明細表!$I$3:$I$1981,E$1)</f>
        <v>0</v>
      </c>
      <c r="F7" s="431" t="n">
        <f aca="false">SUMIFS(門市請款明細表!$J$3:$J$1981,門市請款明細表!$H$3:$H$1981,$C7,門市請款明細表!$I$3:$I$1981,F$1)</f>
        <v>0</v>
      </c>
      <c r="G7" s="431" t="n">
        <f aca="false">SUMIFS(門市請款明細表!$J$3:$J$1981,門市請款明細表!$H$3:$H$1981,$C7,門市請款明細表!$I$3:$I$1981,G$1)</f>
        <v>0</v>
      </c>
      <c r="H7" s="431" t="n">
        <f aca="false">SUMIFS(門市請款明細表!$J$3:$J$1981,門市請款明細表!$H$3:$H$1981,$C7,門市請款明細表!$I$3:$I$1981,H$1)</f>
        <v>0</v>
      </c>
      <c r="I7" s="15" t="n">
        <f aca="false">SUM(E7:H7)</f>
        <v>0</v>
      </c>
      <c r="J7" s="0" t="str">
        <f aca="false">IF(D7=I7,"●","✖")</f>
        <v>●</v>
      </c>
    </row>
    <row r="8" customFormat="false" ht="16.5" hidden="false" customHeight="false" outlineLevel="0" collapsed="false">
      <c r="A8" s="431" t="n">
        <v>7</v>
      </c>
      <c r="B8" s="139" t="s">
        <v>4929</v>
      </c>
      <c r="C8" s="141" t="s">
        <v>36</v>
      </c>
      <c r="D8" s="141" t="n">
        <f aca="false">SUMIF(門市請款明細表!$H$3:$H$1981,$C8,門市請款明細表!$J$3:$J$1981)</f>
        <v>0</v>
      </c>
      <c r="E8" s="431" t="n">
        <f aca="false">SUMIFS(門市請款明細表!$J$3:$J$1981,門市請款明細表!$H$3:$H$1981,$C8,門市請款明細表!$I$3:$I$1981,E$1)</f>
        <v>0</v>
      </c>
      <c r="F8" s="431" t="n">
        <f aca="false">SUMIFS(門市請款明細表!$J$3:$J$1981,門市請款明細表!$H$3:$H$1981,$C8,門市請款明細表!$I$3:$I$1981,F$1)</f>
        <v>0</v>
      </c>
      <c r="G8" s="431" t="n">
        <f aca="false">SUMIFS(門市請款明細表!$J$3:$J$1981,門市請款明細表!$H$3:$H$1981,$C8,門市請款明細表!$I$3:$I$1981,G$1)</f>
        <v>0</v>
      </c>
      <c r="H8" s="431" t="n">
        <f aca="false">SUMIFS(門市請款明細表!$J$3:$J$1981,門市請款明細表!$H$3:$H$1981,$C8,門市請款明細表!$I$3:$I$1981,H$1)</f>
        <v>0</v>
      </c>
      <c r="I8" s="15" t="n">
        <f aca="false">SUM(E8:H8)</f>
        <v>0</v>
      </c>
      <c r="J8" s="0" t="str">
        <f aca="false">IF(D8=I8,"●","✖")</f>
        <v>●</v>
      </c>
    </row>
    <row r="9" customFormat="false" ht="16.5" hidden="false" customHeight="false" outlineLevel="0" collapsed="false">
      <c r="A9" s="431" t="n">
        <v>8</v>
      </c>
      <c r="B9" s="139" t="s">
        <v>4929</v>
      </c>
      <c r="C9" s="141" t="s">
        <v>117</v>
      </c>
      <c r="D9" s="141" t="n">
        <f aca="false">SUMIF(門市請款明細表!$H$3:$H$1981,$C9,門市請款明細表!$J$3:$J$1981)</f>
        <v>0</v>
      </c>
      <c r="E9" s="431" t="n">
        <f aca="false">SUMIFS(門市請款明細表!$J$3:$J$1981,門市請款明細表!$H$3:$H$1981,$C9,門市請款明細表!$I$3:$I$1981,E$1)</f>
        <v>0</v>
      </c>
      <c r="F9" s="431" t="n">
        <f aca="false">SUMIFS(門市請款明細表!$J$3:$J$1981,門市請款明細表!$H$3:$H$1981,$C9,門市請款明細表!$I$3:$I$1981,F$1)</f>
        <v>0</v>
      </c>
      <c r="G9" s="431" t="n">
        <f aca="false">SUMIFS(門市請款明細表!$J$3:$J$1981,門市請款明細表!$H$3:$H$1981,$C9,門市請款明細表!$I$3:$I$1981,G$1)</f>
        <v>0</v>
      </c>
      <c r="H9" s="431" t="n">
        <f aca="false">SUMIFS(門市請款明細表!$J$3:$J$1981,門市請款明細表!$H$3:$H$1981,$C9,門市請款明細表!$I$3:$I$1981,H$1)</f>
        <v>0</v>
      </c>
      <c r="I9" s="15" t="n">
        <f aca="false">SUM(E9:H9)</f>
        <v>0</v>
      </c>
      <c r="J9" s="0" t="str">
        <f aca="false">IF(D9=I9,"●","✖")</f>
        <v>●</v>
      </c>
    </row>
    <row r="10" customFormat="false" ht="16.5" hidden="false" customHeight="false" outlineLevel="0" collapsed="false">
      <c r="A10" s="431" t="n">
        <v>9</v>
      </c>
      <c r="B10" s="139" t="s">
        <v>4929</v>
      </c>
      <c r="C10" s="141" t="s">
        <v>118</v>
      </c>
      <c r="D10" s="141" t="n">
        <f aca="false">SUMIF(門市請款明細表!$H$3:$H$1981,$C10,門市請款明細表!$J$3:$J$1981)</f>
        <v>0</v>
      </c>
      <c r="E10" s="431" t="n">
        <f aca="false">SUMIFS(門市請款明細表!$J$3:$J$1981,門市請款明細表!$H$3:$H$1981,$C10,門市請款明細表!$I$3:$I$1981,E$1)</f>
        <v>0</v>
      </c>
      <c r="F10" s="431" t="n">
        <f aca="false">SUMIFS(門市請款明細表!$J$3:$J$1981,門市請款明細表!$H$3:$H$1981,$C10,門市請款明細表!$I$3:$I$1981,F$1)</f>
        <v>0</v>
      </c>
      <c r="G10" s="431" t="n">
        <f aca="false">SUMIFS(門市請款明細表!$J$3:$J$1981,門市請款明細表!$H$3:$H$1981,$C10,門市請款明細表!$I$3:$I$1981,G$1)</f>
        <v>0</v>
      </c>
      <c r="H10" s="431" t="n">
        <f aca="false">SUMIFS(門市請款明細表!$J$3:$J$1981,門市請款明細表!$H$3:$H$1981,$C10,門市請款明細表!$I$3:$I$1981,H$1)</f>
        <v>0</v>
      </c>
      <c r="I10" s="15" t="n">
        <f aca="false">SUM(E10:H10)</f>
        <v>0</v>
      </c>
      <c r="J10" s="0" t="str">
        <f aca="false">IF(D10=I10,"●","✖")</f>
        <v>●</v>
      </c>
    </row>
    <row r="11" customFormat="false" ht="16.5" hidden="false" customHeight="false" outlineLevel="0" collapsed="false">
      <c r="A11" s="431" t="n">
        <v>10</v>
      </c>
      <c r="B11" s="139" t="s">
        <v>4929</v>
      </c>
      <c r="C11" s="141" t="s">
        <v>128</v>
      </c>
      <c r="D11" s="141" t="n">
        <f aca="false">SUMIF(門市請款明細表!$H$3:$H$1981,$C11,門市請款明細表!$J$3:$J$1981)</f>
        <v>0</v>
      </c>
      <c r="E11" s="431" t="n">
        <f aca="false">SUMIFS(門市請款明細表!$J$3:$J$1981,門市請款明細表!$H$3:$H$1981,$C11,門市請款明細表!$I$3:$I$1981,E$1)</f>
        <v>0</v>
      </c>
      <c r="F11" s="431" t="n">
        <f aca="false">SUMIFS(門市請款明細表!$J$3:$J$1981,門市請款明細表!$H$3:$H$1981,$C11,門市請款明細表!$I$3:$I$1981,F$1)</f>
        <v>0</v>
      </c>
      <c r="G11" s="431" t="n">
        <f aca="false">SUMIFS(門市請款明細表!$J$3:$J$1981,門市請款明細表!$H$3:$H$1981,$C11,門市請款明細表!$I$3:$I$1981,G$1)</f>
        <v>0</v>
      </c>
      <c r="H11" s="431" t="n">
        <f aca="false">SUMIFS(門市請款明細表!$J$3:$J$1981,門市請款明細表!$H$3:$H$1981,$C11,門市請款明細表!$I$3:$I$1981,H$1)</f>
        <v>0</v>
      </c>
      <c r="I11" s="15" t="n">
        <f aca="false">SUM(E11:H11)</f>
        <v>0</v>
      </c>
      <c r="J11" s="0" t="str">
        <f aca="false">IF(D11=I11,"●","✖")</f>
        <v>●</v>
      </c>
    </row>
    <row r="12" customFormat="false" ht="16.5" hidden="false" customHeight="false" outlineLevel="0" collapsed="false">
      <c r="A12" s="431" t="n">
        <v>11</v>
      </c>
      <c r="B12" s="139" t="s">
        <v>4929</v>
      </c>
      <c r="C12" s="141" t="s">
        <v>325</v>
      </c>
      <c r="D12" s="141" t="n">
        <f aca="false">SUMIF(門市請款明細表!$H$3:$H$1981,$C12,門市請款明細表!$J$3:$J$1981)</f>
        <v>0</v>
      </c>
      <c r="E12" s="431" t="n">
        <f aca="false">SUMIFS(門市請款明細表!$J$3:$J$1981,門市請款明細表!$H$3:$H$1981,$C12,門市請款明細表!$I$3:$I$1981,E$1)</f>
        <v>0</v>
      </c>
      <c r="F12" s="431" t="n">
        <f aca="false">SUMIFS(門市請款明細表!$J$3:$J$1981,門市請款明細表!$H$3:$H$1981,$C12,門市請款明細表!$I$3:$I$1981,F$1)</f>
        <v>0</v>
      </c>
      <c r="G12" s="431" t="n">
        <f aca="false">SUMIFS(門市請款明細表!$J$3:$J$1981,門市請款明細表!$H$3:$H$1981,$C12,門市請款明細表!$I$3:$I$1981,G$1)</f>
        <v>0</v>
      </c>
      <c r="H12" s="431" t="n">
        <f aca="false">SUMIFS(門市請款明細表!$J$3:$J$1981,門市請款明細表!$H$3:$H$1981,$C12,門市請款明細表!$I$3:$I$1981,H$1)</f>
        <v>0</v>
      </c>
      <c r="I12" s="15" t="n">
        <f aca="false">SUM(E12:H12)</f>
        <v>0</v>
      </c>
      <c r="J12" s="0" t="str">
        <f aca="false">IF(D12=I12,"●","✖")</f>
        <v>●</v>
      </c>
    </row>
    <row r="13" customFormat="false" ht="16.5" hidden="false" customHeight="false" outlineLevel="0" collapsed="false">
      <c r="A13" s="431" t="n">
        <v>12</v>
      </c>
      <c r="B13" s="139" t="s">
        <v>4929</v>
      </c>
      <c r="C13" s="141" t="s">
        <v>344</v>
      </c>
      <c r="D13" s="141" t="n">
        <f aca="false">SUMIF(門市請款明細表!$H$3:$H$1981,$C13,門市請款明細表!$J$3:$J$1981)</f>
        <v>0</v>
      </c>
      <c r="E13" s="431" t="n">
        <f aca="false">SUMIFS(門市請款明細表!$J$3:$J$1981,門市請款明細表!$H$3:$H$1981,$C13,門市請款明細表!$I$3:$I$1981,E$1)</f>
        <v>0</v>
      </c>
      <c r="F13" s="431" t="n">
        <f aca="false">SUMIFS(門市請款明細表!$J$3:$J$1981,門市請款明細表!$H$3:$H$1981,$C13,門市請款明細表!$I$3:$I$1981,F$1)</f>
        <v>0</v>
      </c>
      <c r="G13" s="431" t="n">
        <f aca="false">SUMIFS(門市請款明細表!$J$3:$J$1981,門市請款明細表!$H$3:$H$1981,$C13,門市請款明細表!$I$3:$I$1981,G$1)</f>
        <v>0</v>
      </c>
      <c r="H13" s="431" t="n">
        <f aca="false">SUMIFS(門市請款明細表!$J$3:$J$1981,門市請款明細表!$H$3:$H$1981,$C13,門市請款明細表!$I$3:$I$1981,H$1)</f>
        <v>0</v>
      </c>
      <c r="I13" s="15" t="n">
        <f aca="false">SUM(E13:H13)</f>
        <v>0</v>
      </c>
      <c r="J13" s="0" t="str">
        <f aca="false">IF(D13=I13,"●","✖")</f>
        <v>●</v>
      </c>
    </row>
    <row r="14" customFormat="false" ht="16.5" hidden="false" customHeight="false" outlineLevel="0" collapsed="false">
      <c r="A14" s="431" t="n">
        <v>13</v>
      </c>
      <c r="B14" s="139" t="s">
        <v>4929</v>
      </c>
      <c r="C14" s="141" t="s">
        <v>31</v>
      </c>
      <c r="D14" s="141" t="n">
        <f aca="false">SUMIF(門市請款明細表!$H$3:$H$1981,$C14,門市請款明細表!$J$3:$J$1981)</f>
        <v>0</v>
      </c>
      <c r="E14" s="431" t="n">
        <f aca="false">SUMIFS(門市請款明細表!$J$3:$J$1981,門市請款明細表!$H$3:$H$1981,$C14,門市請款明細表!$I$3:$I$1981,E$1)</f>
        <v>0</v>
      </c>
      <c r="F14" s="431" t="n">
        <f aca="false">SUMIFS(門市請款明細表!$J$3:$J$1981,門市請款明細表!$H$3:$H$1981,$C14,門市請款明細表!$I$3:$I$1981,F$1)</f>
        <v>0</v>
      </c>
      <c r="G14" s="431" t="n">
        <f aca="false">SUMIFS(門市請款明細表!$J$3:$J$1981,門市請款明細表!$H$3:$H$1981,$C14,門市請款明細表!$I$3:$I$1981,G$1)</f>
        <v>0</v>
      </c>
      <c r="H14" s="431" t="n">
        <f aca="false">SUMIFS(門市請款明細表!$J$3:$J$1981,門市請款明細表!$H$3:$H$1981,$C14,門市請款明細表!$I$3:$I$1981,H$1)</f>
        <v>0</v>
      </c>
      <c r="I14" s="15" t="n">
        <f aca="false">SUM(E14:H14)</f>
        <v>0</v>
      </c>
      <c r="J14" s="0" t="str">
        <f aca="false">IF(D14=I14,"●","✖")</f>
        <v>●</v>
      </c>
    </row>
    <row r="15" customFormat="false" ht="16.5" hidden="false" customHeight="false" outlineLevel="0" collapsed="false">
      <c r="A15" s="431" t="n">
        <v>14</v>
      </c>
      <c r="B15" s="139" t="s">
        <v>4929</v>
      </c>
      <c r="C15" s="141" t="s">
        <v>115</v>
      </c>
      <c r="D15" s="141" t="n">
        <f aca="false">SUMIF(門市請款明細表!$H$3:$H$1981,$C15,門市請款明細表!$J$3:$J$1981)</f>
        <v>0</v>
      </c>
      <c r="E15" s="431" t="n">
        <f aca="false">SUMIFS(門市請款明細表!$J$3:$J$1981,門市請款明細表!$H$3:$H$1981,$C15,門市請款明細表!$I$3:$I$1981,E$1)</f>
        <v>0</v>
      </c>
      <c r="F15" s="431" t="n">
        <f aca="false">SUMIFS(門市請款明細表!$J$3:$J$1981,門市請款明細表!$H$3:$H$1981,$C15,門市請款明細表!$I$3:$I$1981,F$1)</f>
        <v>0</v>
      </c>
      <c r="G15" s="431" t="n">
        <f aca="false">SUMIFS(門市請款明細表!$J$3:$J$1981,門市請款明細表!$H$3:$H$1981,$C15,門市請款明細表!$I$3:$I$1981,G$1)</f>
        <v>0</v>
      </c>
      <c r="H15" s="431" t="n">
        <f aca="false">SUMIFS(門市請款明細表!$J$3:$J$1981,門市請款明細表!$H$3:$H$1981,$C15,門市請款明細表!$I$3:$I$1981,H$1)</f>
        <v>0</v>
      </c>
      <c r="I15" s="15" t="n">
        <f aca="false">SUM(E15:H15)</f>
        <v>0</v>
      </c>
      <c r="J15" s="0" t="str">
        <f aca="false">IF(D15=I15,"●","✖")</f>
        <v>●</v>
      </c>
    </row>
    <row r="16" customFormat="false" ht="16.5" hidden="false" customHeight="false" outlineLevel="0" collapsed="false">
      <c r="A16" s="431" t="n">
        <v>15</v>
      </c>
      <c r="B16" s="139" t="s">
        <v>4929</v>
      </c>
      <c r="C16" s="141" t="s">
        <v>116</v>
      </c>
      <c r="D16" s="141" t="n">
        <f aca="false">SUMIF(門市請款明細表!$H$3:$H$1981,$C16,門市請款明細表!$J$3:$J$1981)</f>
        <v>0</v>
      </c>
      <c r="E16" s="431" t="n">
        <f aca="false">SUMIFS(門市請款明細表!$J$3:$J$1981,門市請款明細表!$H$3:$H$1981,$C16,門市請款明細表!$I$3:$I$1981,E$1)</f>
        <v>0</v>
      </c>
      <c r="F16" s="431" t="n">
        <f aca="false">SUMIFS(門市請款明細表!$J$3:$J$1981,門市請款明細表!$H$3:$H$1981,$C16,門市請款明細表!$I$3:$I$1981,F$1)</f>
        <v>0</v>
      </c>
      <c r="G16" s="431" t="n">
        <f aca="false">SUMIFS(門市請款明細表!$J$3:$J$1981,門市請款明細表!$H$3:$H$1981,$C16,門市請款明細表!$I$3:$I$1981,G$1)</f>
        <v>0</v>
      </c>
      <c r="H16" s="431" t="n">
        <f aca="false">SUMIFS(門市請款明細表!$J$3:$J$1981,門市請款明細表!$H$3:$H$1981,$C16,門市請款明細表!$I$3:$I$1981,H$1)</f>
        <v>0</v>
      </c>
      <c r="I16" s="15" t="n">
        <f aca="false">SUM(E16:H16)</f>
        <v>0</v>
      </c>
      <c r="J16" s="0" t="str">
        <f aca="false">IF(D16=I16,"●","✖")</f>
        <v>●</v>
      </c>
    </row>
    <row r="17" customFormat="false" ht="16.5" hidden="false" customHeight="false" outlineLevel="0" collapsed="false">
      <c r="A17" s="431" t="n">
        <v>16</v>
      </c>
      <c r="B17" s="139" t="s">
        <v>4929</v>
      </c>
      <c r="C17" s="141" t="s">
        <v>127</v>
      </c>
      <c r="D17" s="141" t="n">
        <f aca="false">SUMIF(門市請款明細表!$H$3:$H$1981,$C17,門市請款明細表!$J$3:$J$1981)</f>
        <v>0</v>
      </c>
      <c r="E17" s="431" t="n">
        <f aca="false">SUMIFS(門市請款明細表!$J$3:$J$1981,門市請款明細表!$H$3:$H$1981,$C17,門市請款明細表!$I$3:$I$1981,E$1)</f>
        <v>0</v>
      </c>
      <c r="F17" s="431" t="n">
        <f aca="false">SUMIFS(門市請款明細表!$J$3:$J$1981,門市請款明細表!$H$3:$H$1981,$C17,門市請款明細表!$I$3:$I$1981,F$1)</f>
        <v>0</v>
      </c>
      <c r="G17" s="431" t="n">
        <f aca="false">SUMIFS(門市請款明細表!$J$3:$J$1981,門市請款明細表!$H$3:$H$1981,$C17,門市請款明細表!$I$3:$I$1981,G$1)</f>
        <v>0</v>
      </c>
      <c r="H17" s="431" t="n">
        <f aca="false">SUMIFS(門市請款明細表!$J$3:$J$1981,門市請款明細表!$H$3:$H$1981,$C17,門市請款明細表!$I$3:$I$1981,H$1)</f>
        <v>0</v>
      </c>
      <c r="I17" s="15" t="n">
        <f aca="false">SUM(E17:H17)</f>
        <v>0</v>
      </c>
      <c r="J17" s="0" t="str">
        <f aca="false">IF(D17=I17,"●","✖")</f>
        <v>●</v>
      </c>
    </row>
    <row r="18" customFormat="false" ht="16.5" hidden="false" customHeight="false" outlineLevel="0" collapsed="false">
      <c r="A18" s="431" t="n">
        <v>17</v>
      </c>
      <c r="B18" s="139" t="s">
        <v>4929</v>
      </c>
      <c r="C18" s="141" t="s">
        <v>129</v>
      </c>
      <c r="D18" s="141" t="n">
        <f aca="false">SUMIF(門市請款明細表!$H$3:$H$1981,$C18,門市請款明細表!$J$3:$J$1981)</f>
        <v>0</v>
      </c>
      <c r="E18" s="431" t="n">
        <f aca="false">SUMIFS(門市請款明細表!$J$3:$J$1981,門市請款明細表!$H$3:$H$1981,$C18,門市請款明細表!$I$3:$I$1981,E$1)</f>
        <v>0</v>
      </c>
      <c r="F18" s="431" t="n">
        <f aca="false">SUMIFS(門市請款明細表!$J$3:$J$1981,門市請款明細表!$H$3:$H$1981,$C18,門市請款明細表!$I$3:$I$1981,F$1)</f>
        <v>0</v>
      </c>
      <c r="G18" s="431" t="n">
        <f aca="false">SUMIFS(門市請款明細表!$J$3:$J$1981,門市請款明細表!$H$3:$H$1981,$C18,門市請款明細表!$I$3:$I$1981,G$1)</f>
        <v>0</v>
      </c>
      <c r="H18" s="431" t="n">
        <f aca="false">SUMIFS(門市請款明細表!$J$3:$J$1981,門市請款明細表!$H$3:$H$1981,$C18,門市請款明細表!$I$3:$I$1981,H$1)</f>
        <v>0</v>
      </c>
      <c r="I18" s="15" t="n">
        <f aca="false">SUM(E18:H18)</f>
        <v>0</v>
      </c>
      <c r="J18" s="0" t="str">
        <f aca="false">IF(D18=I18,"●","✖")</f>
        <v>●</v>
      </c>
    </row>
    <row r="19" customFormat="false" ht="16.5" hidden="false" customHeight="false" outlineLevel="0" collapsed="false">
      <c r="A19" s="431" t="n">
        <v>18</v>
      </c>
      <c r="B19" s="139" t="s">
        <v>4929</v>
      </c>
      <c r="C19" s="141" t="s">
        <v>187</v>
      </c>
      <c r="D19" s="141" t="n">
        <f aca="false">SUMIF(門市請款明細表!$H$3:$H$1981,$C19,門市請款明細表!$J$3:$J$1981)</f>
        <v>0</v>
      </c>
      <c r="E19" s="431" t="n">
        <f aca="false">SUMIFS(門市請款明細表!$J$3:$J$1981,門市請款明細表!$H$3:$H$1981,$C19,門市請款明細表!$I$3:$I$1981,E$1)</f>
        <v>0</v>
      </c>
      <c r="F19" s="431" t="n">
        <f aca="false">SUMIFS(門市請款明細表!$J$3:$J$1981,門市請款明細表!$H$3:$H$1981,$C19,門市請款明細表!$I$3:$I$1981,F$1)</f>
        <v>0</v>
      </c>
      <c r="G19" s="431" t="n">
        <f aca="false">SUMIFS(門市請款明細表!$J$3:$J$1981,門市請款明細表!$H$3:$H$1981,$C19,門市請款明細表!$I$3:$I$1981,G$1)</f>
        <v>0</v>
      </c>
      <c r="H19" s="431" t="n">
        <f aca="false">SUMIFS(門市請款明細表!$J$3:$J$1981,門市請款明細表!$H$3:$H$1981,$C19,門市請款明細表!$I$3:$I$1981,H$1)</f>
        <v>0</v>
      </c>
      <c r="I19" s="15" t="n">
        <f aca="false">SUM(E19:H19)</f>
        <v>0</v>
      </c>
      <c r="J19" s="0" t="str">
        <f aca="false">IF(D19=I19,"●","✖")</f>
        <v>●</v>
      </c>
    </row>
    <row r="20" customFormat="false" ht="16.5" hidden="false" customHeight="false" outlineLevel="0" collapsed="false">
      <c r="A20" s="431" t="n">
        <v>19</v>
      </c>
      <c r="B20" s="139" t="s">
        <v>4929</v>
      </c>
      <c r="C20" s="141" t="s">
        <v>63</v>
      </c>
      <c r="D20" s="141" t="n">
        <f aca="false">SUMIF(門市請款明細表!$H$3:$H$1981,$C20,門市請款明細表!$J$3:$J$1981)</f>
        <v>0</v>
      </c>
      <c r="E20" s="431" t="n">
        <f aca="false">SUMIFS(門市請款明細表!$J$3:$J$1981,門市請款明細表!$H$3:$H$1981,$C20,門市請款明細表!$I$3:$I$1981,E$1)</f>
        <v>0</v>
      </c>
      <c r="F20" s="431" t="n">
        <f aca="false">SUMIFS(門市請款明細表!$J$3:$J$1981,門市請款明細表!$H$3:$H$1981,$C20,門市請款明細表!$I$3:$I$1981,F$1)</f>
        <v>0</v>
      </c>
      <c r="G20" s="431" t="n">
        <f aca="false">SUMIFS(門市請款明細表!$J$3:$J$1981,門市請款明細表!$H$3:$H$1981,$C20,門市請款明細表!$I$3:$I$1981,G$1)</f>
        <v>0</v>
      </c>
      <c r="H20" s="431" t="n">
        <f aca="false">SUMIFS(門市請款明細表!$J$3:$J$1981,門市請款明細表!$H$3:$H$1981,$C20,門市請款明細表!$I$3:$I$1981,H$1)</f>
        <v>0</v>
      </c>
      <c r="I20" s="15" t="n">
        <f aca="false">SUM(E20:H20)</f>
        <v>0</v>
      </c>
      <c r="J20" s="0" t="str">
        <f aca="false">IF(D20=I20,"●","✖")</f>
        <v>●</v>
      </c>
    </row>
    <row r="21" customFormat="false" ht="16.5" hidden="false" customHeight="false" outlineLevel="0" collapsed="false">
      <c r="A21" s="431" t="n">
        <v>20</v>
      </c>
      <c r="B21" s="139" t="s">
        <v>4929</v>
      </c>
      <c r="C21" s="141" t="s">
        <v>74</v>
      </c>
      <c r="D21" s="141" t="n">
        <f aca="false">SUMIF(門市請款明細表!$H$3:$H$1981,$C21,門市請款明細表!$J$3:$J$1981)</f>
        <v>0</v>
      </c>
      <c r="E21" s="431" t="n">
        <f aca="false">SUMIFS(門市請款明細表!$J$3:$J$1981,門市請款明細表!$H$3:$H$1981,$C21,門市請款明細表!$I$3:$I$1981,E$1)</f>
        <v>0</v>
      </c>
      <c r="F21" s="431" t="n">
        <f aca="false">SUMIFS(門市請款明細表!$J$3:$J$1981,門市請款明細表!$H$3:$H$1981,$C21,門市請款明細表!$I$3:$I$1981,F$1)</f>
        <v>0</v>
      </c>
      <c r="G21" s="431" t="n">
        <f aca="false">SUMIFS(門市請款明細表!$J$3:$J$1981,門市請款明細表!$H$3:$H$1981,$C21,門市請款明細表!$I$3:$I$1981,G$1)</f>
        <v>0</v>
      </c>
      <c r="H21" s="431" t="n">
        <f aca="false">SUMIFS(門市請款明細表!$J$3:$J$1981,門市請款明細表!$H$3:$H$1981,$C21,門市請款明細表!$I$3:$I$1981,H$1)</f>
        <v>0</v>
      </c>
      <c r="I21" s="15" t="n">
        <f aca="false">SUM(E21:H21)</f>
        <v>0</v>
      </c>
      <c r="J21" s="0" t="str">
        <f aca="false">IF(D21=I21,"●","✖")</f>
        <v>●</v>
      </c>
    </row>
    <row r="22" customFormat="false" ht="16.5" hidden="false" customHeight="false" outlineLevel="0" collapsed="false">
      <c r="A22" s="431" t="n">
        <v>21</v>
      </c>
      <c r="B22" s="139" t="s">
        <v>4929</v>
      </c>
      <c r="C22" s="141" t="s">
        <v>75</v>
      </c>
      <c r="D22" s="141" t="n">
        <f aca="false">SUMIF(門市請款明細表!$H$3:$H$1981,$C22,門市請款明細表!$J$3:$J$1981)</f>
        <v>0</v>
      </c>
      <c r="E22" s="431" t="n">
        <f aca="false">SUMIFS(門市請款明細表!$J$3:$J$1981,門市請款明細表!$H$3:$H$1981,$C22,門市請款明細表!$I$3:$I$1981,E$1)</f>
        <v>0</v>
      </c>
      <c r="F22" s="431" t="n">
        <f aca="false">SUMIFS(門市請款明細表!$J$3:$J$1981,門市請款明細表!$H$3:$H$1981,$C22,門市請款明細表!$I$3:$I$1981,F$1)</f>
        <v>0</v>
      </c>
      <c r="G22" s="431" t="n">
        <f aca="false">SUMIFS(門市請款明細表!$J$3:$J$1981,門市請款明細表!$H$3:$H$1981,$C22,門市請款明細表!$I$3:$I$1981,G$1)</f>
        <v>0</v>
      </c>
      <c r="H22" s="431" t="n">
        <f aca="false">SUMIFS(門市請款明細表!$J$3:$J$1981,門市請款明細表!$H$3:$H$1981,$C22,門市請款明細表!$I$3:$I$1981,H$1)</f>
        <v>0</v>
      </c>
      <c r="I22" s="15" t="n">
        <f aca="false">SUM(E22:H22)</f>
        <v>0</v>
      </c>
      <c r="J22" s="0" t="str">
        <f aca="false">IF(D22=I22,"●","✖")</f>
        <v>●</v>
      </c>
    </row>
    <row r="23" customFormat="false" ht="16.5" hidden="false" customHeight="false" outlineLevel="0" collapsed="false">
      <c r="A23" s="431" t="n">
        <v>22</v>
      </c>
      <c r="B23" s="139" t="s">
        <v>4929</v>
      </c>
      <c r="C23" s="141" t="s">
        <v>120</v>
      </c>
      <c r="D23" s="141" t="n">
        <f aca="false">SUMIF(門市請款明細表!$H$3:$H$1981,$C23,門市請款明細表!$J$3:$J$1981)</f>
        <v>0</v>
      </c>
      <c r="E23" s="431" t="n">
        <f aca="false">SUMIFS(門市請款明細表!$J$3:$J$1981,門市請款明細表!$H$3:$H$1981,$C23,門市請款明細表!$I$3:$I$1981,E$1)</f>
        <v>0</v>
      </c>
      <c r="F23" s="431" t="n">
        <f aca="false">SUMIFS(門市請款明細表!$J$3:$J$1981,門市請款明細表!$H$3:$H$1981,$C23,門市請款明細表!$I$3:$I$1981,F$1)</f>
        <v>0</v>
      </c>
      <c r="G23" s="431" t="n">
        <f aca="false">SUMIFS(門市請款明細表!$J$3:$J$1981,門市請款明細表!$H$3:$H$1981,$C23,門市請款明細表!$I$3:$I$1981,G$1)</f>
        <v>0</v>
      </c>
      <c r="H23" s="431" t="n">
        <f aca="false">SUMIFS(門市請款明細表!$J$3:$J$1981,門市請款明細表!$H$3:$H$1981,$C23,門市請款明細表!$I$3:$I$1981,H$1)</f>
        <v>0</v>
      </c>
      <c r="I23" s="15" t="n">
        <f aca="false">SUM(E23:H23)</f>
        <v>0</v>
      </c>
      <c r="J23" s="0" t="str">
        <f aca="false">IF(D23=I23,"●","✖")</f>
        <v>●</v>
      </c>
    </row>
    <row r="24" customFormat="false" ht="16.5" hidden="false" customHeight="false" outlineLevel="0" collapsed="false">
      <c r="A24" s="431" t="n">
        <v>23</v>
      </c>
      <c r="B24" s="139" t="s">
        <v>4929</v>
      </c>
      <c r="C24" s="141" t="s">
        <v>121</v>
      </c>
      <c r="D24" s="141" t="n">
        <f aca="false">SUMIF(門市請款明細表!$H$3:$H$1981,$C24,門市請款明細表!$J$3:$J$1981)</f>
        <v>0</v>
      </c>
      <c r="E24" s="431" t="n">
        <f aca="false">SUMIFS(門市請款明細表!$J$3:$J$1981,門市請款明細表!$H$3:$H$1981,$C24,門市請款明細表!$I$3:$I$1981,E$1)</f>
        <v>0</v>
      </c>
      <c r="F24" s="431" t="n">
        <f aca="false">SUMIFS(門市請款明細表!$J$3:$J$1981,門市請款明細表!$H$3:$H$1981,$C24,門市請款明細表!$I$3:$I$1981,F$1)</f>
        <v>0</v>
      </c>
      <c r="G24" s="431" t="n">
        <f aca="false">SUMIFS(門市請款明細表!$J$3:$J$1981,門市請款明細表!$H$3:$H$1981,$C24,門市請款明細表!$I$3:$I$1981,G$1)</f>
        <v>0</v>
      </c>
      <c r="H24" s="431" t="n">
        <f aca="false">SUMIFS(門市請款明細表!$J$3:$J$1981,門市請款明細表!$H$3:$H$1981,$C24,門市請款明細表!$I$3:$I$1981,H$1)</f>
        <v>0</v>
      </c>
      <c r="I24" s="15" t="n">
        <f aca="false">SUM(E24:H24)</f>
        <v>0</v>
      </c>
      <c r="J24" s="0" t="str">
        <f aca="false">IF(D24=I24,"●","✖")</f>
        <v>●</v>
      </c>
    </row>
    <row r="25" customFormat="false" ht="16.5" hidden="false" customHeight="false" outlineLevel="0" collapsed="false">
      <c r="A25" s="431" t="n">
        <v>24</v>
      </c>
      <c r="B25" s="139" t="s">
        <v>4929</v>
      </c>
      <c r="C25" s="141" t="s">
        <v>125</v>
      </c>
      <c r="D25" s="141" t="n">
        <f aca="false">SUMIF(門市請款明細表!$H$3:$H$1981,$C25,門市請款明細表!$J$3:$J$1981)</f>
        <v>0</v>
      </c>
      <c r="E25" s="431" t="n">
        <f aca="false">SUMIFS(門市請款明細表!$J$3:$J$1981,門市請款明細表!$H$3:$H$1981,$C25,門市請款明細表!$I$3:$I$1981,E$1)</f>
        <v>0</v>
      </c>
      <c r="F25" s="431" t="n">
        <f aca="false">SUMIFS(門市請款明細表!$J$3:$J$1981,門市請款明細表!$H$3:$H$1981,$C25,門市請款明細表!$I$3:$I$1981,F$1)</f>
        <v>0</v>
      </c>
      <c r="G25" s="431" t="n">
        <f aca="false">SUMIFS(門市請款明細表!$J$3:$J$1981,門市請款明細表!$H$3:$H$1981,$C25,門市請款明細表!$I$3:$I$1981,G$1)</f>
        <v>0</v>
      </c>
      <c r="H25" s="431" t="n">
        <f aca="false">SUMIFS(門市請款明細表!$J$3:$J$1981,門市請款明細表!$H$3:$H$1981,$C25,門市請款明細表!$I$3:$I$1981,H$1)</f>
        <v>0</v>
      </c>
      <c r="I25" s="15" t="n">
        <f aca="false">SUM(E25:H25)</f>
        <v>0</v>
      </c>
      <c r="J25" s="0" t="str">
        <f aca="false">IF(D25=I25,"●","✖")</f>
        <v>●</v>
      </c>
    </row>
    <row r="26" customFormat="false" ht="16.5" hidden="false" customHeight="false" outlineLevel="0" collapsed="false">
      <c r="A26" s="431" t="n">
        <v>25</v>
      </c>
      <c r="B26" s="139" t="s">
        <v>4929</v>
      </c>
      <c r="C26" s="141" t="s">
        <v>241</v>
      </c>
      <c r="D26" s="141" t="n">
        <f aca="false">SUMIF(門市請款明細表!$H$3:$H$1981,$C26,門市請款明細表!$J$3:$J$1981)</f>
        <v>0</v>
      </c>
      <c r="E26" s="431" t="n">
        <f aca="false">SUMIFS(門市請款明細表!$J$3:$J$1981,門市請款明細表!$H$3:$H$1981,$C26,門市請款明細表!$I$3:$I$1981,E$1)</f>
        <v>0</v>
      </c>
      <c r="F26" s="431" t="n">
        <f aca="false">SUMIFS(門市請款明細表!$J$3:$J$1981,門市請款明細表!$H$3:$H$1981,$C26,門市請款明細表!$I$3:$I$1981,F$1)</f>
        <v>0</v>
      </c>
      <c r="G26" s="431" t="n">
        <f aca="false">SUMIFS(門市請款明細表!$J$3:$J$1981,門市請款明細表!$H$3:$H$1981,$C26,門市請款明細表!$I$3:$I$1981,G$1)</f>
        <v>0</v>
      </c>
      <c r="H26" s="431" t="n">
        <f aca="false">SUMIFS(門市請款明細表!$J$3:$J$1981,門市請款明細表!$H$3:$H$1981,$C26,門市請款明細表!$I$3:$I$1981,H$1)</f>
        <v>0</v>
      </c>
      <c r="I26" s="15" t="n">
        <f aca="false">SUM(E26:H26)</f>
        <v>0</v>
      </c>
      <c r="J26" s="0" t="str">
        <f aca="false">IF(D26=I26,"●","✖")</f>
        <v>●</v>
      </c>
    </row>
    <row r="27" customFormat="false" ht="16.5" hidden="false" customHeight="false" outlineLevel="0" collapsed="false">
      <c r="A27" s="431" t="n">
        <v>26</v>
      </c>
      <c r="B27" s="139" t="s">
        <v>4929</v>
      </c>
      <c r="C27" s="141" t="s">
        <v>40</v>
      </c>
      <c r="D27" s="141" t="n">
        <f aca="false">SUMIF(門市請款明細表!$H$3:$H$1981,$C27,門市請款明細表!$J$3:$J$1981)</f>
        <v>0</v>
      </c>
      <c r="E27" s="431" t="n">
        <f aca="false">SUMIFS(門市請款明細表!$J$3:$J$1981,門市請款明細表!$H$3:$H$1981,$C27,門市請款明細表!$I$3:$I$1981,E$1)</f>
        <v>0</v>
      </c>
      <c r="F27" s="431" t="n">
        <f aca="false">SUMIFS(門市請款明細表!$J$3:$J$1981,門市請款明細表!$H$3:$H$1981,$C27,門市請款明細表!$I$3:$I$1981,F$1)</f>
        <v>0</v>
      </c>
      <c r="G27" s="431" t="n">
        <f aca="false">SUMIFS(門市請款明細表!$J$3:$J$1981,門市請款明細表!$H$3:$H$1981,$C27,門市請款明細表!$I$3:$I$1981,G$1)</f>
        <v>0</v>
      </c>
      <c r="H27" s="431" t="n">
        <f aca="false">SUMIFS(門市請款明細表!$J$3:$J$1981,門市請款明細表!$H$3:$H$1981,$C27,門市請款明細表!$I$3:$I$1981,H$1)</f>
        <v>0</v>
      </c>
      <c r="I27" s="15" t="n">
        <f aca="false">SUM(E27:H27)</f>
        <v>0</v>
      </c>
      <c r="J27" s="0" t="str">
        <f aca="false">IF(D27=I27,"●","✖")</f>
        <v>●</v>
      </c>
    </row>
    <row r="28" customFormat="false" ht="16.5" hidden="false" customHeight="false" outlineLevel="0" collapsed="false">
      <c r="A28" s="431" t="n">
        <v>27</v>
      </c>
      <c r="B28" s="139" t="s">
        <v>4929</v>
      </c>
      <c r="C28" s="141" t="s">
        <v>52</v>
      </c>
      <c r="D28" s="141" t="n">
        <f aca="false">SUMIF(門市請款明細表!$H$3:$H$1981,$C28,門市請款明細表!$J$3:$J$1981)</f>
        <v>0</v>
      </c>
      <c r="E28" s="431" t="n">
        <f aca="false">SUMIFS(門市請款明細表!$J$3:$J$1981,門市請款明細表!$H$3:$H$1981,$C28,門市請款明細表!$I$3:$I$1981,E$1)</f>
        <v>0</v>
      </c>
      <c r="F28" s="431" t="n">
        <f aca="false">SUMIFS(門市請款明細表!$J$3:$J$1981,門市請款明細表!$H$3:$H$1981,$C28,門市請款明細表!$I$3:$I$1981,F$1)</f>
        <v>0</v>
      </c>
      <c r="G28" s="431" t="n">
        <f aca="false">SUMIFS(門市請款明細表!$J$3:$J$1981,門市請款明細表!$H$3:$H$1981,$C28,門市請款明細表!$I$3:$I$1981,G$1)</f>
        <v>0</v>
      </c>
      <c r="H28" s="431" t="n">
        <f aca="false">SUMIFS(門市請款明細表!$J$3:$J$1981,門市請款明細表!$H$3:$H$1981,$C28,門市請款明細表!$I$3:$I$1981,H$1)</f>
        <v>0</v>
      </c>
      <c r="I28" s="15" t="n">
        <f aca="false">SUM(E28:H28)</f>
        <v>0</v>
      </c>
      <c r="J28" s="0" t="str">
        <f aca="false">IF(D28=I28,"●","✖")</f>
        <v>●</v>
      </c>
    </row>
    <row r="29" customFormat="false" ht="16.5" hidden="false" customHeight="false" outlineLevel="0" collapsed="false">
      <c r="A29" s="431" t="n">
        <v>28</v>
      </c>
      <c r="B29" s="139" t="s">
        <v>4929</v>
      </c>
      <c r="C29" s="141" t="s">
        <v>122</v>
      </c>
      <c r="D29" s="141" t="n">
        <f aca="false">SUMIF(門市請款明細表!$H$3:$H$1981,$C29,門市請款明細表!$J$3:$J$1981)</f>
        <v>0</v>
      </c>
      <c r="E29" s="431" t="n">
        <f aca="false">SUMIFS(門市請款明細表!$J$3:$J$1981,門市請款明細表!$H$3:$H$1981,$C29,門市請款明細表!$I$3:$I$1981,E$1)</f>
        <v>0</v>
      </c>
      <c r="F29" s="431" t="n">
        <f aca="false">SUMIFS(門市請款明細表!$J$3:$J$1981,門市請款明細表!$H$3:$H$1981,$C29,門市請款明細表!$I$3:$I$1981,F$1)</f>
        <v>0</v>
      </c>
      <c r="G29" s="431" t="n">
        <f aca="false">SUMIFS(門市請款明細表!$J$3:$J$1981,門市請款明細表!$H$3:$H$1981,$C29,門市請款明細表!$I$3:$I$1981,G$1)</f>
        <v>0</v>
      </c>
      <c r="H29" s="431" t="n">
        <f aca="false">SUMIFS(門市請款明細表!$J$3:$J$1981,門市請款明細表!$H$3:$H$1981,$C29,門市請款明細表!$I$3:$I$1981,H$1)</f>
        <v>0</v>
      </c>
      <c r="I29" s="15" t="n">
        <f aca="false">SUM(E29:H29)</f>
        <v>0</v>
      </c>
      <c r="J29" s="0" t="str">
        <f aca="false">IF(D29=I29,"●","✖")</f>
        <v>●</v>
      </c>
    </row>
    <row r="30" customFormat="false" ht="16.5" hidden="false" customHeight="false" outlineLevel="0" collapsed="false">
      <c r="A30" s="431" t="n">
        <v>29</v>
      </c>
      <c r="B30" s="139" t="s">
        <v>4929</v>
      </c>
      <c r="C30" s="141" t="s">
        <v>126</v>
      </c>
      <c r="D30" s="141" t="n">
        <f aca="false">SUMIF(門市請款明細表!$H$3:$H$1981,$C30,門市請款明細表!$J$3:$J$1981)</f>
        <v>0</v>
      </c>
      <c r="E30" s="431" t="n">
        <f aca="false">SUMIFS(門市請款明細表!$J$3:$J$1981,門市請款明細表!$H$3:$H$1981,$C30,門市請款明細表!$I$3:$I$1981,E$1)</f>
        <v>0</v>
      </c>
      <c r="F30" s="431" t="n">
        <f aca="false">SUMIFS(門市請款明細表!$J$3:$J$1981,門市請款明細表!$H$3:$H$1981,$C30,門市請款明細表!$I$3:$I$1981,F$1)</f>
        <v>0</v>
      </c>
      <c r="G30" s="431" t="n">
        <f aca="false">SUMIFS(門市請款明細表!$J$3:$J$1981,門市請款明細表!$H$3:$H$1981,$C30,門市請款明細表!$I$3:$I$1981,G$1)</f>
        <v>0</v>
      </c>
      <c r="H30" s="431" t="n">
        <f aca="false">SUMIFS(門市請款明細表!$J$3:$J$1981,門市請款明細表!$H$3:$H$1981,$C30,門市請款明細表!$I$3:$I$1981,H$1)</f>
        <v>0</v>
      </c>
      <c r="I30" s="15" t="n">
        <f aca="false">SUM(E30:H30)</f>
        <v>0</v>
      </c>
      <c r="J30" s="0" t="str">
        <f aca="false">IF(D30=I30,"●","✖")</f>
        <v>●</v>
      </c>
    </row>
    <row r="31" customFormat="false" ht="16.5" hidden="false" customHeight="false" outlineLevel="0" collapsed="false">
      <c r="A31" s="431" t="n">
        <v>30</v>
      </c>
      <c r="B31" s="139" t="s">
        <v>4929</v>
      </c>
      <c r="C31" s="141" t="s">
        <v>131</v>
      </c>
      <c r="D31" s="141" t="n">
        <f aca="false">SUMIF(門市請款明細表!$H$3:$H$1981,$C31,門市請款明細表!$J$3:$J$1981)</f>
        <v>0</v>
      </c>
      <c r="E31" s="431" t="n">
        <f aca="false">SUMIFS(門市請款明細表!$J$3:$J$1981,門市請款明細表!$H$3:$H$1981,$C31,門市請款明細表!$I$3:$I$1981,E$1)</f>
        <v>0</v>
      </c>
      <c r="F31" s="431" t="n">
        <f aca="false">SUMIFS(門市請款明細表!$J$3:$J$1981,門市請款明細表!$H$3:$H$1981,$C31,門市請款明細表!$I$3:$I$1981,F$1)</f>
        <v>0</v>
      </c>
      <c r="G31" s="431" t="n">
        <f aca="false">SUMIFS(門市請款明細表!$J$3:$J$1981,門市請款明細表!$H$3:$H$1981,$C31,門市請款明細表!$I$3:$I$1981,G$1)</f>
        <v>0</v>
      </c>
      <c r="H31" s="431" t="n">
        <f aca="false">SUMIFS(門市請款明細表!$J$3:$J$1981,門市請款明細表!$H$3:$H$1981,$C31,門市請款明細表!$I$3:$I$1981,H$1)</f>
        <v>0</v>
      </c>
      <c r="I31" s="15" t="n">
        <f aca="false">SUM(E31:H31)</f>
        <v>0</v>
      </c>
      <c r="J31" s="0" t="str">
        <f aca="false">IF(D31=I31,"●","✖")</f>
        <v>●</v>
      </c>
    </row>
    <row r="32" customFormat="false" ht="16.5" hidden="false" customHeight="false" outlineLevel="0" collapsed="false">
      <c r="A32" s="431" t="n">
        <v>31</v>
      </c>
      <c r="B32" s="139" t="s">
        <v>4929</v>
      </c>
      <c r="C32" s="141" t="s">
        <v>314</v>
      </c>
      <c r="D32" s="141" t="n">
        <f aca="false">SUMIF(門市請款明細表!$H$3:$H$1981,$C32,門市請款明細表!$J$3:$J$1981)</f>
        <v>0</v>
      </c>
      <c r="E32" s="431" t="n">
        <f aca="false">SUMIFS(門市請款明細表!$J$3:$J$1981,門市請款明細表!$H$3:$H$1981,$C32,門市請款明細表!$I$3:$I$1981,E$1)</f>
        <v>0</v>
      </c>
      <c r="F32" s="431" t="n">
        <f aca="false">SUMIFS(門市請款明細表!$J$3:$J$1981,門市請款明細表!$H$3:$H$1981,$C32,門市請款明細表!$I$3:$I$1981,F$1)</f>
        <v>0</v>
      </c>
      <c r="G32" s="431" t="n">
        <f aca="false">SUMIFS(門市請款明細表!$J$3:$J$1981,門市請款明細表!$H$3:$H$1981,$C32,門市請款明細表!$I$3:$I$1981,G$1)</f>
        <v>0</v>
      </c>
      <c r="H32" s="431" t="n">
        <f aca="false">SUMIFS(門市請款明細表!$J$3:$J$1981,門市請款明細表!$H$3:$H$1981,$C32,門市請款明細表!$I$3:$I$1981,H$1)</f>
        <v>0</v>
      </c>
      <c r="I32" s="15" t="n">
        <f aca="false">SUM(E32:H32)</f>
        <v>0</v>
      </c>
      <c r="J32" s="0" t="str">
        <f aca="false">IF(D32=I32,"●","✖")</f>
        <v>●</v>
      </c>
    </row>
    <row r="33" customFormat="false" ht="16.5" hidden="false" customHeight="false" outlineLevel="0" collapsed="false">
      <c r="A33" s="431" t="n">
        <v>32</v>
      </c>
      <c r="B33" s="139" t="s">
        <v>4929</v>
      </c>
      <c r="C33" s="141" t="s">
        <v>28</v>
      </c>
      <c r="D33" s="141" t="n">
        <f aca="false">SUMIF(門市請款明細表!$H$3:$H$1981,$C33,門市請款明細表!$J$3:$J$1981)</f>
        <v>0</v>
      </c>
      <c r="E33" s="431" t="n">
        <f aca="false">SUMIFS(門市請款明細表!$J$3:$J$1981,門市請款明細表!$H$3:$H$1981,$C33,門市請款明細表!$I$3:$I$1981,E$1)</f>
        <v>0</v>
      </c>
      <c r="F33" s="431" t="n">
        <f aca="false">SUMIFS(門市請款明細表!$J$3:$J$1981,門市請款明細表!$H$3:$H$1981,$C33,門市請款明細表!$I$3:$I$1981,F$1)</f>
        <v>0</v>
      </c>
      <c r="G33" s="431" t="n">
        <f aca="false">SUMIFS(門市請款明細表!$J$3:$J$1981,門市請款明細表!$H$3:$H$1981,$C33,門市請款明細表!$I$3:$I$1981,G$1)</f>
        <v>0</v>
      </c>
      <c r="H33" s="431" t="n">
        <f aca="false">SUMIFS(門市請款明細表!$J$3:$J$1981,門市請款明細表!$H$3:$H$1981,$C33,門市請款明細表!$I$3:$I$1981,H$1)</f>
        <v>0</v>
      </c>
      <c r="I33" s="15" t="n">
        <f aca="false">SUM(E33:H33)</f>
        <v>0</v>
      </c>
      <c r="J33" s="0" t="str">
        <f aca="false">IF(D33=I33,"●","✖")</f>
        <v>●</v>
      </c>
    </row>
    <row r="34" customFormat="false" ht="16.5" hidden="false" customHeight="false" outlineLevel="0" collapsed="false">
      <c r="A34" s="431" t="n">
        <v>33</v>
      </c>
      <c r="B34" s="139" t="s">
        <v>4929</v>
      </c>
      <c r="C34" s="141" t="s">
        <v>104</v>
      </c>
      <c r="D34" s="141" t="n">
        <f aca="false">SUMIF(門市請款明細表!$H$3:$H$1981,$C34,門市請款明細表!$J$3:$J$1981)</f>
        <v>0</v>
      </c>
      <c r="E34" s="431" t="n">
        <f aca="false">SUMIFS(門市請款明細表!$J$3:$J$1981,門市請款明細表!$H$3:$H$1981,$C34,門市請款明細表!$I$3:$I$1981,E$1)</f>
        <v>0</v>
      </c>
      <c r="F34" s="431" t="n">
        <f aca="false">SUMIFS(門市請款明細表!$J$3:$J$1981,門市請款明細表!$H$3:$H$1981,$C34,門市請款明細表!$I$3:$I$1981,F$1)</f>
        <v>0</v>
      </c>
      <c r="G34" s="431" t="n">
        <f aca="false">SUMIFS(門市請款明細表!$J$3:$J$1981,門市請款明細表!$H$3:$H$1981,$C34,門市請款明細表!$I$3:$I$1981,G$1)</f>
        <v>0</v>
      </c>
      <c r="H34" s="431" t="n">
        <f aca="false">SUMIFS(門市請款明細表!$J$3:$J$1981,門市請款明細表!$H$3:$H$1981,$C34,門市請款明細表!$I$3:$I$1981,H$1)</f>
        <v>0</v>
      </c>
      <c r="I34" s="15" t="n">
        <f aca="false">SUM(E34:H34)</f>
        <v>0</v>
      </c>
      <c r="J34" s="0" t="str">
        <f aca="false">IF(D34=I34,"●","✖")</f>
        <v>●</v>
      </c>
    </row>
    <row r="35" customFormat="false" ht="16.5" hidden="false" customHeight="false" outlineLevel="0" collapsed="false">
      <c r="A35" s="431" t="n">
        <v>34</v>
      </c>
      <c r="B35" s="139" t="s">
        <v>4929</v>
      </c>
      <c r="C35" s="141" t="s">
        <v>160</v>
      </c>
      <c r="D35" s="141" t="n">
        <f aca="false">SUMIF(門市請款明細表!$H$3:$H$1981,$C35,門市請款明細表!$J$3:$J$1981)</f>
        <v>0</v>
      </c>
      <c r="E35" s="431" t="n">
        <f aca="false">SUMIFS(門市請款明細表!$J$3:$J$1981,門市請款明細表!$H$3:$H$1981,$C35,門市請款明細表!$I$3:$I$1981,E$1)</f>
        <v>0</v>
      </c>
      <c r="F35" s="431" t="n">
        <f aca="false">SUMIFS(門市請款明細表!$J$3:$J$1981,門市請款明細表!$H$3:$H$1981,$C35,門市請款明細表!$I$3:$I$1981,F$1)</f>
        <v>0</v>
      </c>
      <c r="G35" s="431" t="n">
        <f aca="false">SUMIFS(門市請款明細表!$J$3:$J$1981,門市請款明細表!$H$3:$H$1981,$C35,門市請款明細表!$I$3:$I$1981,G$1)</f>
        <v>0</v>
      </c>
      <c r="H35" s="431" t="n">
        <f aca="false">SUMIFS(門市請款明細表!$J$3:$J$1981,門市請款明細表!$H$3:$H$1981,$C35,門市請款明細表!$I$3:$I$1981,H$1)</f>
        <v>0</v>
      </c>
      <c r="I35" s="15" t="n">
        <f aca="false">SUM(E35:H35)</f>
        <v>0</v>
      </c>
      <c r="J35" s="0" t="str">
        <f aca="false">IF(D35=I35,"●","✖")</f>
        <v>●</v>
      </c>
    </row>
    <row r="36" customFormat="false" ht="16.5" hidden="false" customHeight="false" outlineLevel="0" collapsed="false">
      <c r="A36" s="431" t="n">
        <v>35</v>
      </c>
      <c r="B36" s="139" t="s">
        <v>4929</v>
      </c>
      <c r="C36" s="141" t="s">
        <v>183</v>
      </c>
      <c r="D36" s="141" t="n">
        <f aca="false">SUMIF(門市請款明細表!$H$3:$H$1981,$C36,門市請款明細表!$J$3:$J$1981)</f>
        <v>0</v>
      </c>
      <c r="E36" s="431" t="n">
        <f aca="false">SUMIFS(門市請款明細表!$J$3:$J$1981,門市請款明細表!$H$3:$H$1981,$C36,門市請款明細表!$I$3:$I$1981,E$1)</f>
        <v>0</v>
      </c>
      <c r="F36" s="431" t="n">
        <f aca="false">SUMIFS(門市請款明細表!$J$3:$J$1981,門市請款明細表!$H$3:$H$1981,$C36,門市請款明細表!$I$3:$I$1981,F$1)</f>
        <v>0</v>
      </c>
      <c r="G36" s="431" t="n">
        <f aca="false">SUMIFS(門市請款明細表!$J$3:$J$1981,門市請款明細表!$H$3:$H$1981,$C36,門市請款明細表!$I$3:$I$1981,G$1)</f>
        <v>0</v>
      </c>
      <c r="H36" s="431" t="n">
        <f aca="false">SUMIFS(門市請款明細表!$J$3:$J$1981,門市請款明細表!$H$3:$H$1981,$C36,門市請款明細表!$I$3:$I$1981,H$1)</f>
        <v>0</v>
      </c>
      <c r="I36" s="15" t="n">
        <f aca="false">SUM(E36:H36)</f>
        <v>0</v>
      </c>
      <c r="J36" s="0" t="str">
        <f aca="false">IF(D36=I36,"●","✖")</f>
        <v>●</v>
      </c>
    </row>
    <row r="37" customFormat="false" ht="16.5" hidden="false" customHeight="false" outlineLevel="0" collapsed="false">
      <c r="A37" s="431" t="n">
        <v>36</v>
      </c>
      <c r="B37" s="139" t="s">
        <v>4929</v>
      </c>
      <c r="C37" s="141" t="s">
        <v>225</v>
      </c>
      <c r="D37" s="141" t="n">
        <f aca="false">SUMIF(門市請款明細表!$H$3:$H$1981,$C37,門市請款明細表!$J$3:$J$1981)</f>
        <v>0</v>
      </c>
      <c r="E37" s="431" t="n">
        <f aca="false">SUMIFS(門市請款明細表!$J$3:$J$1981,門市請款明細表!$H$3:$H$1981,$C37,門市請款明細表!$I$3:$I$1981,E$1)</f>
        <v>0</v>
      </c>
      <c r="F37" s="431" t="n">
        <f aca="false">SUMIFS(門市請款明細表!$J$3:$J$1981,門市請款明細表!$H$3:$H$1981,$C37,門市請款明細表!$I$3:$I$1981,F$1)</f>
        <v>0</v>
      </c>
      <c r="G37" s="431" t="n">
        <f aca="false">SUMIFS(門市請款明細表!$J$3:$J$1981,門市請款明細表!$H$3:$H$1981,$C37,門市請款明細表!$I$3:$I$1981,G$1)</f>
        <v>0</v>
      </c>
      <c r="H37" s="431" t="n">
        <f aca="false">SUMIFS(門市請款明細表!$J$3:$J$1981,門市請款明細表!$H$3:$H$1981,$C37,門市請款明細表!$I$3:$I$1981,H$1)</f>
        <v>0</v>
      </c>
      <c r="I37" s="15" t="n">
        <f aca="false">SUM(E37:H37)</f>
        <v>0</v>
      </c>
      <c r="J37" s="0" t="str">
        <f aca="false">IF(D37=I37,"●","✖")</f>
        <v>●</v>
      </c>
    </row>
    <row r="38" customFormat="false" ht="16.5" hidden="false" customHeight="false" outlineLevel="0" collapsed="false">
      <c r="A38" s="431" t="n">
        <v>37</v>
      </c>
      <c r="B38" s="139" t="s">
        <v>4929</v>
      </c>
      <c r="C38" s="141" t="s">
        <v>307</v>
      </c>
      <c r="D38" s="141" t="n">
        <f aca="false">SUMIF(門市請款明細表!$H$3:$H$1981,$C38,門市請款明細表!$J$3:$J$1981)</f>
        <v>0</v>
      </c>
      <c r="E38" s="431" t="n">
        <f aca="false">SUMIFS(門市請款明細表!$J$3:$J$1981,門市請款明細表!$H$3:$H$1981,$C38,門市請款明細表!$I$3:$I$1981,E$1)</f>
        <v>0</v>
      </c>
      <c r="F38" s="431" t="n">
        <f aca="false">SUMIFS(門市請款明細表!$J$3:$J$1981,門市請款明細表!$H$3:$H$1981,$C38,門市請款明細表!$I$3:$I$1981,F$1)</f>
        <v>0</v>
      </c>
      <c r="G38" s="431" t="n">
        <f aca="false">SUMIFS(門市請款明細表!$J$3:$J$1981,門市請款明細表!$H$3:$H$1981,$C38,門市請款明細表!$I$3:$I$1981,G$1)</f>
        <v>0</v>
      </c>
      <c r="H38" s="431" t="n">
        <f aca="false">SUMIFS(門市請款明細表!$J$3:$J$1981,門市請款明細表!$H$3:$H$1981,$C38,門市請款明細表!$I$3:$I$1981,H$1)</f>
        <v>0</v>
      </c>
      <c r="I38" s="15" t="n">
        <f aca="false">SUM(E38:H38)</f>
        <v>0</v>
      </c>
      <c r="J38" s="0" t="str">
        <f aca="false">IF(D38=I38,"●","✖")</f>
        <v>●</v>
      </c>
    </row>
    <row r="39" customFormat="false" ht="16.5" hidden="false" customHeight="false" outlineLevel="0" collapsed="false">
      <c r="A39" s="431" t="n">
        <v>38</v>
      </c>
      <c r="B39" s="139" t="s">
        <v>4929</v>
      </c>
      <c r="C39" s="141" t="s">
        <v>308</v>
      </c>
      <c r="D39" s="141" t="n">
        <f aca="false">SUMIF(門市請款明細表!$H$3:$H$1981,$C39,門市請款明細表!$J$3:$J$1981)</f>
        <v>0</v>
      </c>
      <c r="E39" s="431" t="n">
        <f aca="false">SUMIFS(門市請款明細表!$J$3:$J$1981,門市請款明細表!$H$3:$H$1981,$C39,門市請款明細表!$I$3:$I$1981,E$1)</f>
        <v>0</v>
      </c>
      <c r="F39" s="431" t="n">
        <f aca="false">SUMIFS(門市請款明細表!$J$3:$J$1981,門市請款明細表!$H$3:$H$1981,$C39,門市請款明細表!$I$3:$I$1981,F$1)</f>
        <v>0</v>
      </c>
      <c r="G39" s="431" t="n">
        <f aca="false">SUMIFS(門市請款明細表!$J$3:$J$1981,門市請款明細表!$H$3:$H$1981,$C39,門市請款明細表!$I$3:$I$1981,G$1)</f>
        <v>0</v>
      </c>
      <c r="H39" s="431" t="n">
        <f aca="false">SUMIFS(門市請款明細表!$J$3:$J$1981,門市請款明細表!$H$3:$H$1981,$C39,門市請款明細表!$I$3:$I$1981,H$1)</f>
        <v>0</v>
      </c>
      <c r="I39" s="15" t="n">
        <f aca="false">SUM(E39:H39)</f>
        <v>0</v>
      </c>
      <c r="J39" s="0" t="str">
        <f aca="false">IF(D39=I39,"●","✖")</f>
        <v>●</v>
      </c>
    </row>
    <row r="40" customFormat="false" ht="16.5" hidden="false" customHeight="false" outlineLevel="0" collapsed="false">
      <c r="A40" s="431" t="n">
        <v>39</v>
      </c>
      <c r="B40" s="139" t="s">
        <v>4929</v>
      </c>
      <c r="C40" s="141" t="s">
        <v>385</v>
      </c>
      <c r="D40" s="141" t="n">
        <f aca="false">SUMIF(門市請款明細表!$H$3:$H$1981,$C40,門市請款明細表!$J$3:$J$1981)</f>
        <v>0</v>
      </c>
      <c r="E40" s="431" t="n">
        <f aca="false">SUMIFS(門市請款明細表!$J$3:$J$1981,門市請款明細表!$H$3:$H$1981,$C40,門市請款明細表!$I$3:$I$1981,E$1)</f>
        <v>0</v>
      </c>
      <c r="F40" s="431" t="n">
        <f aca="false">SUMIFS(門市請款明細表!$J$3:$J$1981,門市請款明細表!$H$3:$H$1981,$C40,門市請款明細表!$I$3:$I$1981,F$1)</f>
        <v>0</v>
      </c>
      <c r="G40" s="431" t="n">
        <f aca="false">SUMIFS(門市請款明細表!$J$3:$J$1981,門市請款明細表!$H$3:$H$1981,$C40,門市請款明細表!$I$3:$I$1981,G$1)</f>
        <v>0</v>
      </c>
      <c r="H40" s="431" t="n">
        <f aca="false">SUMIFS(門市請款明細表!$J$3:$J$1981,門市請款明細表!$H$3:$H$1981,$C40,門市請款明細表!$I$3:$I$1981,H$1)</f>
        <v>0</v>
      </c>
      <c r="I40" s="15" t="n">
        <f aca="false">SUM(E40:H40)</f>
        <v>0</v>
      </c>
      <c r="J40" s="0" t="str">
        <f aca="false">IF(D40=I40,"●","✖")</f>
        <v>●</v>
      </c>
    </row>
    <row r="41" customFormat="false" ht="16.5" hidden="false" customHeight="false" outlineLevel="0" collapsed="false">
      <c r="A41" s="431" t="n">
        <v>40</v>
      </c>
      <c r="B41" s="139" t="s">
        <v>4929</v>
      </c>
      <c r="C41" s="141" t="s">
        <v>167</v>
      </c>
      <c r="D41" s="141" t="n">
        <f aca="false">SUMIF(門市請款明細表!$H$3:$H$1981,$C41,門市請款明細表!$J$3:$J$1981)</f>
        <v>0</v>
      </c>
      <c r="E41" s="431" t="n">
        <f aca="false">SUMIFS(門市請款明細表!$J$3:$J$1981,門市請款明細表!$H$3:$H$1981,$C41,門市請款明細表!$I$3:$I$1981,E$1)</f>
        <v>0</v>
      </c>
      <c r="F41" s="431" t="n">
        <f aca="false">SUMIFS(門市請款明細表!$J$3:$J$1981,門市請款明細表!$H$3:$H$1981,$C41,門市請款明細表!$I$3:$I$1981,F$1)</f>
        <v>0</v>
      </c>
      <c r="G41" s="431" t="n">
        <f aca="false">SUMIFS(門市請款明細表!$J$3:$J$1981,門市請款明細表!$H$3:$H$1981,$C41,門市請款明細表!$I$3:$I$1981,G$1)</f>
        <v>0</v>
      </c>
      <c r="H41" s="431" t="n">
        <f aca="false">SUMIFS(門市請款明細表!$J$3:$J$1981,門市請款明細表!$H$3:$H$1981,$C41,門市請款明細表!$I$3:$I$1981,H$1)</f>
        <v>0</v>
      </c>
      <c r="I41" s="15" t="n">
        <f aca="false">SUM(E41:H41)</f>
        <v>0</v>
      </c>
      <c r="J41" s="0" t="str">
        <f aca="false">IF(D41=I41,"●","✖")</f>
        <v>●</v>
      </c>
    </row>
    <row r="42" customFormat="false" ht="16.5" hidden="false" customHeight="false" outlineLevel="0" collapsed="false">
      <c r="A42" s="431" t="n">
        <v>41</v>
      </c>
      <c r="B42" s="139" t="s">
        <v>4929</v>
      </c>
      <c r="C42" s="141" t="s">
        <v>175</v>
      </c>
      <c r="D42" s="141" t="n">
        <f aca="false">SUMIF(門市請款明細表!$H$3:$H$1981,$C42,門市請款明細表!$J$3:$J$1981)</f>
        <v>0</v>
      </c>
      <c r="E42" s="431" t="n">
        <f aca="false">SUMIFS(門市請款明細表!$J$3:$J$1981,門市請款明細表!$H$3:$H$1981,$C42,門市請款明細表!$I$3:$I$1981,E$1)</f>
        <v>0</v>
      </c>
      <c r="F42" s="431" t="n">
        <f aca="false">SUMIFS(門市請款明細表!$J$3:$J$1981,門市請款明細表!$H$3:$H$1981,$C42,門市請款明細表!$I$3:$I$1981,F$1)</f>
        <v>0</v>
      </c>
      <c r="G42" s="431" t="n">
        <f aca="false">SUMIFS(門市請款明細表!$J$3:$J$1981,門市請款明細表!$H$3:$H$1981,$C42,門市請款明細表!$I$3:$I$1981,G$1)</f>
        <v>0</v>
      </c>
      <c r="H42" s="431" t="n">
        <f aca="false">SUMIFS(門市請款明細表!$J$3:$J$1981,門市請款明細表!$H$3:$H$1981,$C42,門市請款明細表!$I$3:$I$1981,H$1)</f>
        <v>0</v>
      </c>
      <c r="I42" s="15" t="n">
        <f aca="false">SUM(E42:H42)</f>
        <v>0</v>
      </c>
      <c r="J42" s="0" t="str">
        <f aca="false">IF(D42=I42,"●","✖")</f>
        <v>●</v>
      </c>
    </row>
    <row r="43" customFormat="false" ht="16.5" hidden="false" customHeight="false" outlineLevel="0" collapsed="false">
      <c r="A43" s="431" t="n">
        <v>42</v>
      </c>
      <c r="B43" s="139" t="s">
        <v>4931</v>
      </c>
      <c r="C43" s="141" t="s">
        <v>200</v>
      </c>
      <c r="D43" s="141" t="n">
        <f aca="false">SUMIF(門市請款明細表!$H$3:$H$1981,$C43,門市請款明細表!$J$3:$J$1981)</f>
        <v>0</v>
      </c>
      <c r="E43" s="431" t="n">
        <f aca="false">SUMIFS(門市請款明細表!$J$3:$J$1981,門市請款明細表!$H$3:$H$1981,$C43,門市請款明細表!$I$3:$I$1981,E$1)</f>
        <v>0</v>
      </c>
      <c r="F43" s="431" t="n">
        <f aca="false">SUMIFS(門市請款明細表!$J$3:$J$1981,門市請款明細表!$H$3:$H$1981,$C43,門市請款明細表!$I$3:$I$1981,F$1)</f>
        <v>0</v>
      </c>
      <c r="G43" s="431" t="n">
        <f aca="false">SUMIFS(門市請款明細表!$J$3:$J$1981,門市請款明細表!$H$3:$H$1981,$C43,門市請款明細表!$I$3:$I$1981,G$1)</f>
        <v>0</v>
      </c>
      <c r="H43" s="431" t="n">
        <f aca="false">SUMIFS(門市請款明細表!$J$3:$J$1981,門市請款明細表!$H$3:$H$1981,$C43,門市請款明細表!$I$3:$I$1981,H$1)</f>
        <v>0</v>
      </c>
      <c r="I43" s="15" t="n">
        <f aca="false">SUM(E43:H43)</f>
        <v>0</v>
      </c>
      <c r="J43" s="0" t="str">
        <f aca="false">IF(D43=I43,"●","✖")</f>
        <v>●</v>
      </c>
    </row>
    <row r="44" customFormat="false" ht="16.5" hidden="false" customHeight="false" outlineLevel="0" collapsed="false">
      <c r="A44" s="431" t="n">
        <v>43</v>
      </c>
      <c r="B44" s="139" t="s">
        <v>4931</v>
      </c>
      <c r="C44" s="141" t="s">
        <v>229</v>
      </c>
      <c r="D44" s="141" t="n">
        <f aca="false">SUMIF(門市請款明細表!$H$3:$H$1981,$C44,門市請款明細表!$J$3:$J$1981)</f>
        <v>0</v>
      </c>
      <c r="E44" s="431" t="n">
        <f aca="false">SUMIFS(門市請款明細表!$J$3:$J$1981,門市請款明細表!$H$3:$H$1981,$C44,門市請款明細表!$I$3:$I$1981,E$1)</f>
        <v>0</v>
      </c>
      <c r="F44" s="431" t="n">
        <f aca="false">SUMIFS(門市請款明細表!$J$3:$J$1981,門市請款明細表!$H$3:$H$1981,$C44,門市請款明細表!$I$3:$I$1981,F$1)</f>
        <v>0</v>
      </c>
      <c r="G44" s="431" t="n">
        <f aca="false">SUMIFS(門市請款明細表!$J$3:$J$1981,門市請款明細表!$H$3:$H$1981,$C44,門市請款明細表!$I$3:$I$1981,G$1)</f>
        <v>0</v>
      </c>
      <c r="H44" s="431" t="n">
        <f aca="false">SUMIFS(門市請款明細表!$J$3:$J$1981,門市請款明細表!$H$3:$H$1981,$C44,門市請款明細表!$I$3:$I$1981,H$1)</f>
        <v>0</v>
      </c>
      <c r="I44" s="15" t="n">
        <f aca="false">SUM(E44:H44)</f>
        <v>0</v>
      </c>
      <c r="J44" s="0" t="str">
        <f aca="false">IF(D44=I44,"●","✖")</f>
        <v>●</v>
      </c>
    </row>
    <row r="45" customFormat="false" ht="16.5" hidden="false" customHeight="false" outlineLevel="0" collapsed="false">
      <c r="A45" s="431" t="n">
        <v>44</v>
      </c>
      <c r="B45" s="139" t="s">
        <v>4929</v>
      </c>
      <c r="C45" s="141" t="s">
        <v>281</v>
      </c>
      <c r="D45" s="141" t="n">
        <f aca="false">SUMIF(門市請款明細表!$H$3:$H$1981,$C45,門市請款明細表!$J$3:$J$1981)</f>
        <v>0</v>
      </c>
      <c r="E45" s="431" t="n">
        <f aca="false">SUMIFS(門市請款明細表!$J$3:$J$1981,門市請款明細表!$H$3:$H$1981,$C45,門市請款明細表!$I$3:$I$1981,E$1)</f>
        <v>0</v>
      </c>
      <c r="F45" s="431" t="n">
        <f aca="false">SUMIFS(門市請款明細表!$J$3:$J$1981,門市請款明細表!$H$3:$H$1981,$C45,門市請款明細表!$I$3:$I$1981,F$1)</f>
        <v>0</v>
      </c>
      <c r="G45" s="431" t="n">
        <f aca="false">SUMIFS(門市請款明細表!$J$3:$J$1981,門市請款明細表!$H$3:$H$1981,$C45,門市請款明細表!$I$3:$I$1981,G$1)</f>
        <v>0</v>
      </c>
      <c r="H45" s="431" t="n">
        <f aca="false">SUMIFS(門市請款明細表!$J$3:$J$1981,門市請款明細表!$H$3:$H$1981,$C45,門市請款明細表!$I$3:$I$1981,H$1)</f>
        <v>0</v>
      </c>
      <c r="I45" s="15" t="n">
        <f aca="false">SUM(E45:H45)</f>
        <v>0</v>
      </c>
      <c r="J45" s="0" t="str">
        <f aca="false">IF(D45=I45,"●","✖")</f>
        <v>●</v>
      </c>
    </row>
    <row r="46" customFormat="false" ht="16.5" hidden="false" customHeight="false" outlineLevel="0" collapsed="false">
      <c r="A46" s="431" t="n">
        <v>45</v>
      </c>
      <c r="B46" s="139" t="s">
        <v>4931</v>
      </c>
      <c r="C46" s="141" t="s">
        <v>414</v>
      </c>
      <c r="D46" s="141" t="n">
        <f aca="false">SUMIF(門市請款明細表!$H$3:$H$1981,$C46,門市請款明細表!$J$3:$J$1981)</f>
        <v>0</v>
      </c>
      <c r="E46" s="431" t="n">
        <f aca="false">SUMIFS(門市請款明細表!$J$3:$J$1981,門市請款明細表!$H$3:$H$1981,$C46,門市請款明細表!$I$3:$I$1981,E$1)</f>
        <v>0</v>
      </c>
      <c r="F46" s="431" t="n">
        <f aca="false">SUMIFS(門市請款明細表!$J$3:$J$1981,門市請款明細表!$H$3:$H$1981,$C46,門市請款明細表!$I$3:$I$1981,F$1)</f>
        <v>0</v>
      </c>
      <c r="G46" s="431" t="n">
        <f aca="false">SUMIFS(門市請款明細表!$J$3:$J$1981,門市請款明細表!$H$3:$H$1981,$C46,門市請款明細表!$I$3:$I$1981,G$1)</f>
        <v>0</v>
      </c>
      <c r="H46" s="431" t="n">
        <f aca="false">SUMIFS(門市請款明細表!$J$3:$J$1981,門市請款明細表!$H$3:$H$1981,$C46,門市請款明細表!$I$3:$I$1981,H$1)</f>
        <v>0</v>
      </c>
      <c r="I46" s="15" t="n">
        <f aca="false">SUM(E46:H46)</f>
        <v>0</v>
      </c>
      <c r="J46" s="0" t="str">
        <f aca="false">IF(D46=I46,"●","✖")</f>
        <v>●</v>
      </c>
    </row>
    <row r="47" customFormat="false" ht="16.5" hidden="false" customHeight="false" outlineLevel="0" collapsed="false">
      <c r="A47" s="431" t="n">
        <v>46</v>
      </c>
      <c r="B47" s="139" t="s">
        <v>4929</v>
      </c>
      <c r="C47" s="141" t="s">
        <v>21</v>
      </c>
      <c r="D47" s="141" t="n">
        <f aca="false">SUMIF(門市請款明細表!$H$3:$H$1981,$C47,門市請款明細表!$J$3:$J$1981)</f>
        <v>0</v>
      </c>
      <c r="E47" s="431" t="n">
        <f aca="false">SUMIFS(門市請款明細表!$J$3:$J$1981,門市請款明細表!$H$3:$H$1981,$C47,門市請款明細表!$I$3:$I$1981,E$1)</f>
        <v>0</v>
      </c>
      <c r="F47" s="431" t="n">
        <f aca="false">SUMIFS(門市請款明細表!$J$3:$J$1981,門市請款明細表!$H$3:$H$1981,$C47,門市請款明細表!$I$3:$I$1981,F$1)</f>
        <v>0</v>
      </c>
      <c r="G47" s="431" t="n">
        <f aca="false">SUMIFS(門市請款明細表!$J$3:$J$1981,門市請款明細表!$H$3:$H$1981,$C47,門市請款明細表!$I$3:$I$1981,G$1)</f>
        <v>0</v>
      </c>
      <c r="H47" s="431" t="n">
        <f aca="false">SUMIFS(門市請款明細表!$J$3:$J$1981,門市請款明細表!$H$3:$H$1981,$C47,門市請款明細表!$I$3:$I$1981,H$1)</f>
        <v>0</v>
      </c>
      <c r="I47" s="15" t="n">
        <f aca="false">SUM(E47:H47)</f>
        <v>0</v>
      </c>
      <c r="J47" s="0" t="str">
        <f aca="false">IF(D47=I47,"●","✖")</f>
        <v>●</v>
      </c>
    </row>
    <row r="48" customFormat="false" ht="16.5" hidden="false" customHeight="false" outlineLevel="0" collapsed="false">
      <c r="A48" s="431" t="n">
        <v>47</v>
      </c>
      <c r="B48" s="139" t="s">
        <v>4929</v>
      </c>
      <c r="C48" s="141" t="s">
        <v>99</v>
      </c>
      <c r="D48" s="141" t="n">
        <f aca="false">SUMIF(門市請款明細表!$H$3:$H$1981,$C48,門市請款明細表!$J$3:$J$1981)</f>
        <v>0</v>
      </c>
      <c r="E48" s="431" t="n">
        <f aca="false">SUMIFS(門市請款明細表!$J$3:$J$1981,門市請款明細表!$H$3:$H$1981,$C48,門市請款明細表!$I$3:$I$1981,E$1)</f>
        <v>0</v>
      </c>
      <c r="F48" s="431" t="n">
        <f aca="false">SUMIFS(門市請款明細表!$J$3:$J$1981,門市請款明細表!$H$3:$H$1981,$C48,門市請款明細表!$I$3:$I$1981,F$1)</f>
        <v>0</v>
      </c>
      <c r="G48" s="431" t="n">
        <f aca="false">SUMIFS(門市請款明細表!$J$3:$J$1981,門市請款明細表!$H$3:$H$1981,$C48,門市請款明細表!$I$3:$I$1981,G$1)</f>
        <v>0</v>
      </c>
      <c r="H48" s="431" t="n">
        <f aca="false">SUMIFS(門市請款明細表!$J$3:$J$1981,門市請款明細表!$H$3:$H$1981,$C48,門市請款明細表!$I$3:$I$1981,H$1)</f>
        <v>0</v>
      </c>
      <c r="I48" s="15" t="n">
        <f aca="false">SUM(E48:H48)</f>
        <v>0</v>
      </c>
      <c r="J48" s="0" t="str">
        <f aca="false">IF(D48=I48,"●","✖")</f>
        <v>●</v>
      </c>
    </row>
    <row r="49" customFormat="false" ht="16.5" hidden="false" customHeight="false" outlineLevel="0" collapsed="false">
      <c r="A49" s="431" t="n">
        <v>48</v>
      </c>
      <c r="B49" s="139" t="s">
        <v>4929</v>
      </c>
      <c r="C49" s="141" t="s">
        <v>214</v>
      </c>
      <c r="D49" s="141" t="n">
        <f aca="false">SUMIF(門市請款明細表!$H$3:$H$1981,$C49,門市請款明細表!$J$3:$J$1981)</f>
        <v>0</v>
      </c>
      <c r="E49" s="431" t="n">
        <f aca="false">SUMIFS(門市請款明細表!$J$3:$J$1981,門市請款明細表!$H$3:$H$1981,$C49,門市請款明細表!$I$3:$I$1981,E$1)</f>
        <v>0</v>
      </c>
      <c r="F49" s="431" t="n">
        <f aca="false">SUMIFS(門市請款明細表!$J$3:$J$1981,門市請款明細表!$H$3:$H$1981,$C49,門市請款明細表!$I$3:$I$1981,F$1)</f>
        <v>0</v>
      </c>
      <c r="G49" s="431" t="n">
        <f aca="false">SUMIFS(門市請款明細表!$J$3:$J$1981,門市請款明細表!$H$3:$H$1981,$C49,門市請款明細表!$I$3:$I$1981,G$1)</f>
        <v>0</v>
      </c>
      <c r="H49" s="431" t="n">
        <f aca="false">SUMIFS(門市請款明細表!$J$3:$J$1981,門市請款明細表!$H$3:$H$1981,$C49,門市請款明細表!$I$3:$I$1981,H$1)</f>
        <v>0</v>
      </c>
      <c r="I49" s="15" t="n">
        <f aca="false">SUM(E49:H49)</f>
        <v>0</v>
      </c>
      <c r="J49" s="0" t="str">
        <f aca="false">IF(D49=I49,"●","✖")</f>
        <v>●</v>
      </c>
    </row>
    <row r="50" customFormat="false" ht="16.5" hidden="false" customHeight="false" outlineLevel="0" collapsed="false">
      <c r="A50" s="431" t="n">
        <v>49</v>
      </c>
      <c r="B50" s="139" t="s">
        <v>4929</v>
      </c>
      <c r="C50" s="141" t="s">
        <v>215</v>
      </c>
      <c r="D50" s="141" t="n">
        <f aca="false">SUMIF(門市請款明細表!$H$3:$H$1981,$C50,門市請款明細表!$J$3:$J$1981)</f>
        <v>0</v>
      </c>
      <c r="E50" s="431" t="n">
        <f aca="false">SUMIFS(門市請款明細表!$J$3:$J$1981,門市請款明細表!$H$3:$H$1981,$C50,門市請款明細表!$I$3:$I$1981,E$1)</f>
        <v>0</v>
      </c>
      <c r="F50" s="431" t="n">
        <f aca="false">SUMIFS(門市請款明細表!$J$3:$J$1981,門市請款明細表!$H$3:$H$1981,$C50,門市請款明細表!$I$3:$I$1981,F$1)</f>
        <v>0</v>
      </c>
      <c r="G50" s="431" t="n">
        <f aca="false">SUMIFS(門市請款明細表!$J$3:$J$1981,門市請款明細表!$H$3:$H$1981,$C50,門市請款明細表!$I$3:$I$1981,G$1)</f>
        <v>0</v>
      </c>
      <c r="H50" s="431" t="n">
        <f aca="false">SUMIFS(門市請款明細表!$J$3:$J$1981,門市請款明細表!$H$3:$H$1981,$C50,門市請款明細表!$I$3:$I$1981,H$1)</f>
        <v>0</v>
      </c>
      <c r="I50" s="15" t="n">
        <f aca="false">SUM(E50:H50)</f>
        <v>0</v>
      </c>
      <c r="J50" s="0" t="str">
        <f aca="false">IF(D50=I50,"●","✖")</f>
        <v>●</v>
      </c>
    </row>
    <row r="51" customFormat="false" ht="16.5" hidden="false" customHeight="false" outlineLevel="0" collapsed="false">
      <c r="A51" s="431" t="n">
        <v>50</v>
      </c>
      <c r="B51" s="139" t="s">
        <v>4929</v>
      </c>
      <c r="C51" s="141" t="s">
        <v>278</v>
      </c>
      <c r="D51" s="141" t="n">
        <f aca="false">SUMIF(門市請款明細表!$H$3:$H$1981,$C51,門市請款明細表!$J$3:$J$1981)</f>
        <v>0</v>
      </c>
      <c r="E51" s="431" t="n">
        <f aca="false">SUMIFS(門市請款明細表!$J$3:$J$1981,門市請款明細表!$H$3:$H$1981,$C51,門市請款明細表!$I$3:$I$1981,E$1)</f>
        <v>0</v>
      </c>
      <c r="F51" s="431" t="n">
        <f aca="false">SUMIFS(門市請款明細表!$J$3:$J$1981,門市請款明細表!$H$3:$H$1981,$C51,門市請款明細表!$I$3:$I$1981,F$1)</f>
        <v>0</v>
      </c>
      <c r="G51" s="431" t="n">
        <f aca="false">SUMIFS(門市請款明細表!$J$3:$J$1981,門市請款明細表!$H$3:$H$1981,$C51,門市請款明細表!$I$3:$I$1981,G$1)</f>
        <v>0</v>
      </c>
      <c r="H51" s="431" t="n">
        <f aca="false">SUMIFS(門市請款明細表!$J$3:$J$1981,門市請款明細表!$H$3:$H$1981,$C51,門市請款明細表!$I$3:$I$1981,H$1)</f>
        <v>0</v>
      </c>
      <c r="I51" s="15" t="n">
        <f aca="false">SUM(E51:H51)</f>
        <v>0</v>
      </c>
      <c r="J51" s="0" t="str">
        <f aca="false">IF(D51=I51,"●","✖")</f>
        <v>●</v>
      </c>
    </row>
    <row r="52" customFormat="false" ht="16.5" hidden="false" customHeight="false" outlineLevel="0" collapsed="false">
      <c r="A52" s="431" t="n">
        <v>51</v>
      </c>
      <c r="B52" s="139" t="s">
        <v>4929</v>
      </c>
      <c r="C52" s="141" t="s">
        <v>396</v>
      </c>
      <c r="D52" s="141" t="n">
        <f aca="false">SUMIF(門市請款明細表!$H$3:$H$1981,$C52,門市請款明細表!$J$3:$J$1981)</f>
        <v>0</v>
      </c>
      <c r="E52" s="431" t="n">
        <f aca="false">SUMIFS(門市請款明細表!$J$3:$J$1981,門市請款明細表!$H$3:$H$1981,$C52,門市請款明細表!$I$3:$I$1981,E$1)</f>
        <v>0</v>
      </c>
      <c r="F52" s="431" t="n">
        <f aca="false">SUMIFS(門市請款明細表!$J$3:$J$1981,門市請款明細表!$H$3:$H$1981,$C52,門市請款明細表!$I$3:$I$1981,F$1)</f>
        <v>0</v>
      </c>
      <c r="G52" s="431" t="n">
        <f aca="false">SUMIFS(門市請款明細表!$J$3:$J$1981,門市請款明細表!$H$3:$H$1981,$C52,門市請款明細表!$I$3:$I$1981,G$1)</f>
        <v>0</v>
      </c>
      <c r="H52" s="431" t="n">
        <f aca="false">SUMIFS(門市請款明細表!$J$3:$J$1981,門市請款明細表!$H$3:$H$1981,$C52,門市請款明細表!$I$3:$I$1981,H$1)</f>
        <v>0</v>
      </c>
      <c r="I52" s="15" t="n">
        <f aca="false">SUM(E52:H52)</f>
        <v>0</v>
      </c>
      <c r="J52" s="0" t="str">
        <f aca="false">IF(D52=I52,"●","✖")</f>
        <v>●</v>
      </c>
    </row>
    <row r="53" customFormat="false" ht="16.5" hidden="false" customHeight="false" outlineLevel="0" collapsed="false">
      <c r="A53" s="431" t="n">
        <v>52</v>
      </c>
      <c r="B53" s="139" t="s">
        <v>4929</v>
      </c>
      <c r="C53" s="141" t="s">
        <v>423</v>
      </c>
      <c r="D53" s="141" t="n">
        <f aca="false">SUMIF(門市請款明細表!$H$3:$H$1981,$C53,門市請款明細表!$J$3:$J$1981)</f>
        <v>0</v>
      </c>
      <c r="E53" s="431" t="n">
        <f aca="false">SUMIFS(門市請款明細表!$J$3:$J$1981,門市請款明細表!$H$3:$H$1981,$C53,門市請款明細表!$I$3:$I$1981,E$1)</f>
        <v>0</v>
      </c>
      <c r="F53" s="431" t="n">
        <f aca="false">SUMIFS(門市請款明細表!$J$3:$J$1981,門市請款明細表!$H$3:$H$1981,$C53,門市請款明細表!$I$3:$I$1981,F$1)</f>
        <v>0</v>
      </c>
      <c r="G53" s="431" t="n">
        <f aca="false">SUMIFS(門市請款明細表!$J$3:$J$1981,門市請款明細表!$H$3:$H$1981,$C53,門市請款明細表!$I$3:$I$1981,G$1)</f>
        <v>0</v>
      </c>
      <c r="H53" s="431" t="n">
        <f aca="false">SUMIFS(門市請款明細表!$J$3:$J$1981,門市請款明細表!$H$3:$H$1981,$C53,門市請款明細表!$I$3:$I$1981,H$1)</f>
        <v>0</v>
      </c>
      <c r="I53" s="15" t="n">
        <f aca="false">SUM(E53:H53)</f>
        <v>0</v>
      </c>
      <c r="J53" s="0" t="str">
        <f aca="false">IF(D53=I53,"●","✖")</f>
        <v>●</v>
      </c>
    </row>
    <row r="54" customFormat="false" ht="16.5" hidden="false" customHeight="false" outlineLevel="0" collapsed="false">
      <c r="A54" s="431" t="n">
        <v>53</v>
      </c>
      <c r="B54" s="139" t="s">
        <v>4929</v>
      </c>
      <c r="C54" s="141" t="s">
        <v>58</v>
      </c>
      <c r="D54" s="141" t="n">
        <f aca="false">SUMIF(門市請款明細表!$H$3:$H$1981,$C54,門市請款明細表!$J$3:$J$1981)</f>
        <v>0</v>
      </c>
      <c r="E54" s="431" t="n">
        <f aca="false">SUMIFS(門市請款明細表!$J$3:$J$1981,門市請款明細表!$H$3:$H$1981,$C54,門市請款明細表!$I$3:$I$1981,E$1)</f>
        <v>0</v>
      </c>
      <c r="F54" s="431" t="n">
        <f aca="false">SUMIFS(門市請款明細表!$J$3:$J$1981,門市請款明細表!$H$3:$H$1981,$C54,門市請款明細表!$I$3:$I$1981,F$1)</f>
        <v>0</v>
      </c>
      <c r="G54" s="431" t="n">
        <f aca="false">SUMIFS(門市請款明細表!$J$3:$J$1981,門市請款明細表!$H$3:$H$1981,$C54,門市請款明細表!$I$3:$I$1981,G$1)</f>
        <v>0</v>
      </c>
      <c r="H54" s="431" t="n">
        <f aca="false">SUMIFS(門市請款明細表!$J$3:$J$1981,門市請款明細表!$H$3:$H$1981,$C54,門市請款明細表!$I$3:$I$1981,H$1)</f>
        <v>0</v>
      </c>
      <c r="I54" s="15" t="n">
        <f aca="false">SUM(E54:H54)</f>
        <v>0</v>
      </c>
      <c r="J54" s="0" t="str">
        <f aca="false">IF(D54=I54,"●","✖")</f>
        <v>●</v>
      </c>
    </row>
    <row r="55" customFormat="false" ht="16.5" hidden="false" customHeight="false" outlineLevel="0" collapsed="false">
      <c r="A55" s="431" t="n">
        <v>54</v>
      </c>
      <c r="B55" s="139" t="s">
        <v>4929</v>
      </c>
      <c r="C55" s="141" t="s">
        <v>149</v>
      </c>
      <c r="D55" s="141" t="n">
        <f aca="false">SUMIF(門市請款明細表!$H$3:$H$1981,$C55,門市請款明細表!$J$3:$J$1981)</f>
        <v>0</v>
      </c>
      <c r="E55" s="431" t="n">
        <f aca="false">SUMIFS(門市請款明細表!$J$3:$J$1981,門市請款明細表!$H$3:$H$1981,$C55,門市請款明細表!$I$3:$I$1981,E$1)</f>
        <v>0</v>
      </c>
      <c r="F55" s="431" t="n">
        <f aca="false">SUMIFS(門市請款明細表!$J$3:$J$1981,門市請款明細表!$H$3:$H$1981,$C55,門市請款明細表!$I$3:$I$1981,F$1)</f>
        <v>0</v>
      </c>
      <c r="G55" s="431" t="n">
        <f aca="false">SUMIFS(門市請款明細表!$J$3:$J$1981,門市請款明細表!$H$3:$H$1981,$C55,門市請款明細表!$I$3:$I$1981,G$1)</f>
        <v>0</v>
      </c>
      <c r="H55" s="431" t="n">
        <f aca="false">SUMIFS(門市請款明細表!$J$3:$J$1981,門市請款明細表!$H$3:$H$1981,$C55,門市請款明細表!$I$3:$I$1981,H$1)</f>
        <v>0</v>
      </c>
      <c r="I55" s="15" t="n">
        <f aca="false">SUM(E55:H55)</f>
        <v>0</v>
      </c>
      <c r="J55" s="0" t="str">
        <f aca="false">IF(D55=I55,"●","✖")</f>
        <v>●</v>
      </c>
    </row>
    <row r="56" customFormat="false" ht="16.5" hidden="false" customHeight="false" outlineLevel="0" collapsed="false">
      <c r="A56" s="431" t="n">
        <v>55</v>
      </c>
      <c r="B56" s="139" t="s">
        <v>4929</v>
      </c>
      <c r="C56" s="141" t="s">
        <v>176</v>
      </c>
      <c r="D56" s="141" t="n">
        <f aca="false">SUMIF(門市請款明細表!$H$3:$H$1981,$C56,門市請款明細表!$J$3:$J$1981)</f>
        <v>0</v>
      </c>
      <c r="E56" s="431" t="n">
        <f aca="false">SUMIFS(門市請款明細表!$J$3:$J$1981,門市請款明細表!$H$3:$H$1981,$C56,門市請款明細表!$I$3:$I$1981,E$1)</f>
        <v>0</v>
      </c>
      <c r="F56" s="431" t="n">
        <f aca="false">SUMIFS(門市請款明細表!$J$3:$J$1981,門市請款明細表!$H$3:$H$1981,$C56,門市請款明細表!$I$3:$I$1981,F$1)</f>
        <v>0</v>
      </c>
      <c r="G56" s="431" t="n">
        <f aca="false">SUMIFS(門市請款明細表!$J$3:$J$1981,門市請款明細表!$H$3:$H$1981,$C56,門市請款明細表!$I$3:$I$1981,G$1)</f>
        <v>0</v>
      </c>
      <c r="H56" s="431" t="n">
        <f aca="false">SUMIFS(門市請款明細表!$J$3:$J$1981,門市請款明細表!$H$3:$H$1981,$C56,門市請款明細表!$I$3:$I$1981,H$1)</f>
        <v>0</v>
      </c>
      <c r="I56" s="15" t="n">
        <f aca="false">SUM(E56:H56)</f>
        <v>0</v>
      </c>
      <c r="J56" s="0" t="str">
        <f aca="false">IF(D56=I56,"●","✖")</f>
        <v>●</v>
      </c>
    </row>
    <row r="57" customFormat="false" ht="16.5" hidden="false" customHeight="false" outlineLevel="0" collapsed="false">
      <c r="A57" s="431" t="n">
        <v>56</v>
      </c>
      <c r="B57" s="139" t="s">
        <v>4929</v>
      </c>
      <c r="C57" s="141" t="s">
        <v>213</v>
      </c>
      <c r="D57" s="141" t="n">
        <f aca="false">SUMIF(門市請款明細表!$H$3:$H$1981,$C57,門市請款明細表!$J$3:$J$1981)</f>
        <v>0</v>
      </c>
      <c r="E57" s="431" t="n">
        <f aca="false">SUMIFS(門市請款明細表!$J$3:$J$1981,門市請款明細表!$H$3:$H$1981,$C57,門市請款明細表!$I$3:$I$1981,E$1)</f>
        <v>0</v>
      </c>
      <c r="F57" s="431" t="n">
        <f aca="false">SUMIFS(門市請款明細表!$J$3:$J$1981,門市請款明細表!$H$3:$H$1981,$C57,門市請款明細表!$I$3:$I$1981,F$1)</f>
        <v>0</v>
      </c>
      <c r="G57" s="431" t="n">
        <f aca="false">SUMIFS(門市請款明細表!$J$3:$J$1981,門市請款明細表!$H$3:$H$1981,$C57,門市請款明細表!$I$3:$I$1981,G$1)</f>
        <v>0</v>
      </c>
      <c r="H57" s="431" t="n">
        <f aca="false">SUMIFS(門市請款明細表!$J$3:$J$1981,門市請款明細表!$H$3:$H$1981,$C57,門市請款明細表!$I$3:$I$1981,H$1)</f>
        <v>0</v>
      </c>
      <c r="I57" s="15" t="n">
        <f aca="false">SUM(E57:H57)</f>
        <v>0</v>
      </c>
      <c r="J57" s="0" t="str">
        <f aca="false">IF(D57=I57,"●","✖")</f>
        <v>●</v>
      </c>
    </row>
    <row r="58" customFormat="false" ht="16.5" hidden="false" customHeight="false" outlineLevel="0" collapsed="false">
      <c r="A58" s="431" t="n">
        <v>57</v>
      </c>
      <c r="B58" s="139" t="s">
        <v>4929</v>
      </c>
      <c r="C58" s="141" t="s">
        <v>326</v>
      </c>
      <c r="D58" s="141" t="n">
        <f aca="false">SUMIF(門市請款明細表!$H$3:$H$1981,$C58,門市請款明細表!$J$3:$J$1981)</f>
        <v>0</v>
      </c>
      <c r="E58" s="431" t="n">
        <f aca="false">SUMIFS(門市請款明細表!$J$3:$J$1981,門市請款明細表!$H$3:$H$1981,$C58,門市請款明細表!$I$3:$I$1981,E$1)</f>
        <v>0</v>
      </c>
      <c r="F58" s="431" t="n">
        <f aca="false">SUMIFS(門市請款明細表!$J$3:$J$1981,門市請款明細表!$H$3:$H$1981,$C58,門市請款明細表!$I$3:$I$1981,F$1)</f>
        <v>0</v>
      </c>
      <c r="G58" s="431" t="n">
        <f aca="false">SUMIFS(門市請款明細表!$J$3:$J$1981,門市請款明細表!$H$3:$H$1981,$C58,門市請款明細表!$I$3:$I$1981,G$1)</f>
        <v>0</v>
      </c>
      <c r="H58" s="431" t="n">
        <f aca="false">SUMIFS(門市請款明細表!$J$3:$J$1981,門市請款明細表!$H$3:$H$1981,$C58,門市請款明細表!$I$3:$I$1981,H$1)</f>
        <v>0</v>
      </c>
      <c r="I58" s="15" t="n">
        <f aca="false">SUM(E58:H58)</f>
        <v>0</v>
      </c>
      <c r="J58" s="0" t="str">
        <f aca="false">IF(D58=I58,"●","✖")</f>
        <v>●</v>
      </c>
    </row>
    <row r="59" customFormat="false" ht="16.5" hidden="false" customHeight="false" outlineLevel="0" collapsed="false">
      <c r="A59" s="431" t="n">
        <v>58</v>
      </c>
      <c r="B59" s="139" t="s">
        <v>4929</v>
      </c>
      <c r="C59" s="141" t="s">
        <v>386</v>
      </c>
      <c r="D59" s="141" t="n">
        <f aca="false">SUMIF(門市請款明細表!$H$3:$H$1981,$C59,門市請款明細表!$J$3:$J$1981)</f>
        <v>0</v>
      </c>
      <c r="E59" s="431" t="n">
        <f aca="false">SUMIFS(門市請款明細表!$J$3:$J$1981,門市請款明細表!$H$3:$H$1981,$C59,門市請款明細表!$I$3:$I$1981,E$1)</f>
        <v>0</v>
      </c>
      <c r="F59" s="431" t="n">
        <f aca="false">SUMIFS(門市請款明細表!$J$3:$J$1981,門市請款明細表!$H$3:$H$1981,$C59,門市請款明細表!$I$3:$I$1981,F$1)</f>
        <v>0</v>
      </c>
      <c r="G59" s="431" t="n">
        <f aca="false">SUMIFS(門市請款明細表!$J$3:$J$1981,門市請款明細表!$H$3:$H$1981,$C59,門市請款明細表!$I$3:$I$1981,G$1)</f>
        <v>0</v>
      </c>
      <c r="H59" s="431" t="n">
        <f aca="false">SUMIFS(門市請款明細表!$J$3:$J$1981,門市請款明細表!$H$3:$H$1981,$C59,門市請款明細表!$I$3:$I$1981,H$1)</f>
        <v>0</v>
      </c>
      <c r="I59" s="15" t="n">
        <f aca="false">SUM(E59:H59)</f>
        <v>0</v>
      </c>
      <c r="J59" s="0" t="str">
        <f aca="false">IF(D59=I59,"●","✖")</f>
        <v>●</v>
      </c>
    </row>
    <row r="60" customFormat="false" ht="16.5" hidden="false" customHeight="false" outlineLevel="0" collapsed="false">
      <c r="A60" s="431" t="n">
        <v>59</v>
      </c>
      <c r="B60" s="139" t="s">
        <v>4929</v>
      </c>
      <c r="C60" s="141" t="s">
        <v>408</v>
      </c>
      <c r="D60" s="141" t="n">
        <f aca="false">SUMIF(門市請款明細表!$H$3:$H$1981,$C60,門市請款明細表!$J$3:$J$1981)</f>
        <v>0</v>
      </c>
      <c r="E60" s="431" t="n">
        <f aca="false">SUMIFS(門市請款明細表!$J$3:$J$1981,門市請款明細表!$H$3:$H$1981,$C60,門市請款明細表!$I$3:$I$1981,E$1)</f>
        <v>0</v>
      </c>
      <c r="F60" s="431" t="n">
        <f aca="false">SUMIFS(門市請款明細表!$J$3:$J$1981,門市請款明細表!$H$3:$H$1981,$C60,門市請款明細表!$I$3:$I$1981,F$1)</f>
        <v>0</v>
      </c>
      <c r="G60" s="431" t="n">
        <f aca="false">SUMIFS(門市請款明細表!$J$3:$J$1981,門市請款明細表!$H$3:$H$1981,$C60,門市請款明細表!$I$3:$I$1981,G$1)</f>
        <v>0</v>
      </c>
      <c r="H60" s="431" t="n">
        <f aca="false">SUMIFS(門市請款明細表!$J$3:$J$1981,門市請款明細表!$H$3:$H$1981,$C60,門市請款明細表!$I$3:$I$1981,H$1)</f>
        <v>0</v>
      </c>
      <c r="I60" s="15" t="n">
        <f aca="false">SUM(E60:H60)</f>
        <v>0</v>
      </c>
      <c r="J60" s="0" t="str">
        <f aca="false">IF(D60=I60,"●","✖")</f>
        <v>●</v>
      </c>
    </row>
    <row r="61" customFormat="false" ht="16.5" hidden="false" customHeight="false" outlineLevel="0" collapsed="false">
      <c r="A61" s="431" t="n">
        <v>60</v>
      </c>
      <c r="B61" s="139" t="s">
        <v>4929</v>
      </c>
      <c r="C61" s="141" t="s">
        <v>19</v>
      </c>
      <c r="D61" s="141" t="n">
        <f aca="false">SUMIF(門市請款明細表!$H$3:$H$1981,$C61,門市請款明細表!$J$3:$J$1981)</f>
        <v>0</v>
      </c>
      <c r="E61" s="431" t="n">
        <f aca="false">SUMIFS(門市請款明細表!$J$3:$J$1981,門市請款明細表!$H$3:$H$1981,$C61,門市請款明細表!$I$3:$I$1981,E$1)</f>
        <v>0</v>
      </c>
      <c r="F61" s="431" t="n">
        <f aca="false">SUMIFS(門市請款明細表!$J$3:$J$1981,門市請款明細表!$H$3:$H$1981,$C61,門市請款明細表!$I$3:$I$1981,F$1)</f>
        <v>0</v>
      </c>
      <c r="G61" s="431" t="n">
        <f aca="false">SUMIFS(門市請款明細表!$J$3:$J$1981,門市請款明細表!$H$3:$H$1981,$C61,門市請款明細表!$I$3:$I$1981,G$1)</f>
        <v>0</v>
      </c>
      <c r="H61" s="431" t="n">
        <f aca="false">SUMIFS(門市請款明細表!$J$3:$J$1981,門市請款明細表!$H$3:$H$1981,$C61,門市請款明細表!$I$3:$I$1981,H$1)</f>
        <v>0</v>
      </c>
      <c r="I61" s="15" t="n">
        <f aca="false">SUM(E61:H61)</f>
        <v>0</v>
      </c>
      <c r="J61" s="0" t="str">
        <f aca="false">IF(D61=I61,"●","✖")</f>
        <v>●</v>
      </c>
    </row>
    <row r="62" customFormat="false" ht="16.5" hidden="false" customHeight="false" outlineLevel="0" collapsed="false">
      <c r="A62" s="431" t="n">
        <v>61</v>
      </c>
      <c r="B62" s="139" t="s">
        <v>4929</v>
      </c>
      <c r="C62" s="141" t="s">
        <v>205</v>
      </c>
      <c r="D62" s="141" t="n">
        <f aca="false">SUMIF(門市請款明細表!$H$3:$H$1981,$C62,門市請款明細表!$J$3:$J$1981)</f>
        <v>0</v>
      </c>
      <c r="E62" s="431" t="n">
        <f aca="false">SUMIFS(門市請款明細表!$J$3:$J$1981,門市請款明細表!$H$3:$H$1981,$C62,門市請款明細表!$I$3:$I$1981,E$1)</f>
        <v>0</v>
      </c>
      <c r="F62" s="431" t="n">
        <f aca="false">SUMIFS(門市請款明細表!$J$3:$J$1981,門市請款明細表!$H$3:$H$1981,$C62,門市請款明細表!$I$3:$I$1981,F$1)</f>
        <v>0</v>
      </c>
      <c r="G62" s="431" t="n">
        <f aca="false">SUMIFS(門市請款明細表!$J$3:$J$1981,門市請款明細表!$H$3:$H$1981,$C62,門市請款明細表!$I$3:$I$1981,G$1)</f>
        <v>0</v>
      </c>
      <c r="H62" s="431" t="n">
        <f aca="false">SUMIFS(門市請款明細表!$J$3:$J$1981,門市請款明細表!$H$3:$H$1981,$C62,門市請款明細表!$I$3:$I$1981,H$1)</f>
        <v>0</v>
      </c>
      <c r="I62" s="15" t="n">
        <f aca="false">SUM(E62:H62)</f>
        <v>0</v>
      </c>
      <c r="J62" s="0" t="str">
        <f aca="false">IF(D62=I62,"●","✖")</f>
        <v>●</v>
      </c>
    </row>
    <row r="63" customFormat="false" ht="16.5" hidden="false" customHeight="false" outlineLevel="0" collapsed="false">
      <c r="A63" s="431" t="n">
        <v>62</v>
      </c>
      <c r="B63" s="139" t="s">
        <v>4929</v>
      </c>
      <c r="C63" s="141" t="s">
        <v>218</v>
      </c>
      <c r="D63" s="141" t="n">
        <f aca="false">SUMIF(門市請款明細表!$H$3:$H$1981,$C63,門市請款明細表!$J$3:$J$1981)</f>
        <v>0</v>
      </c>
      <c r="E63" s="431" t="n">
        <f aca="false">SUMIFS(門市請款明細表!$J$3:$J$1981,門市請款明細表!$H$3:$H$1981,$C63,門市請款明細表!$I$3:$I$1981,E$1)</f>
        <v>0</v>
      </c>
      <c r="F63" s="431" t="n">
        <f aca="false">SUMIFS(門市請款明細表!$J$3:$J$1981,門市請款明細表!$H$3:$H$1981,$C63,門市請款明細表!$I$3:$I$1981,F$1)</f>
        <v>0</v>
      </c>
      <c r="G63" s="431" t="n">
        <f aca="false">SUMIFS(門市請款明細表!$J$3:$J$1981,門市請款明細表!$H$3:$H$1981,$C63,門市請款明細表!$I$3:$I$1981,G$1)</f>
        <v>0</v>
      </c>
      <c r="H63" s="431" t="n">
        <f aca="false">SUMIFS(門市請款明細表!$J$3:$J$1981,門市請款明細表!$H$3:$H$1981,$C63,門市請款明細表!$I$3:$I$1981,H$1)</f>
        <v>0</v>
      </c>
      <c r="I63" s="15" t="n">
        <f aca="false">SUM(E63:H63)</f>
        <v>0</v>
      </c>
      <c r="J63" s="0" t="str">
        <f aca="false">IF(D63=I63,"●","✖")</f>
        <v>●</v>
      </c>
    </row>
    <row r="64" customFormat="false" ht="16.5" hidden="false" customHeight="false" outlineLevel="0" collapsed="false">
      <c r="A64" s="431" t="n">
        <v>63</v>
      </c>
      <c r="B64" s="139" t="s">
        <v>4929</v>
      </c>
      <c r="C64" s="141" t="s">
        <v>277</v>
      </c>
      <c r="D64" s="141" t="n">
        <f aca="false">SUMIF(門市請款明細表!$H$3:$H$1981,$C64,門市請款明細表!$J$3:$J$1981)</f>
        <v>0</v>
      </c>
      <c r="E64" s="431" t="n">
        <f aca="false">SUMIFS(門市請款明細表!$J$3:$J$1981,門市請款明細表!$H$3:$H$1981,$C64,門市請款明細表!$I$3:$I$1981,E$1)</f>
        <v>0</v>
      </c>
      <c r="F64" s="431" t="n">
        <f aca="false">SUMIFS(門市請款明細表!$J$3:$J$1981,門市請款明細表!$H$3:$H$1981,$C64,門市請款明細表!$I$3:$I$1981,F$1)</f>
        <v>0</v>
      </c>
      <c r="G64" s="431" t="n">
        <f aca="false">SUMIFS(門市請款明細表!$J$3:$J$1981,門市請款明細表!$H$3:$H$1981,$C64,門市請款明細表!$I$3:$I$1981,G$1)</f>
        <v>0</v>
      </c>
      <c r="H64" s="431" t="n">
        <f aca="false">SUMIFS(門市請款明細表!$J$3:$J$1981,門市請款明細表!$H$3:$H$1981,$C64,門市請款明細表!$I$3:$I$1981,H$1)</f>
        <v>0</v>
      </c>
      <c r="I64" s="15" t="n">
        <f aca="false">SUM(E64:H64)</f>
        <v>0</v>
      </c>
      <c r="J64" s="0" t="str">
        <f aca="false">IF(D64=I64,"●","✖")</f>
        <v>●</v>
      </c>
    </row>
    <row r="65" customFormat="false" ht="16.5" hidden="false" customHeight="false" outlineLevel="0" collapsed="false">
      <c r="A65" s="431" t="n">
        <v>64</v>
      </c>
      <c r="B65" s="139" t="s">
        <v>4929</v>
      </c>
      <c r="C65" s="141" t="s">
        <v>336</v>
      </c>
      <c r="D65" s="141" t="n">
        <f aca="false">SUMIF(門市請款明細表!$H$3:$H$1981,$C65,門市請款明細表!$J$3:$J$1981)</f>
        <v>0</v>
      </c>
      <c r="E65" s="431" t="n">
        <f aca="false">SUMIFS(門市請款明細表!$J$3:$J$1981,門市請款明細表!$H$3:$H$1981,$C65,門市請款明細表!$I$3:$I$1981,E$1)</f>
        <v>0</v>
      </c>
      <c r="F65" s="431" t="n">
        <f aca="false">SUMIFS(門市請款明細表!$J$3:$J$1981,門市請款明細表!$H$3:$H$1981,$C65,門市請款明細表!$I$3:$I$1981,F$1)</f>
        <v>0</v>
      </c>
      <c r="G65" s="431" t="n">
        <f aca="false">SUMIFS(門市請款明細表!$J$3:$J$1981,門市請款明細表!$H$3:$H$1981,$C65,門市請款明細表!$I$3:$I$1981,G$1)</f>
        <v>0</v>
      </c>
      <c r="H65" s="431" t="n">
        <f aca="false">SUMIFS(門市請款明細表!$J$3:$J$1981,門市請款明細表!$H$3:$H$1981,$C65,門市請款明細表!$I$3:$I$1981,H$1)</f>
        <v>0</v>
      </c>
      <c r="I65" s="15" t="n">
        <f aca="false">SUM(E65:H65)</f>
        <v>0</v>
      </c>
      <c r="J65" s="0" t="str">
        <f aca="false">IF(D65=I65,"●","✖")</f>
        <v>●</v>
      </c>
    </row>
    <row r="66" customFormat="false" ht="16.5" hidden="false" customHeight="false" outlineLevel="0" collapsed="false">
      <c r="A66" s="431" t="n">
        <v>65</v>
      </c>
      <c r="B66" s="139" t="s">
        <v>4929</v>
      </c>
      <c r="C66" s="141" t="s">
        <v>348</v>
      </c>
      <c r="D66" s="141" t="n">
        <f aca="false">SUMIF(門市請款明細表!$H$3:$H$1981,$C66,門市請款明細表!$J$3:$J$1981)</f>
        <v>0</v>
      </c>
      <c r="E66" s="431" t="n">
        <f aca="false">SUMIFS(門市請款明細表!$J$3:$J$1981,門市請款明細表!$H$3:$H$1981,$C66,門市請款明細表!$I$3:$I$1981,E$1)</f>
        <v>0</v>
      </c>
      <c r="F66" s="431" t="n">
        <f aca="false">SUMIFS(門市請款明細表!$J$3:$J$1981,門市請款明細表!$H$3:$H$1981,$C66,門市請款明細表!$I$3:$I$1981,F$1)</f>
        <v>0</v>
      </c>
      <c r="G66" s="431" t="n">
        <f aca="false">SUMIFS(門市請款明細表!$J$3:$J$1981,門市請款明細表!$H$3:$H$1981,$C66,門市請款明細表!$I$3:$I$1981,G$1)</f>
        <v>0</v>
      </c>
      <c r="H66" s="431" t="n">
        <f aca="false">SUMIFS(門市請款明細表!$J$3:$J$1981,門市請款明細表!$H$3:$H$1981,$C66,門市請款明細表!$I$3:$I$1981,H$1)</f>
        <v>0</v>
      </c>
      <c r="I66" s="15" t="n">
        <f aca="false">SUM(E66:H66)</f>
        <v>0</v>
      </c>
      <c r="J66" s="0" t="str">
        <f aca="false">IF(D66=I66,"●","✖")</f>
        <v>●</v>
      </c>
    </row>
    <row r="67" customFormat="false" ht="16.5" hidden="false" customHeight="false" outlineLevel="0" collapsed="false">
      <c r="A67" s="431" t="n">
        <v>66</v>
      </c>
      <c r="B67" s="139" t="s">
        <v>4929</v>
      </c>
      <c r="C67" s="141" t="s">
        <v>349</v>
      </c>
      <c r="D67" s="141" t="n">
        <f aca="false">SUMIF(門市請款明細表!$H$3:$H$1981,$C67,門市請款明細表!$J$3:$J$1981)</f>
        <v>0</v>
      </c>
      <c r="E67" s="431" t="n">
        <f aca="false">SUMIFS(門市請款明細表!$J$3:$J$1981,門市請款明細表!$H$3:$H$1981,$C67,門市請款明細表!$I$3:$I$1981,E$1)</f>
        <v>0</v>
      </c>
      <c r="F67" s="431" t="n">
        <f aca="false">SUMIFS(門市請款明細表!$J$3:$J$1981,門市請款明細表!$H$3:$H$1981,$C67,門市請款明細表!$I$3:$I$1981,F$1)</f>
        <v>0</v>
      </c>
      <c r="G67" s="431" t="n">
        <f aca="false">SUMIFS(門市請款明細表!$J$3:$J$1981,門市請款明細表!$H$3:$H$1981,$C67,門市請款明細表!$I$3:$I$1981,G$1)</f>
        <v>0</v>
      </c>
      <c r="H67" s="431" t="n">
        <f aca="false">SUMIFS(門市請款明細表!$J$3:$J$1981,門市請款明細表!$H$3:$H$1981,$C67,門市請款明細表!$I$3:$I$1981,H$1)</f>
        <v>0</v>
      </c>
      <c r="I67" s="15" t="n">
        <f aca="false">SUM(E67:H67)</f>
        <v>0</v>
      </c>
      <c r="J67" s="0" t="str">
        <f aca="false">IF(D67=I67,"●","✖")</f>
        <v>●</v>
      </c>
    </row>
    <row r="68" customFormat="false" ht="16.5" hidden="false" customHeight="false" outlineLevel="0" collapsed="false">
      <c r="A68" s="431" t="n">
        <v>67</v>
      </c>
      <c r="B68" s="139" t="s">
        <v>4929</v>
      </c>
      <c r="C68" s="141" t="s">
        <v>350</v>
      </c>
      <c r="D68" s="141" t="n">
        <f aca="false">SUMIF(門市請款明細表!$H$3:$H$1981,$C68,門市請款明細表!$J$3:$J$1981)</f>
        <v>0</v>
      </c>
      <c r="E68" s="431" t="n">
        <f aca="false">SUMIFS(門市請款明細表!$J$3:$J$1981,門市請款明細表!$H$3:$H$1981,$C68,門市請款明細表!$I$3:$I$1981,E$1)</f>
        <v>0</v>
      </c>
      <c r="F68" s="431" t="n">
        <f aca="false">SUMIFS(門市請款明細表!$J$3:$J$1981,門市請款明細表!$H$3:$H$1981,$C68,門市請款明細表!$I$3:$I$1981,F$1)</f>
        <v>0</v>
      </c>
      <c r="G68" s="431" t="n">
        <f aca="false">SUMIFS(門市請款明細表!$J$3:$J$1981,門市請款明細表!$H$3:$H$1981,$C68,門市請款明細表!$I$3:$I$1981,G$1)</f>
        <v>0</v>
      </c>
      <c r="H68" s="431" t="n">
        <f aca="false">SUMIFS(門市請款明細表!$J$3:$J$1981,門市請款明細表!$H$3:$H$1981,$C68,門市請款明細表!$I$3:$I$1981,H$1)</f>
        <v>0</v>
      </c>
      <c r="I68" s="15" t="n">
        <f aca="false">SUM(E68:H68)</f>
        <v>0</v>
      </c>
      <c r="J68" s="0" t="str">
        <f aca="false">IF(D68=I68,"●","✖")</f>
        <v>●</v>
      </c>
    </row>
    <row r="69" customFormat="false" ht="16.5" hidden="false" customHeight="false" outlineLevel="0" collapsed="false">
      <c r="A69" s="431" t="n">
        <v>68</v>
      </c>
      <c r="B69" s="139" t="s">
        <v>4929</v>
      </c>
      <c r="C69" s="141" t="s">
        <v>351</v>
      </c>
      <c r="D69" s="141" t="n">
        <f aca="false">SUMIF(門市請款明細表!$H$3:$H$1981,$C69,門市請款明細表!$J$3:$J$1981)</f>
        <v>0</v>
      </c>
      <c r="E69" s="431" t="n">
        <f aca="false">SUMIFS(門市請款明細表!$J$3:$J$1981,門市請款明細表!$H$3:$H$1981,$C69,門市請款明細表!$I$3:$I$1981,E$1)</f>
        <v>0</v>
      </c>
      <c r="F69" s="431" t="n">
        <f aca="false">SUMIFS(門市請款明細表!$J$3:$J$1981,門市請款明細表!$H$3:$H$1981,$C69,門市請款明細表!$I$3:$I$1981,F$1)</f>
        <v>0</v>
      </c>
      <c r="G69" s="431" t="n">
        <f aca="false">SUMIFS(門市請款明細表!$J$3:$J$1981,門市請款明細表!$H$3:$H$1981,$C69,門市請款明細表!$I$3:$I$1981,G$1)</f>
        <v>0</v>
      </c>
      <c r="H69" s="431" t="n">
        <f aca="false">SUMIFS(門市請款明細表!$J$3:$J$1981,門市請款明細表!$H$3:$H$1981,$C69,門市請款明細表!$I$3:$I$1981,H$1)</f>
        <v>0</v>
      </c>
      <c r="I69" s="15" t="n">
        <f aca="false">SUM(E69:H69)</f>
        <v>0</v>
      </c>
      <c r="J69" s="0" t="str">
        <f aca="false">IF(D69=I69,"●","✖")</f>
        <v>●</v>
      </c>
    </row>
    <row r="70" customFormat="false" ht="16.5" hidden="false" customHeight="false" outlineLevel="0" collapsed="false">
      <c r="A70" s="431" t="n">
        <v>69</v>
      </c>
      <c r="B70" s="139" t="s">
        <v>4929</v>
      </c>
      <c r="C70" s="141" t="s">
        <v>421</v>
      </c>
      <c r="D70" s="141" t="n">
        <f aca="false">SUMIF(門市請款明細表!$H$3:$H$1981,$C70,門市請款明細表!$J$3:$J$1981)</f>
        <v>0</v>
      </c>
      <c r="E70" s="431" t="n">
        <f aca="false">SUMIFS(門市請款明細表!$J$3:$J$1981,門市請款明細表!$H$3:$H$1981,$C70,門市請款明細表!$I$3:$I$1981,E$1)</f>
        <v>0</v>
      </c>
      <c r="F70" s="431" t="n">
        <f aca="false">SUMIFS(門市請款明細表!$J$3:$J$1981,門市請款明細表!$H$3:$H$1981,$C70,門市請款明細表!$I$3:$I$1981,F$1)</f>
        <v>0</v>
      </c>
      <c r="G70" s="431" t="n">
        <f aca="false">SUMIFS(門市請款明細表!$J$3:$J$1981,門市請款明細表!$H$3:$H$1981,$C70,門市請款明細表!$I$3:$I$1981,G$1)</f>
        <v>0</v>
      </c>
      <c r="H70" s="431" t="n">
        <f aca="false">SUMIFS(門市請款明細表!$J$3:$J$1981,門市請款明細表!$H$3:$H$1981,$C70,門市請款明細表!$I$3:$I$1981,H$1)</f>
        <v>0</v>
      </c>
      <c r="I70" s="15" t="n">
        <f aca="false">SUM(E70:H70)</f>
        <v>0</v>
      </c>
      <c r="J70" s="0" t="str">
        <f aca="false">IF(D70=I70,"●","✖")</f>
        <v>●</v>
      </c>
    </row>
    <row r="71" customFormat="false" ht="16.5" hidden="false" customHeight="false" outlineLevel="0" collapsed="false">
      <c r="A71" s="431" t="n">
        <v>70</v>
      </c>
      <c r="B71" s="139" t="s">
        <v>4932</v>
      </c>
      <c r="C71" s="141" t="s">
        <v>267</v>
      </c>
      <c r="D71" s="141" t="n">
        <f aca="false">SUMIF(門市請款明細表!$H$3:$H$1981,$C71,門市請款明細表!$J$3:$J$1981)</f>
        <v>0</v>
      </c>
      <c r="E71" s="431" t="n">
        <f aca="false">SUMIFS(門市請款明細表!$J$3:$J$1981,門市請款明細表!$H$3:$H$1981,$C71,門市請款明細表!$I$3:$I$1981,E$1)</f>
        <v>0</v>
      </c>
      <c r="F71" s="431" t="n">
        <f aca="false">SUMIFS(門市請款明細表!$J$3:$J$1981,門市請款明細表!$H$3:$H$1981,$C71,門市請款明細表!$I$3:$I$1981,F$1)</f>
        <v>0</v>
      </c>
      <c r="G71" s="431" t="n">
        <f aca="false">SUMIFS(門市請款明細表!$J$3:$J$1981,門市請款明細表!$H$3:$H$1981,$C71,門市請款明細表!$I$3:$I$1981,G$1)</f>
        <v>0</v>
      </c>
      <c r="H71" s="431" t="n">
        <f aca="false">SUMIFS(門市請款明細表!$J$3:$J$1981,門市請款明細表!$H$3:$H$1981,$C71,門市請款明細表!$I$3:$I$1981,H$1)</f>
        <v>0</v>
      </c>
      <c r="I71" s="15" t="n">
        <f aca="false">SUM(E71:H71)</f>
        <v>0</v>
      </c>
      <c r="J71" s="0" t="str">
        <f aca="false">IF(D71=I71,"●","✖")</f>
        <v>●</v>
      </c>
    </row>
    <row r="72" customFormat="false" ht="16.5" hidden="false" customHeight="false" outlineLevel="0" collapsed="false">
      <c r="A72" s="431" t="n">
        <v>71</v>
      </c>
      <c r="B72" s="139" t="s">
        <v>4932</v>
      </c>
      <c r="C72" s="141" t="s">
        <v>48</v>
      </c>
      <c r="D72" s="141" t="n">
        <f aca="false">SUMIF(門市請款明細表!$H$3:$H$1981,$C72,門市請款明細表!$J$3:$J$1981)</f>
        <v>0</v>
      </c>
      <c r="E72" s="431" t="n">
        <f aca="false">SUMIFS(門市請款明細表!$J$3:$J$1981,門市請款明細表!$H$3:$H$1981,$C72,門市請款明細表!$I$3:$I$1981,E$1)</f>
        <v>0</v>
      </c>
      <c r="F72" s="431" t="n">
        <f aca="false">SUMIFS(門市請款明細表!$J$3:$J$1981,門市請款明細表!$H$3:$H$1981,$C72,門市請款明細表!$I$3:$I$1981,F$1)</f>
        <v>0</v>
      </c>
      <c r="G72" s="431" t="n">
        <f aca="false">SUMIFS(門市請款明細表!$J$3:$J$1981,門市請款明細表!$H$3:$H$1981,$C72,門市請款明細表!$I$3:$I$1981,G$1)</f>
        <v>0</v>
      </c>
      <c r="H72" s="431" t="n">
        <f aca="false">SUMIFS(門市請款明細表!$J$3:$J$1981,門市請款明細表!$H$3:$H$1981,$C72,門市請款明細表!$I$3:$I$1981,H$1)</f>
        <v>0</v>
      </c>
      <c r="I72" s="15" t="n">
        <f aca="false">SUM(E72:H72)</f>
        <v>0</v>
      </c>
      <c r="J72" s="0" t="str">
        <f aca="false">IF(D72=I72,"●","✖")</f>
        <v>●</v>
      </c>
    </row>
    <row r="73" customFormat="false" ht="16.5" hidden="false" customHeight="false" outlineLevel="0" collapsed="false">
      <c r="A73" s="431" t="n">
        <v>72</v>
      </c>
      <c r="B73" s="139" t="s">
        <v>4932</v>
      </c>
      <c r="C73" s="141" t="s">
        <v>357</v>
      </c>
      <c r="D73" s="141" t="n">
        <f aca="false">SUMIF(門市請款明細表!$H$3:$H$1981,$C73,門市請款明細表!$J$3:$J$1981)</f>
        <v>0</v>
      </c>
      <c r="E73" s="431" t="n">
        <f aca="false">SUMIFS(門市請款明細表!$J$3:$J$1981,門市請款明細表!$H$3:$H$1981,$C73,門市請款明細表!$I$3:$I$1981,E$1)</f>
        <v>0</v>
      </c>
      <c r="F73" s="431" t="n">
        <f aca="false">SUMIFS(門市請款明細表!$J$3:$J$1981,門市請款明細表!$H$3:$H$1981,$C73,門市請款明細表!$I$3:$I$1981,F$1)</f>
        <v>0</v>
      </c>
      <c r="G73" s="431" t="n">
        <f aca="false">SUMIFS(門市請款明細表!$J$3:$J$1981,門市請款明細表!$H$3:$H$1981,$C73,門市請款明細表!$I$3:$I$1981,G$1)</f>
        <v>0</v>
      </c>
      <c r="H73" s="431" t="n">
        <f aca="false">SUMIFS(門市請款明細表!$J$3:$J$1981,門市請款明細表!$H$3:$H$1981,$C73,門市請款明細表!$I$3:$I$1981,H$1)</f>
        <v>0</v>
      </c>
      <c r="I73" s="15" t="n">
        <f aca="false">SUM(E73:H73)</f>
        <v>0</v>
      </c>
      <c r="J73" s="0" t="str">
        <f aca="false">IF(D73=I73,"●","✖")</f>
        <v>●</v>
      </c>
    </row>
    <row r="74" customFormat="false" ht="16.5" hidden="false" customHeight="false" outlineLevel="0" collapsed="false">
      <c r="A74" s="431" t="n">
        <v>73</v>
      </c>
      <c r="B74" s="139" t="s">
        <v>4932</v>
      </c>
      <c r="C74" s="141" t="s">
        <v>406</v>
      </c>
      <c r="D74" s="141" t="n">
        <f aca="false">SUMIF(門市請款明細表!$H$3:$H$1981,$C74,門市請款明細表!$J$3:$J$1981)</f>
        <v>0</v>
      </c>
      <c r="E74" s="431" t="n">
        <f aca="false">SUMIFS(門市請款明細表!$J$3:$J$1981,門市請款明細表!$H$3:$H$1981,$C74,門市請款明細表!$I$3:$I$1981,E$1)</f>
        <v>0</v>
      </c>
      <c r="F74" s="431" t="n">
        <f aca="false">SUMIFS(門市請款明細表!$J$3:$J$1981,門市請款明細表!$H$3:$H$1981,$C74,門市請款明細表!$I$3:$I$1981,F$1)</f>
        <v>0</v>
      </c>
      <c r="G74" s="431" t="n">
        <f aca="false">SUMIFS(門市請款明細表!$J$3:$J$1981,門市請款明細表!$H$3:$H$1981,$C74,門市請款明細表!$I$3:$I$1981,G$1)</f>
        <v>0</v>
      </c>
      <c r="H74" s="431" t="n">
        <f aca="false">SUMIFS(門市請款明細表!$J$3:$J$1981,門市請款明細表!$H$3:$H$1981,$C74,門市請款明細表!$I$3:$I$1981,H$1)</f>
        <v>0</v>
      </c>
      <c r="I74" s="15" t="n">
        <f aca="false">SUM(E74:H74)</f>
        <v>0</v>
      </c>
      <c r="J74" s="0" t="str">
        <f aca="false">IF(D74=I74,"●","✖")</f>
        <v>●</v>
      </c>
    </row>
    <row r="75" customFormat="false" ht="16.5" hidden="false" customHeight="false" outlineLevel="0" collapsed="false">
      <c r="A75" s="431" t="n">
        <v>74</v>
      </c>
      <c r="B75" s="139" t="s">
        <v>4932</v>
      </c>
      <c r="C75" s="141" t="s">
        <v>402</v>
      </c>
      <c r="D75" s="141" t="n">
        <f aca="false">SUMIF(門市請款明細表!$H$3:$H$1981,$C75,門市請款明細表!$J$3:$J$1981)</f>
        <v>0</v>
      </c>
      <c r="E75" s="431" t="n">
        <f aca="false">SUMIFS(門市請款明細表!$J$3:$J$1981,門市請款明細表!$H$3:$H$1981,$C75,門市請款明細表!$I$3:$I$1981,E$1)</f>
        <v>0</v>
      </c>
      <c r="F75" s="431" t="n">
        <f aca="false">SUMIFS(門市請款明細表!$J$3:$J$1981,門市請款明細表!$H$3:$H$1981,$C75,門市請款明細表!$I$3:$I$1981,F$1)</f>
        <v>0</v>
      </c>
      <c r="G75" s="431" t="n">
        <f aca="false">SUMIFS(門市請款明細表!$J$3:$J$1981,門市請款明細表!$H$3:$H$1981,$C75,門市請款明細表!$I$3:$I$1981,G$1)</f>
        <v>0</v>
      </c>
      <c r="H75" s="431" t="n">
        <f aca="false">SUMIFS(門市請款明細表!$J$3:$J$1981,門市請款明細表!$H$3:$H$1981,$C75,門市請款明細表!$I$3:$I$1981,H$1)</f>
        <v>0</v>
      </c>
      <c r="I75" s="15" t="n">
        <f aca="false">SUM(E75:H75)</f>
        <v>0</v>
      </c>
      <c r="J75" s="0" t="str">
        <f aca="false">IF(D75=I75,"●","✖")</f>
        <v>●</v>
      </c>
    </row>
    <row r="76" customFormat="false" ht="16.5" hidden="false" customHeight="false" outlineLevel="0" collapsed="false">
      <c r="A76" s="431" t="n">
        <v>75</v>
      </c>
      <c r="B76" s="139" t="s">
        <v>4932</v>
      </c>
      <c r="C76" s="141" t="s">
        <v>407</v>
      </c>
      <c r="D76" s="141" t="n">
        <f aca="false">SUMIF(門市請款明細表!$H$3:$H$1981,$C76,門市請款明細表!$J$3:$J$1981)</f>
        <v>0</v>
      </c>
      <c r="E76" s="431" t="n">
        <f aca="false">SUMIFS(門市請款明細表!$J$3:$J$1981,門市請款明細表!$H$3:$H$1981,$C76,門市請款明細表!$I$3:$I$1981,E$1)</f>
        <v>0</v>
      </c>
      <c r="F76" s="431" t="n">
        <f aca="false">SUMIFS(門市請款明細表!$J$3:$J$1981,門市請款明細表!$H$3:$H$1981,$C76,門市請款明細表!$I$3:$I$1981,F$1)</f>
        <v>0</v>
      </c>
      <c r="G76" s="431" t="n">
        <f aca="false">SUMIFS(門市請款明細表!$J$3:$J$1981,門市請款明細表!$H$3:$H$1981,$C76,門市請款明細表!$I$3:$I$1981,G$1)</f>
        <v>0</v>
      </c>
      <c r="H76" s="431" t="n">
        <f aca="false">SUMIFS(門市請款明細表!$J$3:$J$1981,門市請款明細表!$H$3:$H$1981,$C76,門市請款明細表!$I$3:$I$1981,H$1)</f>
        <v>0</v>
      </c>
      <c r="I76" s="15" t="n">
        <f aca="false">SUM(E76:H76)</f>
        <v>0</v>
      </c>
      <c r="J76" s="0" t="str">
        <f aca="false">IF(D76=I76,"●","✖")</f>
        <v>●</v>
      </c>
    </row>
    <row r="77" customFormat="false" ht="16.5" hidden="false" customHeight="false" outlineLevel="0" collapsed="false">
      <c r="A77" s="431" t="n">
        <v>76</v>
      </c>
      <c r="B77" s="139" t="s">
        <v>4932</v>
      </c>
      <c r="C77" s="141" t="s">
        <v>276</v>
      </c>
      <c r="D77" s="141" t="n">
        <f aca="false">SUMIF(門市請款明細表!$H$3:$H$1981,$C77,門市請款明細表!$J$3:$J$1981)</f>
        <v>0</v>
      </c>
      <c r="E77" s="431" t="n">
        <f aca="false">SUMIFS(門市請款明細表!$J$3:$J$1981,門市請款明細表!$H$3:$H$1981,$C77,門市請款明細表!$I$3:$I$1981,E$1)</f>
        <v>0</v>
      </c>
      <c r="F77" s="431" t="n">
        <f aca="false">SUMIFS(門市請款明細表!$J$3:$J$1981,門市請款明細表!$H$3:$H$1981,$C77,門市請款明細表!$I$3:$I$1981,F$1)</f>
        <v>0</v>
      </c>
      <c r="G77" s="431" t="n">
        <f aca="false">SUMIFS(門市請款明細表!$J$3:$J$1981,門市請款明細表!$H$3:$H$1981,$C77,門市請款明細表!$I$3:$I$1981,G$1)</f>
        <v>0</v>
      </c>
      <c r="H77" s="431" t="n">
        <f aca="false">SUMIFS(門市請款明細表!$J$3:$J$1981,門市請款明細表!$H$3:$H$1981,$C77,門市請款明細表!$I$3:$I$1981,H$1)</f>
        <v>0</v>
      </c>
      <c r="I77" s="15" t="n">
        <f aca="false">SUM(E77:H77)</f>
        <v>0</v>
      </c>
      <c r="J77" s="0" t="str">
        <f aca="false">IF(D77=I77,"●","✖")</f>
        <v>●</v>
      </c>
    </row>
    <row r="78" customFormat="false" ht="16.5" hidden="false" customHeight="false" outlineLevel="0" collapsed="false">
      <c r="A78" s="431" t="n">
        <v>77</v>
      </c>
      <c r="B78" s="139" t="s">
        <v>4932</v>
      </c>
      <c r="C78" s="141" t="s">
        <v>32</v>
      </c>
      <c r="D78" s="141" t="n">
        <f aca="false">SUMIF(門市請款明細表!$H$3:$H$1981,$C78,門市請款明細表!$J$3:$J$1981)</f>
        <v>0</v>
      </c>
      <c r="E78" s="431" t="n">
        <f aca="false">SUMIFS(門市請款明細表!$J$3:$J$1981,門市請款明細表!$H$3:$H$1981,$C78,門市請款明細表!$I$3:$I$1981,E$1)</f>
        <v>0</v>
      </c>
      <c r="F78" s="431" t="n">
        <f aca="false">SUMIFS(門市請款明細表!$J$3:$J$1981,門市請款明細表!$H$3:$H$1981,$C78,門市請款明細表!$I$3:$I$1981,F$1)</f>
        <v>0</v>
      </c>
      <c r="G78" s="431" t="n">
        <f aca="false">SUMIFS(門市請款明細表!$J$3:$J$1981,門市請款明細表!$H$3:$H$1981,$C78,門市請款明細表!$I$3:$I$1981,G$1)</f>
        <v>0</v>
      </c>
      <c r="H78" s="431" t="n">
        <f aca="false">SUMIFS(門市請款明細表!$J$3:$J$1981,門市請款明細表!$H$3:$H$1981,$C78,門市請款明細表!$I$3:$I$1981,H$1)</f>
        <v>0</v>
      </c>
      <c r="I78" s="15" t="n">
        <f aca="false">SUM(E78:H78)</f>
        <v>0</v>
      </c>
      <c r="J78" s="0" t="str">
        <f aca="false">IF(D78=I78,"●","✖")</f>
        <v>●</v>
      </c>
    </row>
    <row r="79" customFormat="false" ht="16.5" hidden="false" customHeight="false" outlineLevel="0" collapsed="false">
      <c r="A79" s="431" t="n">
        <v>78</v>
      </c>
      <c r="B79" s="139" t="s">
        <v>4932</v>
      </c>
      <c r="C79" s="141" t="s">
        <v>33</v>
      </c>
      <c r="D79" s="141" t="n">
        <f aca="false">SUMIF(門市請款明細表!$H$3:$H$1981,$C79,門市請款明細表!$J$3:$J$1981)</f>
        <v>0</v>
      </c>
      <c r="E79" s="431" t="n">
        <f aca="false">SUMIFS(門市請款明細表!$J$3:$J$1981,門市請款明細表!$H$3:$H$1981,$C79,門市請款明細表!$I$3:$I$1981,E$1)</f>
        <v>0</v>
      </c>
      <c r="F79" s="431" t="n">
        <f aca="false">SUMIFS(門市請款明細表!$J$3:$J$1981,門市請款明細表!$H$3:$H$1981,$C79,門市請款明細表!$I$3:$I$1981,F$1)</f>
        <v>0</v>
      </c>
      <c r="G79" s="431" t="n">
        <f aca="false">SUMIFS(門市請款明細表!$J$3:$J$1981,門市請款明細表!$H$3:$H$1981,$C79,門市請款明細表!$I$3:$I$1981,G$1)</f>
        <v>0</v>
      </c>
      <c r="H79" s="431" t="n">
        <f aca="false">SUMIFS(門市請款明細表!$J$3:$J$1981,門市請款明細表!$H$3:$H$1981,$C79,門市請款明細表!$I$3:$I$1981,H$1)</f>
        <v>0</v>
      </c>
      <c r="I79" s="15" t="n">
        <f aca="false">SUM(E79:H79)</f>
        <v>0</v>
      </c>
      <c r="J79" s="0" t="str">
        <f aca="false">IF(D79=I79,"●","✖")</f>
        <v>●</v>
      </c>
    </row>
    <row r="80" customFormat="false" ht="16.5" hidden="false" customHeight="false" outlineLevel="0" collapsed="false">
      <c r="A80" s="431" t="n">
        <v>79</v>
      </c>
      <c r="B80" s="139" t="s">
        <v>4932</v>
      </c>
      <c r="C80" s="141" t="s">
        <v>419</v>
      </c>
      <c r="D80" s="141" t="n">
        <f aca="false">SUMIF(門市請款明細表!$H$3:$H$1981,$C80,門市請款明細表!$J$3:$J$1981)</f>
        <v>0</v>
      </c>
      <c r="E80" s="431" t="n">
        <f aca="false">SUMIFS(門市請款明細表!$J$3:$J$1981,門市請款明細表!$H$3:$H$1981,$C80,門市請款明細表!$I$3:$I$1981,E$1)</f>
        <v>0</v>
      </c>
      <c r="F80" s="431" t="n">
        <f aca="false">SUMIFS(門市請款明細表!$J$3:$J$1981,門市請款明細表!$H$3:$H$1981,$C80,門市請款明細表!$I$3:$I$1981,F$1)</f>
        <v>0</v>
      </c>
      <c r="G80" s="431" t="n">
        <f aca="false">SUMIFS(門市請款明細表!$J$3:$J$1981,門市請款明細表!$H$3:$H$1981,$C80,門市請款明細表!$I$3:$I$1981,G$1)</f>
        <v>0</v>
      </c>
      <c r="H80" s="431" t="n">
        <f aca="false">SUMIFS(門市請款明細表!$J$3:$J$1981,門市請款明細表!$H$3:$H$1981,$C80,門市請款明細表!$I$3:$I$1981,H$1)</f>
        <v>0</v>
      </c>
      <c r="I80" s="15" t="n">
        <f aca="false">SUM(E80:H80)</f>
        <v>0</v>
      </c>
      <c r="J80" s="0" t="str">
        <f aca="false">IF(D80=I80,"●","✖")</f>
        <v>●</v>
      </c>
    </row>
    <row r="81" customFormat="false" ht="16.5" hidden="false" customHeight="false" outlineLevel="0" collapsed="false">
      <c r="A81" s="431" t="n">
        <v>80</v>
      </c>
      <c r="B81" s="139" t="s">
        <v>4932</v>
      </c>
      <c r="C81" s="141" t="s">
        <v>49</v>
      </c>
      <c r="D81" s="141" t="n">
        <f aca="false">SUMIF(門市請款明細表!$H$3:$H$1981,$C81,門市請款明細表!$J$3:$J$1981)</f>
        <v>0</v>
      </c>
      <c r="E81" s="431" t="n">
        <f aca="false">SUMIFS(門市請款明細表!$J$3:$J$1981,門市請款明細表!$H$3:$H$1981,$C81,門市請款明細表!$I$3:$I$1981,E$1)</f>
        <v>0</v>
      </c>
      <c r="F81" s="431" t="n">
        <f aca="false">SUMIFS(門市請款明細表!$J$3:$J$1981,門市請款明細表!$H$3:$H$1981,$C81,門市請款明細表!$I$3:$I$1981,F$1)</f>
        <v>0</v>
      </c>
      <c r="G81" s="431" t="n">
        <f aca="false">SUMIFS(門市請款明細表!$J$3:$J$1981,門市請款明細表!$H$3:$H$1981,$C81,門市請款明細表!$I$3:$I$1981,G$1)</f>
        <v>0</v>
      </c>
      <c r="H81" s="431" t="n">
        <f aca="false">SUMIFS(門市請款明細表!$J$3:$J$1981,門市請款明細表!$H$3:$H$1981,$C81,門市請款明細表!$I$3:$I$1981,H$1)</f>
        <v>0</v>
      </c>
      <c r="I81" s="15" t="n">
        <f aca="false">SUM(E81:H81)</f>
        <v>0</v>
      </c>
      <c r="J81" s="0" t="str">
        <f aca="false">IF(D81=I81,"●","✖")</f>
        <v>●</v>
      </c>
    </row>
    <row r="82" customFormat="false" ht="16.5" hidden="false" customHeight="false" outlineLevel="0" collapsed="false">
      <c r="A82" s="431" t="n">
        <v>81</v>
      </c>
      <c r="B82" s="139" t="s">
        <v>4932</v>
      </c>
      <c r="C82" s="141" t="s">
        <v>56</v>
      </c>
      <c r="D82" s="141" t="n">
        <f aca="false">SUMIF(門市請款明細表!$H$3:$H$1981,$C82,門市請款明細表!$J$3:$J$1981)</f>
        <v>0</v>
      </c>
      <c r="E82" s="431" t="n">
        <f aca="false">SUMIFS(門市請款明細表!$J$3:$J$1981,門市請款明細表!$H$3:$H$1981,$C82,門市請款明細表!$I$3:$I$1981,E$1)</f>
        <v>0</v>
      </c>
      <c r="F82" s="431" t="n">
        <f aca="false">SUMIFS(門市請款明細表!$J$3:$J$1981,門市請款明細表!$H$3:$H$1981,$C82,門市請款明細表!$I$3:$I$1981,F$1)</f>
        <v>0</v>
      </c>
      <c r="G82" s="431" t="n">
        <f aca="false">SUMIFS(門市請款明細表!$J$3:$J$1981,門市請款明細表!$H$3:$H$1981,$C82,門市請款明細表!$I$3:$I$1981,G$1)</f>
        <v>0</v>
      </c>
      <c r="H82" s="431" t="n">
        <f aca="false">SUMIFS(門市請款明細表!$J$3:$J$1981,門市請款明細表!$H$3:$H$1981,$C82,門市請款明細表!$I$3:$I$1981,H$1)</f>
        <v>0</v>
      </c>
      <c r="I82" s="15" t="n">
        <f aca="false">SUM(E82:H82)</f>
        <v>0</v>
      </c>
      <c r="J82" s="0" t="str">
        <f aca="false">IF(D82=I82,"●","✖")</f>
        <v>●</v>
      </c>
    </row>
    <row r="83" customFormat="false" ht="16.5" hidden="false" customHeight="false" outlineLevel="0" collapsed="false">
      <c r="A83" s="431" t="n">
        <v>82</v>
      </c>
      <c r="B83" s="139" t="s">
        <v>4932</v>
      </c>
      <c r="C83" s="141" t="s">
        <v>144</v>
      </c>
      <c r="D83" s="141" t="n">
        <f aca="false">SUMIF(門市請款明細表!$H$3:$H$1981,$C83,門市請款明細表!$J$3:$J$1981)</f>
        <v>0</v>
      </c>
      <c r="E83" s="431" t="n">
        <f aca="false">SUMIFS(門市請款明細表!$J$3:$J$1981,門市請款明細表!$H$3:$H$1981,$C83,門市請款明細表!$I$3:$I$1981,E$1)</f>
        <v>0</v>
      </c>
      <c r="F83" s="431" t="n">
        <f aca="false">SUMIFS(門市請款明細表!$J$3:$J$1981,門市請款明細表!$H$3:$H$1981,$C83,門市請款明細表!$I$3:$I$1981,F$1)</f>
        <v>0</v>
      </c>
      <c r="G83" s="431" t="n">
        <f aca="false">SUMIFS(門市請款明細表!$J$3:$J$1981,門市請款明細表!$H$3:$H$1981,$C83,門市請款明細表!$I$3:$I$1981,G$1)</f>
        <v>0</v>
      </c>
      <c r="H83" s="431" t="n">
        <f aca="false">SUMIFS(門市請款明細表!$J$3:$J$1981,門市請款明細表!$H$3:$H$1981,$C83,門市請款明細表!$I$3:$I$1981,H$1)</f>
        <v>0</v>
      </c>
      <c r="I83" s="15" t="n">
        <f aca="false">SUM(E83:H83)</f>
        <v>0</v>
      </c>
      <c r="J83" s="0" t="str">
        <f aca="false">IF(D83=I83,"●","✖")</f>
        <v>●</v>
      </c>
    </row>
    <row r="84" customFormat="false" ht="16.5" hidden="false" customHeight="false" outlineLevel="0" collapsed="false">
      <c r="A84" s="431" t="n">
        <v>83</v>
      </c>
      <c r="B84" s="139" t="s">
        <v>4932</v>
      </c>
      <c r="C84" s="141" t="s">
        <v>59</v>
      </c>
      <c r="D84" s="141" t="n">
        <f aca="false">SUMIF(門市請款明細表!$H$3:$H$1981,$C84,門市請款明細表!$J$3:$J$1981)</f>
        <v>0</v>
      </c>
      <c r="E84" s="431" t="n">
        <f aca="false">SUMIFS(門市請款明細表!$J$3:$J$1981,門市請款明細表!$H$3:$H$1981,$C84,門市請款明細表!$I$3:$I$1981,E$1)</f>
        <v>0</v>
      </c>
      <c r="F84" s="431" t="n">
        <f aca="false">SUMIFS(門市請款明細表!$J$3:$J$1981,門市請款明細表!$H$3:$H$1981,$C84,門市請款明細表!$I$3:$I$1981,F$1)</f>
        <v>0</v>
      </c>
      <c r="G84" s="431" t="n">
        <f aca="false">SUMIFS(門市請款明細表!$J$3:$J$1981,門市請款明細表!$H$3:$H$1981,$C84,門市請款明細表!$I$3:$I$1981,G$1)</f>
        <v>0</v>
      </c>
      <c r="H84" s="431" t="n">
        <f aca="false">SUMIFS(門市請款明細表!$J$3:$J$1981,門市請款明細表!$H$3:$H$1981,$C84,門市請款明細表!$I$3:$I$1981,H$1)</f>
        <v>0</v>
      </c>
      <c r="I84" s="15" t="n">
        <f aca="false">SUM(E84:H84)</f>
        <v>0</v>
      </c>
      <c r="J84" s="0" t="str">
        <f aca="false">IF(D84=I84,"●","✖")</f>
        <v>●</v>
      </c>
    </row>
    <row r="85" customFormat="false" ht="16.5" hidden="false" customHeight="false" outlineLevel="0" collapsed="false">
      <c r="A85" s="431" t="n">
        <v>84</v>
      </c>
      <c r="B85" s="139" t="s">
        <v>4932</v>
      </c>
      <c r="C85" s="141" t="s">
        <v>403</v>
      </c>
      <c r="D85" s="141" t="n">
        <f aca="false">SUMIF(門市請款明細表!$H$3:$H$1981,$C85,門市請款明細表!$J$3:$J$1981)</f>
        <v>0</v>
      </c>
      <c r="E85" s="431" t="n">
        <f aca="false">SUMIFS(門市請款明細表!$J$3:$J$1981,門市請款明細表!$H$3:$H$1981,$C85,門市請款明細表!$I$3:$I$1981,E$1)</f>
        <v>0</v>
      </c>
      <c r="F85" s="431" t="n">
        <f aca="false">SUMIFS(門市請款明細表!$J$3:$J$1981,門市請款明細表!$H$3:$H$1981,$C85,門市請款明細表!$I$3:$I$1981,F$1)</f>
        <v>0</v>
      </c>
      <c r="G85" s="431" t="n">
        <f aca="false">SUMIFS(門市請款明細表!$J$3:$J$1981,門市請款明細表!$H$3:$H$1981,$C85,門市請款明細表!$I$3:$I$1981,G$1)</f>
        <v>0</v>
      </c>
      <c r="H85" s="431" t="n">
        <f aca="false">SUMIFS(門市請款明細表!$J$3:$J$1981,門市請款明細表!$H$3:$H$1981,$C85,門市請款明細表!$I$3:$I$1981,H$1)</f>
        <v>0</v>
      </c>
      <c r="I85" s="15" t="n">
        <f aca="false">SUM(E85:H85)</f>
        <v>0</v>
      </c>
      <c r="J85" s="0" t="str">
        <f aca="false">IF(D85=I85,"●","✖")</f>
        <v>●</v>
      </c>
    </row>
    <row r="86" customFormat="false" ht="16.5" hidden="false" customHeight="false" outlineLevel="0" collapsed="false">
      <c r="A86" s="431" t="n">
        <v>85</v>
      </c>
      <c r="B86" s="139" t="s">
        <v>4932</v>
      </c>
      <c r="C86" s="141" t="s">
        <v>77</v>
      </c>
      <c r="D86" s="141" t="n">
        <f aca="false">SUMIF(門市請款明細表!$H$3:$H$1981,$C86,門市請款明細表!$J$3:$J$1981)</f>
        <v>0</v>
      </c>
      <c r="E86" s="431" t="n">
        <f aca="false">SUMIFS(門市請款明細表!$J$3:$J$1981,門市請款明細表!$H$3:$H$1981,$C86,門市請款明細表!$I$3:$I$1981,E$1)</f>
        <v>0</v>
      </c>
      <c r="F86" s="431" t="n">
        <f aca="false">SUMIFS(門市請款明細表!$J$3:$J$1981,門市請款明細表!$H$3:$H$1981,$C86,門市請款明細表!$I$3:$I$1981,F$1)</f>
        <v>0</v>
      </c>
      <c r="G86" s="431" t="n">
        <f aca="false">SUMIFS(門市請款明細表!$J$3:$J$1981,門市請款明細表!$H$3:$H$1981,$C86,門市請款明細表!$I$3:$I$1981,G$1)</f>
        <v>0</v>
      </c>
      <c r="H86" s="431" t="n">
        <f aca="false">SUMIFS(門市請款明細表!$J$3:$J$1981,門市請款明細表!$H$3:$H$1981,$C86,門市請款明細表!$I$3:$I$1981,H$1)</f>
        <v>0</v>
      </c>
      <c r="I86" s="15" t="n">
        <f aca="false">SUM(E86:H86)</f>
        <v>0</v>
      </c>
      <c r="J86" s="0" t="str">
        <f aca="false">IF(D86=I86,"●","✖")</f>
        <v>●</v>
      </c>
    </row>
    <row r="87" customFormat="false" ht="16.5" hidden="false" customHeight="false" outlineLevel="0" collapsed="false">
      <c r="A87" s="431" t="n">
        <v>86</v>
      </c>
      <c r="B87" s="139" t="s">
        <v>4932</v>
      </c>
      <c r="C87" s="141" t="s">
        <v>405</v>
      </c>
      <c r="D87" s="141" t="n">
        <f aca="false">SUMIF(門市請款明細表!$H$3:$H$1981,$C87,門市請款明細表!$J$3:$J$1981)</f>
        <v>0</v>
      </c>
      <c r="E87" s="431" t="n">
        <f aca="false">SUMIFS(門市請款明細表!$J$3:$J$1981,門市請款明細表!$H$3:$H$1981,$C87,門市請款明細表!$I$3:$I$1981,E$1)</f>
        <v>0</v>
      </c>
      <c r="F87" s="431" t="n">
        <f aca="false">SUMIFS(門市請款明細表!$J$3:$J$1981,門市請款明細表!$H$3:$H$1981,$C87,門市請款明細表!$I$3:$I$1981,F$1)</f>
        <v>0</v>
      </c>
      <c r="G87" s="431" t="n">
        <f aca="false">SUMIFS(門市請款明細表!$J$3:$J$1981,門市請款明細表!$H$3:$H$1981,$C87,門市請款明細表!$I$3:$I$1981,G$1)</f>
        <v>0</v>
      </c>
      <c r="H87" s="431" t="n">
        <f aca="false">SUMIFS(門市請款明細表!$J$3:$J$1981,門市請款明細表!$H$3:$H$1981,$C87,門市請款明細表!$I$3:$I$1981,H$1)</f>
        <v>0</v>
      </c>
      <c r="I87" s="15" t="n">
        <f aca="false">SUM(E87:H87)</f>
        <v>0</v>
      </c>
      <c r="J87" s="0" t="str">
        <f aca="false">IF(D87=I87,"●","✖")</f>
        <v>●</v>
      </c>
    </row>
    <row r="88" customFormat="false" ht="16.5" hidden="false" customHeight="false" outlineLevel="0" collapsed="false">
      <c r="A88" s="431" t="n">
        <v>87</v>
      </c>
      <c r="B88" s="139" t="s">
        <v>4932</v>
      </c>
      <c r="C88" s="141" t="s">
        <v>10</v>
      </c>
      <c r="D88" s="141" t="n">
        <f aca="false">SUMIF(門市請款明細表!$H$3:$H$1981,$C88,門市請款明細表!$J$3:$J$1981)</f>
        <v>0</v>
      </c>
      <c r="E88" s="431" t="n">
        <f aca="false">SUMIFS(門市請款明細表!$J$3:$J$1981,門市請款明細表!$H$3:$H$1981,$C88,門市請款明細表!$I$3:$I$1981,E$1)</f>
        <v>0</v>
      </c>
      <c r="F88" s="431" t="n">
        <f aca="false">SUMIFS(門市請款明細表!$J$3:$J$1981,門市請款明細表!$H$3:$H$1981,$C88,門市請款明細表!$I$3:$I$1981,F$1)</f>
        <v>0</v>
      </c>
      <c r="G88" s="431" t="n">
        <f aca="false">SUMIFS(門市請款明細表!$J$3:$J$1981,門市請款明細表!$H$3:$H$1981,$C88,門市請款明細表!$I$3:$I$1981,G$1)</f>
        <v>0</v>
      </c>
      <c r="H88" s="431" t="n">
        <f aca="false">SUMIFS(門市請款明細表!$J$3:$J$1981,門市請款明細表!$H$3:$H$1981,$C88,門市請款明細表!$I$3:$I$1981,H$1)</f>
        <v>0</v>
      </c>
      <c r="I88" s="15" t="n">
        <f aca="false">SUM(E88:H88)</f>
        <v>0</v>
      </c>
      <c r="J88" s="0" t="str">
        <f aca="false">IF(D88=I88,"●","✖")</f>
        <v>●</v>
      </c>
    </row>
    <row r="89" customFormat="false" ht="16.5" hidden="false" customHeight="false" outlineLevel="0" collapsed="false">
      <c r="A89" s="431" t="n">
        <v>88</v>
      </c>
      <c r="B89" s="139" t="s">
        <v>4932</v>
      </c>
      <c r="C89" s="141" t="s">
        <v>404</v>
      </c>
      <c r="D89" s="141" t="n">
        <f aca="false">SUMIF(門市請款明細表!$H$3:$H$1981,$C89,門市請款明細表!$J$3:$J$1981)</f>
        <v>0</v>
      </c>
      <c r="E89" s="431" t="n">
        <f aca="false">SUMIFS(門市請款明細表!$J$3:$J$1981,門市請款明細表!$H$3:$H$1981,$C89,門市請款明細表!$I$3:$I$1981,E$1)</f>
        <v>0</v>
      </c>
      <c r="F89" s="431" t="n">
        <f aca="false">SUMIFS(門市請款明細表!$J$3:$J$1981,門市請款明細表!$H$3:$H$1981,$C89,門市請款明細表!$I$3:$I$1981,F$1)</f>
        <v>0</v>
      </c>
      <c r="G89" s="431" t="n">
        <f aca="false">SUMIFS(門市請款明細表!$J$3:$J$1981,門市請款明細表!$H$3:$H$1981,$C89,門市請款明細表!$I$3:$I$1981,G$1)</f>
        <v>0</v>
      </c>
      <c r="H89" s="431" t="n">
        <f aca="false">SUMIFS(門市請款明細表!$J$3:$J$1981,門市請款明細表!$H$3:$H$1981,$C89,門市請款明細表!$I$3:$I$1981,H$1)</f>
        <v>0</v>
      </c>
      <c r="I89" s="15" t="n">
        <f aca="false">SUM(E89:H89)</f>
        <v>0</v>
      </c>
      <c r="J89" s="0" t="str">
        <f aca="false">IF(D89=I89,"●","✖")</f>
        <v>●</v>
      </c>
    </row>
    <row r="90" customFormat="false" ht="16.5" hidden="false" customHeight="false" outlineLevel="0" collapsed="false">
      <c r="A90" s="431" t="n">
        <v>89</v>
      </c>
      <c r="B90" s="139" t="s">
        <v>4930</v>
      </c>
      <c r="C90" s="141" t="s">
        <v>198</v>
      </c>
      <c r="D90" s="141" t="n">
        <f aca="false">SUMIF(門市請款明細表!$H$3:$H$1981,$C90,門市請款明細表!$J$3:$J$1981)</f>
        <v>0</v>
      </c>
      <c r="E90" s="431" t="n">
        <f aca="false">SUMIFS(門市請款明細表!$J$3:$J$1981,門市請款明細表!$H$3:$H$1981,$C90,門市請款明細表!$I$3:$I$1981,E$1)</f>
        <v>0</v>
      </c>
      <c r="F90" s="431" t="n">
        <f aca="false">SUMIFS(門市請款明細表!$J$3:$J$1981,門市請款明細表!$H$3:$H$1981,$C90,門市請款明細表!$I$3:$I$1981,F$1)</f>
        <v>0</v>
      </c>
      <c r="G90" s="431" t="n">
        <f aca="false">SUMIFS(門市請款明細表!$J$3:$J$1981,門市請款明細表!$H$3:$H$1981,$C90,門市請款明細表!$I$3:$I$1981,G$1)</f>
        <v>0</v>
      </c>
      <c r="H90" s="431" t="n">
        <f aca="false">SUMIFS(門市請款明細表!$J$3:$J$1981,門市請款明細表!$H$3:$H$1981,$C90,門市請款明細表!$I$3:$I$1981,H$1)</f>
        <v>0</v>
      </c>
      <c r="I90" s="15" t="n">
        <f aca="false">SUM(E90:H90)</f>
        <v>0</v>
      </c>
      <c r="J90" s="0" t="str">
        <f aca="false">IF(D90=I90,"●","✖")</f>
        <v>●</v>
      </c>
    </row>
    <row r="91" customFormat="false" ht="16.5" hidden="false" customHeight="false" outlineLevel="0" collapsed="false">
      <c r="A91" s="431" t="n">
        <v>90</v>
      </c>
      <c r="B91" s="139" t="s">
        <v>4930</v>
      </c>
      <c r="C91" s="141" t="s">
        <v>416</v>
      </c>
      <c r="D91" s="141" t="n">
        <f aca="false">SUMIF(門市請款明細表!$H$3:$H$1981,$C91,門市請款明細表!$J$3:$J$1981)</f>
        <v>0</v>
      </c>
      <c r="E91" s="431" t="n">
        <f aca="false">SUMIFS(門市請款明細表!$J$3:$J$1981,門市請款明細表!$H$3:$H$1981,$C91,門市請款明細表!$I$3:$I$1981,E$1)</f>
        <v>0</v>
      </c>
      <c r="F91" s="431" t="n">
        <f aca="false">SUMIFS(門市請款明細表!$J$3:$J$1981,門市請款明細表!$H$3:$H$1981,$C91,門市請款明細表!$I$3:$I$1981,F$1)</f>
        <v>0</v>
      </c>
      <c r="G91" s="431" t="n">
        <f aca="false">SUMIFS(門市請款明細表!$J$3:$J$1981,門市請款明細表!$H$3:$H$1981,$C91,門市請款明細表!$I$3:$I$1981,G$1)</f>
        <v>0</v>
      </c>
      <c r="H91" s="431" t="n">
        <f aca="false">SUMIFS(門市請款明細表!$J$3:$J$1981,門市請款明細表!$H$3:$H$1981,$C91,門市請款明細表!$I$3:$I$1981,H$1)</f>
        <v>0</v>
      </c>
      <c r="I91" s="15" t="n">
        <f aca="false">SUM(E91:H91)</f>
        <v>0</v>
      </c>
      <c r="J91" s="0" t="str">
        <f aca="false">IF(D91=I91,"●","✖")</f>
        <v>●</v>
      </c>
    </row>
    <row r="92" customFormat="false" ht="16.5" hidden="false" customHeight="false" outlineLevel="0" collapsed="false">
      <c r="A92" s="431" t="n">
        <v>91</v>
      </c>
      <c r="B92" s="139" t="s">
        <v>4930</v>
      </c>
      <c r="C92" s="141" t="s">
        <v>179</v>
      </c>
      <c r="D92" s="141" t="n">
        <f aca="false">SUMIF(門市請款明細表!$H$3:$H$1981,$C92,門市請款明細表!$J$3:$J$1981)</f>
        <v>0</v>
      </c>
      <c r="E92" s="431" t="n">
        <f aca="false">SUMIFS(門市請款明細表!$J$3:$J$1981,門市請款明細表!$H$3:$H$1981,$C92,門市請款明細表!$I$3:$I$1981,E$1)</f>
        <v>0</v>
      </c>
      <c r="F92" s="431" t="n">
        <f aca="false">SUMIFS(門市請款明細表!$J$3:$J$1981,門市請款明細表!$H$3:$H$1981,$C92,門市請款明細表!$I$3:$I$1981,F$1)</f>
        <v>0</v>
      </c>
      <c r="G92" s="431" t="n">
        <f aca="false">SUMIFS(門市請款明細表!$J$3:$J$1981,門市請款明細表!$H$3:$H$1981,$C92,門市請款明細表!$I$3:$I$1981,G$1)</f>
        <v>0</v>
      </c>
      <c r="H92" s="431" t="n">
        <f aca="false">SUMIFS(門市請款明細表!$J$3:$J$1981,門市請款明細表!$H$3:$H$1981,$C92,門市請款明細表!$I$3:$I$1981,H$1)</f>
        <v>0</v>
      </c>
      <c r="I92" s="15" t="n">
        <f aca="false">SUM(E92:H92)</f>
        <v>0</v>
      </c>
      <c r="J92" s="0" t="str">
        <f aca="false">IF(D92=I92,"●","✖")</f>
        <v>●</v>
      </c>
    </row>
    <row r="93" customFormat="false" ht="16.5" hidden="false" customHeight="false" outlineLevel="0" collapsed="false">
      <c r="A93" s="431" t="n">
        <v>92</v>
      </c>
      <c r="B93" s="139" t="s">
        <v>4930</v>
      </c>
      <c r="C93" s="141" t="s">
        <v>342</v>
      </c>
      <c r="D93" s="141" t="n">
        <f aca="false">SUMIF(門市請款明細表!$H$3:$H$1981,$C93,門市請款明細表!$J$3:$J$1981)</f>
        <v>0</v>
      </c>
      <c r="E93" s="431" t="n">
        <f aca="false">SUMIFS(門市請款明細表!$J$3:$J$1981,門市請款明細表!$H$3:$H$1981,$C93,門市請款明細表!$I$3:$I$1981,E$1)</f>
        <v>0</v>
      </c>
      <c r="F93" s="431" t="n">
        <f aca="false">SUMIFS(門市請款明細表!$J$3:$J$1981,門市請款明細表!$H$3:$H$1981,$C93,門市請款明細表!$I$3:$I$1981,F$1)</f>
        <v>0</v>
      </c>
      <c r="G93" s="431" t="n">
        <f aca="false">SUMIFS(門市請款明細表!$J$3:$J$1981,門市請款明細表!$H$3:$H$1981,$C93,門市請款明細表!$I$3:$I$1981,G$1)</f>
        <v>0</v>
      </c>
      <c r="H93" s="431" t="n">
        <f aca="false">SUMIFS(門市請款明細表!$J$3:$J$1981,門市請款明細表!$H$3:$H$1981,$C93,門市請款明細表!$I$3:$I$1981,H$1)</f>
        <v>0</v>
      </c>
      <c r="I93" s="15" t="n">
        <f aca="false">SUM(E93:H93)</f>
        <v>0</v>
      </c>
      <c r="J93" s="0" t="str">
        <f aca="false">IF(D93=I93,"●","✖")</f>
        <v>●</v>
      </c>
    </row>
    <row r="94" customFormat="false" ht="16.5" hidden="false" customHeight="false" outlineLevel="0" collapsed="false">
      <c r="A94" s="431" t="n">
        <v>93</v>
      </c>
      <c r="B94" s="139" t="s">
        <v>4930</v>
      </c>
      <c r="C94" s="141" t="s">
        <v>343</v>
      </c>
      <c r="D94" s="141" t="n">
        <f aca="false">SUMIF(門市請款明細表!$H$3:$H$1981,$C94,門市請款明細表!$J$3:$J$1981)</f>
        <v>0</v>
      </c>
      <c r="E94" s="431" t="n">
        <f aca="false">SUMIFS(門市請款明細表!$J$3:$J$1981,門市請款明細表!$H$3:$H$1981,$C94,門市請款明細表!$I$3:$I$1981,E$1)</f>
        <v>0</v>
      </c>
      <c r="F94" s="431" t="n">
        <f aca="false">SUMIFS(門市請款明細表!$J$3:$J$1981,門市請款明細表!$H$3:$H$1981,$C94,門市請款明細表!$I$3:$I$1981,F$1)</f>
        <v>0</v>
      </c>
      <c r="G94" s="431" t="n">
        <f aca="false">SUMIFS(門市請款明細表!$J$3:$J$1981,門市請款明細表!$H$3:$H$1981,$C94,門市請款明細表!$I$3:$I$1981,G$1)</f>
        <v>0</v>
      </c>
      <c r="H94" s="431" t="n">
        <f aca="false">SUMIFS(門市請款明細表!$J$3:$J$1981,門市請款明細表!$H$3:$H$1981,$C94,門市請款明細表!$I$3:$I$1981,H$1)</f>
        <v>0</v>
      </c>
      <c r="I94" s="15" t="n">
        <f aca="false">SUM(E94:H94)</f>
        <v>0</v>
      </c>
      <c r="J94" s="0" t="str">
        <f aca="false">IF(D94=I94,"●","✖")</f>
        <v>●</v>
      </c>
    </row>
    <row r="95" customFormat="false" ht="16.5" hidden="false" customHeight="false" outlineLevel="0" collapsed="false">
      <c r="A95" s="431" t="n">
        <v>94</v>
      </c>
      <c r="B95" s="139" t="s">
        <v>4930</v>
      </c>
      <c r="C95" s="141" t="s">
        <v>258</v>
      </c>
      <c r="D95" s="141" t="n">
        <f aca="false">SUMIF(門市請款明細表!$H$3:$H$1981,$C95,門市請款明細表!$J$3:$J$1981)</f>
        <v>0</v>
      </c>
      <c r="E95" s="431" t="n">
        <f aca="false">SUMIFS(門市請款明細表!$J$3:$J$1981,門市請款明細表!$H$3:$H$1981,$C95,門市請款明細表!$I$3:$I$1981,E$1)</f>
        <v>0</v>
      </c>
      <c r="F95" s="431" t="n">
        <f aca="false">SUMIFS(門市請款明細表!$J$3:$J$1981,門市請款明細表!$H$3:$H$1981,$C95,門市請款明細表!$I$3:$I$1981,F$1)</f>
        <v>0</v>
      </c>
      <c r="G95" s="431" t="n">
        <f aca="false">SUMIFS(門市請款明細表!$J$3:$J$1981,門市請款明細表!$H$3:$H$1981,$C95,門市請款明細表!$I$3:$I$1981,G$1)</f>
        <v>0</v>
      </c>
      <c r="H95" s="431" t="n">
        <f aca="false">SUMIFS(門市請款明細表!$J$3:$J$1981,門市請款明細表!$H$3:$H$1981,$C95,門市請款明細表!$I$3:$I$1981,H$1)</f>
        <v>0</v>
      </c>
      <c r="I95" s="15" t="n">
        <f aca="false">SUM(E95:H95)</f>
        <v>0</v>
      </c>
      <c r="J95" s="0" t="str">
        <f aca="false">IF(D95=I95,"●","✖")</f>
        <v>●</v>
      </c>
    </row>
    <row r="96" customFormat="false" ht="16.5" hidden="false" customHeight="false" outlineLevel="0" collapsed="false">
      <c r="A96" s="431" t="n">
        <v>95</v>
      </c>
      <c r="B96" s="139" t="s">
        <v>4930</v>
      </c>
      <c r="C96" s="141" t="s">
        <v>400</v>
      </c>
      <c r="D96" s="141" t="n">
        <f aca="false">SUMIF(門市請款明細表!$H$3:$H$1981,$C96,門市請款明細表!$J$3:$J$1981)</f>
        <v>0</v>
      </c>
      <c r="E96" s="431" t="n">
        <f aca="false">SUMIFS(門市請款明細表!$J$3:$J$1981,門市請款明細表!$H$3:$H$1981,$C96,門市請款明細表!$I$3:$I$1981,E$1)</f>
        <v>0</v>
      </c>
      <c r="F96" s="431" t="n">
        <f aca="false">SUMIFS(門市請款明細表!$J$3:$J$1981,門市請款明細表!$H$3:$H$1981,$C96,門市請款明細表!$I$3:$I$1981,F$1)</f>
        <v>0</v>
      </c>
      <c r="G96" s="431" t="n">
        <f aca="false">SUMIFS(門市請款明細表!$J$3:$J$1981,門市請款明細表!$H$3:$H$1981,$C96,門市請款明細表!$I$3:$I$1981,G$1)</f>
        <v>0</v>
      </c>
      <c r="H96" s="431" t="n">
        <f aca="false">SUMIFS(門市請款明細表!$J$3:$J$1981,門市請款明細表!$H$3:$H$1981,$C96,門市請款明細表!$I$3:$I$1981,H$1)</f>
        <v>0</v>
      </c>
      <c r="I96" s="15" t="n">
        <f aca="false">SUM(E96:H96)</f>
        <v>0</v>
      </c>
      <c r="J96" s="0" t="str">
        <f aca="false">IF(D96=I96,"●","✖")</f>
        <v>●</v>
      </c>
    </row>
    <row r="97" customFormat="false" ht="16.5" hidden="false" customHeight="false" outlineLevel="0" collapsed="false">
      <c r="A97" s="431" t="n">
        <v>96</v>
      </c>
      <c r="B97" s="139" t="s">
        <v>4930</v>
      </c>
      <c r="C97" s="141" t="s">
        <v>341</v>
      </c>
      <c r="D97" s="141" t="n">
        <f aca="false">SUMIF(門市請款明細表!$H$3:$H$1981,$C97,門市請款明細表!$J$3:$J$1981)</f>
        <v>0</v>
      </c>
      <c r="E97" s="431" t="n">
        <f aca="false">SUMIFS(門市請款明細表!$J$3:$J$1981,門市請款明細表!$H$3:$H$1981,$C97,門市請款明細表!$I$3:$I$1981,E$1)</f>
        <v>0</v>
      </c>
      <c r="F97" s="431" t="n">
        <f aca="false">SUMIFS(門市請款明細表!$J$3:$J$1981,門市請款明細表!$H$3:$H$1981,$C97,門市請款明細表!$I$3:$I$1981,F$1)</f>
        <v>0</v>
      </c>
      <c r="G97" s="431" t="n">
        <f aca="false">SUMIFS(門市請款明細表!$J$3:$J$1981,門市請款明細表!$H$3:$H$1981,$C97,門市請款明細表!$I$3:$I$1981,G$1)</f>
        <v>0</v>
      </c>
      <c r="H97" s="431" t="n">
        <f aca="false">SUMIFS(門市請款明細表!$J$3:$J$1981,門市請款明細表!$H$3:$H$1981,$C97,門市請款明細表!$I$3:$I$1981,H$1)</f>
        <v>0</v>
      </c>
      <c r="I97" s="15" t="n">
        <f aca="false">SUM(E97:H97)</f>
        <v>0</v>
      </c>
      <c r="J97" s="0" t="str">
        <f aca="false">IF(D97=I97,"●","✖")</f>
        <v>●</v>
      </c>
    </row>
    <row r="98" customFormat="false" ht="16.5" hidden="false" customHeight="false" outlineLevel="0" collapsed="false">
      <c r="A98" s="431" t="n">
        <v>97</v>
      </c>
      <c r="B98" s="139" t="s">
        <v>4933</v>
      </c>
      <c r="C98" s="141" t="s">
        <v>13</v>
      </c>
      <c r="D98" s="141" t="n">
        <f aca="false">SUMIF(門市請款明細表!$H$3:$H$1981,$C98,門市請款明細表!$J$3:$J$1981)</f>
        <v>0</v>
      </c>
      <c r="E98" s="431" t="n">
        <f aca="false">SUMIFS(門市請款明細表!$J$3:$J$1981,門市請款明細表!$H$3:$H$1981,$C98,門市請款明細表!$I$3:$I$1981,E$1)</f>
        <v>0</v>
      </c>
      <c r="F98" s="431" t="n">
        <f aca="false">SUMIFS(門市請款明細表!$J$3:$J$1981,門市請款明細表!$H$3:$H$1981,$C98,門市請款明細表!$I$3:$I$1981,F$1)</f>
        <v>0</v>
      </c>
      <c r="G98" s="431" t="n">
        <f aca="false">SUMIFS(門市請款明細表!$J$3:$J$1981,門市請款明細表!$H$3:$H$1981,$C98,門市請款明細表!$I$3:$I$1981,G$1)</f>
        <v>0</v>
      </c>
      <c r="H98" s="431" t="n">
        <f aca="false">SUMIFS(門市請款明細表!$J$3:$J$1981,門市請款明細表!$H$3:$H$1981,$C98,門市請款明細表!$I$3:$I$1981,H$1)</f>
        <v>0</v>
      </c>
      <c r="I98" s="15" t="n">
        <f aca="false">SUM(E98:H98)</f>
        <v>0</v>
      </c>
      <c r="J98" s="0" t="str">
        <f aca="false">IF(D98=I98,"●","✖")</f>
        <v>●</v>
      </c>
    </row>
    <row r="99" customFormat="false" ht="16.5" hidden="false" customHeight="false" outlineLevel="0" collapsed="false">
      <c r="A99" s="431" t="n">
        <v>98</v>
      </c>
      <c r="B99" s="139" t="s">
        <v>4933</v>
      </c>
      <c r="C99" s="141" t="s">
        <v>82</v>
      </c>
      <c r="D99" s="141" t="n">
        <f aca="false">SUMIF(門市請款明細表!$H$3:$H$1981,$C99,門市請款明細表!$J$3:$J$1981)</f>
        <v>0</v>
      </c>
      <c r="E99" s="431" t="n">
        <f aca="false">SUMIFS(門市請款明細表!$J$3:$J$1981,門市請款明細表!$H$3:$H$1981,$C99,門市請款明細表!$I$3:$I$1981,E$1)</f>
        <v>0</v>
      </c>
      <c r="F99" s="431" t="n">
        <f aca="false">SUMIFS(門市請款明細表!$J$3:$J$1981,門市請款明細表!$H$3:$H$1981,$C99,門市請款明細表!$I$3:$I$1981,F$1)</f>
        <v>0</v>
      </c>
      <c r="G99" s="431" t="n">
        <f aca="false">SUMIFS(門市請款明細表!$J$3:$J$1981,門市請款明細表!$H$3:$H$1981,$C99,門市請款明細表!$I$3:$I$1981,G$1)</f>
        <v>0</v>
      </c>
      <c r="H99" s="431" t="n">
        <f aca="false">SUMIFS(門市請款明細表!$J$3:$J$1981,門市請款明細表!$H$3:$H$1981,$C99,門市請款明細表!$I$3:$I$1981,H$1)</f>
        <v>0</v>
      </c>
      <c r="I99" s="15" t="n">
        <f aca="false">SUM(E99:H99)</f>
        <v>0</v>
      </c>
      <c r="J99" s="0" t="str">
        <f aca="false">IF(D99=I99,"●","✖")</f>
        <v>●</v>
      </c>
    </row>
    <row r="100" customFormat="false" ht="16.5" hidden="false" customHeight="false" outlineLevel="0" collapsed="false">
      <c r="A100" s="431" t="n">
        <v>99</v>
      </c>
      <c r="B100" s="139" t="s">
        <v>4933</v>
      </c>
      <c r="C100" s="141" t="s">
        <v>109</v>
      </c>
      <c r="D100" s="141" t="n">
        <f aca="false">SUMIF(門市請款明細表!$H$3:$H$1981,$C100,門市請款明細表!$J$3:$J$1981)</f>
        <v>0</v>
      </c>
      <c r="E100" s="431" t="n">
        <f aca="false">SUMIFS(門市請款明細表!$J$3:$J$1981,門市請款明細表!$H$3:$H$1981,$C100,門市請款明細表!$I$3:$I$1981,E$1)</f>
        <v>0</v>
      </c>
      <c r="F100" s="431" t="n">
        <f aca="false">SUMIFS(門市請款明細表!$J$3:$J$1981,門市請款明細表!$H$3:$H$1981,$C100,門市請款明細表!$I$3:$I$1981,F$1)</f>
        <v>0</v>
      </c>
      <c r="G100" s="431" t="n">
        <f aca="false">SUMIFS(門市請款明細表!$J$3:$J$1981,門市請款明細表!$H$3:$H$1981,$C100,門市請款明細表!$I$3:$I$1981,G$1)</f>
        <v>0</v>
      </c>
      <c r="H100" s="431" t="n">
        <f aca="false">SUMIFS(門市請款明細表!$J$3:$J$1981,門市請款明細表!$H$3:$H$1981,$C100,門市請款明細表!$I$3:$I$1981,H$1)</f>
        <v>0</v>
      </c>
      <c r="I100" s="15" t="n">
        <f aca="false">SUM(E100:H100)</f>
        <v>0</v>
      </c>
      <c r="J100" s="0" t="str">
        <f aca="false">IF(D100=I100,"●","✖")</f>
        <v>●</v>
      </c>
    </row>
    <row r="101" customFormat="false" ht="16.5" hidden="false" customHeight="false" outlineLevel="0" collapsed="false">
      <c r="A101" s="431" t="n">
        <v>100</v>
      </c>
      <c r="B101" s="139" t="s">
        <v>4933</v>
      </c>
      <c r="C101" s="141" t="s">
        <v>111</v>
      </c>
      <c r="D101" s="141" t="n">
        <f aca="false">SUMIF(門市請款明細表!$H$3:$H$1981,$C101,門市請款明細表!$J$3:$J$1981)</f>
        <v>0</v>
      </c>
      <c r="E101" s="431" t="n">
        <f aca="false">SUMIFS(門市請款明細表!$J$3:$J$1981,門市請款明細表!$H$3:$H$1981,$C101,門市請款明細表!$I$3:$I$1981,E$1)</f>
        <v>0</v>
      </c>
      <c r="F101" s="431" t="n">
        <f aca="false">SUMIFS(門市請款明細表!$J$3:$J$1981,門市請款明細表!$H$3:$H$1981,$C101,門市請款明細表!$I$3:$I$1981,F$1)</f>
        <v>0</v>
      </c>
      <c r="G101" s="431" t="n">
        <f aca="false">SUMIFS(門市請款明細表!$J$3:$J$1981,門市請款明細表!$H$3:$H$1981,$C101,門市請款明細表!$I$3:$I$1981,G$1)</f>
        <v>0</v>
      </c>
      <c r="H101" s="431" t="n">
        <f aca="false">SUMIFS(門市請款明細表!$J$3:$J$1981,門市請款明細表!$H$3:$H$1981,$C101,門市請款明細表!$I$3:$I$1981,H$1)</f>
        <v>0</v>
      </c>
      <c r="I101" s="15" t="n">
        <f aca="false">SUM(E101:H101)</f>
        <v>0</v>
      </c>
      <c r="J101" s="0" t="str">
        <f aca="false">IF(D101=I101,"●","✖")</f>
        <v>●</v>
      </c>
    </row>
    <row r="102" customFormat="false" ht="16.5" hidden="false" customHeight="false" outlineLevel="0" collapsed="false">
      <c r="A102" s="431" t="n">
        <v>101</v>
      </c>
      <c r="B102" s="139" t="s">
        <v>4933</v>
      </c>
      <c r="C102" s="141" t="s">
        <v>146</v>
      </c>
      <c r="D102" s="141" t="n">
        <f aca="false">SUMIF(門市請款明細表!$H$3:$H$1981,$C102,門市請款明細表!$J$3:$J$1981)</f>
        <v>0</v>
      </c>
      <c r="E102" s="431" t="n">
        <f aca="false">SUMIFS(門市請款明細表!$J$3:$J$1981,門市請款明細表!$H$3:$H$1981,$C102,門市請款明細表!$I$3:$I$1981,E$1)</f>
        <v>0</v>
      </c>
      <c r="F102" s="431" t="n">
        <f aca="false">SUMIFS(門市請款明細表!$J$3:$J$1981,門市請款明細表!$H$3:$H$1981,$C102,門市請款明細表!$I$3:$I$1981,F$1)</f>
        <v>0</v>
      </c>
      <c r="G102" s="431" t="n">
        <f aca="false">SUMIFS(門市請款明細表!$J$3:$J$1981,門市請款明細表!$H$3:$H$1981,$C102,門市請款明細表!$I$3:$I$1981,G$1)</f>
        <v>0</v>
      </c>
      <c r="H102" s="431" t="n">
        <f aca="false">SUMIFS(門市請款明細表!$J$3:$J$1981,門市請款明細表!$H$3:$H$1981,$C102,門市請款明細表!$I$3:$I$1981,H$1)</f>
        <v>0</v>
      </c>
      <c r="I102" s="15" t="n">
        <f aca="false">SUM(E102:H102)</f>
        <v>0</v>
      </c>
      <c r="J102" s="0" t="str">
        <f aca="false">IF(D102=I102,"●","✖")</f>
        <v>●</v>
      </c>
    </row>
    <row r="103" customFormat="false" ht="16.5" hidden="false" customHeight="false" outlineLevel="0" collapsed="false">
      <c r="A103" s="431" t="n">
        <v>102</v>
      </c>
      <c r="B103" s="139" t="s">
        <v>4933</v>
      </c>
      <c r="C103" s="141" t="s">
        <v>193</v>
      </c>
      <c r="D103" s="141" t="n">
        <f aca="false">SUMIF(門市請款明細表!$H$3:$H$1981,$C103,門市請款明細表!$J$3:$J$1981)</f>
        <v>0</v>
      </c>
      <c r="E103" s="431" t="n">
        <f aca="false">SUMIFS(門市請款明細表!$J$3:$J$1981,門市請款明細表!$H$3:$H$1981,$C103,門市請款明細表!$I$3:$I$1981,E$1)</f>
        <v>0</v>
      </c>
      <c r="F103" s="431" t="n">
        <f aca="false">SUMIFS(門市請款明細表!$J$3:$J$1981,門市請款明細表!$H$3:$H$1981,$C103,門市請款明細表!$I$3:$I$1981,F$1)</f>
        <v>0</v>
      </c>
      <c r="G103" s="431" t="n">
        <f aca="false">SUMIFS(門市請款明細表!$J$3:$J$1981,門市請款明細表!$H$3:$H$1981,$C103,門市請款明細表!$I$3:$I$1981,G$1)</f>
        <v>0</v>
      </c>
      <c r="H103" s="431" t="n">
        <f aca="false">SUMIFS(門市請款明細表!$J$3:$J$1981,門市請款明細表!$H$3:$H$1981,$C103,門市請款明細表!$I$3:$I$1981,H$1)</f>
        <v>0</v>
      </c>
      <c r="I103" s="15" t="n">
        <f aca="false">SUM(E103:H103)</f>
        <v>0</v>
      </c>
      <c r="J103" s="0" t="str">
        <f aca="false">IF(D103=I103,"●","✖")</f>
        <v>●</v>
      </c>
    </row>
    <row r="104" customFormat="false" ht="16.5" hidden="false" customHeight="false" outlineLevel="0" collapsed="false">
      <c r="A104" s="431" t="n">
        <v>103</v>
      </c>
      <c r="B104" s="139" t="s">
        <v>4933</v>
      </c>
      <c r="C104" s="141" t="s">
        <v>299</v>
      </c>
      <c r="D104" s="141" t="n">
        <f aca="false">SUMIF(門市請款明細表!$H$3:$H$1981,$C104,門市請款明細表!$J$3:$J$1981)</f>
        <v>0</v>
      </c>
      <c r="E104" s="431" t="n">
        <f aca="false">SUMIFS(門市請款明細表!$J$3:$J$1981,門市請款明細表!$H$3:$H$1981,$C104,門市請款明細表!$I$3:$I$1981,E$1)</f>
        <v>0</v>
      </c>
      <c r="F104" s="431" t="n">
        <f aca="false">SUMIFS(門市請款明細表!$J$3:$J$1981,門市請款明細表!$H$3:$H$1981,$C104,門市請款明細表!$I$3:$I$1981,F$1)</f>
        <v>0</v>
      </c>
      <c r="G104" s="431" t="n">
        <f aca="false">SUMIFS(門市請款明細表!$J$3:$J$1981,門市請款明細表!$H$3:$H$1981,$C104,門市請款明細表!$I$3:$I$1981,G$1)</f>
        <v>0</v>
      </c>
      <c r="H104" s="431" t="n">
        <f aca="false">SUMIFS(門市請款明細表!$J$3:$J$1981,門市請款明細表!$H$3:$H$1981,$C104,門市請款明細表!$I$3:$I$1981,H$1)</f>
        <v>0</v>
      </c>
      <c r="I104" s="15" t="n">
        <f aca="false">SUM(E104:H104)</f>
        <v>0</v>
      </c>
      <c r="J104" s="0" t="str">
        <f aca="false">IF(D104=I104,"●","✖")</f>
        <v>●</v>
      </c>
    </row>
    <row r="105" customFormat="false" ht="16.5" hidden="false" customHeight="false" outlineLevel="0" collapsed="false">
      <c r="A105" s="431" t="n">
        <v>104</v>
      </c>
      <c r="B105" s="139" t="s">
        <v>4933</v>
      </c>
      <c r="C105" s="141" t="s">
        <v>387</v>
      </c>
      <c r="D105" s="141" t="n">
        <f aca="false">SUMIF(門市請款明細表!$H$3:$H$1981,$C105,門市請款明細表!$J$3:$J$1981)</f>
        <v>0</v>
      </c>
      <c r="E105" s="431" t="n">
        <f aca="false">SUMIFS(門市請款明細表!$J$3:$J$1981,門市請款明細表!$H$3:$H$1981,$C105,門市請款明細表!$I$3:$I$1981,E$1)</f>
        <v>0</v>
      </c>
      <c r="F105" s="431" t="n">
        <f aca="false">SUMIFS(門市請款明細表!$J$3:$J$1981,門市請款明細表!$H$3:$H$1981,$C105,門市請款明細表!$I$3:$I$1981,F$1)</f>
        <v>0</v>
      </c>
      <c r="G105" s="431" t="n">
        <f aca="false">SUMIFS(門市請款明細表!$J$3:$J$1981,門市請款明細表!$H$3:$H$1981,$C105,門市請款明細表!$I$3:$I$1981,G$1)</f>
        <v>0</v>
      </c>
      <c r="H105" s="431" t="n">
        <f aca="false">SUMIFS(門市請款明細表!$J$3:$J$1981,門市請款明細表!$H$3:$H$1981,$C105,門市請款明細表!$I$3:$I$1981,H$1)</f>
        <v>0</v>
      </c>
      <c r="I105" s="15" t="n">
        <f aca="false">SUM(E105:H105)</f>
        <v>0</v>
      </c>
      <c r="J105" s="0" t="str">
        <f aca="false">IF(D105=I105,"●","✖")</f>
        <v>●</v>
      </c>
    </row>
    <row r="106" customFormat="false" ht="16.5" hidden="false" customHeight="false" outlineLevel="0" collapsed="false">
      <c r="A106" s="431" t="n">
        <v>105</v>
      </c>
      <c r="B106" s="139" t="s">
        <v>4933</v>
      </c>
      <c r="C106" s="141" t="s">
        <v>294</v>
      </c>
      <c r="D106" s="141" t="n">
        <f aca="false">SUMIF(門市請款明細表!$H$3:$H$1981,$C106,門市請款明細表!$J$3:$J$1981)</f>
        <v>0</v>
      </c>
      <c r="E106" s="431" t="n">
        <f aca="false">SUMIFS(門市請款明細表!$J$3:$J$1981,門市請款明細表!$H$3:$H$1981,$C106,門市請款明細表!$I$3:$I$1981,E$1)</f>
        <v>0</v>
      </c>
      <c r="F106" s="431" t="n">
        <f aca="false">SUMIFS(門市請款明細表!$J$3:$J$1981,門市請款明細表!$H$3:$H$1981,$C106,門市請款明細表!$I$3:$I$1981,F$1)</f>
        <v>0</v>
      </c>
      <c r="G106" s="431" t="n">
        <f aca="false">SUMIFS(門市請款明細表!$J$3:$J$1981,門市請款明細表!$H$3:$H$1981,$C106,門市請款明細表!$I$3:$I$1981,G$1)</f>
        <v>0</v>
      </c>
      <c r="H106" s="431" t="n">
        <f aca="false">SUMIFS(門市請款明細表!$J$3:$J$1981,門市請款明細表!$H$3:$H$1981,$C106,門市請款明細表!$I$3:$I$1981,H$1)</f>
        <v>0</v>
      </c>
      <c r="I106" s="15" t="n">
        <f aca="false">SUM(E106:H106)</f>
        <v>0</v>
      </c>
      <c r="J106" s="0" t="str">
        <f aca="false">IF(D106=I106,"●","✖")</f>
        <v>●</v>
      </c>
    </row>
    <row r="107" customFormat="false" ht="16.5" hidden="false" customHeight="false" outlineLevel="0" collapsed="false">
      <c r="A107" s="431" t="n">
        <v>106</v>
      </c>
      <c r="B107" s="139" t="s">
        <v>4933</v>
      </c>
      <c r="C107" s="141" t="s">
        <v>412</v>
      </c>
      <c r="D107" s="141" t="n">
        <f aca="false">SUMIF(門市請款明細表!$H$3:$H$1981,$C107,門市請款明細表!$J$3:$J$1981)</f>
        <v>0</v>
      </c>
      <c r="E107" s="431" t="n">
        <f aca="false">SUMIFS(門市請款明細表!$J$3:$J$1981,門市請款明細表!$H$3:$H$1981,$C107,門市請款明細表!$I$3:$I$1981,E$1)</f>
        <v>0</v>
      </c>
      <c r="F107" s="431" t="n">
        <f aca="false">SUMIFS(門市請款明細表!$J$3:$J$1981,門市請款明細表!$H$3:$H$1981,$C107,門市請款明細表!$I$3:$I$1981,F$1)</f>
        <v>0</v>
      </c>
      <c r="G107" s="431" t="n">
        <f aca="false">SUMIFS(門市請款明細表!$J$3:$J$1981,門市請款明細表!$H$3:$H$1981,$C107,門市請款明細表!$I$3:$I$1981,G$1)</f>
        <v>0</v>
      </c>
      <c r="H107" s="431" t="n">
        <f aca="false">SUMIFS(門市請款明細表!$J$3:$J$1981,門市請款明細表!$H$3:$H$1981,$C107,門市請款明細表!$I$3:$I$1981,H$1)</f>
        <v>0</v>
      </c>
      <c r="I107" s="15" t="n">
        <f aca="false">SUM(E107:H107)</f>
        <v>0</v>
      </c>
      <c r="J107" s="0" t="str">
        <f aca="false">IF(D107=I107,"●","✖")</f>
        <v>●</v>
      </c>
    </row>
    <row r="108" customFormat="false" ht="16.5" hidden="false" customHeight="false" outlineLevel="0" collapsed="false">
      <c r="A108" s="431" t="n">
        <v>107</v>
      </c>
      <c r="B108" s="139" t="s">
        <v>4933</v>
      </c>
      <c r="C108" s="141" t="s">
        <v>50</v>
      </c>
      <c r="D108" s="141" t="n">
        <f aca="false">SUMIF(門市請款明細表!$H$3:$H$1981,$C108,門市請款明細表!$J$3:$J$1981)</f>
        <v>0</v>
      </c>
      <c r="E108" s="431" t="n">
        <f aca="false">SUMIFS(門市請款明細表!$J$3:$J$1981,門市請款明細表!$H$3:$H$1981,$C108,門市請款明細表!$I$3:$I$1981,E$1)</f>
        <v>0</v>
      </c>
      <c r="F108" s="431" t="n">
        <f aca="false">SUMIFS(門市請款明細表!$J$3:$J$1981,門市請款明細表!$H$3:$H$1981,$C108,門市請款明細表!$I$3:$I$1981,F$1)</f>
        <v>0</v>
      </c>
      <c r="G108" s="431" t="n">
        <f aca="false">SUMIFS(門市請款明細表!$J$3:$J$1981,門市請款明細表!$H$3:$H$1981,$C108,門市請款明細表!$I$3:$I$1981,G$1)</f>
        <v>0</v>
      </c>
      <c r="H108" s="431" t="n">
        <f aca="false">SUMIFS(門市請款明細表!$J$3:$J$1981,門市請款明細表!$H$3:$H$1981,$C108,門市請款明細表!$I$3:$I$1981,H$1)</f>
        <v>0</v>
      </c>
      <c r="I108" s="15" t="n">
        <f aca="false">SUM(E108:H108)</f>
        <v>0</v>
      </c>
      <c r="J108" s="0" t="str">
        <f aca="false">IF(D108=I108,"●","✖")</f>
        <v>●</v>
      </c>
    </row>
    <row r="109" customFormat="false" ht="16.5" hidden="false" customHeight="false" outlineLevel="0" collapsed="false">
      <c r="A109" s="431" t="n">
        <v>108</v>
      </c>
      <c r="B109" s="139" t="s">
        <v>4933</v>
      </c>
      <c r="C109" s="141" t="s">
        <v>101</v>
      </c>
      <c r="D109" s="141" t="n">
        <f aca="false">SUMIF(門市請款明細表!$H$3:$H$1981,$C109,門市請款明細表!$J$3:$J$1981)</f>
        <v>0</v>
      </c>
      <c r="E109" s="431" t="n">
        <f aca="false">SUMIFS(門市請款明細表!$J$3:$J$1981,門市請款明細表!$H$3:$H$1981,$C109,門市請款明細表!$I$3:$I$1981,E$1)</f>
        <v>0</v>
      </c>
      <c r="F109" s="431" t="n">
        <f aca="false">SUMIFS(門市請款明細表!$J$3:$J$1981,門市請款明細表!$H$3:$H$1981,$C109,門市請款明細表!$I$3:$I$1981,F$1)</f>
        <v>0</v>
      </c>
      <c r="G109" s="431" t="n">
        <f aca="false">SUMIFS(門市請款明細表!$J$3:$J$1981,門市請款明細表!$H$3:$H$1981,$C109,門市請款明細表!$I$3:$I$1981,G$1)</f>
        <v>0</v>
      </c>
      <c r="H109" s="431" t="n">
        <f aca="false">SUMIFS(門市請款明細表!$J$3:$J$1981,門市請款明細表!$H$3:$H$1981,$C109,門市請款明細表!$I$3:$I$1981,H$1)</f>
        <v>0</v>
      </c>
      <c r="I109" s="15" t="n">
        <f aca="false">SUM(E109:H109)</f>
        <v>0</v>
      </c>
      <c r="J109" s="0" t="str">
        <f aca="false">IF(D109=I109,"●","✖")</f>
        <v>●</v>
      </c>
    </row>
    <row r="110" customFormat="false" ht="16.5" hidden="false" customHeight="false" outlineLevel="0" collapsed="false">
      <c r="A110" s="431" t="n">
        <v>109</v>
      </c>
      <c r="B110" s="139" t="s">
        <v>4933</v>
      </c>
      <c r="C110" s="141" t="s">
        <v>108</v>
      </c>
      <c r="D110" s="141" t="n">
        <f aca="false">SUMIF(門市請款明細表!$H$3:$H$1981,$C110,門市請款明細表!$J$3:$J$1981)</f>
        <v>0</v>
      </c>
      <c r="E110" s="431" t="n">
        <f aca="false">SUMIFS(門市請款明細表!$J$3:$J$1981,門市請款明細表!$H$3:$H$1981,$C110,門市請款明細表!$I$3:$I$1981,E$1)</f>
        <v>0</v>
      </c>
      <c r="F110" s="431" t="n">
        <f aca="false">SUMIFS(門市請款明細表!$J$3:$J$1981,門市請款明細表!$H$3:$H$1981,$C110,門市請款明細表!$I$3:$I$1981,F$1)</f>
        <v>0</v>
      </c>
      <c r="G110" s="431" t="n">
        <f aca="false">SUMIFS(門市請款明細表!$J$3:$J$1981,門市請款明細表!$H$3:$H$1981,$C110,門市請款明細表!$I$3:$I$1981,G$1)</f>
        <v>0</v>
      </c>
      <c r="H110" s="431" t="n">
        <f aca="false">SUMIFS(門市請款明細表!$J$3:$J$1981,門市請款明細表!$H$3:$H$1981,$C110,門市請款明細表!$I$3:$I$1981,H$1)</f>
        <v>0</v>
      </c>
      <c r="I110" s="15" t="n">
        <f aca="false">SUM(E110:H110)</f>
        <v>0</v>
      </c>
      <c r="J110" s="0" t="str">
        <f aca="false">IF(D110=I110,"●","✖")</f>
        <v>●</v>
      </c>
    </row>
    <row r="111" customFormat="false" ht="16.5" hidden="false" customHeight="false" outlineLevel="0" collapsed="false">
      <c r="A111" s="431" t="n">
        <v>110</v>
      </c>
      <c r="B111" s="139" t="s">
        <v>4933</v>
      </c>
      <c r="C111" s="141" t="s">
        <v>110</v>
      </c>
      <c r="D111" s="141" t="n">
        <f aca="false">SUMIF(門市請款明細表!$H$3:$H$1981,$C111,門市請款明細表!$J$3:$J$1981)</f>
        <v>0</v>
      </c>
      <c r="E111" s="431" t="n">
        <f aca="false">SUMIFS(門市請款明細表!$J$3:$J$1981,門市請款明細表!$H$3:$H$1981,$C111,門市請款明細表!$I$3:$I$1981,E$1)</f>
        <v>0</v>
      </c>
      <c r="F111" s="431" t="n">
        <f aca="false">SUMIFS(門市請款明細表!$J$3:$J$1981,門市請款明細表!$H$3:$H$1981,$C111,門市請款明細表!$I$3:$I$1981,F$1)</f>
        <v>0</v>
      </c>
      <c r="G111" s="431" t="n">
        <f aca="false">SUMIFS(門市請款明細表!$J$3:$J$1981,門市請款明細表!$H$3:$H$1981,$C111,門市請款明細表!$I$3:$I$1981,G$1)</f>
        <v>0</v>
      </c>
      <c r="H111" s="431" t="n">
        <f aca="false">SUMIFS(門市請款明細表!$J$3:$J$1981,門市請款明細表!$H$3:$H$1981,$C111,門市請款明細表!$I$3:$I$1981,H$1)</f>
        <v>0</v>
      </c>
      <c r="I111" s="15" t="n">
        <f aca="false">SUM(E111:H111)</f>
        <v>0</v>
      </c>
      <c r="J111" s="0" t="str">
        <f aca="false">IF(D111=I111,"●","✖")</f>
        <v>●</v>
      </c>
    </row>
    <row r="112" customFormat="false" ht="16.5" hidden="false" customHeight="false" outlineLevel="0" collapsed="false">
      <c r="A112" s="431" t="n">
        <v>111</v>
      </c>
      <c r="B112" s="139" t="s">
        <v>4933</v>
      </c>
      <c r="C112" s="141" t="s">
        <v>153</v>
      </c>
      <c r="D112" s="141" t="n">
        <f aca="false">SUMIF(門市請款明細表!$H$3:$H$1981,$C112,門市請款明細表!$J$3:$J$1981)</f>
        <v>0</v>
      </c>
      <c r="E112" s="431" t="n">
        <f aca="false">SUMIFS(門市請款明細表!$J$3:$J$1981,門市請款明細表!$H$3:$H$1981,$C112,門市請款明細表!$I$3:$I$1981,E$1)</f>
        <v>0</v>
      </c>
      <c r="F112" s="431" t="n">
        <f aca="false">SUMIFS(門市請款明細表!$J$3:$J$1981,門市請款明細表!$H$3:$H$1981,$C112,門市請款明細表!$I$3:$I$1981,F$1)</f>
        <v>0</v>
      </c>
      <c r="G112" s="431" t="n">
        <f aca="false">SUMIFS(門市請款明細表!$J$3:$J$1981,門市請款明細表!$H$3:$H$1981,$C112,門市請款明細表!$I$3:$I$1981,G$1)</f>
        <v>0</v>
      </c>
      <c r="H112" s="431" t="n">
        <f aca="false">SUMIFS(門市請款明細表!$J$3:$J$1981,門市請款明細表!$H$3:$H$1981,$C112,門市請款明細表!$I$3:$I$1981,H$1)</f>
        <v>0</v>
      </c>
      <c r="I112" s="15" t="n">
        <f aca="false">SUM(E112:H112)</f>
        <v>0</v>
      </c>
      <c r="J112" s="0" t="str">
        <f aca="false">IF(D112=I112,"●","✖")</f>
        <v>●</v>
      </c>
    </row>
    <row r="113" customFormat="false" ht="16.5" hidden="false" customHeight="false" outlineLevel="0" collapsed="false">
      <c r="A113" s="431" t="n">
        <v>112</v>
      </c>
      <c r="B113" s="139" t="s">
        <v>4933</v>
      </c>
      <c r="C113" s="141" t="s">
        <v>255</v>
      </c>
      <c r="D113" s="141" t="n">
        <f aca="false">SUMIF(門市請款明細表!$H$3:$H$1981,$C113,門市請款明細表!$J$3:$J$1981)</f>
        <v>0</v>
      </c>
      <c r="E113" s="431" t="n">
        <f aca="false">SUMIFS(門市請款明細表!$J$3:$J$1981,門市請款明細表!$H$3:$H$1981,$C113,門市請款明細表!$I$3:$I$1981,E$1)</f>
        <v>0</v>
      </c>
      <c r="F113" s="431" t="n">
        <f aca="false">SUMIFS(門市請款明細表!$J$3:$J$1981,門市請款明細表!$H$3:$H$1981,$C113,門市請款明細表!$I$3:$I$1981,F$1)</f>
        <v>0</v>
      </c>
      <c r="G113" s="431" t="n">
        <f aca="false">SUMIFS(門市請款明細表!$J$3:$J$1981,門市請款明細表!$H$3:$H$1981,$C113,門市請款明細表!$I$3:$I$1981,G$1)</f>
        <v>0</v>
      </c>
      <c r="H113" s="431" t="n">
        <f aca="false">SUMIFS(門市請款明細表!$J$3:$J$1981,門市請款明細表!$H$3:$H$1981,$C113,門市請款明細表!$I$3:$I$1981,H$1)</f>
        <v>0</v>
      </c>
      <c r="I113" s="15" t="n">
        <f aca="false">SUM(E113:H113)</f>
        <v>0</v>
      </c>
      <c r="J113" s="0" t="str">
        <f aca="false">IF(D113=I113,"●","✖")</f>
        <v>●</v>
      </c>
    </row>
    <row r="114" customFormat="false" ht="16.5" hidden="false" customHeight="false" outlineLevel="0" collapsed="false">
      <c r="A114" s="431" t="n">
        <v>113</v>
      </c>
      <c r="B114" s="139" t="s">
        <v>4933</v>
      </c>
      <c r="C114" s="141" t="s">
        <v>298</v>
      </c>
      <c r="D114" s="141" t="n">
        <f aca="false">SUMIF(門市請款明細表!$H$3:$H$1981,$C114,門市請款明細表!$J$3:$J$1981)</f>
        <v>0</v>
      </c>
      <c r="E114" s="431" t="n">
        <f aca="false">SUMIFS(門市請款明細表!$J$3:$J$1981,門市請款明細表!$H$3:$H$1981,$C114,門市請款明細表!$I$3:$I$1981,E$1)</f>
        <v>0</v>
      </c>
      <c r="F114" s="431" t="n">
        <f aca="false">SUMIFS(門市請款明細表!$J$3:$J$1981,門市請款明細表!$H$3:$H$1981,$C114,門市請款明細表!$I$3:$I$1981,F$1)</f>
        <v>0</v>
      </c>
      <c r="G114" s="431" t="n">
        <f aca="false">SUMIFS(門市請款明細表!$J$3:$J$1981,門市請款明細表!$H$3:$H$1981,$C114,門市請款明細表!$I$3:$I$1981,G$1)</f>
        <v>0</v>
      </c>
      <c r="H114" s="431" t="n">
        <f aca="false">SUMIFS(門市請款明細表!$J$3:$J$1981,門市請款明細表!$H$3:$H$1981,$C114,門市請款明細表!$I$3:$I$1981,H$1)</f>
        <v>0</v>
      </c>
      <c r="I114" s="15" t="n">
        <f aca="false">SUM(E114:H114)</f>
        <v>0</v>
      </c>
      <c r="J114" s="0" t="str">
        <f aca="false">IF(D114=I114,"●","✖")</f>
        <v>●</v>
      </c>
    </row>
    <row r="115" customFormat="false" ht="16.5" hidden="false" customHeight="false" outlineLevel="0" collapsed="false">
      <c r="A115" s="431" t="n">
        <v>114</v>
      </c>
      <c r="B115" s="139" t="s">
        <v>4933</v>
      </c>
      <c r="C115" s="141" t="s">
        <v>332</v>
      </c>
      <c r="D115" s="141" t="n">
        <f aca="false">SUMIF(門市請款明細表!$H$3:$H$1981,$C115,門市請款明細表!$J$3:$J$1981)</f>
        <v>0</v>
      </c>
      <c r="E115" s="431" t="n">
        <f aca="false">SUMIFS(門市請款明細表!$J$3:$J$1981,門市請款明細表!$H$3:$H$1981,$C115,門市請款明細表!$I$3:$I$1981,E$1)</f>
        <v>0</v>
      </c>
      <c r="F115" s="431" t="n">
        <f aca="false">SUMIFS(門市請款明細表!$J$3:$J$1981,門市請款明細表!$H$3:$H$1981,$C115,門市請款明細表!$I$3:$I$1981,F$1)</f>
        <v>0</v>
      </c>
      <c r="G115" s="431" t="n">
        <f aca="false">SUMIFS(門市請款明細表!$J$3:$J$1981,門市請款明細表!$H$3:$H$1981,$C115,門市請款明細表!$I$3:$I$1981,G$1)</f>
        <v>0</v>
      </c>
      <c r="H115" s="431" t="n">
        <f aca="false">SUMIFS(門市請款明細表!$J$3:$J$1981,門市請款明細表!$H$3:$H$1981,$C115,門市請款明細表!$I$3:$I$1981,H$1)</f>
        <v>0</v>
      </c>
      <c r="I115" s="15" t="n">
        <f aca="false">SUM(E115:H115)</f>
        <v>0</v>
      </c>
      <c r="J115" s="0" t="str">
        <f aca="false">IF(D115=I115,"●","✖")</f>
        <v>●</v>
      </c>
    </row>
    <row r="116" customFormat="false" ht="16.5" hidden="false" customHeight="false" outlineLevel="0" collapsed="false">
      <c r="A116" s="431" t="n">
        <v>115</v>
      </c>
      <c r="B116" s="139" t="s">
        <v>4933</v>
      </c>
      <c r="C116" s="141" t="s">
        <v>392</v>
      </c>
      <c r="D116" s="141" t="n">
        <f aca="false">SUMIF(門市請款明細表!$H$3:$H$1981,$C116,門市請款明細表!$J$3:$J$1981)</f>
        <v>0</v>
      </c>
      <c r="E116" s="431" t="n">
        <f aca="false">SUMIFS(門市請款明細表!$J$3:$J$1981,門市請款明細表!$H$3:$H$1981,$C116,門市請款明細表!$I$3:$I$1981,E$1)</f>
        <v>0</v>
      </c>
      <c r="F116" s="431" t="n">
        <f aca="false">SUMIFS(門市請款明細表!$J$3:$J$1981,門市請款明細表!$H$3:$H$1981,$C116,門市請款明細表!$I$3:$I$1981,F$1)</f>
        <v>0</v>
      </c>
      <c r="G116" s="431" t="n">
        <f aca="false">SUMIFS(門市請款明細表!$J$3:$J$1981,門市請款明細表!$H$3:$H$1981,$C116,門市請款明細表!$I$3:$I$1981,G$1)</f>
        <v>0</v>
      </c>
      <c r="H116" s="431" t="n">
        <f aca="false">SUMIFS(門市請款明細表!$J$3:$J$1981,門市請款明細表!$H$3:$H$1981,$C116,門市請款明細表!$I$3:$I$1981,H$1)</f>
        <v>0</v>
      </c>
      <c r="I116" s="15" t="n">
        <f aca="false">SUM(E116:H116)</f>
        <v>0</v>
      </c>
      <c r="J116" s="0" t="str">
        <f aca="false">IF(D116=I116,"●","✖")</f>
        <v>●</v>
      </c>
    </row>
    <row r="117" customFormat="false" ht="16.5" hidden="false" customHeight="false" outlineLevel="0" collapsed="false">
      <c r="A117" s="431" t="n">
        <v>116</v>
      </c>
      <c r="B117" s="139" t="s">
        <v>4933</v>
      </c>
      <c r="C117" s="141" t="s">
        <v>393</v>
      </c>
      <c r="D117" s="141" t="n">
        <f aca="false">SUMIF(門市請款明細表!$H$3:$H$1981,$C117,門市請款明細表!$J$3:$J$1981)</f>
        <v>0</v>
      </c>
      <c r="E117" s="431" t="n">
        <f aca="false">SUMIFS(門市請款明細表!$J$3:$J$1981,門市請款明細表!$H$3:$H$1981,$C117,門市請款明細表!$I$3:$I$1981,E$1)</f>
        <v>0</v>
      </c>
      <c r="F117" s="431" t="n">
        <f aca="false">SUMIFS(門市請款明細表!$J$3:$J$1981,門市請款明細表!$H$3:$H$1981,$C117,門市請款明細表!$I$3:$I$1981,F$1)</f>
        <v>0</v>
      </c>
      <c r="G117" s="431" t="n">
        <f aca="false">SUMIFS(門市請款明細表!$J$3:$J$1981,門市請款明細表!$H$3:$H$1981,$C117,門市請款明細表!$I$3:$I$1981,G$1)</f>
        <v>0</v>
      </c>
      <c r="H117" s="431" t="n">
        <f aca="false">SUMIFS(門市請款明細表!$J$3:$J$1981,門市請款明細表!$H$3:$H$1981,$C117,門市請款明細表!$I$3:$I$1981,H$1)</f>
        <v>0</v>
      </c>
      <c r="I117" s="15" t="n">
        <f aca="false">SUM(E117:H117)</f>
        <v>0</v>
      </c>
      <c r="J117" s="0" t="str">
        <f aca="false">IF(D117=I117,"●","✖")</f>
        <v>●</v>
      </c>
    </row>
    <row r="118" customFormat="false" ht="16.5" hidden="false" customHeight="false" outlineLevel="0" collapsed="false">
      <c r="A118" s="431" t="n">
        <v>117</v>
      </c>
      <c r="B118" s="139" t="s">
        <v>4933</v>
      </c>
      <c r="C118" s="141" t="s">
        <v>418</v>
      </c>
      <c r="D118" s="141" t="n">
        <f aca="false">SUMIF(門市請款明細表!$H$3:$H$1981,$C118,門市請款明細表!$J$3:$J$1981)</f>
        <v>0</v>
      </c>
      <c r="E118" s="431" t="n">
        <f aca="false">SUMIFS(門市請款明細表!$J$3:$J$1981,門市請款明細表!$H$3:$H$1981,$C118,門市請款明細表!$I$3:$I$1981,E$1)</f>
        <v>0</v>
      </c>
      <c r="F118" s="431" t="n">
        <f aca="false">SUMIFS(門市請款明細表!$J$3:$J$1981,門市請款明細表!$H$3:$H$1981,$C118,門市請款明細表!$I$3:$I$1981,F$1)</f>
        <v>0</v>
      </c>
      <c r="G118" s="431" t="n">
        <f aca="false">SUMIFS(門市請款明細表!$J$3:$J$1981,門市請款明細表!$H$3:$H$1981,$C118,門市請款明細表!$I$3:$I$1981,G$1)</f>
        <v>0</v>
      </c>
      <c r="H118" s="431" t="n">
        <f aca="false">SUMIFS(門市請款明細表!$J$3:$J$1981,門市請款明細表!$H$3:$H$1981,$C118,門市請款明細表!$I$3:$I$1981,H$1)</f>
        <v>0</v>
      </c>
      <c r="I118" s="15" t="n">
        <f aca="false">SUM(E118:H118)</f>
        <v>0</v>
      </c>
      <c r="J118" s="0" t="str">
        <f aca="false">IF(D118=I118,"●","✖")</f>
        <v>●</v>
      </c>
    </row>
    <row r="119" customFormat="false" ht="16.5" hidden="false" customHeight="false" outlineLevel="0" collapsed="false">
      <c r="A119" s="431" t="n">
        <v>118</v>
      </c>
      <c r="B119" s="139" t="s">
        <v>4933</v>
      </c>
      <c r="C119" s="141" t="s">
        <v>3</v>
      </c>
      <c r="D119" s="141" t="n">
        <f aca="false">SUMIF(門市請款明細表!$H$3:$H$1981,$C119,門市請款明細表!$J$3:$J$1981)</f>
        <v>0</v>
      </c>
      <c r="E119" s="431" t="n">
        <f aca="false">SUMIFS(門市請款明細表!$J$3:$J$1981,門市請款明細表!$H$3:$H$1981,$C119,門市請款明細表!$I$3:$I$1981,E$1)</f>
        <v>0</v>
      </c>
      <c r="F119" s="431" t="n">
        <f aca="false">SUMIFS(門市請款明細表!$J$3:$J$1981,門市請款明細表!$H$3:$H$1981,$C119,門市請款明細表!$I$3:$I$1981,F$1)</f>
        <v>0</v>
      </c>
      <c r="G119" s="431" t="n">
        <f aca="false">SUMIFS(門市請款明細表!$J$3:$J$1981,門市請款明細表!$H$3:$H$1981,$C119,門市請款明細表!$I$3:$I$1981,G$1)</f>
        <v>0</v>
      </c>
      <c r="H119" s="431" t="n">
        <f aca="false">SUMIFS(門市請款明細表!$J$3:$J$1981,門市請款明細表!$H$3:$H$1981,$C119,門市請款明細表!$I$3:$I$1981,H$1)</f>
        <v>0</v>
      </c>
      <c r="I119" s="15" t="n">
        <f aca="false">SUM(E119:H119)</f>
        <v>0</v>
      </c>
      <c r="J119" s="0" t="str">
        <f aca="false">IF(D119=I119,"●","✖")</f>
        <v>●</v>
      </c>
    </row>
    <row r="120" customFormat="false" ht="16.5" hidden="false" customHeight="false" outlineLevel="0" collapsed="false">
      <c r="A120" s="431" t="n">
        <v>119</v>
      </c>
      <c r="B120" s="139" t="s">
        <v>4933</v>
      </c>
      <c r="C120" s="141" t="s">
        <v>57</v>
      </c>
      <c r="D120" s="141" t="n">
        <f aca="false">SUMIF(門市請款明細表!$H$3:$H$1981,$C120,門市請款明細表!$J$3:$J$1981)</f>
        <v>0</v>
      </c>
      <c r="E120" s="431" t="n">
        <f aca="false">SUMIFS(門市請款明細表!$J$3:$J$1981,門市請款明細表!$H$3:$H$1981,$C120,門市請款明細表!$I$3:$I$1981,E$1)</f>
        <v>0</v>
      </c>
      <c r="F120" s="431" t="n">
        <f aca="false">SUMIFS(門市請款明細表!$J$3:$J$1981,門市請款明細表!$H$3:$H$1981,$C120,門市請款明細表!$I$3:$I$1981,F$1)</f>
        <v>0</v>
      </c>
      <c r="G120" s="431" t="n">
        <f aca="false">SUMIFS(門市請款明細表!$J$3:$J$1981,門市請款明細表!$H$3:$H$1981,$C120,門市請款明細表!$I$3:$I$1981,G$1)</f>
        <v>0</v>
      </c>
      <c r="H120" s="431" t="n">
        <f aca="false">SUMIFS(門市請款明細表!$J$3:$J$1981,門市請款明細表!$H$3:$H$1981,$C120,門市請款明細表!$I$3:$I$1981,H$1)</f>
        <v>0</v>
      </c>
      <c r="I120" s="15" t="n">
        <f aca="false">SUM(E120:H120)</f>
        <v>0</v>
      </c>
      <c r="J120" s="0" t="str">
        <f aca="false">IF(D120=I120,"●","✖")</f>
        <v>●</v>
      </c>
    </row>
    <row r="121" customFormat="false" ht="16.5" hidden="false" customHeight="false" outlineLevel="0" collapsed="false">
      <c r="A121" s="431" t="n">
        <v>120</v>
      </c>
      <c r="B121" s="139" t="s">
        <v>4934</v>
      </c>
      <c r="C121" s="141" t="s">
        <v>70</v>
      </c>
      <c r="D121" s="141" t="n">
        <f aca="false">SUMIF(門市請款明細表!$H$3:$H$1981,$C121,門市請款明細表!$J$3:$J$1981)</f>
        <v>0</v>
      </c>
      <c r="E121" s="431" t="n">
        <f aca="false">SUMIFS(門市請款明細表!$J$3:$J$1981,門市請款明細表!$H$3:$H$1981,$C121,門市請款明細表!$I$3:$I$1981,E$1)</f>
        <v>0</v>
      </c>
      <c r="F121" s="431" t="n">
        <f aca="false">SUMIFS(門市請款明細表!$J$3:$J$1981,門市請款明細表!$H$3:$H$1981,$C121,門市請款明細表!$I$3:$I$1981,F$1)</f>
        <v>0</v>
      </c>
      <c r="G121" s="431" t="n">
        <f aca="false">SUMIFS(門市請款明細表!$J$3:$J$1981,門市請款明細表!$H$3:$H$1981,$C121,門市請款明細表!$I$3:$I$1981,G$1)</f>
        <v>0</v>
      </c>
      <c r="H121" s="431" t="n">
        <f aca="false">SUMIFS(門市請款明細表!$J$3:$J$1981,門市請款明細表!$H$3:$H$1981,$C121,門市請款明細表!$I$3:$I$1981,H$1)</f>
        <v>0</v>
      </c>
      <c r="I121" s="15" t="n">
        <f aca="false">SUM(E121:H121)</f>
        <v>0</v>
      </c>
      <c r="J121" s="0" t="str">
        <f aca="false">IF(D121=I121,"●","✖")</f>
        <v>●</v>
      </c>
    </row>
    <row r="122" customFormat="false" ht="16.5" hidden="false" customHeight="false" outlineLevel="0" collapsed="false">
      <c r="A122" s="431" t="n">
        <v>121</v>
      </c>
      <c r="B122" s="139" t="s">
        <v>4933</v>
      </c>
      <c r="C122" s="141" t="s">
        <v>112</v>
      </c>
      <c r="D122" s="141" t="n">
        <f aca="false">SUMIF(門市請款明細表!$H$3:$H$1981,$C122,門市請款明細表!$J$3:$J$1981)</f>
        <v>0</v>
      </c>
      <c r="E122" s="431" t="n">
        <f aca="false">SUMIFS(門市請款明細表!$J$3:$J$1981,門市請款明細表!$H$3:$H$1981,$C122,門市請款明細表!$I$3:$I$1981,E$1)</f>
        <v>0</v>
      </c>
      <c r="F122" s="431" t="n">
        <f aca="false">SUMIFS(門市請款明細表!$J$3:$J$1981,門市請款明細表!$H$3:$H$1981,$C122,門市請款明細表!$I$3:$I$1981,F$1)</f>
        <v>0</v>
      </c>
      <c r="G122" s="431" t="n">
        <f aca="false">SUMIFS(門市請款明細表!$J$3:$J$1981,門市請款明細表!$H$3:$H$1981,$C122,門市請款明細表!$I$3:$I$1981,G$1)</f>
        <v>0</v>
      </c>
      <c r="H122" s="431" t="n">
        <f aca="false">SUMIFS(門市請款明細表!$J$3:$J$1981,門市請款明細表!$H$3:$H$1981,$C122,門市請款明細表!$I$3:$I$1981,H$1)</f>
        <v>0</v>
      </c>
      <c r="I122" s="15" t="n">
        <f aca="false">SUM(E122:H122)</f>
        <v>0</v>
      </c>
      <c r="J122" s="0" t="str">
        <f aca="false">IF(D122=I122,"●","✖")</f>
        <v>●</v>
      </c>
    </row>
    <row r="123" customFormat="false" ht="16.5" hidden="false" customHeight="false" outlineLevel="0" collapsed="false">
      <c r="A123" s="431" t="n">
        <v>122</v>
      </c>
      <c r="B123" s="139" t="s">
        <v>4933</v>
      </c>
      <c r="C123" s="141" t="s">
        <v>113</v>
      </c>
      <c r="D123" s="141" t="n">
        <f aca="false">SUMIF(門市請款明細表!$H$3:$H$1981,$C123,門市請款明細表!$J$3:$J$1981)</f>
        <v>0</v>
      </c>
      <c r="E123" s="431" t="n">
        <f aca="false">SUMIFS(門市請款明細表!$J$3:$J$1981,門市請款明細表!$H$3:$H$1981,$C123,門市請款明細表!$I$3:$I$1981,E$1)</f>
        <v>0</v>
      </c>
      <c r="F123" s="431" t="n">
        <f aca="false">SUMIFS(門市請款明細表!$J$3:$J$1981,門市請款明細表!$H$3:$H$1981,$C123,門市請款明細表!$I$3:$I$1981,F$1)</f>
        <v>0</v>
      </c>
      <c r="G123" s="431" t="n">
        <f aca="false">SUMIFS(門市請款明細表!$J$3:$J$1981,門市請款明細表!$H$3:$H$1981,$C123,門市請款明細表!$I$3:$I$1981,G$1)</f>
        <v>0</v>
      </c>
      <c r="H123" s="431" t="n">
        <f aca="false">SUMIFS(門市請款明細表!$J$3:$J$1981,門市請款明細表!$H$3:$H$1981,$C123,門市請款明細表!$I$3:$I$1981,H$1)</f>
        <v>0</v>
      </c>
      <c r="I123" s="15" t="n">
        <f aca="false">SUM(E123:H123)</f>
        <v>0</v>
      </c>
      <c r="J123" s="0" t="str">
        <f aca="false">IF(D123=I123,"●","✖")</f>
        <v>●</v>
      </c>
    </row>
    <row r="124" customFormat="false" ht="16.5" hidden="false" customHeight="false" outlineLevel="0" collapsed="false">
      <c r="A124" s="431" t="n">
        <v>123</v>
      </c>
      <c r="B124" s="139" t="s">
        <v>4933</v>
      </c>
      <c r="C124" s="141" t="s">
        <v>154</v>
      </c>
      <c r="D124" s="141" t="n">
        <f aca="false">SUMIF(門市請款明細表!$H$3:$H$1981,$C124,門市請款明細表!$J$3:$J$1981)</f>
        <v>0</v>
      </c>
      <c r="E124" s="431" t="n">
        <f aca="false">SUMIFS(門市請款明細表!$J$3:$J$1981,門市請款明細表!$H$3:$H$1981,$C124,門市請款明細表!$I$3:$I$1981,E$1)</f>
        <v>0</v>
      </c>
      <c r="F124" s="431" t="n">
        <f aca="false">SUMIFS(門市請款明細表!$J$3:$J$1981,門市請款明細表!$H$3:$H$1981,$C124,門市請款明細表!$I$3:$I$1981,F$1)</f>
        <v>0</v>
      </c>
      <c r="G124" s="431" t="n">
        <f aca="false">SUMIFS(門市請款明細表!$J$3:$J$1981,門市請款明細表!$H$3:$H$1981,$C124,門市請款明細表!$I$3:$I$1981,G$1)</f>
        <v>0</v>
      </c>
      <c r="H124" s="431" t="n">
        <f aca="false">SUMIFS(門市請款明細表!$J$3:$J$1981,門市請款明細表!$H$3:$H$1981,$C124,門市請款明細表!$I$3:$I$1981,H$1)</f>
        <v>0</v>
      </c>
      <c r="I124" s="15" t="n">
        <f aca="false">SUM(E124:H124)</f>
        <v>0</v>
      </c>
      <c r="J124" s="0" t="str">
        <f aca="false">IF(D124=I124,"●","✖")</f>
        <v>●</v>
      </c>
    </row>
    <row r="125" customFormat="false" ht="16.5" hidden="false" customHeight="false" outlineLevel="0" collapsed="false">
      <c r="A125" s="431" t="n">
        <v>124</v>
      </c>
      <c r="B125" s="139" t="s">
        <v>4933</v>
      </c>
      <c r="C125" s="141" t="s">
        <v>206</v>
      </c>
      <c r="D125" s="141" t="n">
        <f aca="false">SUMIF(門市請款明細表!$H$3:$H$1981,$C125,門市請款明細表!$J$3:$J$1981)</f>
        <v>0</v>
      </c>
      <c r="E125" s="431" t="n">
        <f aca="false">SUMIFS(門市請款明細表!$J$3:$J$1981,門市請款明細表!$H$3:$H$1981,$C125,門市請款明細表!$I$3:$I$1981,E$1)</f>
        <v>0</v>
      </c>
      <c r="F125" s="431" t="n">
        <f aca="false">SUMIFS(門市請款明細表!$J$3:$J$1981,門市請款明細表!$H$3:$H$1981,$C125,門市請款明細表!$I$3:$I$1981,F$1)</f>
        <v>0</v>
      </c>
      <c r="G125" s="431" t="n">
        <f aca="false">SUMIFS(門市請款明細表!$J$3:$J$1981,門市請款明細表!$H$3:$H$1981,$C125,門市請款明細表!$I$3:$I$1981,G$1)</f>
        <v>0</v>
      </c>
      <c r="H125" s="431" t="n">
        <f aca="false">SUMIFS(門市請款明細表!$J$3:$J$1981,門市請款明細表!$H$3:$H$1981,$C125,門市請款明細表!$I$3:$I$1981,H$1)</f>
        <v>0</v>
      </c>
      <c r="I125" s="15" t="n">
        <f aca="false">SUM(E125:H125)</f>
        <v>0</v>
      </c>
      <c r="J125" s="0" t="str">
        <f aca="false">IF(D125=I125,"●","✖")</f>
        <v>●</v>
      </c>
    </row>
    <row r="126" customFormat="false" ht="16.5" hidden="false" customHeight="false" outlineLevel="0" collapsed="false">
      <c r="A126" s="431" t="n">
        <v>125</v>
      </c>
      <c r="B126" s="139" t="s">
        <v>4934</v>
      </c>
      <c r="C126" s="141" t="s">
        <v>263</v>
      </c>
      <c r="D126" s="141" t="n">
        <f aca="false">SUMIF(門市請款明細表!$H$3:$H$1981,$C126,門市請款明細表!$J$3:$J$1981)</f>
        <v>0</v>
      </c>
      <c r="E126" s="431" t="n">
        <f aca="false">SUMIFS(門市請款明細表!$J$3:$J$1981,門市請款明細表!$H$3:$H$1981,$C126,門市請款明細表!$I$3:$I$1981,E$1)</f>
        <v>0</v>
      </c>
      <c r="F126" s="431" t="n">
        <f aca="false">SUMIFS(門市請款明細表!$J$3:$J$1981,門市請款明細表!$H$3:$H$1981,$C126,門市請款明細表!$I$3:$I$1981,F$1)</f>
        <v>0</v>
      </c>
      <c r="G126" s="431" t="n">
        <f aca="false">SUMIFS(門市請款明細表!$J$3:$J$1981,門市請款明細表!$H$3:$H$1981,$C126,門市請款明細表!$I$3:$I$1981,G$1)</f>
        <v>0</v>
      </c>
      <c r="H126" s="431" t="n">
        <f aca="false">SUMIFS(門市請款明細表!$J$3:$J$1981,門市請款明細表!$H$3:$H$1981,$C126,門市請款明細表!$I$3:$I$1981,H$1)</f>
        <v>0</v>
      </c>
      <c r="I126" s="15" t="n">
        <f aca="false">SUM(E126:H126)</f>
        <v>0</v>
      </c>
      <c r="J126" s="0" t="str">
        <f aca="false">IF(D126=I126,"●","✖")</f>
        <v>●</v>
      </c>
    </row>
    <row r="127" customFormat="false" ht="16.5" hidden="false" customHeight="false" outlineLevel="0" collapsed="false">
      <c r="A127" s="431" t="n">
        <v>126</v>
      </c>
      <c r="B127" s="139" t="s">
        <v>4933</v>
      </c>
      <c r="C127" s="141" t="s">
        <v>292</v>
      </c>
      <c r="D127" s="141" t="n">
        <f aca="false">SUMIF(門市請款明細表!$H$3:$H$1981,$C127,門市請款明細表!$J$3:$J$1981)</f>
        <v>0</v>
      </c>
      <c r="E127" s="431" t="n">
        <f aca="false">SUMIFS(門市請款明細表!$J$3:$J$1981,門市請款明細表!$H$3:$H$1981,$C127,門市請款明細表!$I$3:$I$1981,E$1)</f>
        <v>0</v>
      </c>
      <c r="F127" s="431" t="n">
        <f aca="false">SUMIFS(門市請款明細表!$J$3:$J$1981,門市請款明細表!$H$3:$H$1981,$C127,門市請款明細表!$I$3:$I$1981,F$1)</f>
        <v>0</v>
      </c>
      <c r="G127" s="431" t="n">
        <f aca="false">SUMIFS(門市請款明細表!$J$3:$J$1981,門市請款明細表!$H$3:$H$1981,$C127,門市請款明細表!$I$3:$I$1981,G$1)</f>
        <v>0</v>
      </c>
      <c r="H127" s="431" t="n">
        <f aca="false">SUMIFS(門市請款明細表!$J$3:$J$1981,門市請款明細表!$H$3:$H$1981,$C127,門市請款明細表!$I$3:$I$1981,H$1)</f>
        <v>0</v>
      </c>
      <c r="I127" s="15" t="n">
        <f aca="false">SUM(E127:H127)</f>
        <v>0</v>
      </c>
      <c r="J127" s="0" t="str">
        <f aca="false">IF(D127=I127,"●","✖")</f>
        <v>●</v>
      </c>
    </row>
    <row r="128" customFormat="false" ht="16.5" hidden="false" customHeight="false" outlineLevel="0" collapsed="false">
      <c r="A128" s="431" t="n">
        <v>127</v>
      </c>
      <c r="B128" s="139" t="s">
        <v>4933</v>
      </c>
      <c r="C128" s="141" t="s">
        <v>338</v>
      </c>
      <c r="D128" s="141" t="n">
        <f aca="false">SUMIF(門市請款明細表!$H$3:$H$1981,$C128,門市請款明細表!$J$3:$J$1981)</f>
        <v>0</v>
      </c>
      <c r="E128" s="431" t="n">
        <f aca="false">SUMIFS(門市請款明細表!$J$3:$J$1981,門市請款明細表!$H$3:$H$1981,$C128,門市請款明細表!$I$3:$I$1981,E$1)</f>
        <v>0</v>
      </c>
      <c r="F128" s="431" t="n">
        <f aca="false">SUMIFS(門市請款明細表!$J$3:$J$1981,門市請款明細表!$H$3:$H$1981,$C128,門市請款明細表!$I$3:$I$1981,F$1)</f>
        <v>0</v>
      </c>
      <c r="G128" s="431" t="n">
        <f aca="false">SUMIFS(門市請款明細表!$J$3:$J$1981,門市請款明細表!$H$3:$H$1981,$C128,門市請款明細表!$I$3:$I$1981,G$1)</f>
        <v>0</v>
      </c>
      <c r="H128" s="431" t="n">
        <f aca="false">SUMIFS(門市請款明細表!$J$3:$J$1981,門市請款明細表!$H$3:$H$1981,$C128,門市請款明細表!$I$3:$I$1981,H$1)</f>
        <v>0</v>
      </c>
      <c r="I128" s="15" t="n">
        <f aca="false">SUM(E128:H128)</f>
        <v>0</v>
      </c>
      <c r="J128" s="0" t="str">
        <f aca="false">IF(D128=I128,"●","✖")</f>
        <v>●</v>
      </c>
    </row>
    <row r="129" customFormat="false" ht="16.5" hidden="false" customHeight="false" outlineLevel="0" collapsed="false">
      <c r="A129" s="431" t="n">
        <v>128</v>
      </c>
      <c r="B129" s="139" t="s">
        <v>4934</v>
      </c>
      <c r="C129" s="141" t="s">
        <v>42</v>
      </c>
      <c r="D129" s="141" t="n">
        <f aca="false">SUMIF(門市請款明細表!$H$3:$H$1981,$C129,門市請款明細表!$J$3:$J$1981)</f>
        <v>0</v>
      </c>
      <c r="E129" s="431" t="n">
        <f aca="false">SUMIFS(門市請款明細表!$J$3:$J$1981,門市請款明細表!$H$3:$H$1981,$C129,門市請款明細表!$I$3:$I$1981,E$1)</f>
        <v>0</v>
      </c>
      <c r="F129" s="431" t="n">
        <f aca="false">SUMIFS(門市請款明細表!$J$3:$J$1981,門市請款明細表!$H$3:$H$1981,$C129,門市請款明細表!$I$3:$I$1981,F$1)</f>
        <v>0</v>
      </c>
      <c r="G129" s="431" t="n">
        <f aca="false">SUMIFS(門市請款明細表!$J$3:$J$1981,門市請款明細表!$H$3:$H$1981,$C129,門市請款明細表!$I$3:$I$1981,G$1)</f>
        <v>0</v>
      </c>
      <c r="H129" s="431" t="n">
        <f aca="false">SUMIFS(門市請款明細表!$J$3:$J$1981,門市請款明細表!$H$3:$H$1981,$C129,門市請款明細表!$I$3:$I$1981,H$1)</f>
        <v>0</v>
      </c>
      <c r="I129" s="15" t="n">
        <f aca="false">SUM(E129:H129)</f>
        <v>0</v>
      </c>
      <c r="J129" s="0" t="str">
        <f aca="false">IF(D129=I129,"●","✖")</f>
        <v>●</v>
      </c>
    </row>
    <row r="130" customFormat="false" ht="16.5" hidden="false" customHeight="false" outlineLevel="0" collapsed="false">
      <c r="A130" s="432" t="n">
        <v>129</v>
      </c>
      <c r="B130" s="432"/>
      <c r="C130" s="433" t="s">
        <v>81</v>
      </c>
      <c r="D130" s="141" t="n">
        <f aca="false">SUMIF(門市請款明細表!$H$3:$H$1981,$C130,門市請款明細表!$J$3:$J$1981)</f>
        <v>0</v>
      </c>
      <c r="E130" s="431" t="n">
        <f aca="false">SUMIFS(門市請款明細表!$J$3:$J$1981,門市請款明細表!$H$3:$H$1981,$C130,門市請款明細表!$I$3:$I$1981,E$1)</f>
        <v>0</v>
      </c>
      <c r="F130" s="431" t="n">
        <f aca="false">SUMIFS(門市請款明細表!$J$3:$J$1981,門市請款明細表!$H$3:$H$1981,$C130,門市請款明細表!$I$3:$I$1981,F$1)</f>
        <v>0</v>
      </c>
      <c r="G130" s="431" t="n">
        <f aca="false">SUMIFS(門市請款明細表!$J$3:$J$1981,門市請款明細表!$H$3:$H$1981,$C130,門市請款明細表!$I$3:$I$1981,G$1)</f>
        <v>0</v>
      </c>
      <c r="H130" s="431" t="n">
        <f aca="false">SUMIFS(門市請款明細表!$J$3:$J$1981,門市請款明細表!$H$3:$H$1981,$C130,門市請款明細表!$I$3:$I$1981,H$1)</f>
        <v>0</v>
      </c>
      <c r="I130" s="15" t="n">
        <f aca="false">SUM(E130:H130)</f>
        <v>0</v>
      </c>
      <c r="J130" s="0" t="str">
        <f aca="false">IF(D130=I130,"●","✖")</f>
        <v>●</v>
      </c>
      <c r="M130" s="141"/>
    </row>
    <row r="131" customFormat="false" ht="16.5" hidden="false" customHeight="false" outlineLevel="0" collapsed="false">
      <c r="A131" s="431" t="n">
        <v>130</v>
      </c>
      <c r="B131" s="139" t="s">
        <v>4934</v>
      </c>
      <c r="C131" s="141" t="s">
        <v>90</v>
      </c>
      <c r="D131" s="141" t="n">
        <f aca="false">SUMIF(門市請款明細表!$H$3:$H$1981,$C131,門市請款明細表!$J$3:$J$1981)</f>
        <v>0</v>
      </c>
      <c r="E131" s="431" t="n">
        <f aca="false">SUMIFS(門市請款明細表!$J$3:$J$1981,門市請款明細表!$H$3:$H$1981,$C131,門市請款明細表!$I$3:$I$1981,E$1)</f>
        <v>0</v>
      </c>
      <c r="F131" s="431" t="n">
        <f aca="false">SUMIFS(門市請款明細表!$J$3:$J$1981,門市請款明細表!$H$3:$H$1981,$C131,門市請款明細表!$I$3:$I$1981,F$1)</f>
        <v>0</v>
      </c>
      <c r="G131" s="431" t="n">
        <f aca="false">SUMIFS(門市請款明細表!$J$3:$J$1981,門市請款明細表!$H$3:$H$1981,$C131,門市請款明細表!$I$3:$I$1981,G$1)</f>
        <v>0</v>
      </c>
      <c r="H131" s="431" t="n">
        <f aca="false">SUMIFS(門市請款明細表!$J$3:$J$1981,門市請款明細表!$H$3:$H$1981,$C131,門市請款明細表!$I$3:$I$1981,H$1)</f>
        <v>0</v>
      </c>
      <c r="I131" s="15" t="n">
        <f aca="false">SUM(E131:H131)</f>
        <v>0</v>
      </c>
      <c r="J131" s="0" t="str">
        <f aca="false">IF(D131=I131,"●","✖")</f>
        <v>●</v>
      </c>
    </row>
    <row r="132" customFormat="false" ht="16.5" hidden="false" customHeight="false" outlineLevel="0" collapsed="false">
      <c r="A132" s="431" t="n">
        <v>131</v>
      </c>
      <c r="B132" s="139" t="s">
        <v>4934</v>
      </c>
      <c r="C132" s="141" t="s">
        <v>100</v>
      </c>
      <c r="D132" s="141" t="n">
        <f aca="false">SUMIF(門市請款明細表!$H$3:$H$1981,$C132,門市請款明細表!$J$3:$J$1981)</f>
        <v>0</v>
      </c>
      <c r="E132" s="431" t="n">
        <f aca="false">SUMIFS(門市請款明細表!$J$3:$J$1981,門市請款明細表!$H$3:$H$1981,$C132,門市請款明細表!$I$3:$I$1981,E$1)</f>
        <v>0</v>
      </c>
      <c r="F132" s="431" t="n">
        <f aca="false">SUMIFS(門市請款明細表!$J$3:$J$1981,門市請款明細表!$H$3:$H$1981,$C132,門市請款明細表!$I$3:$I$1981,F$1)</f>
        <v>0</v>
      </c>
      <c r="G132" s="431" t="n">
        <f aca="false">SUMIFS(門市請款明細表!$J$3:$J$1981,門市請款明細表!$H$3:$H$1981,$C132,門市請款明細表!$I$3:$I$1981,G$1)</f>
        <v>0</v>
      </c>
      <c r="H132" s="431" t="n">
        <f aca="false">SUMIFS(門市請款明細表!$J$3:$J$1981,門市請款明細表!$H$3:$H$1981,$C132,門市請款明細表!$I$3:$I$1981,H$1)</f>
        <v>0</v>
      </c>
      <c r="I132" s="15" t="n">
        <f aca="false">SUM(E132:H132)</f>
        <v>0</v>
      </c>
      <c r="J132" s="0" t="str">
        <f aca="false">IF(D132=I132,"●","✖")</f>
        <v>●</v>
      </c>
    </row>
    <row r="133" customFormat="false" ht="16.5" hidden="false" customHeight="false" outlineLevel="0" collapsed="false">
      <c r="A133" s="431" t="n">
        <v>132</v>
      </c>
      <c r="B133" s="139" t="s">
        <v>4934</v>
      </c>
      <c r="C133" s="141" t="s">
        <v>147</v>
      </c>
      <c r="D133" s="141" t="n">
        <f aca="false">SUMIF(門市請款明細表!$H$3:$H$1981,$C133,門市請款明細表!$J$3:$J$1981)</f>
        <v>0</v>
      </c>
      <c r="E133" s="431" t="n">
        <f aca="false">SUMIFS(門市請款明細表!$J$3:$J$1981,門市請款明細表!$H$3:$H$1981,$C133,門市請款明細表!$I$3:$I$1981,E$1)</f>
        <v>0</v>
      </c>
      <c r="F133" s="431" t="n">
        <f aca="false">SUMIFS(門市請款明細表!$J$3:$J$1981,門市請款明細表!$H$3:$H$1981,$C133,門市請款明細表!$I$3:$I$1981,F$1)</f>
        <v>0</v>
      </c>
      <c r="G133" s="431" t="n">
        <f aca="false">SUMIFS(門市請款明細表!$J$3:$J$1981,門市請款明細表!$H$3:$H$1981,$C133,門市請款明細表!$I$3:$I$1981,G$1)</f>
        <v>0</v>
      </c>
      <c r="H133" s="431" t="n">
        <f aca="false">SUMIFS(門市請款明細表!$J$3:$J$1981,門市請款明細表!$H$3:$H$1981,$C133,門市請款明細表!$I$3:$I$1981,H$1)</f>
        <v>0</v>
      </c>
      <c r="I133" s="15" t="n">
        <f aca="false">SUM(E133:H133)</f>
        <v>0</v>
      </c>
      <c r="J133" s="0" t="str">
        <f aca="false">IF(D133=I133,"●","✖")</f>
        <v>●</v>
      </c>
    </row>
    <row r="134" customFormat="false" ht="16.5" hidden="false" customHeight="false" outlineLevel="0" collapsed="false">
      <c r="A134" s="431" t="n">
        <v>133</v>
      </c>
      <c r="B134" s="139" t="s">
        <v>4934</v>
      </c>
      <c r="C134" s="141" t="s">
        <v>232</v>
      </c>
      <c r="D134" s="141" t="n">
        <f aca="false">SUMIF(門市請款明細表!$H$3:$H$1981,$C134,門市請款明細表!$J$3:$J$1981)</f>
        <v>0</v>
      </c>
      <c r="E134" s="431" t="n">
        <f aca="false">SUMIFS(門市請款明細表!$J$3:$J$1981,門市請款明細表!$H$3:$H$1981,$C134,門市請款明細表!$I$3:$I$1981,E$1)</f>
        <v>0</v>
      </c>
      <c r="F134" s="431" t="n">
        <f aca="false">SUMIFS(門市請款明細表!$J$3:$J$1981,門市請款明細表!$H$3:$H$1981,$C134,門市請款明細表!$I$3:$I$1981,F$1)</f>
        <v>0</v>
      </c>
      <c r="G134" s="431" t="n">
        <f aca="false">SUMIFS(門市請款明細表!$J$3:$J$1981,門市請款明細表!$H$3:$H$1981,$C134,門市請款明細表!$I$3:$I$1981,G$1)</f>
        <v>0</v>
      </c>
      <c r="H134" s="431" t="n">
        <f aca="false">SUMIFS(門市請款明細表!$J$3:$J$1981,門市請款明細表!$H$3:$H$1981,$C134,門市請款明細表!$I$3:$I$1981,H$1)</f>
        <v>0</v>
      </c>
      <c r="I134" s="15" t="n">
        <f aca="false">SUM(E134:H134)</f>
        <v>0</v>
      </c>
      <c r="J134" s="0" t="str">
        <f aca="false">IF(D134=I134,"●","✖")</f>
        <v>●</v>
      </c>
    </row>
    <row r="135" customFormat="false" ht="16.5" hidden="false" customHeight="false" outlineLevel="0" collapsed="false">
      <c r="A135" s="431" t="n">
        <v>134</v>
      </c>
      <c r="B135" s="139" t="s">
        <v>4934</v>
      </c>
      <c r="C135" s="141" t="s">
        <v>318</v>
      </c>
      <c r="D135" s="141" t="n">
        <f aca="false">SUMIF(門市請款明細表!$H$3:$H$1981,$C135,門市請款明細表!$J$3:$J$1981)</f>
        <v>0</v>
      </c>
      <c r="E135" s="431" t="n">
        <f aca="false">SUMIFS(門市請款明細表!$J$3:$J$1981,門市請款明細表!$H$3:$H$1981,$C135,門市請款明細表!$I$3:$I$1981,E$1)</f>
        <v>0</v>
      </c>
      <c r="F135" s="431" t="n">
        <f aca="false">SUMIFS(門市請款明細表!$J$3:$J$1981,門市請款明細表!$H$3:$H$1981,$C135,門市請款明細表!$I$3:$I$1981,F$1)</f>
        <v>0</v>
      </c>
      <c r="G135" s="431" t="n">
        <f aca="false">SUMIFS(門市請款明細表!$J$3:$J$1981,門市請款明細表!$H$3:$H$1981,$C135,門市請款明細表!$I$3:$I$1981,G$1)</f>
        <v>0</v>
      </c>
      <c r="H135" s="431" t="n">
        <f aca="false">SUMIFS(門市請款明細表!$J$3:$J$1981,門市請款明細表!$H$3:$H$1981,$C135,門市請款明細表!$I$3:$I$1981,H$1)</f>
        <v>0</v>
      </c>
      <c r="I135" s="15" t="n">
        <f aca="false">SUM(E135:H135)</f>
        <v>0</v>
      </c>
      <c r="J135" s="0" t="str">
        <f aca="false">IF(D135=I135,"●","✖")</f>
        <v>●</v>
      </c>
    </row>
    <row r="136" customFormat="false" ht="16.5" hidden="false" customHeight="false" outlineLevel="0" collapsed="false">
      <c r="A136" s="431" t="n">
        <v>135</v>
      </c>
      <c r="B136" s="139" t="s">
        <v>4934</v>
      </c>
      <c r="C136" s="141" t="s">
        <v>337</v>
      </c>
      <c r="D136" s="141" t="n">
        <f aca="false">SUMIF(門市請款明細表!$H$3:$H$1981,$C136,門市請款明細表!$J$3:$J$1981)</f>
        <v>0</v>
      </c>
      <c r="E136" s="431" t="n">
        <f aca="false">SUMIFS(門市請款明細表!$J$3:$J$1981,門市請款明細表!$H$3:$H$1981,$C136,門市請款明細表!$I$3:$I$1981,E$1)</f>
        <v>0</v>
      </c>
      <c r="F136" s="431" t="n">
        <f aca="false">SUMIFS(門市請款明細表!$J$3:$J$1981,門市請款明細表!$H$3:$H$1981,$C136,門市請款明細表!$I$3:$I$1981,F$1)</f>
        <v>0</v>
      </c>
      <c r="G136" s="431" t="n">
        <f aca="false">SUMIFS(門市請款明細表!$J$3:$J$1981,門市請款明細表!$H$3:$H$1981,$C136,門市請款明細表!$I$3:$I$1981,G$1)</f>
        <v>0</v>
      </c>
      <c r="H136" s="431" t="n">
        <f aca="false">SUMIFS(門市請款明細表!$J$3:$J$1981,門市請款明細表!$H$3:$H$1981,$C136,門市請款明細表!$I$3:$I$1981,H$1)</f>
        <v>0</v>
      </c>
      <c r="I136" s="15" t="n">
        <f aca="false">SUM(E136:H136)</f>
        <v>0</v>
      </c>
      <c r="J136" s="0" t="str">
        <f aca="false">IF(D136=I136,"●","✖")</f>
        <v>●</v>
      </c>
    </row>
    <row r="137" customFormat="false" ht="16.5" hidden="false" customHeight="false" outlineLevel="0" collapsed="false">
      <c r="A137" s="431" t="n">
        <v>136</v>
      </c>
      <c r="B137" s="139" t="s">
        <v>4934</v>
      </c>
      <c r="C137" s="141" t="s">
        <v>374</v>
      </c>
      <c r="D137" s="141" t="n">
        <f aca="false">SUMIF(門市請款明細表!$H$3:$H$1981,$C137,門市請款明細表!$J$3:$J$1981)</f>
        <v>0</v>
      </c>
      <c r="E137" s="431" t="n">
        <f aca="false">SUMIFS(門市請款明細表!$J$3:$J$1981,門市請款明細表!$H$3:$H$1981,$C137,門市請款明細表!$I$3:$I$1981,E$1)</f>
        <v>0</v>
      </c>
      <c r="F137" s="431" t="n">
        <f aca="false">SUMIFS(門市請款明細表!$J$3:$J$1981,門市請款明細表!$H$3:$H$1981,$C137,門市請款明細表!$I$3:$I$1981,F$1)</f>
        <v>0</v>
      </c>
      <c r="G137" s="431" t="n">
        <f aca="false">SUMIFS(門市請款明細表!$J$3:$J$1981,門市請款明細表!$H$3:$H$1981,$C137,門市請款明細表!$I$3:$I$1981,G$1)</f>
        <v>0</v>
      </c>
      <c r="H137" s="431" t="n">
        <f aca="false">SUMIFS(門市請款明細表!$J$3:$J$1981,門市請款明細表!$H$3:$H$1981,$C137,門市請款明細表!$I$3:$I$1981,H$1)</f>
        <v>0</v>
      </c>
      <c r="I137" s="15" t="n">
        <f aca="false">SUM(E137:H137)</f>
        <v>0</v>
      </c>
      <c r="J137" s="0" t="str">
        <f aca="false">IF(D137=I137,"●","✖")</f>
        <v>●</v>
      </c>
    </row>
    <row r="138" customFormat="false" ht="16.5" hidden="false" customHeight="false" outlineLevel="0" collapsed="false">
      <c r="A138" s="431" t="n">
        <v>137</v>
      </c>
      <c r="B138" s="139" t="s">
        <v>4934</v>
      </c>
      <c r="C138" s="141" t="s">
        <v>399</v>
      </c>
      <c r="D138" s="141" t="n">
        <f aca="false">SUMIF(門市請款明細表!$H$3:$H$1981,$C138,門市請款明細表!$J$3:$J$1981)</f>
        <v>0</v>
      </c>
      <c r="E138" s="431" t="n">
        <f aca="false">SUMIFS(門市請款明細表!$J$3:$J$1981,門市請款明細表!$H$3:$H$1981,$C138,門市請款明細表!$I$3:$I$1981,E$1)</f>
        <v>0</v>
      </c>
      <c r="F138" s="431" t="n">
        <f aca="false">SUMIFS(門市請款明細表!$J$3:$J$1981,門市請款明細表!$H$3:$H$1981,$C138,門市請款明細表!$I$3:$I$1981,F$1)</f>
        <v>0</v>
      </c>
      <c r="G138" s="431" t="n">
        <f aca="false">SUMIFS(門市請款明細表!$J$3:$J$1981,門市請款明細表!$H$3:$H$1981,$C138,門市請款明細表!$I$3:$I$1981,G$1)</f>
        <v>0</v>
      </c>
      <c r="H138" s="431" t="n">
        <f aca="false">SUMIFS(門市請款明細表!$J$3:$J$1981,門市請款明細表!$H$3:$H$1981,$C138,門市請款明細表!$I$3:$I$1981,H$1)</f>
        <v>0</v>
      </c>
      <c r="I138" s="15" t="n">
        <f aca="false">SUM(E138:H138)</f>
        <v>0</v>
      </c>
      <c r="J138" s="0" t="str">
        <f aca="false">IF(D138=I138,"●","✖")</f>
        <v>●</v>
      </c>
    </row>
    <row r="139" customFormat="false" ht="16.5" hidden="false" customHeight="false" outlineLevel="0" collapsed="false">
      <c r="A139" s="431" t="n">
        <v>138</v>
      </c>
      <c r="B139" s="139" t="s">
        <v>4932</v>
      </c>
      <c r="C139" s="141" t="s">
        <v>62</v>
      </c>
      <c r="D139" s="141" t="n">
        <f aca="false">SUMIF(門市請款明細表!$H$3:$H$1981,$C139,門市請款明細表!$J$3:$J$1981)</f>
        <v>0</v>
      </c>
      <c r="E139" s="431" t="n">
        <f aca="false">SUMIFS(門市請款明細表!$J$3:$J$1981,門市請款明細表!$H$3:$H$1981,$C139,門市請款明細表!$I$3:$I$1981,E$1)</f>
        <v>0</v>
      </c>
      <c r="F139" s="431" t="n">
        <f aca="false">SUMIFS(門市請款明細表!$J$3:$J$1981,門市請款明細表!$H$3:$H$1981,$C139,門市請款明細表!$I$3:$I$1981,F$1)</f>
        <v>0</v>
      </c>
      <c r="G139" s="431" t="n">
        <f aca="false">SUMIFS(門市請款明細表!$J$3:$J$1981,門市請款明細表!$H$3:$H$1981,$C139,門市請款明細表!$I$3:$I$1981,G$1)</f>
        <v>0</v>
      </c>
      <c r="H139" s="431" t="n">
        <f aca="false">SUMIFS(門市請款明細表!$J$3:$J$1981,門市請款明細表!$H$3:$H$1981,$C139,門市請款明細表!$I$3:$I$1981,H$1)</f>
        <v>0</v>
      </c>
      <c r="I139" s="15" t="n">
        <f aca="false">SUM(E139:H139)</f>
        <v>0</v>
      </c>
      <c r="J139" s="0" t="str">
        <f aca="false">IF(D139=I139,"●","✖")</f>
        <v>●</v>
      </c>
    </row>
    <row r="140" customFormat="false" ht="16.5" hidden="false" customHeight="false" outlineLevel="0" collapsed="false">
      <c r="A140" s="431" t="n">
        <v>139</v>
      </c>
      <c r="B140" s="139" t="s">
        <v>4935</v>
      </c>
      <c r="C140" s="141" t="s">
        <v>136</v>
      </c>
      <c r="D140" s="141" t="n">
        <f aca="false">SUMIF(門市請款明細表!$H$3:$H$1981,$C140,門市請款明細表!$J$3:$J$1981)</f>
        <v>0</v>
      </c>
      <c r="E140" s="431" t="n">
        <f aca="false">SUMIFS(門市請款明細表!$J$3:$J$1981,門市請款明細表!$H$3:$H$1981,$C140,門市請款明細表!$I$3:$I$1981,E$1)</f>
        <v>0</v>
      </c>
      <c r="F140" s="431" t="n">
        <f aca="false">SUMIFS(門市請款明細表!$J$3:$J$1981,門市請款明細表!$H$3:$H$1981,$C140,門市請款明細表!$I$3:$I$1981,F$1)</f>
        <v>0</v>
      </c>
      <c r="G140" s="431" t="n">
        <f aca="false">SUMIFS(門市請款明細表!$J$3:$J$1981,門市請款明細表!$H$3:$H$1981,$C140,門市請款明細表!$I$3:$I$1981,G$1)</f>
        <v>0</v>
      </c>
      <c r="H140" s="431" t="n">
        <f aca="false">SUMIFS(門市請款明細表!$J$3:$J$1981,門市請款明細表!$H$3:$H$1981,$C140,門市請款明細表!$I$3:$I$1981,H$1)</f>
        <v>0</v>
      </c>
      <c r="I140" s="15" t="n">
        <f aca="false">SUM(E140:H140)</f>
        <v>0</v>
      </c>
      <c r="J140" s="0" t="str">
        <f aca="false">IF(D140=I140,"●","✖")</f>
        <v>●</v>
      </c>
    </row>
    <row r="141" customFormat="false" ht="16.5" hidden="false" customHeight="false" outlineLevel="0" collapsed="false">
      <c r="A141" s="431" t="n">
        <v>140</v>
      </c>
      <c r="B141" s="139" t="s">
        <v>4935</v>
      </c>
      <c r="C141" s="141" t="s">
        <v>138</v>
      </c>
      <c r="D141" s="141" t="n">
        <f aca="false">SUMIF(門市請款明細表!$H$3:$H$1981,$C141,門市請款明細表!$J$3:$J$1981)</f>
        <v>0</v>
      </c>
      <c r="E141" s="431" t="n">
        <f aca="false">SUMIFS(門市請款明細表!$J$3:$J$1981,門市請款明細表!$H$3:$H$1981,$C141,門市請款明細表!$I$3:$I$1981,E$1)</f>
        <v>0</v>
      </c>
      <c r="F141" s="431" t="n">
        <f aca="false">SUMIFS(門市請款明細表!$J$3:$J$1981,門市請款明細表!$H$3:$H$1981,$C141,門市請款明細表!$I$3:$I$1981,F$1)</f>
        <v>0</v>
      </c>
      <c r="G141" s="431" t="n">
        <f aca="false">SUMIFS(門市請款明細表!$J$3:$J$1981,門市請款明細表!$H$3:$H$1981,$C141,門市請款明細表!$I$3:$I$1981,G$1)</f>
        <v>0</v>
      </c>
      <c r="H141" s="431" t="n">
        <f aca="false">SUMIFS(門市請款明細表!$J$3:$J$1981,門市請款明細表!$H$3:$H$1981,$C141,門市請款明細表!$I$3:$I$1981,H$1)</f>
        <v>0</v>
      </c>
      <c r="I141" s="15" t="n">
        <f aca="false">SUM(E141:H141)</f>
        <v>0</v>
      </c>
      <c r="J141" s="0" t="str">
        <f aca="false">IF(D141=I141,"●","✖")</f>
        <v>●</v>
      </c>
    </row>
    <row r="142" customFormat="false" ht="16.5" hidden="false" customHeight="false" outlineLevel="0" collapsed="false">
      <c r="A142" s="431" t="n">
        <v>141</v>
      </c>
      <c r="B142" s="139" t="s">
        <v>4935</v>
      </c>
      <c r="C142" s="141" t="s">
        <v>139</v>
      </c>
      <c r="D142" s="141" t="n">
        <f aca="false">SUMIF(門市請款明細表!$H$3:$H$1981,$C142,門市請款明細表!$J$3:$J$1981)</f>
        <v>0</v>
      </c>
      <c r="E142" s="431" t="n">
        <f aca="false">SUMIFS(門市請款明細表!$J$3:$J$1981,門市請款明細表!$H$3:$H$1981,$C142,門市請款明細表!$I$3:$I$1981,E$1)</f>
        <v>0</v>
      </c>
      <c r="F142" s="431" t="n">
        <f aca="false">SUMIFS(門市請款明細表!$J$3:$J$1981,門市請款明細表!$H$3:$H$1981,$C142,門市請款明細表!$I$3:$I$1981,F$1)</f>
        <v>0</v>
      </c>
      <c r="G142" s="431" t="n">
        <f aca="false">SUMIFS(門市請款明細表!$J$3:$J$1981,門市請款明細表!$H$3:$H$1981,$C142,門市請款明細表!$I$3:$I$1981,G$1)</f>
        <v>0</v>
      </c>
      <c r="H142" s="431" t="n">
        <f aca="false">SUMIFS(門市請款明細表!$J$3:$J$1981,門市請款明細表!$H$3:$H$1981,$C142,門市請款明細表!$I$3:$I$1981,H$1)</f>
        <v>0</v>
      </c>
      <c r="I142" s="15" t="n">
        <f aca="false">SUM(E142:H142)</f>
        <v>0</v>
      </c>
      <c r="J142" s="0" t="str">
        <f aca="false">IF(D142=I142,"●","✖")</f>
        <v>●</v>
      </c>
    </row>
    <row r="143" customFormat="false" ht="16.5" hidden="false" customHeight="false" outlineLevel="0" collapsed="false">
      <c r="A143" s="431" t="n">
        <v>142</v>
      </c>
      <c r="B143" s="139" t="s">
        <v>4935</v>
      </c>
      <c r="C143" s="141" t="s">
        <v>151</v>
      </c>
      <c r="D143" s="141" t="n">
        <f aca="false">SUMIF(門市請款明細表!$H$3:$H$1981,$C143,門市請款明細表!$J$3:$J$1981)</f>
        <v>0</v>
      </c>
      <c r="E143" s="431" t="n">
        <f aca="false">SUMIFS(門市請款明細表!$J$3:$J$1981,門市請款明細表!$H$3:$H$1981,$C143,門市請款明細表!$I$3:$I$1981,E$1)</f>
        <v>0</v>
      </c>
      <c r="F143" s="431" t="n">
        <f aca="false">SUMIFS(門市請款明細表!$J$3:$J$1981,門市請款明細表!$H$3:$H$1981,$C143,門市請款明細表!$I$3:$I$1981,F$1)</f>
        <v>0</v>
      </c>
      <c r="G143" s="431" t="n">
        <f aca="false">SUMIFS(門市請款明細表!$J$3:$J$1981,門市請款明細表!$H$3:$H$1981,$C143,門市請款明細表!$I$3:$I$1981,G$1)</f>
        <v>0</v>
      </c>
      <c r="H143" s="431" t="n">
        <f aca="false">SUMIFS(門市請款明細表!$J$3:$J$1981,門市請款明細表!$H$3:$H$1981,$C143,門市請款明細表!$I$3:$I$1981,H$1)</f>
        <v>0</v>
      </c>
      <c r="I143" s="15" t="n">
        <f aca="false">SUM(E143:H143)</f>
        <v>0</v>
      </c>
      <c r="J143" s="0" t="str">
        <f aca="false">IF(D143=I143,"●","✖")</f>
        <v>●</v>
      </c>
    </row>
    <row r="144" customFormat="false" ht="16.5" hidden="false" customHeight="false" outlineLevel="0" collapsed="false">
      <c r="A144" s="431" t="n">
        <v>143</v>
      </c>
      <c r="B144" s="139" t="s">
        <v>4935</v>
      </c>
      <c r="C144" s="141" t="s">
        <v>172</v>
      </c>
      <c r="D144" s="141" t="n">
        <f aca="false">SUMIF(門市請款明細表!$H$3:$H$1981,$C144,門市請款明細表!$J$3:$J$1981)</f>
        <v>0</v>
      </c>
      <c r="E144" s="431" t="n">
        <f aca="false">SUMIFS(門市請款明細表!$J$3:$J$1981,門市請款明細表!$H$3:$H$1981,$C144,門市請款明細表!$I$3:$I$1981,E$1)</f>
        <v>0</v>
      </c>
      <c r="F144" s="431" t="n">
        <f aca="false">SUMIFS(門市請款明細表!$J$3:$J$1981,門市請款明細表!$H$3:$H$1981,$C144,門市請款明細表!$I$3:$I$1981,F$1)</f>
        <v>0</v>
      </c>
      <c r="G144" s="431" t="n">
        <f aca="false">SUMIFS(門市請款明細表!$J$3:$J$1981,門市請款明細表!$H$3:$H$1981,$C144,門市請款明細表!$I$3:$I$1981,G$1)</f>
        <v>0</v>
      </c>
      <c r="H144" s="431" t="n">
        <f aca="false">SUMIFS(門市請款明細表!$J$3:$J$1981,門市請款明細表!$H$3:$H$1981,$C144,門市請款明細表!$I$3:$I$1981,H$1)</f>
        <v>0</v>
      </c>
      <c r="I144" s="15" t="n">
        <f aca="false">SUM(E144:H144)</f>
        <v>0</v>
      </c>
      <c r="J144" s="0" t="str">
        <f aca="false">IF(D144=I144,"●","✖")</f>
        <v>●</v>
      </c>
    </row>
    <row r="145" customFormat="false" ht="16.5" hidden="false" customHeight="false" outlineLevel="0" collapsed="false">
      <c r="A145" s="431" t="n">
        <v>144</v>
      </c>
      <c r="B145" s="139" t="s">
        <v>4935</v>
      </c>
      <c r="C145" s="141" t="s">
        <v>355</v>
      </c>
      <c r="D145" s="141" t="n">
        <f aca="false">SUMIF(門市請款明細表!$H$3:$H$1981,$C145,門市請款明細表!$J$3:$J$1981)</f>
        <v>0</v>
      </c>
      <c r="E145" s="431" t="n">
        <f aca="false">SUMIFS(門市請款明細表!$J$3:$J$1981,門市請款明細表!$H$3:$H$1981,$C145,門市請款明細表!$I$3:$I$1981,E$1)</f>
        <v>0</v>
      </c>
      <c r="F145" s="431" t="n">
        <f aca="false">SUMIFS(門市請款明細表!$J$3:$J$1981,門市請款明細表!$H$3:$H$1981,$C145,門市請款明細表!$I$3:$I$1981,F$1)</f>
        <v>0</v>
      </c>
      <c r="G145" s="431" t="n">
        <f aca="false">SUMIFS(門市請款明細表!$J$3:$J$1981,門市請款明細表!$H$3:$H$1981,$C145,門市請款明細表!$I$3:$I$1981,G$1)</f>
        <v>0</v>
      </c>
      <c r="H145" s="431" t="n">
        <f aca="false">SUMIFS(門市請款明細表!$J$3:$J$1981,門市請款明細表!$H$3:$H$1981,$C145,門市請款明細表!$I$3:$I$1981,H$1)</f>
        <v>0</v>
      </c>
      <c r="I145" s="15" t="n">
        <f aca="false">SUM(E145:H145)</f>
        <v>0</v>
      </c>
      <c r="J145" s="0" t="str">
        <f aca="false">IF(D145=I145,"●","✖")</f>
        <v>●</v>
      </c>
    </row>
    <row r="146" customFormat="false" ht="16.5" hidden="false" customHeight="false" outlineLevel="0" collapsed="false">
      <c r="A146" s="431" t="n">
        <v>145</v>
      </c>
      <c r="B146" s="139" t="s">
        <v>4935</v>
      </c>
      <c r="C146" s="141" t="s">
        <v>370</v>
      </c>
      <c r="D146" s="141" t="n">
        <f aca="false">SUMIF(門市請款明細表!$H$3:$H$1981,$C146,門市請款明細表!$J$3:$J$1981)</f>
        <v>0</v>
      </c>
      <c r="E146" s="431" t="n">
        <f aca="false">SUMIFS(門市請款明細表!$J$3:$J$1981,門市請款明細表!$H$3:$H$1981,$C146,門市請款明細表!$I$3:$I$1981,E$1)</f>
        <v>0</v>
      </c>
      <c r="F146" s="431" t="n">
        <f aca="false">SUMIFS(門市請款明細表!$J$3:$J$1981,門市請款明細表!$H$3:$H$1981,$C146,門市請款明細表!$I$3:$I$1981,F$1)</f>
        <v>0</v>
      </c>
      <c r="G146" s="431" t="n">
        <f aca="false">SUMIFS(門市請款明細表!$J$3:$J$1981,門市請款明細表!$H$3:$H$1981,$C146,門市請款明細表!$I$3:$I$1981,G$1)</f>
        <v>0</v>
      </c>
      <c r="H146" s="431" t="n">
        <f aca="false">SUMIFS(門市請款明細表!$J$3:$J$1981,門市請款明細表!$H$3:$H$1981,$C146,門市請款明細表!$I$3:$I$1981,H$1)</f>
        <v>0</v>
      </c>
      <c r="I146" s="15" t="n">
        <f aca="false">SUM(E146:H146)</f>
        <v>0</v>
      </c>
      <c r="J146" s="0" t="str">
        <f aca="false">IF(D146=I146,"●","✖")</f>
        <v>●</v>
      </c>
    </row>
    <row r="147" customFormat="false" ht="16.5" hidden="false" customHeight="false" outlineLevel="0" collapsed="false">
      <c r="A147" s="431" t="n">
        <v>146</v>
      </c>
      <c r="B147" s="139" t="s">
        <v>4935</v>
      </c>
      <c r="C147" s="141" t="s">
        <v>30</v>
      </c>
      <c r="D147" s="141" t="n">
        <f aca="false">SUMIF(門市請款明細表!$H$3:$H$1981,$C147,門市請款明細表!$J$3:$J$1981)</f>
        <v>0</v>
      </c>
      <c r="E147" s="431" t="n">
        <f aca="false">SUMIFS(門市請款明細表!$J$3:$J$1981,門市請款明細表!$H$3:$H$1981,$C147,門市請款明細表!$I$3:$I$1981,E$1)</f>
        <v>0</v>
      </c>
      <c r="F147" s="431" t="n">
        <f aca="false">SUMIFS(門市請款明細表!$J$3:$J$1981,門市請款明細表!$H$3:$H$1981,$C147,門市請款明細表!$I$3:$I$1981,F$1)</f>
        <v>0</v>
      </c>
      <c r="G147" s="431" t="n">
        <f aca="false">SUMIFS(門市請款明細表!$J$3:$J$1981,門市請款明細表!$H$3:$H$1981,$C147,門市請款明細表!$I$3:$I$1981,G$1)</f>
        <v>0</v>
      </c>
      <c r="H147" s="431" t="n">
        <f aca="false">SUMIFS(門市請款明細表!$J$3:$J$1981,門市請款明細表!$H$3:$H$1981,$C147,門市請款明細表!$I$3:$I$1981,H$1)</f>
        <v>0</v>
      </c>
      <c r="I147" s="15" t="n">
        <f aca="false">SUM(E147:H147)</f>
        <v>0</v>
      </c>
      <c r="J147" s="0" t="str">
        <f aca="false">IF(D147=I147,"●","✖")</f>
        <v>●</v>
      </c>
    </row>
    <row r="148" customFormat="false" ht="16.5" hidden="false" customHeight="false" outlineLevel="0" collapsed="false">
      <c r="A148" s="431" t="n">
        <v>147</v>
      </c>
      <c r="B148" s="139" t="s">
        <v>4935</v>
      </c>
      <c r="C148" s="141" t="s">
        <v>88</v>
      </c>
      <c r="D148" s="141" t="n">
        <f aca="false">SUMIF(門市請款明細表!$H$3:$H$1981,$C148,門市請款明細表!$J$3:$J$1981)</f>
        <v>0</v>
      </c>
      <c r="E148" s="431" t="n">
        <f aca="false">SUMIFS(門市請款明細表!$J$3:$J$1981,門市請款明細表!$H$3:$H$1981,$C148,門市請款明細表!$I$3:$I$1981,E$1)</f>
        <v>0</v>
      </c>
      <c r="F148" s="431" t="n">
        <f aca="false">SUMIFS(門市請款明細表!$J$3:$J$1981,門市請款明細表!$H$3:$H$1981,$C148,門市請款明細表!$I$3:$I$1981,F$1)</f>
        <v>0</v>
      </c>
      <c r="G148" s="431" t="n">
        <f aca="false">SUMIFS(門市請款明細表!$J$3:$J$1981,門市請款明細表!$H$3:$H$1981,$C148,門市請款明細表!$I$3:$I$1981,G$1)</f>
        <v>0</v>
      </c>
      <c r="H148" s="431" t="n">
        <f aca="false">SUMIFS(門市請款明細表!$J$3:$J$1981,門市請款明細表!$H$3:$H$1981,$C148,門市請款明細表!$I$3:$I$1981,H$1)</f>
        <v>0</v>
      </c>
      <c r="I148" s="15" t="n">
        <f aca="false">SUM(E148:H148)</f>
        <v>0</v>
      </c>
      <c r="J148" s="0" t="str">
        <f aca="false">IF(D148=I148,"●","✖")</f>
        <v>●</v>
      </c>
    </row>
    <row r="149" customFormat="false" ht="16.5" hidden="false" customHeight="false" outlineLevel="0" collapsed="false">
      <c r="A149" s="431" t="n">
        <v>148</v>
      </c>
      <c r="B149" s="139" t="s">
        <v>4935</v>
      </c>
      <c r="C149" s="141" t="s">
        <v>137</v>
      </c>
      <c r="D149" s="141" t="n">
        <f aca="false">SUMIF(門市請款明細表!$H$3:$H$1981,$C149,門市請款明細表!$J$3:$J$1981)</f>
        <v>0</v>
      </c>
      <c r="E149" s="431" t="n">
        <f aca="false">SUMIFS(門市請款明細表!$J$3:$J$1981,門市請款明細表!$H$3:$H$1981,$C149,門市請款明細表!$I$3:$I$1981,E$1)</f>
        <v>0</v>
      </c>
      <c r="F149" s="431" t="n">
        <f aca="false">SUMIFS(門市請款明細表!$J$3:$J$1981,門市請款明細表!$H$3:$H$1981,$C149,門市請款明細表!$I$3:$I$1981,F$1)</f>
        <v>0</v>
      </c>
      <c r="G149" s="431" t="n">
        <f aca="false">SUMIFS(門市請款明細表!$J$3:$J$1981,門市請款明細表!$H$3:$H$1981,$C149,門市請款明細表!$I$3:$I$1981,G$1)</f>
        <v>0</v>
      </c>
      <c r="H149" s="431" t="n">
        <f aca="false">SUMIFS(門市請款明細表!$J$3:$J$1981,門市請款明細表!$H$3:$H$1981,$C149,門市請款明細表!$I$3:$I$1981,H$1)</f>
        <v>0</v>
      </c>
      <c r="I149" s="15" t="n">
        <f aca="false">SUM(E149:H149)</f>
        <v>0</v>
      </c>
      <c r="J149" s="0" t="str">
        <f aca="false">IF(D149=I149,"●","✖")</f>
        <v>●</v>
      </c>
    </row>
    <row r="150" customFormat="false" ht="16.5" hidden="false" customHeight="false" outlineLevel="0" collapsed="false">
      <c r="A150" s="431" t="n">
        <v>149</v>
      </c>
      <c r="B150" s="139" t="s">
        <v>4935</v>
      </c>
      <c r="C150" s="141" t="s">
        <v>168</v>
      </c>
      <c r="D150" s="141" t="n">
        <f aca="false">SUMIF(門市請款明細表!$H$3:$H$1981,$C150,門市請款明細表!$J$3:$J$1981)</f>
        <v>0</v>
      </c>
      <c r="E150" s="431" t="n">
        <f aca="false">SUMIFS(門市請款明細表!$J$3:$J$1981,門市請款明細表!$H$3:$H$1981,$C150,門市請款明細表!$I$3:$I$1981,E$1)</f>
        <v>0</v>
      </c>
      <c r="F150" s="431" t="n">
        <f aca="false">SUMIFS(門市請款明細表!$J$3:$J$1981,門市請款明細表!$H$3:$H$1981,$C150,門市請款明細表!$I$3:$I$1981,F$1)</f>
        <v>0</v>
      </c>
      <c r="G150" s="431" t="n">
        <f aca="false">SUMIFS(門市請款明細表!$J$3:$J$1981,門市請款明細表!$H$3:$H$1981,$C150,門市請款明細表!$I$3:$I$1981,G$1)</f>
        <v>0</v>
      </c>
      <c r="H150" s="431" t="n">
        <f aca="false">SUMIFS(門市請款明細表!$J$3:$J$1981,門市請款明細表!$H$3:$H$1981,$C150,門市請款明細表!$I$3:$I$1981,H$1)</f>
        <v>0</v>
      </c>
      <c r="I150" s="15" t="n">
        <f aca="false">SUM(E150:H150)</f>
        <v>0</v>
      </c>
      <c r="J150" s="0" t="str">
        <f aca="false">IF(D150=I150,"●","✖")</f>
        <v>●</v>
      </c>
    </row>
    <row r="151" customFormat="false" ht="16.5" hidden="false" customHeight="false" outlineLevel="0" collapsed="false">
      <c r="A151" s="431" t="n">
        <v>150</v>
      </c>
      <c r="B151" s="139" t="s">
        <v>4935</v>
      </c>
      <c r="C151" s="141" t="s">
        <v>169</v>
      </c>
      <c r="D151" s="141" t="n">
        <f aca="false">SUMIF(門市請款明細表!$H$3:$H$1981,$C151,門市請款明細表!$J$3:$J$1981)</f>
        <v>0</v>
      </c>
      <c r="E151" s="431" t="n">
        <f aca="false">SUMIFS(門市請款明細表!$J$3:$J$1981,門市請款明細表!$H$3:$H$1981,$C151,門市請款明細表!$I$3:$I$1981,E$1)</f>
        <v>0</v>
      </c>
      <c r="F151" s="431" t="n">
        <f aca="false">SUMIFS(門市請款明細表!$J$3:$J$1981,門市請款明細表!$H$3:$H$1981,$C151,門市請款明細表!$I$3:$I$1981,F$1)</f>
        <v>0</v>
      </c>
      <c r="G151" s="431" t="n">
        <f aca="false">SUMIFS(門市請款明細表!$J$3:$J$1981,門市請款明細表!$H$3:$H$1981,$C151,門市請款明細表!$I$3:$I$1981,G$1)</f>
        <v>0</v>
      </c>
      <c r="H151" s="431" t="n">
        <f aca="false">SUMIFS(門市請款明細表!$J$3:$J$1981,門市請款明細表!$H$3:$H$1981,$C151,門市請款明細表!$I$3:$I$1981,H$1)</f>
        <v>0</v>
      </c>
      <c r="I151" s="15" t="n">
        <f aca="false">SUM(E151:H151)</f>
        <v>0</v>
      </c>
      <c r="J151" s="0" t="str">
        <f aca="false">IF(D151=I151,"●","✖")</f>
        <v>●</v>
      </c>
    </row>
    <row r="152" customFormat="false" ht="16.5" hidden="false" customHeight="false" outlineLevel="0" collapsed="false">
      <c r="A152" s="431" t="n">
        <v>151</v>
      </c>
      <c r="B152" s="139" t="s">
        <v>4935</v>
      </c>
      <c r="C152" s="141" t="s">
        <v>196</v>
      </c>
      <c r="D152" s="141" t="n">
        <f aca="false">SUMIF(門市請款明細表!$H$3:$H$1981,$C152,門市請款明細表!$J$3:$J$1981)</f>
        <v>0</v>
      </c>
      <c r="E152" s="431" t="n">
        <f aca="false">SUMIFS(門市請款明細表!$J$3:$J$1981,門市請款明細表!$H$3:$H$1981,$C152,門市請款明細表!$I$3:$I$1981,E$1)</f>
        <v>0</v>
      </c>
      <c r="F152" s="431" t="n">
        <f aca="false">SUMIFS(門市請款明細表!$J$3:$J$1981,門市請款明細表!$H$3:$H$1981,$C152,門市請款明細表!$I$3:$I$1981,F$1)</f>
        <v>0</v>
      </c>
      <c r="G152" s="431" t="n">
        <f aca="false">SUMIFS(門市請款明細表!$J$3:$J$1981,門市請款明細表!$H$3:$H$1981,$C152,門市請款明細表!$I$3:$I$1981,G$1)</f>
        <v>0</v>
      </c>
      <c r="H152" s="431" t="n">
        <f aca="false">SUMIFS(門市請款明細表!$J$3:$J$1981,門市請款明細表!$H$3:$H$1981,$C152,門市請款明細表!$I$3:$I$1981,H$1)</f>
        <v>0</v>
      </c>
      <c r="I152" s="15" t="n">
        <f aca="false">SUM(E152:H152)</f>
        <v>0</v>
      </c>
      <c r="J152" s="0" t="str">
        <f aca="false">IF(D152=I152,"●","✖")</f>
        <v>●</v>
      </c>
    </row>
    <row r="153" customFormat="false" ht="16.5" hidden="false" customHeight="false" outlineLevel="0" collapsed="false">
      <c r="A153" s="431" t="n">
        <v>152</v>
      </c>
      <c r="B153" s="139" t="s">
        <v>4935</v>
      </c>
      <c r="C153" s="141" t="s">
        <v>321</v>
      </c>
      <c r="D153" s="141" t="n">
        <f aca="false">SUMIF(門市請款明細表!$H$3:$H$1981,$C153,門市請款明細表!$J$3:$J$1981)</f>
        <v>0</v>
      </c>
      <c r="E153" s="431" t="n">
        <f aca="false">SUMIFS(門市請款明細表!$J$3:$J$1981,門市請款明細表!$H$3:$H$1981,$C153,門市請款明細表!$I$3:$I$1981,E$1)</f>
        <v>0</v>
      </c>
      <c r="F153" s="431" t="n">
        <f aca="false">SUMIFS(門市請款明細表!$J$3:$J$1981,門市請款明細表!$H$3:$H$1981,$C153,門市請款明細表!$I$3:$I$1981,F$1)</f>
        <v>0</v>
      </c>
      <c r="G153" s="431" t="n">
        <f aca="false">SUMIFS(門市請款明細表!$J$3:$J$1981,門市請款明細表!$H$3:$H$1981,$C153,門市請款明細表!$I$3:$I$1981,G$1)</f>
        <v>0</v>
      </c>
      <c r="H153" s="431" t="n">
        <f aca="false">SUMIFS(門市請款明細表!$J$3:$J$1981,門市請款明細表!$H$3:$H$1981,$C153,門市請款明細表!$I$3:$I$1981,H$1)</f>
        <v>0</v>
      </c>
      <c r="I153" s="15" t="n">
        <f aca="false">SUM(E153:H153)</f>
        <v>0</v>
      </c>
      <c r="J153" s="0" t="str">
        <f aca="false">IF(D153=I153,"●","✖")</f>
        <v>●</v>
      </c>
    </row>
    <row r="154" customFormat="false" ht="16.5" hidden="false" customHeight="false" outlineLevel="0" collapsed="false">
      <c r="A154" s="431" t="n">
        <v>153</v>
      </c>
      <c r="B154" s="139" t="s">
        <v>4935</v>
      </c>
      <c r="C154" s="141" t="s">
        <v>331</v>
      </c>
      <c r="D154" s="141" t="n">
        <f aca="false">SUMIF(門市請款明細表!$H$3:$H$1981,$C154,門市請款明細表!$J$3:$J$1981)</f>
        <v>0</v>
      </c>
      <c r="E154" s="431" t="n">
        <f aca="false">SUMIFS(門市請款明細表!$J$3:$J$1981,門市請款明細表!$H$3:$H$1981,$C154,門市請款明細表!$I$3:$I$1981,E$1)</f>
        <v>0</v>
      </c>
      <c r="F154" s="431" t="n">
        <f aca="false">SUMIFS(門市請款明細表!$J$3:$J$1981,門市請款明細表!$H$3:$H$1981,$C154,門市請款明細表!$I$3:$I$1981,F$1)</f>
        <v>0</v>
      </c>
      <c r="G154" s="431" t="n">
        <f aca="false">SUMIFS(門市請款明細表!$J$3:$J$1981,門市請款明細表!$H$3:$H$1981,$C154,門市請款明細表!$I$3:$I$1981,G$1)</f>
        <v>0</v>
      </c>
      <c r="H154" s="431" t="n">
        <f aca="false">SUMIFS(門市請款明細表!$J$3:$J$1981,門市請款明細表!$H$3:$H$1981,$C154,門市請款明細表!$I$3:$I$1981,H$1)</f>
        <v>0</v>
      </c>
      <c r="I154" s="15" t="n">
        <f aca="false">SUM(E154:H154)</f>
        <v>0</v>
      </c>
      <c r="J154" s="0" t="str">
        <f aca="false">IF(D154=I154,"●","✖")</f>
        <v>●</v>
      </c>
    </row>
    <row r="155" customFormat="false" ht="16.5" hidden="false" customHeight="false" outlineLevel="0" collapsed="false">
      <c r="A155" s="431" t="n">
        <v>154</v>
      </c>
      <c r="B155" s="139" t="s">
        <v>4935</v>
      </c>
      <c r="C155" s="141" t="s">
        <v>340</v>
      </c>
      <c r="D155" s="141" t="n">
        <f aca="false">SUMIF(門市請款明細表!$H$3:$H$1981,$C155,門市請款明細表!$J$3:$J$1981)</f>
        <v>0</v>
      </c>
      <c r="E155" s="431" t="n">
        <f aca="false">SUMIFS(門市請款明細表!$J$3:$J$1981,門市請款明細表!$H$3:$H$1981,$C155,門市請款明細表!$I$3:$I$1981,E$1)</f>
        <v>0</v>
      </c>
      <c r="F155" s="431" t="n">
        <f aca="false">SUMIFS(門市請款明細表!$J$3:$J$1981,門市請款明細表!$H$3:$H$1981,$C155,門市請款明細表!$I$3:$I$1981,F$1)</f>
        <v>0</v>
      </c>
      <c r="G155" s="431" t="n">
        <f aca="false">SUMIFS(門市請款明細表!$J$3:$J$1981,門市請款明細表!$H$3:$H$1981,$C155,門市請款明細表!$I$3:$I$1981,G$1)</f>
        <v>0</v>
      </c>
      <c r="H155" s="431" t="n">
        <f aca="false">SUMIFS(門市請款明細表!$J$3:$J$1981,門市請款明細表!$H$3:$H$1981,$C155,門市請款明細表!$I$3:$I$1981,H$1)</f>
        <v>0</v>
      </c>
      <c r="I155" s="15" t="n">
        <f aca="false">SUM(E155:H155)</f>
        <v>0</v>
      </c>
      <c r="J155" s="0" t="str">
        <f aca="false">IF(D155=I155,"●","✖")</f>
        <v>●</v>
      </c>
    </row>
    <row r="156" customFormat="false" ht="16.5" hidden="false" customHeight="false" outlineLevel="0" collapsed="false">
      <c r="A156" s="431" t="n">
        <v>155</v>
      </c>
      <c r="B156" s="139" t="s">
        <v>4936</v>
      </c>
      <c r="C156" s="141" t="s">
        <v>68</v>
      </c>
      <c r="D156" s="141" t="n">
        <f aca="false">SUMIF(門市請款明細表!$H$3:$H$1981,$C156,門市請款明細表!$J$3:$J$1981)</f>
        <v>0</v>
      </c>
      <c r="E156" s="431" t="n">
        <f aca="false">SUMIFS(門市請款明細表!$J$3:$J$1981,門市請款明細表!$H$3:$H$1981,$C156,門市請款明細表!$I$3:$I$1981,E$1)</f>
        <v>0</v>
      </c>
      <c r="F156" s="431" t="n">
        <f aca="false">SUMIFS(門市請款明細表!$J$3:$J$1981,門市請款明細表!$H$3:$H$1981,$C156,門市請款明細表!$I$3:$I$1981,F$1)</f>
        <v>0</v>
      </c>
      <c r="G156" s="431" t="n">
        <f aca="false">SUMIFS(門市請款明細表!$J$3:$J$1981,門市請款明細表!$H$3:$H$1981,$C156,門市請款明細表!$I$3:$I$1981,G$1)</f>
        <v>0</v>
      </c>
      <c r="H156" s="431" t="n">
        <f aca="false">SUMIFS(門市請款明細表!$J$3:$J$1981,門市請款明細表!$H$3:$H$1981,$C156,門市請款明細表!$I$3:$I$1981,H$1)</f>
        <v>0</v>
      </c>
      <c r="I156" s="15" t="n">
        <f aca="false">SUM(E156:H156)</f>
        <v>0</v>
      </c>
      <c r="J156" s="0" t="str">
        <f aca="false">IF(D156=I156,"●","✖")</f>
        <v>●</v>
      </c>
    </row>
    <row r="157" customFormat="false" ht="16.5" hidden="false" customHeight="false" outlineLevel="0" collapsed="false">
      <c r="A157" s="431" t="n">
        <v>156</v>
      </c>
      <c r="B157" s="139" t="s">
        <v>4936</v>
      </c>
      <c r="C157" s="141" t="s">
        <v>140</v>
      </c>
      <c r="D157" s="141" t="n">
        <f aca="false">SUMIF(門市請款明細表!$H$3:$H$1981,$C157,門市請款明細表!$J$3:$J$1981)</f>
        <v>0</v>
      </c>
      <c r="E157" s="431" t="n">
        <f aca="false">SUMIFS(門市請款明細表!$J$3:$J$1981,門市請款明細表!$H$3:$H$1981,$C157,門市請款明細表!$I$3:$I$1981,E$1)</f>
        <v>0</v>
      </c>
      <c r="F157" s="431" t="n">
        <f aca="false">SUMIFS(門市請款明細表!$J$3:$J$1981,門市請款明細表!$H$3:$H$1981,$C157,門市請款明細表!$I$3:$I$1981,F$1)</f>
        <v>0</v>
      </c>
      <c r="G157" s="431" t="n">
        <f aca="false">SUMIFS(門市請款明細表!$J$3:$J$1981,門市請款明細表!$H$3:$H$1981,$C157,門市請款明細表!$I$3:$I$1981,G$1)</f>
        <v>0</v>
      </c>
      <c r="H157" s="431" t="n">
        <f aca="false">SUMIFS(門市請款明細表!$J$3:$J$1981,門市請款明細表!$H$3:$H$1981,$C157,門市請款明細表!$I$3:$I$1981,H$1)</f>
        <v>0</v>
      </c>
      <c r="I157" s="15" t="n">
        <f aca="false">SUM(E157:H157)</f>
        <v>0</v>
      </c>
      <c r="J157" s="0" t="str">
        <f aca="false">IF(D157=I157,"●","✖")</f>
        <v>●</v>
      </c>
    </row>
    <row r="158" customFormat="false" ht="16.5" hidden="false" customHeight="false" outlineLevel="0" collapsed="false">
      <c r="A158" s="431" t="n">
        <v>157</v>
      </c>
      <c r="B158" s="139" t="s">
        <v>4936</v>
      </c>
      <c r="C158" s="141" t="s">
        <v>248</v>
      </c>
      <c r="D158" s="141" t="n">
        <f aca="false">SUMIF(門市請款明細表!$H$3:$H$1981,$C158,門市請款明細表!$J$3:$J$1981)</f>
        <v>0</v>
      </c>
      <c r="E158" s="431" t="n">
        <f aca="false">SUMIFS(門市請款明細表!$J$3:$J$1981,門市請款明細表!$H$3:$H$1981,$C158,門市請款明細表!$I$3:$I$1981,E$1)</f>
        <v>0</v>
      </c>
      <c r="F158" s="431" t="n">
        <f aca="false">SUMIFS(門市請款明細表!$J$3:$J$1981,門市請款明細表!$H$3:$H$1981,$C158,門市請款明細表!$I$3:$I$1981,F$1)</f>
        <v>0</v>
      </c>
      <c r="G158" s="431" t="n">
        <f aca="false">SUMIFS(門市請款明細表!$J$3:$J$1981,門市請款明細表!$H$3:$H$1981,$C158,門市請款明細表!$I$3:$I$1981,G$1)</f>
        <v>0</v>
      </c>
      <c r="H158" s="431" t="n">
        <f aca="false">SUMIFS(門市請款明細表!$J$3:$J$1981,門市請款明細表!$H$3:$H$1981,$C158,門市請款明細表!$I$3:$I$1981,H$1)</f>
        <v>0</v>
      </c>
      <c r="I158" s="15" t="n">
        <f aca="false">SUM(E158:H158)</f>
        <v>0</v>
      </c>
      <c r="J158" s="0" t="str">
        <f aca="false">IF(D158=I158,"●","✖")</f>
        <v>●</v>
      </c>
    </row>
    <row r="159" customFormat="false" ht="16.5" hidden="false" customHeight="false" outlineLevel="0" collapsed="false">
      <c r="A159" s="431" t="n">
        <v>158</v>
      </c>
      <c r="B159" s="139" t="s">
        <v>4936</v>
      </c>
      <c r="C159" s="141" t="s">
        <v>286</v>
      </c>
      <c r="D159" s="141" t="n">
        <f aca="false">SUMIF(門市請款明細表!$H$3:$H$1981,$C159,門市請款明細表!$J$3:$J$1981)</f>
        <v>0</v>
      </c>
      <c r="E159" s="431" t="n">
        <f aca="false">SUMIFS(門市請款明細表!$J$3:$J$1981,門市請款明細表!$H$3:$H$1981,$C159,門市請款明細表!$I$3:$I$1981,E$1)</f>
        <v>0</v>
      </c>
      <c r="F159" s="431" t="n">
        <f aca="false">SUMIFS(門市請款明細表!$J$3:$J$1981,門市請款明細表!$H$3:$H$1981,$C159,門市請款明細表!$I$3:$I$1981,F$1)</f>
        <v>0</v>
      </c>
      <c r="G159" s="431" t="n">
        <f aca="false">SUMIFS(門市請款明細表!$J$3:$J$1981,門市請款明細表!$H$3:$H$1981,$C159,門市請款明細表!$I$3:$I$1981,G$1)</f>
        <v>0</v>
      </c>
      <c r="H159" s="431" t="n">
        <f aca="false">SUMIFS(門市請款明細表!$J$3:$J$1981,門市請款明細表!$H$3:$H$1981,$C159,門市請款明細表!$I$3:$I$1981,H$1)</f>
        <v>0</v>
      </c>
      <c r="I159" s="15" t="n">
        <f aca="false">SUM(E159:H159)</f>
        <v>0</v>
      </c>
      <c r="J159" s="0" t="str">
        <f aca="false">IF(D159=I159,"●","✖")</f>
        <v>●</v>
      </c>
    </row>
    <row r="160" customFormat="false" ht="16.5" hidden="false" customHeight="false" outlineLevel="0" collapsed="false">
      <c r="A160" s="431" t="n">
        <v>159</v>
      </c>
      <c r="B160" s="139" t="s">
        <v>4936</v>
      </c>
      <c r="C160" s="141" t="s">
        <v>287</v>
      </c>
      <c r="D160" s="141" t="n">
        <f aca="false">SUMIF(門市請款明細表!$H$3:$H$1981,$C160,門市請款明細表!$J$3:$J$1981)</f>
        <v>0</v>
      </c>
      <c r="E160" s="431" t="n">
        <f aca="false">SUMIFS(門市請款明細表!$J$3:$J$1981,門市請款明細表!$H$3:$H$1981,$C160,門市請款明細表!$I$3:$I$1981,E$1)</f>
        <v>0</v>
      </c>
      <c r="F160" s="431" t="n">
        <f aca="false">SUMIFS(門市請款明細表!$J$3:$J$1981,門市請款明細表!$H$3:$H$1981,$C160,門市請款明細表!$I$3:$I$1981,F$1)</f>
        <v>0</v>
      </c>
      <c r="G160" s="431" t="n">
        <f aca="false">SUMIFS(門市請款明細表!$J$3:$J$1981,門市請款明細表!$H$3:$H$1981,$C160,門市請款明細表!$I$3:$I$1981,G$1)</f>
        <v>0</v>
      </c>
      <c r="H160" s="431" t="n">
        <f aca="false">SUMIFS(門市請款明細表!$J$3:$J$1981,門市請款明細表!$H$3:$H$1981,$C160,門市請款明細表!$I$3:$I$1981,H$1)</f>
        <v>0</v>
      </c>
      <c r="I160" s="15" t="n">
        <f aca="false">SUM(E160:H160)</f>
        <v>0</v>
      </c>
      <c r="J160" s="0" t="str">
        <f aca="false">IF(D160=I160,"●","✖")</f>
        <v>●</v>
      </c>
    </row>
    <row r="161" customFormat="false" ht="16.5" hidden="false" customHeight="false" outlineLevel="0" collapsed="false">
      <c r="A161" s="431" t="n">
        <v>160</v>
      </c>
      <c r="B161" s="139" t="s">
        <v>4936</v>
      </c>
      <c r="C161" s="141" t="s">
        <v>333</v>
      </c>
      <c r="D161" s="141" t="n">
        <f aca="false">SUMIF(門市請款明細表!$H$3:$H$1981,$C161,門市請款明細表!$J$3:$J$1981)</f>
        <v>0</v>
      </c>
      <c r="E161" s="431" t="n">
        <f aca="false">SUMIFS(門市請款明細表!$J$3:$J$1981,門市請款明細表!$H$3:$H$1981,$C161,門市請款明細表!$I$3:$I$1981,E$1)</f>
        <v>0</v>
      </c>
      <c r="F161" s="431" t="n">
        <f aca="false">SUMIFS(門市請款明細表!$J$3:$J$1981,門市請款明細表!$H$3:$H$1981,$C161,門市請款明細表!$I$3:$I$1981,F$1)</f>
        <v>0</v>
      </c>
      <c r="G161" s="431" t="n">
        <f aca="false">SUMIFS(門市請款明細表!$J$3:$J$1981,門市請款明細表!$H$3:$H$1981,$C161,門市請款明細表!$I$3:$I$1981,G$1)</f>
        <v>0</v>
      </c>
      <c r="H161" s="431" t="n">
        <f aca="false">SUMIFS(門市請款明細表!$J$3:$J$1981,門市請款明細表!$H$3:$H$1981,$C161,門市請款明細表!$I$3:$I$1981,H$1)</f>
        <v>0</v>
      </c>
      <c r="I161" s="15" t="n">
        <f aca="false">SUM(E161:H161)</f>
        <v>0</v>
      </c>
      <c r="J161" s="0" t="str">
        <f aca="false">IF(D161=I161,"●","✖")</f>
        <v>●</v>
      </c>
    </row>
    <row r="162" customFormat="false" ht="16.5" hidden="false" customHeight="false" outlineLevel="0" collapsed="false">
      <c r="A162" s="431" t="n">
        <v>161</v>
      </c>
      <c r="B162" s="139" t="s">
        <v>4936</v>
      </c>
      <c r="C162" s="141" t="s">
        <v>384</v>
      </c>
      <c r="D162" s="141" t="n">
        <f aca="false">SUMIF(門市請款明細表!$H$3:$H$1981,$C162,門市請款明細表!$J$3:$J$1981)</f>
        <v>0</v>
      </c>
      <c r="E162" s="431" t="n">
        <f aca="false">SUMIFS(門市請款明細表!$J$3:$J$1981,門市請款明細表!$H$3:$H$1981,$C162,門市請款明細表!$I$3:$I$1981,E$1)</f>
        <v>0</v>
      </c>
      <c r="F162" s="431" t="n">
        <f aca="false">SUMIFS(門市請款明細表!$J$3:$J$1981,門市請款明細表!$H$3:$H$1981,$C162,門市請款明細表!$I$3:$I$1981,F$1)</f>
        <v>0</v>
      </c>
      <c r="G162" s="431" t="n">
        <f aca="false">SUMIFS(門市請款明細表!$J$3:$J$1981,門市請款明細表!$H$3:$H$1981,$C162,門市請款明細表!$I$3:$I$1981,G$1)</f>
        <v>0</v>
      </c>
      <c r="H162" s="431" t="n">
        <f aca="false">SUMIFS(門市請款明細表!$J$3:$J$1981,門市請款明細表!$H$3:$H$1981,$C162,門市請款明細表!$I$3:$I$1981,H$1)</f>
        <v>0</v>
      </c>
      <c r="I162" s="15" t="n">
        <f aca="false">SUM(E162:H162)</f>
        <v>0</v>
      </c>
      <c r="J162" s="0" t="str">
        <f aca="false">IF(D162=I162,"●","✖")</f>
        <v>●</v>
      </c>
    </row>
    <row r="163" customFormat="false" ht="16.5" hidden="false" customHeight="false" outlineLevel="0" collapsed="false">
      <c r="A163" s="431" t="n">
        <v>162</v>
      </c>
      <c r="B163" s="139" t="s">
        <v>4936</v>
      </c>
      <c r="C163" s="141" t="s">
        <v>15</v>
      </c>
      <c r="D163" s="141" t="n">
        <f aca="false">SUMIF(門市請款明細表!$H$3:$H$1981,$C163,門市請款明細表!$J$3:$J$1981)</f>
        <v>0</v>
      </c>
      <c r="E163" s="431" t="n">
        <f aca="false">SUMIFS(門市請款明細表!$J$3:$J$1981,門市請款明細表!$H$3:$H$1981,$C163,門市請款明細表!$I$3:$I$1981,E$1)</f>
        <v>0</v>
      </c>
      <c r="F163" s="431" t="n">
        <f aca="false">SUMIFS(門市請款明細表!$J$3:$J$1981,門市請款明細表!$H$3:$H$1981,$C163,門市請款明細表!$I$3:$I$1981,F$1)</f>
        <v>0</v>
      </c>
      <c r="G163" s="431" t="n">
        <f aca="false">SUMIFS(門市請款明細表!$J$3:$J$1981,門市請款明細表!$H$3:$H$1981,$C163,門市請款明細表!$I$3:$I$1981,G$1)</f>
        <v>0</v>
      </c>
      <c r="H163" s="431" t="n">
        <f aca="false">SUMIFS(門市請款明細表!$J$3:$J$1981,門市請款明細表!$H$3:$H$1981,$C163,門市請款明細表!$I$3:$I$1981,H$1)</f>
        <v>0</v>
      </c>
      <c r="I163" s="15" t="n">
        <f aca="false">SUM(E163:H163)</f>
        <v>0</v>
      </c>
      <c r="J163" s="0" t="str">
        <f aca="false">IF(D163=I163,"●","✖")</f>
        <v>●</v>
      </c>
    </row>
    <row r="164" customFormat="false" ht="16.5" hidden="false" customHeight="false" outlineLevel="0" collapsed="false">
      <c r="A164" s="431" t="n">
        <v>163</v>
      </c>
      <c r="B164" s="139" t="s">
        <v>4936</v>
      </c>
      <c r="C164" s="141" t="s">
        <v>46</v>
      </c>
      <c r="D164" s="141" t="n">
        <f aca="false">SUMIF(門市請款明細表!$H$3:$H$1981,$C164,門市請款明細表!$J$3:$J$1981)</f>
        <v>0</v>
      </c>
      <c r="E164" s="431" t="n">
        <f aca="false">SUMIFS(門市請款明細表!$J$3:$J$1981,門市請款明細表!$H$3:$H$1981,$C164,門市請款明細表!$I$3:$I$1981,E$1)</f>
        <v>0</v>
      </c>
      <c r="F164" s="431" t="n">
        <f aca="false">SUMIFS(門市請款明細表!$J$3:$J$1981,門市請款明細表!$H$3:$H$1981,$C164,門市請款明細表!$I$3:$I$1981,F$1)</f>
        <v>0</v>
      </c>
      <c r="G164" s="431" t="n">
        <f aca="false">SUMIFS(門市請款明細表!$J$3:$J$1981,門市請款明細表!$H$3:$H$1981,$C164,門市請款明細表!$I$3:$I$1981,G$1)</f>
        <v>0</v>
      </c>
      <c r="H164" s="431" t="n">
        <f aca="false">SUMIFS(門市請款明細表!$J$3:$J$1981,門市請款明細表!$H$3:$H$1981,$C164,門市請款明細表!$I$3:$I$1981,H$1)</f>
        <v>0</v>
      </c>
      <c r="I164" s="15" t="n">
        <f aca="false">SUM(E164:H164)</f>
        <v>0</v>
      </c>
      <c r="J164" s="0" t="str">
        <f aca="false">IF(D164=I164,"●","✖")</f>
        <v>●</v>
      </c>
    </row>
    <row r="165" customFormat="false" ht="16.5" hidden="false" customHeight="false" outlineLevel="0" collapsed="false">
      <c r="A165" s="431" t="n">
        <v>164</v>
      </c>
      <c r="B165" s="139" t="s">
        <v>4936</v>
      </c>
      <c r="C165" s="141" t="s">
        <v>66</v>
      </c>
      <c r="D165" s="141" t="n">
        <f aca="false">SUMIF(門市請款明細表!$H$3:$H$1981,$C165,門市請款明細表!$J$3:$J$1981)</f>
        <v>0</v>
      </c>
      <c r="E165" s="431" t="n">
        <f aca="false">SUMIFS(門市請款明細表!$J$3:$J$1981,門市請款明細表!$H$3:$H$1981,$C165,門市請款明細表!$I$3:$I$1981,E$1)</f>
        <v>0</v>
      </c>
      <c r="F165" s="431" t="n">
        <f aca="false">SUMIFS(門市請款明細表!$J$3:$J$1981,門市請款明細表!$H$3:$H$1981,$C165,門市請款明細表!$I$3:$I$1981,F$1)</f>
        <v>0</v>
      </c>
      <c r="G165" s="431" t="n">
        <f aca="false">SUMIFS(門市請款明細表!$J$3:$J$1981,門市請款明細表!$H$3:$H$1981,$C165,門市請款明細表!$I$3:$I$1981,G$1)</f>
        <v>0</v>
      </c>
      <c r="H165" s="431" t="n">
        <f aca="false">SUMIFS(門市請款明細表!$J$3:$J$1981,門市請款明細表!$H$3:$H$1981,$C165,門市請款明細表!$I$3:$I$1981,H$1)</f>
        <v>0</v>
      </c>
      <c r="I165" s="15" t="n">
        <f aca="false">SUM(E165:H165)</f>
        <v>0</v>
      </c>
      <c r="J165" s="0" t="str">
        <f aca="false">IF(D165=I165,"●","✖")</f>
        <v>●</v>
      </c>
    </row>
    <row r="166" customFormat="false" ht="16.5" hidden="false" customHeight="false" outlineLevel="0" collapsed="false">
      <c r="A166" s="431" t="n">
        <v>165</v>
      </c>
      <c r="B166" s="139" t="s">
        <v>4936</v>
      </c>
      <c r="C166" s="141" t="s">
        <v>87</v>
      </c>
      <c r="D166" s="141" t="n">
        <f aca="false">SUMIF(門市請款明細表!$H$3:$H$1981,$C166,門市請款明細表!$J$3:$J$1981)</f>
        <v>0</v>
      </c>
      <c r="E166" s="431" t="n">
        <f aca="false">SUMIFS(門市請款明細表!$J$3:$J$1981,門市請款明細表!$H$3:$H$1981,$C166,門市請款明細表!$I$3:$I$1981,E$1)</f>
        <v>0</v>
      </c>
      <c r="F166" s="431" t="n">
        <f aca="false">SUMIFS(門市請款明細表!$J$3:$J$1981,門市請款明細表!$H$3:$H$1981,$C166,門市請款明細表!$I$3:$I$1981,F$1)</f>
        <v>0</v>
      </c>
      <c r="G166" s="431" t="n">
        <f aca="false">SUMIFS(門市請款明細表!$J$3:$J$1981,門市請款明細表!$H$3:$H$1981,$C166,門市請款明細表!$I$3:$I$1981,G$1)</f>
        <v>0</v>
      </c>
      <c r="H166" s="431" t="n">
        <f aca="false">SUMIFS(門市請款明細表!$J$3:$J$1981,門市請款明細表!$H$3:$H$1981,$C166,門市請款明細表!$I$3:$I$1981,H$1)</f>
        <v>0</v>
      </c>
      <c r="I166" s="15" t="n">
        <f aca="false">SUM(E166:H166)</f>
        <v>0</v>
      </c>
      <c r="J166" s="0" t="str">
        <f aca="false">IF(D166=I166,"●","✖")</f>
        <v>●</v>
      </c>
    </row>
    <row r="167" customFormat="false" ht="16.5" hidden="false" customHeight="false" outlineLevel="0" collapsed="false">
      <c r="A167" s="431" t="n">
        <v>166</v>
      </c>
      <c r="B167" s="139" t="s">
        <v>4936</v>
      </c>
      <c r="C167" s="141" t="s">
        <v>186</v>
      </c>
      <c r="D167" s="141" t="n">
        <f aca="false">SUMIF(門市請款明細表!$H$3:$H$1981,$C167,門市請款明細表!$J$3:$J$1981)</f>
        <v>0</v>
      </c>
      <c r="E167" s="431" t="n">
        <f aca="false">SUMIFS(門市請款明細表!$J$3:$J$1981,門市請款明細表!$H$3:$H$1981,$C167,門市請款明細表!$I$3:$I$1981,E$1)</f>
        <v>0</v>
      </c>
      <c r="F167" s="431" t="n">
        <f aca="false">SUMIFS(門市請款明細表!$J$3:$J$1981,門市請款明細表!$H$3:$H$1981,$C167,門市請款明細表!$I$3:$I$1981,F$1)</f>
        <v>0</v>
      </c>
      <c r="G167" s="431" t="n">
        <f aca="false">SUMIFS(門市請款明細表!$J$3:$J$1981,門市請款明細表!$H$3:$H$1981,$C167,門市請款明細表!$I$3:$I$1981,G$1)</f>
        <v>0</v>
      </c>
      <c r="H167" s="431" t="n">
        <f aca="false">SUMIFS(門市請款明細表!$J$3:$J$1981,門市請款明細表!$H$3:$H$1981,$C167,門市請款明細表!$I$3:$I$1981,H$1)</f>
        <v>0</v>
      </c>
      <c r="I167" s="15" t="n">
        <f aca="false">SUM(E167:H167)</f>
        <v>0</v>
      </c>
      <c r="J167" s="0" t="str">
        <f aca="false">IF(D167=I167,"●","✖")</f>
        <v>●</v>
      </c>
    </row>
    <row r="168" customFormat="false" ht="16.5" hidden="false" customHeight="false" outlineLevel="0" collapsed="false">
      <c r="A168" s="431" t="n">
        <v>167</v>
      </c>
      <c r="B168" s="139" t="s">
        <v>4936</v>
      </c>
      <c r="C168" s="141" t="s">
        <v>284</v>
      </c>
      <c r="D168" s="141" t="n">
        <f aca="false">SUMIF(門市請款明細表!$H$3:$H$1981,$C168,門市請款明細表!$J$3:$J$1981)</f>
        <v>0</v>
      </c>
      <c r="E168" s="431" t="n">
        <f aca="false">SUMIFS(門市請款明細表!$J$3:$J$1981,門市請款明細表!$H$3:$H$1981,$C168,門市請款明細表!$I$3:$I$1981,E$1)</f>
        <v>0</v>
      </c>
      <c r="F168" s="431" t="n">
        <f aca="false">SUMIFS(門市請款明細表!$J$3:$J$1981,門市請款明細表!$H$3:$H$1981,$C168,門市請款明細表!$I$3:$I$1981,F$1)</f>
        <v>0</v>
      </c>
      <c r="G168" s="431" t="n">
        <f aca="false">SUMIFS(門市請款明細表!$J$3:$J$1981,門市請款明細表!$H$3:$H$1981,$C168,門市請款明細表!$I$3:$I$1981,G$1)</f>
        <v>0</v>
      </c>
      <c r="H168" s="431" t="n">
        <f aca="false">SUMIFS(門市請款明細表!$J$3:$J$1981,門市請款明細表!$H$3:$H$1981,$C168,門市請款明細表!$I$3:$I$1981,H$1)</f>
        <v>0</v>
      </c>
      <c r="I168" s="15" t="n">
        <f aca="false">SUM(E168:H168)</f>
        <v>0</v>
      </c>
      <c r="J168" s="0" t="str">
        <f aca="false">IF(D168=I168,"●","✖")</f>
        <v>●</v>
      </c>
    </row>
    <row r="169" customFormat="false" ht="16.5" hidden="false" customHeight="false" outlineLevel="0" collapsed="false">
      <c r="A169" s="431" t="n">
        <v>168</v>
      </c>
      <c r="B169" s="139" t="s">
        <v>4936</v>
      </c>
      <c r="C169" s="141" t="s">
        <v>285</v>
      </c>
      <c r="D169" s="141" t="n">
        <f aca="false">SUMIF(門市請款明細表!$H$3:$H$1981,$C169,門市請款明細表!$J$3:$J$1981)</f>
        <v>0</v>
      </c>
      <c r="E169" s="431" t="n">
        <f aca="false">SUMIFS(門市請款明細表!$J$3:$J$1981,門市請款明細表!$H$3:$H$1981,$C169,門市請款明細表!$I$3:$I$1981,E$1)</f>
        <v>0</v>
      </c>
      <c r="F169" s="431" t="n">
        <f aca="false">SUMIFS(門市請款明細表!$J$3:$J$1981,門市請款明細表!$H$3:$H$1981,$C169,門市請款明細表!$I$3:$I$1981,F$1)</f>
        <v>0</v>
      </c>
      <c r="G169" s="431" t="n">
        <f aca="false">SUMIFS(門市請款明細表!$J$3:$J$1981,門市請款明細表!$H$3:$H$1981,$C169,門市請款明細表!$I$3:$I$1981,G$1)</f>
        <v>0</v>
      </c>
      <c r="H169" s="431" t="n">
        <f aca="false">SUMIFS(門市請款明細表!$J$3:$J$1981,門市請款明細表!$H$3:$H$1981,$C169,門市請款明細表!$I$3:$I$1981,H$1)</f>
        <v>0</v>
      </c>
      <c r="I169" s="15" t="n">
        <f aca="false">SUM(E169:H169)</f>
        <v>0</v>
      </c>
      <c r="J169" s="0" t="str">
        <f aca="false">IF(D169=I169,"●","✖")</f>
        <v>●</v>
      </c>
    </row>
    <row r="170" customFormat="false" ht="16.5" hidden="false" customHeight="false" outlineLevel="0" collapsed="false">
      <c r="A170" s="431" t="n">
        <v>169</v>
      </c>
      <c r="B170" s="139" t="s">
        <v>4936</v>
      </c>
      <c r="C170" s="141" t="s">
        <v>288</v>
      </c>
      <c r="D170" s="141" t="n">
        <f aca="false">SUMIF(門市請款明細表!$H$3:$H$1981,$C170,門市請款明細表!$J$3:$J$1981)</f>
        <v>0</v>
      </c>
      <c r="E170" s="431" t="n">
        <f aca="false">SUMIFS(門市請款明細表!$J$3:$J$1981,門市請款明細表!$H$3:$H$1981,$C170,門市請款明細表!$I$3:$I$1981,E$1)</f>
        <v>0</v>
      </c>
      <c r="F170" s="431" t="n">
        <f aca="false">SUMIFS(門市請款明細表!$J$3:$J$1981,門市請款明細表!$H$3:$H$1981,$C170,門市請款明細表!$I$3:$I$1981,F$1)</f>
        <v>0</v>
      </c>
      <c r="G170" s="431" t="n">
        <f aca="false">SUMIFS(門市請款明細表!$J$3:$J$1981,門市請款明細表!$H$3:$H$1981,$C170,門市請款明細表!$I$3:$I$1981,G$1)</f>
        <v>0</v>
      </c>
      <c r="H170" s="431" t="n">
        <f aca="false">SUMIFS(門市請款明細表!$J$3:$J$1981,門市請款明細表!$H$3:$H$1981,$C170,門市請款明細表!$I$3:$I$1981,H$1)</f>
        <v>0</v>
      </c>
      <c r="I170" s="15" t="n">
        <f aca="false">SUM(E170:H170)</f>
        <v>0</v>
      </c>
      <c r="J170" s="0" t="str">
        <f aca="false">IF(D170=I170,"●","✖")</f>
        <v>●</v>
      </c>
    </row>
    <row r="171" customFormat="false" ht="16.5" hidden="false" customHeight="false" outlineLevel="0" collapsed="false">
      <c r="A171" s="431" t="n">
        <v>170</v>
      </c>
      <c r="B171" s="139" t="s">
        <v>4936</v>
      </c>
      <c r="C171" s="141" t="s">
        <v>289</v>
      </c>
      <c r="D171" s="141" t="n">
        <f aca="false">SUMIF(門市請款明細表!$H$3:$H$1981,$C171,門市請款明細表!$J$3:$J$1981)</f>
        <v>0</v>
      </c>
      <c r="E171" s="431" t="n">
        <f aca="false">SUMIFS(門市請款明細表!$J$3:$J$1981,門市請款明細表!$H$3:$H$1981,$C171,門市請款明細表!$I$3:$I$1981,E$1)</f>
        <v>0</v>
      </c>
      <c r="F171" s="431" t="n">
        <f aca="false">SUMIFS(門市請款明細表!$J$3:$J$1981,門市請款明細表!$H$3:$H$1981,$C171,門市請款明細表!$I$3:$I$1981,F$1)</f>
        <v>0</v>
      </c>
      <c r="G171" s="431" t="n">
        <f aca="false">SUMIFS(門市請款明細表!$J$3:$J$1981,門市請款明細表!$H$3:$H$1981,$C171,門市請款明細表!$I$3:$I$1981,G$1)</f>
        <v>0</v>
      </c>
      <c r="H171" s="431" t="n">
        <f aca="false">SUMIFS(門市請款明細表!$J$3:$J$1981,門市請款明細表!$H$3:$H$1981,$C171,門市請款明細表!$I$3:$I$1981,H$1)</f>
        <v>0</v>
      </c>
      <c r="I171" s="15" t="n">
        <f aca="false">SUM(E171:H171)</f>
        <v>0</v>
      </c>
      <c r="J171" s="0" t="str">
        <f aca="false">IF(D171=I171,"●","✖")</f>
        <v>●</v>
      </c>
    </row>
    <row r="172" customFormat="false" ht="16.5" hidden="false" customHeight="false" outlineLevel="0" collapsed="false">
      <c r="A172" s="431" t="n">
        <v>171</v>
      </c>
      <c r="B172" s="139" t="s">
        <v>4936</v>
      </c>
      <c r="C172" s="141" t="s">
        <v>363</v>
      </c>
      <c r="D172" s="141" t="n">
        <f aca="false">SUMIF(門市請款明細表!$H$3:$H$1981,$C172,門市請款明細表!$J$3:$J$1981)</f>
        <v>0</v>
      </c>
      <c r="E172" s="431" t="n">
        <f aca="false">SUMIFS(門市請款明細表!$J$3:$J$1981,門市請款明細表!$H$3:$H$1981,$C172,門市請款明細表!$I$3:$I$1981,E$1)</f>
        <v>0</v>
      </c>
      <c r="F172" s="431" t="n">
        <f aca="false">SUMIFS(門市請款明細表!$J$3:$J$1981,門市請款明細表!$H$3:$H$1981,$C172,門市請款明細表!$I$3:$I$1981,F$1)</f>
        <v>0</v>
      </c>
      <c r="G172" s="431" t="n">
        <f aca="false">SUMIFS(門市請款明細表!$J$3:$J$1981,門市請款明細表!$H$3:$H$1981,$C172,門市請款明細表!$I$3:$I$1981,G$1)</f>
        <v>0</v>
      </c>
      <c r="H172" s="431" t="n">
        <f aca="false">SUMIFS(門市請款明細表!$J$3:$J$1981,門市請款明細表!$H$3:$H$1981,$C172,門市請款明細表!$I$3:$I$1981,H$1)</f>
        <v>0</v>
      </c>
      <c r="I172" s="15" t="n">
        <f aca="false">SUM(E172:H172)</f>
        <v>0</v>
      </c>
      <c r="J172" s="0" t="str">
        <f aca="false">IF(D172=I172,"●","✖")</f>
        <v>●</v>
      </c>
    </row>
    <row r="173" customFormat="false" ht="16.5" hidden="false" customHeight="false" outlineLevel="0" collapsed="false">
      <c r="A173" s="431" t="n">
        <v>172</v>
      </c>
      <c r="B173" s="139" t="s">
        <v>4936</v>
      </c>
      <c r="C173" s="141" t="s">
        <v>376</v>
      </c>
      <c r="D173" s="141" t="n">
        <f aca="false">SUMIF(門市請款明細表!$H$3:$H$1981,$C173,門市請款明細表!$J$3:$J$1981)</f>
        <v>0</v>
      </c>
      <c r="E173" s="431" t="n">
        <f aca="false">SUMIFS(門市請款明細表!$J$3:$J$1981,門市請款明細表!$H$3:$H$1981,$C173,門市請款明細表!$I$3:$I$1981,E$1)</f>
        <v>0</v>
      </c>
      <c r="F173" s="431" t="n">
        <f aca="false">SUMIFS(門市請款明細表!$J$3:$J$1981,門市請款明細表!$H$3:$H$1981,$C173,門市請款明細表!$I$3:$I$1981,F$1)</f>
        <v>0</v>
      </c>
      <c r="G173" s="431" t="n">
        <f aca="false">SUMIFS(門市請款明細表!$J$3:$J$1981,門市請款明細表!$H$3:$H$1981,$C173,門市請款明細表!$I$3:$I$1981,G$1)</f>
        <v>0</v>
      </c>
      <c r="H173" s="431" t="n">
        <f aca="false">SUMIFS(門市請款明細表!$J$3:$J$1981,門市請款明細表!$H$3:$H$1981,$C173,門市請款明細表!$I$3:$I$1981,H$1)</f>
        <v>0</v>
      </c>
      <c r="I173" s="15" t="n">
        <f aca="false">SUM(E173:H173)</f>
        <v>0</v>
      </c>
      <c r="J173" s="0" t="str">
        <f aca="false">IF(D173=I173,"●","✖")</f>
        <v>●</v>
      </c>
    </row>
    <row r="174" customFormat="false" ht="16.5" hidden="false" customHeight="false" outlineLevel="0" collapsed="false">
      <c r="A174" s="431" t="n">
        <v>173</v>
      </c>
      <c r="B174" s="139" t="s">
        <v>4936</v>
      </c>
      <c r="C174" s="141" t="s">
        <v>377</v>
      </c>
      <c r="D174" s="141" t="n">
        <f aca="false">SUMIF(門市請款明細表!$H$3:$H$1981,$C174,門市請款明細表!$J$3:$J$1981)</f>
        <v>0</v>
      </c>
      <c r="E174" s="431" t="n">
        <f aca="false">SUMIFS(門市請款明細表!$J$3:$J$1981,門市請款明細表!$H$3:$H$1981,$C174,門市請款明細表!$I$3:$I$1981,E$1)</f>
        <v>0</v>
      </c>
      <c r="F174" s="431" t="n">
        <f aca="false">SUMIFS(門市請款明細表!$J$3:$J$1981,門市請款明細表!$H$3:$H$1981,$C174,門市請款明細表!$I$3:$I$1981,F$1)</f>
        <v>0</v>
      </c>
      <c r="G174" s="431" t="n">
        <f aca="false">SUMIFS(門市請款明細表!$J$3:$J$1981,門市請款明細表!$H$3:$H$1981,$C174,門市請款明細表!$I$3:$I$1981,G$1)</f>
        <v>0</v>
      </c>
      <c r="H174" s="431" t="n">
        <f aca="false">SUMIFS(門市請款明細表!$J$3:$J$1981,門市請款明細表!$H$3:$H$1981,$C174,門市請款明細表!$I$3:$I$1981,H$1)</f>
        <v>0</v>
      </c>
      <c r="I174" s="15" t="n">
        <f aca="false">SUM(E174:H174)</f>
        <v>0</v>
      </c>
      <c r="J174" s="0" t="str">
        <f aca="false">IF(D174=I174,"●","✖")</f>
        <v>●</v>
      </c>
    </row>
    <row r="175" customFormat="false" ht="16.5" hidden="false" customHeight="false" outlineLevel="0" collapsed="false">
      <c r="A175" s="431" t="n">
        <v>174</v>
      </c>
      <c r="B175" s="139" t="s">
        <v>4936</v>
      </c>
      <c r="C175" s="141" t="s">
        <v>85</v>
      </c>
      <c r="D175" s="141" t="n">
        <f aca="false">SUMIF(門市請款明細表!$H$3:$H$1981,$C175,門市請款明細表!$J$3:$J$1981)</f>
        <v>0</v>
      </c>
      <c r="E175" s="431" t="n">
        <f aca="false">SUMIFS(門市請款明細表!$J$3:$J$1981,門市請款明細表!$H$3:$H$1981,$C175,門市請款明細表!$I$3:$I$1981,E$1)</f>
        <v>0</v>
      </c>
      <c r="F175" s="431" t="n">
        <f aca="false">SUMIFS(門市請款明細表!$J$3:$J$1981,門市請款明細表!$H$3:$H$1981,$C175,門市請款明細表!$I$3:$I$1981,F$1)</f>
        <v>0</v>
      </c>
      <c r="G175" s="431" t="n">
        <f aca="false">SUMIFS(門市請款明細表!$J$3:$J$1981,門市請款明細表!$H$3:$H$1981,$C175,門市請款明細表!$I$3:$I$1981,G$1)</f>
        <v>0</v>
      </c>
      <c r="H175" s="431" t="n">
        <f aca="false">SUMIFS(門市請款明細表!$J$3:$J$1981,門市請款明細表!$H$3:$H$1981,$C175,門市請款明細表!$I$3:$I$1981,H$1)</f>
        <v>0</v>
      </c>
      <c r="I175" s="15" t="n">
        <f aca="false">SUM(E175:H175)</f>
        <v>0</v>
      </c>
      <c r="J175" s="0" t="str">
        <f aca="false">IF(D175=I175,"●","✖")</f>
        <v>●</v>
      </c>
    </row>
    <row r="176" customFormat="false" ht="16.5" hidden="false" customHeight="false" outlineLevel="0" collapsed="false">
      <c r="A176" s="431" t="n">
        <v>175</v>
      </c>
      <c r="B176" s="139" t="s">
        <v>4936</v>
      </c>
      <c r="C176" s="141" t="s">
        <v>203</v>
      </c>
      <c r="D176" s="141" t="n">
        <f aca="false">SUMIF(門市請款明細表!$H$3:$H$1981,$C176,門市請款明細表!$J$3:$J$1981)</f>
        <v>0</v>
      </c>
      <c r="E176" s="431" t="n">
        <f aca="false">SUMIFS(門市請款明細表!$J$3:$J$1981,門市請款明細表!$H$3:$H$1981,$C176,門市請款明細表!$I$3:$I$1981,E$1)</f>
        <v>0</v>
      </c>
      <c r="F176" s="431" t="n">
        <f aca="false">SUMIFS(門市請款明細表!$J$3:$J$1981,門市請款明細表!$H$3:$H$1981,$C176,門市請款明細表!$I$3:$I$1981,F$1)</f>
        <v>0</v>
      </c>
      <c r="G176" s="431" t="n">
        <f aca="false">SUMIFS(門市請款明細表!$J$3:$J$1981,門市請款明細表!$H$3:$H$1981,$C176,門市請款明細表!$I$3:$I$1981,G$1)</f>
        <v>0</v>
      </c>
      <c r="H176" s="431" t="n">
        <f aca="false">SUMIFS(門市請款明細表!$J$3:$J$1981,門市請款明細表!$H$3:$H$1981,$C176,門市請款明細表!$I$3:$I$1981,H$1)</f>
        <v>0</v>
      </c>
      <c r="I176" s="15" t="n">
        <f aca="false">SUM(E176:H176)</f>
        <v>0</v>
      </c>
      <c r="J176" s="0" t="str">
        <f aca="false">IF(D176=I176,"●","✖")</f>
        <v>●</v>
      </c>
    </row>
    <row r="177" customFormat="false" ht="16.5" hidden="false" customHeight="false" outlineLevel="0" collapsed="false">
      <c r="A177" s="431" t="n">
        <v>176</v>
      </c>
      <c r="B177" s="139" t="s">
        <v>4936</v>
      </c>
      <c r="C177" s="141" t="s">
        <v>249</v>
      </c>
      <c r="D177" s="141" t="n">
        <f aca="false">SUMIF(門市請款明細表!$H$3:$H$1981,$C177,門市請款明細表!$J$3:$J$1981)</f>
        <v>0</v>
      </c>
      <c r="E177" s="431" t="n">
        <f aca="false">SUMIFS(門市請款明細表!$J$3:$J$1981,門市請款明細表!$H$3:$H$1981,$C177,門市請款明細表!$I$3:$I$1981,E$1)</f>
        <v>0</v>
      </c>
      <c r="F177" s="431" t="n">
        <f aca="false">SUMIFS(門市請款明細表!$J$3:$J$1981,門市請款明細表!$H$3:$H$1981,$C177,門市請款明細表!$I$3:$I$1981,F$1)</f>
        <v>0</v>
      </c>
      <c r="G177" s="431" t="n">
        <f aca="false">SUMIFS(門市請款明細表!$J$3:$J$1981,門市請款明細表!$H$3:$H$1981,$C177,門市請款明細表!$I$3:$I$1981,G$1)</f>
        <v>0</v>
      </c>
      <c r="H177" s="431" t="n">
        <f aca="false">SUMIFS(門市請款明細表!$J$3:$J$1981,門市請款明細表!$H$3:$H$1981,$C177,門市請款明細表!$I$3:$I$1981,H$1)</f>
        <v>0</v>
      </c>
      <c r="I177" s="15" t="n">
        <f aca="false">SUM(E177:H177)</f>
        <v>0</v>
      </c>
      <c r="J177" s="0" t="str">
        <f aca="false">IF(D177=I177,"●","✖")</f>
        <v>●</v>
      </c>
    </row>
    <row r="178" customFormat="false" ht="16.5" hidden="false" customHeight="false" outlineLevel="0" collapsed="false">
      <c r="A178" s="431" t="n">
        <v>177</v>
      </c>
      <c r="B178" s="139" t="s">
        <v>4936</v>
      </c>
      <c r="C178" s="141" t="s">
        <v>375</v>
      </c>
      <c r="D178" s="141" t="n">
        <f aca="false">SUMIF(門市請款明細表!$H$3:$H$1981,$C178,門市請款明細表!$J$3:$J$1981)</f>
        <v>0</v>
      </c>
      <c r="E178" s="431" t="n">
        <f aca="false">SUMIFS(門市請款明細表!$J$3:$J$1981,門市請款明細表!$H$3:$H$1981,$C178,門市請款明細表!$I$3:$I$1981,E$1)</f>
        <v>0</v>
      </c>
      <c r="F178" s="431" t="n">
        <f aca="false">SUMIFS(門市請款明細表!$J$3:$J$1981,門市請款明細表!$H$3:$H$1981,$C178,門市請款明細表!$I$3:$I$1981,F$1)</f>
        <v>0</v>
      </c>
      <c r="G178" s="431" t="n">
        <f aca="false">SUMIFS(門市請款明細表!$J$3:$J$1981,門市請款明細表!$H$3:$H$1981,$C178,門市請款明細表!$I$3:$I$1981,G$1)</f>
        <v>0</v>
      </c>
      <c r="H178" s="431" t="n">
        <f aca="false">SUMIFS(門市請款明細表!$J$3:$J$1981,門市請款明細表!$H$3:$H$1981,$C178,門市請款明細表!$I$3:$I$1981,H$1)</f>
        <v>0</v>
      </c>
      <c r="I178" s="15" t="n">
        <f aca="false">SUM(E178:H178)</f>
        <v>0</v>
      </c>
      <c r="J178" s="0" t="str">
        <f aca="false">IF(D178=I178,"●","✖")</f>
        <v>●</v>
      </c>
    </row>
    <row r="179" customFormat="false" ht="16.5" hidden="false" customHeight="false" outlineLevel="0" collapsed="false">
      <c r="A179" s="431" t="n">
        <v>178</v>
      </c>
      <c r="B179" s="139" t="s">
        <v>4936</v>
      </c>
      <c r="C179" s="141" t="s">
        <v>380</v>
      </c>
      <c r="D179" s="141" t="n">
        <f aca="false">SUMIF(門市請款明細表!$H$3:$H$1981,$C179,門市請款明細表!$J$3:$J$1981)</f>
        <v>0</v>
      </c>
      <c r="E179" s="431" t="n">
        <f aca="false">SUMIFS(門市請款明細表!$J$3:$J$1981,門市請款明細表!$H$3:$H$1981,$C179,門市請款明細表!$I$3:$I$1981,E$1)</f>
        <v>0</v>
      </c>
      <c r="F179" s="431" t="n">
        <f aca="false">SUMIFS(門市請款明細表!$J$3:$J$1981,門市請款明細表!$H$3:$H$1981,$C179,門市請款明細表!$I$3:$I$1981,F$1)</f>
        <v>0</v>
      </c>
      <c r="G179" s="431" t="n">
        <f aca="false">SUMIFS(門市請款明細表!$J$3:$J$1981,門市請款明細表!$H$3:$H$1981,$C179,門市請款明細表!$I$3:$I$1981,G$1)</f>
        <v>0</v>
      </c>
      <c r="H179" s="431" t="n">
        <f aca="false">SUMIFS(門市請款明細表!$J$3:$J$1981,門市請款明細表!$H$3:$H$1981,$C179,門市請款明細表!$I$3:$I$1981,H$1)</f>
        <v>0</v>
      </c>
      <c r="I179" s="15" t="n">
        <f aca="false">SUM(E179:H179)</f>
        <v>0</v>
      </c>
      <c r="J179" s="0" t="str">
        <f aca="false">IF(D179=I179,"●","✖")</f>
        <v>●</v>
      </c>
    </row>
    <row r="180" customFormat="false" ht="16.5" hidden="false" customHeight="false" outlineLevel="0" collapsed="false">
      <c r="A180" s="431" t="n">
        <v>179</v>
      </c>
      <c r="B180" s="139" t="s">
        <v>4936</v>
      </c>
      <c r="C180" s="141" t="s">
        <v>381</v>
      </c>
      <c r="D180" s="141" t="n">
        <f aca="false">SUMIF(門市請款明細表!$H$3:$H$1981,$C180,門市請款明細表!$J$3:$J$1981)</f>
        <v>0</v>
      </c>
      <c r="E180" s="431" t="n">
        <f aca="false">SUMIFS(門市請款明細表!$J$3:$J$1981,門市請款明細表!$H$3:$H$1981,$C180,門市請款明細表!$I$3:$I$1981,E$1)</f>
        <v>0</v>
      </c>
      <c r="F180" s="431" t="n">
        <f aca="false">SUMIFS(門市請款明細表!$J$3:$J$1981,門市請款明細表!$H$3:$H$1981,$C180,門市請款明細表!$I$3:$I$1981,F$1)</f>
        <v>0</v>
      </c>
      <c r="G180" s="431" t="n">
        <f aca="false">SUMIFS(門市請款明細表!$J$3:$J$1981,門市請款明細表!$H$3:$H$1981,$C180,門市請款明細表!$I$3:$I$1981,G$1)</f>
        <v>0</v>
      </c>
      <c r="H180" s="431" t="n">
        <f aca="false">SUMIFS(門市請款明細表!$J$3:$J$1981,門市請款明細表!$H$3:$H$1981,$C180,門市請款明細表!$I$3:$I$1981,H$1)</f>
        <v>0</v>
      </c>
      <c r="I180" s="15" t="n">
        <f aca="false">SUM(E180:H180)</f>
        <v>0</v>
      </c>
      <c r="J180" s="0" t="str">
        <f aca="false">IF(D180=I180,"●","✖")</f>
        <v>●</v>
      </c>
    </row>
    <row r="181" customFormat="false" ht="16.5" hidden="false" customHeight="false" outlineLevel="0" collapsed="false">
      <c r="A181" s="431" t="n">
        <v>180</v>
      </c>
      <c r="B181" s="139" t="s">
        <v>4936</v>
      </c>
      <c r="C181" s="141" t="s">
        <v>383</v>
      </c>
      <c r="D181" s="141" t="n">
        <f aca="false">SUMIF(門市請款明細表!$H$3:$H$1981,$C181,門市請款明細表!$J$3:$J$1981)</f>
        <v>0</v>
      </c>
      <c r="E181" s="431" t="n">
        <f aca="false">SUMIFS(門市請款明細表!$J$3:$J$1981,門市請款明細表!$H$3:$H$1981,$C181,門市請款明細表!$I$3:$I$1981,E$1)</f>
        <v>0</v>
      </c>
      <c r="F181" s="431" t="n">
        <f aca="false">SUMIFS(門市請款明細表!$J$3:$J$1981,門市請款明細表!$H$3:$H$1981,$C181,門市請款明細表!$I$3:$I$1981,F$1)</f>
        <v>0</v>
      </c>
      <c r="G181" s="431" t="n">
        <f aca="false">SUMIFS(門市請款明細表!$J$3:$J$1981,門市請款明細表!$H$3:$H$1981,$C181,門市請款明細表!$I$3:$I$1981,G$1)</f>
        <v>0</v>
      </c>
      <c r="H181" s="431" t="n">
        <f aca="false">SUMIFS(門市請款明細表!$J$3:$J$1981,門市請款明細表!$H$3:$H$1981,$C181,門市請款明細表!$I$3:$I$1981,H$1)</f>
        <v>0</v>
      </c>
      <c r="I181" s="15" t="n">
        <f aca="false">SUM(E181:H181)</f>
        <v>0</v>
      </c>
      <c r="J181" s="0" t="str">
        <f aca="false">IF(D181=I181,"●","✖")</f>
        <v>●</v>
      </c>
    </row>
    <row r="182" customFormat="false" ht="16.5" hidden="false" customHeight="false" outlineLevel="0" collapsed="false">
      <c r="A182" s="431" t="n">
        <v>181</v>
      </c>
      <c r="B182" s="139" t="s">
        <v>4936</v>
      </c>
      <c r="C182" s="141" t="s">
        <v>388</v>
      </c>
      <c r="D182" s="141" t="n">
        <f aca="false">SUMIF(門市請款明細表!$H$3:$H$1981,$C182,門市請款明細表!$J$3:$J$1981)</f>
        <v>0</v>
      </c>
      <c r="E182" s="431" t="n">
        <f aca="false">SUMIFS(門市請款明細表!$J$3:$J$1981,門市請款明細表!$H$3:$H$1981,$C182,門市請款明細表!$I$3:$I$1981,E$1)</f>
        <v>0</v>
      </c>
      <c r="F182" s="431" t="n">
        <f aca="false">SUMIFS(門市請款明細表!$J$3:$J$1981,門市請款明細表!$H$3:$H$1981,$C182,門市請款明細表!$I$3:$I$1981,F$1)</f>
        <v>0</v>
      </c>
      <c r="G182" s="431" t="n">
        <f aca="false">SUMIFS(門市請款明細表!$J$3:$J$1981,門市請款明細表!$H$3:$H$1981,$C182,門市請款明細表!$I$3:$I$1981,G$1)</f>
        <v>0</v>
      </c>
      <c r="H182" s="431" t="n">
        <f aca="false">SUMIFS(門市請款明細表!$J$3:$J$1981,門市請款明細表!$H$3:$H$1981,$C182,門市請款明細表!$I$3:$I$1981,H$1)</f>
        <v>0</v>
      </c>
      <c r="I182" s="15" t="n">
        <f aca="false">SUM(E182:H182)</f>
        <v>0</v>
      </c>
      <c r="J182" s="0" t="str">
        <f aca="false">IF(D182=I182,"●","✖")</f>
        <v>●</v>
      </c>
    </row>
    <row r="183" customFormat="false" ht="16.5" hidden="false" customHeight="false" outlineLevel="0" collapsed="false">
      <c r="A183" s="431" t="n">
        <v>182</v>
      </c>
      <c r="B183" s="139" t="s">
        <v>4936</v>
      </c>
      <c r="C183" s="141" t="s">
        <v>389</v>
      </c>
      <c r="D183" s="141" t="n">
        <f aca="false">SUMIF(門市請款明細表!$H$3:$H$1981,$C183,門市請款明細表!$J$3:$J$1981)</f>
        <v>0</v>
      </c>
      <c r="E183" s="431" t="n">
        <f aca="false">SUMIFS(門市請款明細表!$J$3:$J$1981,門市請款明細表!$H$3:$H$1981,$C183,門市請款明細表!$I$3:$I$1981,E$1)</f>
        <v>0</v>
      </c>
      <c r="F183" s="431" t="n">
        <f aca="false">SUMIFS(門市請款明細表!$J$3:$J$1981,門市請款明細表!$H$3:$H$1981,$C183,門市請款明細表!$I$3:$I$1981,F$1)</f>
        <v>0</v>
      </c>
      <c r="G183" s="431" t="n">
        <f aca="false">SUMIFS(門市請款明細表!$J$3:$J$1981,門市請款明細表!$H$3:$H$1981,$C183,門市請款明細表!$I$3:$I$1981,G$1)</f>
        <v>0</v>
      </c>
      <c r="H183" s="431" t="n">
        <f aca="false">SUMIFS(門市請款明細表!$J$3:$J$1981,門市請款明細表!$H$3:$H$1981,$C183,門市請款明細表!$I$3:$I$1981,H$1)</f>
        <v>0</v>
      </c>
      <c r="I183" s="15" t="n">
        <f aca="false">SUM(E183:H183)</f>
        <v>0</v>
      </c>
      <c r="J183" s="0" t="str">
        <f aca="false">IF(D183=I183,"●","✖")</f>
        <v>●</v>
      </c>
    </row>
    <row r="184" customFormat="false" ht="16.5" hidden="false" customHeight="false" outlineLevel="0" collapsed="false">
      <c r="A184" s="431" t="n">
        <v>183</v>
      </c>
      <c r="B184" s="139" t="s">
        <v>4929</v>
      </c>
      <c r="C184" s="141" t="s">
        <v>174</v>
      </c>
      <c r="D184" s="141" t="n">
        <f aca="false">SUMIF(門市請款明細表!$H$3:$H$1981,$C184,門市請款明細表!$J$3:$J$1981)</f>
        <v>0</v>
      </c>
      <c r="E184" s="431" t="n">
        <f aca="false">SUMIFS(門市請款明細表!$J$3:$J$1981,門市請款明細表!$H$3:$H$1981,$C184,門市請款明細表!$I$3:$I$1981,E$1)</f>
        <v>0</v>
      </c>
      <c r="F184" s="431" t="n">
        <f aca="false">SUMIFS(門市請款明細表!$J$3:$J$1981,門市請款明細表!$H$3:$H$1981,$C184,門市請款明細表!$I$3:$I$1981,F$1)</f>
        <v>0</v>
      </c>
      <c r="G184" s="431" t="n">
        <f aca="false">SUMIFS(門市請款明細表!$J$3:$J$1981,門市請款明細表!$H$3:$H$1981,$C184,門市請款明細表!$I$3:$I$1981,G$1)</f>
        <v>0</v>
      </c>
      <c r="H184" s="431" t="n">
        <f aca="false">SUMIFS(門市請款明細表!$J$3:$J$1981,門市請款明細表!$H$3:$H$1981,$C184,門市請款明細表!$I$3:$I$1981,H$1)</f>
        <v>0</v>
      </c>
      <c r="I184" s="15" t="n">
        <f aca="false">SUM(E184:H184)</f>
        <v>0</v>
      </c>
      <c r="J184" s="0" t="str">
        <f aca="false">IF(D184=I184,"●","✖")</f>
        <v>●</v>
      </c>
    </row>
    <row r="185" customFormat="false" ht="16.5" hidden="false" customHeight="false" outlineLevel="0" collapsed="false">
      <c r="A185" s="431" t="n">
        <v>184</v>
      </c>
      <c r="B185" s="139" t="s">
        <v>4937</v>
      </c>
      <c r="C185" s="141" t="s">
        <v>275</v>
      </c>
      <c r="D185" s="141" t="n">
        <f aca="false">SUMIF(門市請款明細表!$H$3:$H$1981,$C185,門市請款明細表!$J$3:$J$1981)</f>
        <v>0</v>
      </c>
      <c r="E185" s="431" t="n">
        <f aca="false">SUMIFS(門市請款明細表!$J$3:$J$1981,門市請款明細表!$H$3:$H$1981,$C185,門市請款明細表!$I$3:$I$1981,E$1)</f>
        <v>0</v>
      </c>
      <c r="F185" s="431" t="n">
        <f aca="false">SUMIFS(門市請款明細表!$J$3:$J$1981,門市請款明細表!$H$3:$H$1981,$C185,門市請款明細表!$I$3:$I$1981,F$1)</f>
        <v>0</v>
      </c>
      <c r="G185" s="431" t="n">
        <f aca="false">SUMIFS(門市請款明細表!$J$3:$J$1981,門市請款明細表!$H$3:$H$1981,$C185,門市請款明細表!$I$3:$I$1981,G$1)</f>
        <v>0</v>
      </c>
      <c r="H185" s="431" t="n">
        <f aca="false">SUMIFS(門市請款明細表!$J$3:$J$1981,門市請款明細表!$H$3:$H$1981,$C185,門市請款明細表!$I$3:$I$1981,H$1)</f>
        <v>0</v>
      </c>
      <c r="I185" s="15" t="n">
        <f aca="false">SUM(E185:H185)</f>
        <v>0</v>
      </c>
      <c r="J185" s="0" t="str">
        <f aca="false">IF(D185=I185,"●","✖")</f>
        <v>●</v>
      </c>
    </row>
    <row r="186" customFormat="false" ht="16.5" hidden="false" customHeight="false" outlineLevel="0" collapsed="false">
      <c r="A186" s="431" t="n">
        <v>185</v>
      </c>
      <c r="B186" s="139" t="s">
        <v>4937</v>
      </c>
      <c r="C186" s="141" t="s">
        <v>4879</v>
      </c>
      <c r="D186" s="141" t="n">
        <f aca="false">SUMIF(門市請款明細表!$H$3:$H$1981,$C186,門市請款明細表!$J$3:$J$1981)</f>
        <v>0</v>
      </c>
      <c r="E186" s="431" t="n">
        <f aca="false">SUMIFS(門市請款明細表!$J$3:$J$1981,門市請款明細表!$H$3:$H$1981,$C186,門市請款明細表!$I$3:$I$1981,E$1)</f>
        <v>0</v>
      </c>
      <c r="F186" s="431" t="n">
        <f aca="false">SUMIFS(門市請款明細表!$J$3:$J$1981,門市請款明細表!$H$3:$H$1981,$C186,門市請款明細表!$I$3:$I$1981,F$1)</f>
        <v>0</v>
      </c>
      <c r="G186" s="431" t="n">
        <f aca="false">SUMIFS(門市請款明細表!$J$3:$J$1981,門市請款明細表!$H$3:$H$1981,$C186,門市請款明細表!$I$3:$I$1981,G$1)</f>
        <v>0</v>
      </c>
      <c r="H186" s="431" t="n">
        <f aca="false">SUMIFS(門市請款明細表!$J$3:$J$1981,門市請款明細表!$H$3:$H$1981,$C186,門市請款明細表!$I$3:$I$1981,H$1)</f>
        <v>0</v>
      </c>
      <c r="I186" s="15" t="n">
        <f aca="false">SUM(E186:H186)</f>
        <v>0</v>
      </c>
      <c r="J186" s="0" t="str">
        <f aca="false">IF(D186=I186,"●","✖")</f>
        <v>●</v>
      </c>
    </row>
    <row r="187" customFormat="false" ht="31.5" hidden="false" customHeight="true" outlineLevel="0" collapsed="false">
      <c r="A187" s="431" t="n">
        <v>186</v>
      </c>
      <c r="B187" s="434" t="s">
        <v>4932</v>
      </c>
      <c r="C187" s="435" t="s">
        <v>4938</v>
      </c>
      <c r="D187" s="141" t="n">
        <f aca="false">SUMIF(門市請款明細表!$H$3:$H$1981,$C187,門市請款明細表!$J$3:$J$1981)</f>
        <v>0</v>
      </c>
      <c r="E187" s="431" t="n">
        <f aca="false">SUMIFS(門市請款明細表!$J$3:$J$1981,門市請款明細表!$H$3:$H$1981,$C187,門市請款明細表!$I$3:$I$1981,E$1)</f>
        <v>0</v>
      </c>
      <c r="F187" s="431" t="n">
        <f aca="false">SUMIFS(門市請款明細表!$J$3:$J$1981,門市請款明細表!$H$3:$H$1981,$C187,門市請款明細表!$I$3:$I$1981,F$1)</f>
        <v>0</v>
      </c>
      <c r="G187" s="431" t="n">
        <f aca="false">SUMIFS(門市請款明細表!$J$3:$J$1981,門市請款明細表!$H$3:$H$1981,$C187,門市請款明細表!$I$3:$I$1981,G$1)</f>
        <v>0</v>
      </c>
      <c r="H187" s="431" t="n">
        <f aca="false">SUMIFS(門市請款明細表!$J$3:$J$1981,門市請款明細表!$H$3:$H$1981,$C187,門市請款明細表!$I$3:$I$1981,H$1)</f>
        <v>0</v>
      </c>
      <c r="I187" s="15" t="n">
        <f aca="false">SUM(E187:H187)</f>
        <v>0</v>
      </c>
      <c r="J187" s="0" t="str">
        <f aca="false">IF(D187=I187,"●","✖")</f>
        <v>●</v>
      </c>
    </row>
    <row r="188" customFormat="false" ht="31.5" hidden="false" customHeight="false" outlineLevel="0" collapsed="false">
      <c r="A188" s="431"/>
      <c r="B188" s="436" t="s">
        <v>4932</v>
      </c>
      <c r="C188" s="435" t="s">
        <v>4939</v>
      </c>
      <c r="D188" s="141" t="n">
        <f aca="false">SUMIF(門市請款明細表!$H$3:$H$1981,$C188,門市請款明細表!$J$3:$J$1981)</f>
        <v>0</v>
      </c>
      <c r="E188" s="431" t="n">
        <f aca="false">SUMIFS(門市請款明細表!$J$3:$J$1981,門市請款明細表!$H$3:$H$1981,$C188,門市請款明細表!$I$3:$I$1981,E$1)</f>
        <v>0</v>
      </c>
      <c r="F188" s="431" t="n">
        <f aca="false">SUMIFS(門市請款明細表!$J$3:$J$1981,門市請款明細表!$H$3:$H$1981,$C188,門市請款明細表!$I$3:$I$1981,F$1)</f>
        <v>0</v>
      </c>
      <c r="G188" s="431" t="n">
        <f aca="false">SUMIFS(門市請款明細表!$J$3:$J$1981,門市請款明細表!$H$3:$H$1981,$C188,門市請款明細表!$I$3:$I$1981,G$1)</f>
        <v>0</v>
      </c>
      <c r="H188" s="431" t="n">
        <f aca="false">SUMIFS(門市請款明細表!$J$3:$J$1981,門市請款明細表!$H$3:$H$1981,$C188,門市請款明細表!$I$3:$I$1981,H$1)</f>
        <v>0</v>
      </c>
      <c r="I188" s="15" t="n">
        <f aca="false">SUM(E188:H188)</f>
        <v>0</v>
      </c>
      <c r="J188" s="0" t="str">
        <f aca="false">IF(D188=I188,"●","✖")</f>
        <v>●</v>
      </c>
    </row>
    <row r="189" customFormat="false" ht="31.5" hidden="false" customHeight="true" outlineLevel="0" collapsed="false">
      <c r="A189" s="431"/>
      <c r="B189" s="436" t="s">
        <v>4932</v>
      </c>
      <c r="C189" s="435" t="s">
        <v>4940</v>
      </c>
      <c r="D189" s="141" t="n">
        <f aca="false">SUMIF(門市請款明細表!$H$3:$H$1981,$C189,門市請款明細表!$J$3:$J$1981)</f>
        <v>0</v>
      </c>
      <c r="E189" s="431" t="n">
        <f aca="false">SUMIFS(門市請款明細表!$J$3:$J$1981,門市請款明細表!$H$3:$H$1981,$C189,門市請款明細表!$I$3:$I$1981,E$1)</f>
        <v>0</v>
      </c>
      <c r="F189" s="431" t="n">
        <f aca="false">SUMIFS(門市請款明細表!$J$3:$J$1981,門市請款明細表!$H$3:$H$1981,$C189,門市請款明細表!$I$3:$I$1981,F$1)</f>
        <v>0</v>
      </c>
      <c r="G189" s="431" t="n">
        <f aca="false">SUMIFS(門市請款明細表!$J$3:$J$1981,門市請款明細表!$H$3:$H$1981,$C189,門市請款明細表!$I$3:$I$1981,G$1)</f>
        <v>0</v>
      </c>
      <c r="H189" s="431" t="n">
        <f aca="false">SUMIFS(門市請款明細表!$J$3:$J$1981,門市請款明細表!$H$3:$H$1981,$C189,門市請款明細表!$I$3:$I$1981,H$1)</f>
        <v>0</v>
      </c>
      <c r="I189" s="15" t="n">
        <f aca="false">SUM(E189:H189)</f>
        <v>0</v>
      </c>
      <c r="J189" s="0" t="str">
        <f aca="false">IF(D189=I189,"●","✖")</f>
        <v>●</v>
      </c>
    </row>
    <row r="190" customFormat="false" ht="31.5" hidden="false" customHeight="false" outlineLevel="0" collapsed="false">
      <c r="A190" s="431"/>
      <c r="B190" s="436" t="s">
        <v>4932</v>
      </c>
      <c r="C190" s="435" t="s">
        <v>4941</v>
      </c>
      <c r="D190" s="141" t="n">
        <f aca="false">SUMIF(門市請款明細表!$H$3:$H$1981,$C190,門市請款明細表!$J$3:$J$1981)</f>
        <v>0</v>
      </c>
      <c r="E190" s="431" t="n">
        <f aca="false">SUMIFS(門市請款明細表!$J$3:$J$1981,門市請款明細表!$H$3:$H$1981,$C190,門市請款明細表!$I$3:$I$1981,E$1)</f>
        <v>0</v>
      </c>
      <c r="F190" s="431" t="n">
        <f aca="false">SUMIFS(門市請款明細表!$J$3:$J$1981,門市請款明細表!$H$3:$H$1981,$C190,門市請款明細表!$I$3:$I$1981,F$1)</f>
        <v>0</v>
      </c>
      <c r="G190" s="431" t="n">
        <f aca="false">SUMIFS(門市請款明細表!$J$3:$J$1981,門市請款明細表!$H$3:$H$1981,$C190,門市請款明細表!$I$3:$I$1981,G$1)</f>
        <v>0</v>
      </c>
      <c r="H190" s="431" t="n">
        <f aca="false">SUMIFS(門市請款明細表!$J$3:$J$1981,門市請款明細表!$H$3:$H$1981,$C190,門市請款明細表!$I$3:$I$1981,H$1)</f>
        <v>0</v>
      </c>
      <c r="I190" s="15" t="n">
        <f aca="false">SUM(E190:H190)</f>
        <v>0</v>
      </c>
      <c r="J190" s="0" t="str">
        <f aca="false">IF(D190=I190,"●","✖")</f>
        <v>●</v>
      </c>
    </row>
    <row r="191" customFormat="false" ht="31.5" hidden="false" customHeight="false" outlineLevel="0" collapsed="false">
      <c r="A191" s="431"/>
      <c r="B191" s="436" t="s">
        <v>4932</v>
      </c>
      <c r="C191" s="435" t="s">
        <v>4942</v>
      </c>
      <c r="D191" s="141" t="n">
        <f aca="false">SUMIF(門市請款明細表!$H$3:$H$1981,$C191,門市請款明細表!$J$3:$J$1981)</f>
        <v>0</v>
      </c>
      <c r="E191" s="431" t="n">
        <f aca="false">SUMIFS(門市請款明細表!$J$3:$J$1981,門市請款明細表!$H$3:$H$1981,$C191,門市請款明細表!$I$3:$I$1981,E$1)</f>
        <v>0</v>
      </c>
      <c r="F191" s="431" t="n">
        <f aca="false">SUMIFS(門市請款明細表!$J$3:$J$1981,門市請款明細表!$H$3:$H$1981,$C191,門市請款明細表!$I$3:$I$1981,F$1)</f>
        <v>0</v>
      </c>
      <c r="G191" s="431" t="n">
        <f aca="false">SUMIFS(門市請款明細表!$J$3:$J$1981,門市請款明細表!$H$3:$H$1981,$C191,門市請款明細表!$I$3:$I$1981,G$1)</f>
        <v>0</v>
      </c>
      <c r="H191" s="431" t="n">
        <f aca="false">SUMIFS(門市請款明細表!$J$3:$J$1981,門市請款明細表!$H$3:$H$1981,$C191,門市請款明細表!$I$3:$I$1981,H$1)</f>
        <v>0</v>
      </c>
      <c r="I191" s="15" t="n">
        <f aca="false">SUM(E191:H191)</f>
        <v>0</v>
      </c>
      <c r="J191" s="0" t="str">
        <f aca="false">IF(D191=I191,"●","✖")</f>
        <v>●</v>
      </c>
    </row>
    <row r="192" customFormat="false" ht="16.5" hidden="false" customHeight="false" outlineLevel="0" collapsed="false">
      <c r="A192" s="432" t="n">
        <v>187</v>
      </c>
      <c r="B192" s="432"/>
      <c r="C192" s="437" t="s">
        <v>102</v>
      </c>
      <c r="D192" s="141" t="n">
        <f aca="false">SUMIF(門市請款明細表!$H$3:$H$1981,$C192,門市請款明細表!$J$3:$J$1981)</f>
        <v>0</v>
      </c>
      <c r="E192" s="431" t="n">
        <f aca="false">SUMIFS(門市請款明細表!$J$3:$J$1981,門市請款明細表!$H$3:$H$1981,$C192,門市請款明細表!$I$3:$I$1981,E$1)</f>
        <v>0</v>
      </c>
      <c r="F192" s="431" t="n">
        <f aca="false">SUMIFS(門市請款明細表!$J$3:$J$1981,門市請款明細表!$H$3:$H$1981,$C192,門市請款明細表!$I$3:$I$1981,F$1)</f>
        <v>0</v>
      </c>
      <c r="G192" s="431" t="n">
        <f aca="false">SUMIFS(門市請款明細表!$J$3:$J$1981,門市請款明細表!$H$3:$H$1981,$C192,門市請款明細表!$I$3:$I$1981,G$1)</f>
        <v>0</v>
      </c>
      <c r="H192" s="431" t="n">
        <f aca="false">SUMIFS(門市請款明細表!$J$3:$J$1981,門市請款明細表!$H$3:$H$1981,$C192,門市請款明細表!$I$3:$I$1981,H$1)</f>
        <v>0</v>
      </c>
      <c r="I192" s="15" t="n">
        <f aca="false">SUM(E192:H192)</f>
        <v>0</v>
      </c>
      <c r="J192" s="0" t="str">
        <f aca="false">IF(D192=I192,"●","✖")</f>
        <v>●</v>
      </c>
    </row>
    <row r="193" customFormat="false" ht="16.5" hidden="false" customHeight="false" outlineLevel="0" collapsed="false">
      <c r="A193" s="431" t="n">
        <v>188</v>
      </c>
      <c r="B193" s="139" t="s">
        <v>4943</v>
      </c>
      <c r="C193" s="141" t="s">
        <v>291</v>
      </c>
      <c r="D193" s="141" t="n">
        <f aca="false">SUMIF(門市請款明細表!$H$3:$H$1981,$C193,門市請款明細表!$J$3:$J$1981)</f>
        <v>0</v>
      </c>
      <c r="E193" s="431" t="n">
        <f aca="false">SUMIFS(門市請款明細表!$J$3:$J$1981,門市請款明細表!$H$3:$H$1981,$C193,門市請款明細表!$I$3:$I$1981,E$1)</f>
        <v>0</v>
      </c>
      <c r="F193" s="431" t="n">
        <f aca="false">SUMIFS(門市請款明細表!$J$3:$J$1981,門市請款明細表!$H$3:$H$1981,$C193,門市請款明細表!$I$3:$I$1981,F$1)</f>
        <v>0</v>
      </c>
      <c r="G193" s="431" t="n">
        <f aca="false">SUMIFS(門市請款明細表!$J$3:$J$1981,門市請款明細表!$H$3:$H$1981,$C193,門市請款明細表!$I$3:$I$1981,G$1)</f>
        <v>0</v>
      </c>
      <c r="H193" s="431" t="n">
        <f aca="false">SUMIFS(門市請款明細表!$J$3:$J$1981,門市請款明細表!$H$3:$H$1981,$C193,門市請款明細表!$I$3:$I$1981,H$1)</f>
        <v>0</v>
      </c>
      <c r="I193" s="15" t="n">
        <f aca="false">SUM(E193:H193)</f>
        <v>0</v>
      </c>
      <c r="J193" s="0" t="str">
        <f aca="false">IF(D193=I193,"●","✖")</f>
        <v>●</v>
      </c>
    </row>
    <row r="194" customFormat="false" ht="16.5" hidden="false" customHeight="false" outlineLevel="0" collapsed="false">
      <c r="A194" s="431" t="n">
        <v>189</v>
      </c>
      <c r="B194" s="139" t="s">
        <v>4929</v>
      </c>
      <c r="C194" s="141" t="s">
        <v>4</v>
      </c>
      <c r="D194" s="141" t="n">
        <f aca="false">SUMIF(門市請款明細表!$H$3:$H$1981,$C194,門市請款明細表!$J$3:$J$1981)</f>
        <v>0</v>
      </c>
      <c r="E194" s="431" t="n">
        <f aca="false">SUMIFS(門市請款明細表!$J$3:$J$1981,門市請款明細表!$H$3:$H$1981,$C194,門市請款明細表!$I$3:$I$1981,E$1)</f>
        <v>0</v>
      </c>
      <c r="F194" s="431" t="n">
        <f aca="false">SUMIFS(門市請款明細表!$J$3:$J$1981,門市請款明細表!$H$3:$H$1981,$C194,門市請款明細表!$I$3:$I$1981,F$1)</f>
        <v>0</v>
      </c>
      <c r="G194" s="431" t="n">
        <f aca="false">SUMIFS(門市請款明細表!$J$3:$J$1981,門市請款明細表!$H$3:$H$1981,$C194,門市請款明細表!$I$3:$I$1981,G$1)</f>
        <v>0</v>
      </c>
      <c r="H194" s="431" t="n">
        <f aca="false">SUMIFS(門市請款明細表!$J$3:$J$1981,門市請款明細表!$H$3:$H$1981,$C194,門市請款明細表!$I$3:$I$1981,H$1)</f>
        <v>0</v>
      </c>
      <c r="I194" s="15" t="n">
        <f aca="false">SUM(E194:H194)</f>
        <v>0</v>
      </c>
      <c r="J194" s="0" t="str">
        <f aca="false">IF(D194=I194,"●","✖")</f>
        <v>●</v>
      </c>
    </row>
    <row r="195" customFormat="false" ht="16.5" hidden="false" customHeight="false" outlineLevel="0" collapsed="false">
      <c r="A195" s="431" t="n">
        <v>190</v>
      </c>
      <c r="B195" s="139" t="s">
        <v>4934</v>
      </c>
      <c r="C195" s="141" t="s">
        <v>199</v>
      </c>
      <c r="D195" s="141" t="n">
        <f aca="false">SUMIF(門市請款明細表!$H$3:$H$1981,$C195,門市請款明細表!$J$3:$J$1981)</f>
        <v>0</v>
      </c>
      <c r="E195" s="431" t="n">
        <f aca="false">SUMIFS(門市請款明細表!$J$3:$J$1981,門市請款明細表!$H$3:$H$1981,$C195,門市請款明細表!$I$3:$I$1981,E$1)</f>
        <v>0</v>
      </c>
      <c r="F195" s="431" t="n">
        <f aca="false">SUMIFS(門市請款明細表!$J$3:$J$1981,門市請款明細表!$H$3:$H$1981,$C195,門市請款明細表!$I$3:$I$1981,F$1)</f>
        <v>0</v>
      </c>
      <c r="G195" s="431" t="n">
        <f aca="false">SUMIFS(門市請款明細表!$J$3:$J$1981,門市請款明細表!$H$3:$H$1981,$C195,門市請款明細表!$I$3:$I$1981,G$1)</f>
        <v>0</v>
      </c>
      <c r="H195" s="431" t="n">
        <f aca="false">SUMIFS(門市請款明細表!$J$3:$J$1981,門市請款明細表!$H$3:$H$1981,$C195,門市請款明細表!$I$3:$I$1981,H$1)</f>
        <v>0</v>
      </c>
      <c r="I195" s="15" t="n">
        <f aca="false">SUM(E195:H195)</f>
        <v>0</v>
      </c>
      <c r="J195" s="0" t="str">
        <f aca="false">IF(D195=I195,"●","✖")</f>
        <v>●</v>
      </c>
    </row>
    <row r="196" customFormat="false" ht="16.5" hidden="false" customHeight="false" outlineLevel="0" collapsed="false">
      <c r="A196" s="431" t="n">
        <v>191</v>
      </c>
      <c r="B196" s="139" t="s">
        <v>4934</v>
      </c>
      <c r="C196" s="141" t="s">
        <v>219</v>
      </c>
      <c r="D196" s="141" t="n">
        <f aca="false">SUMIF(門市請款明細表!$H$3:$H$1981,$C196,門市請款明細表!$J$3:$J$1981)</f>
        <v>0</v>
      </c>
      <c r="E196" s="431" t="n">
        <f aca="false">SUMIFS(門市請款明細表!$J$3:$J$1981,門市請款明細表!$H$3:$H$1981,$C196,門市請款明細表!$I$3:$I$1981,E$1)</f>
        <v>0</v>
      </c>
      <c r="F196" s="431" t="n">
        <f aca="false">SUMIFS(門市請款明細表!$J$3:$J$1981,門市請款明細表!$H$3:$H$1981,$C196,門市請款明細表!$I$3:$I$1981,F$1)</f>
        <v>0</v>
      </c>
      <c r="G196" s="431" t="n">
        <f aca="false">SUMIFS(門市請款明細表!$J$3:$J$1981,門市請款明細表!$H$3:$H$1981,$C196,門市請款明細表!$I$3:$I$1981,G$1)</f>
        <v>0</v>
      </c>
      <c r="H196" s="431" t="n">
        <f aca="false">SUMIFS(門市請款明細表!$J$3:$J$1981,門市請款明細表!$H$3:$H$1981,$C196,門市請款明細表!$I$3:$I$1981,H$1)</f>
        <v>0</v>
      </c>
      <c r="I196" s="15" t="n">
        <f aca="false">SUM(E196:H196)</f>
        <v>0</v>
      </c>
      <c r="J196" s="0" t="str">
        <f aca="false">IF(D196=I196,"●","✖")</f>
        <v>●</v>
      </c>
    </row>
    <row r="197" customFormat="false" ht="16.5" hidden="false" customHeight="false" outlineLevel="0" collapsed="false">
      <c r="A197" s="431" t="n">
        <v>192</v>
      </c>
      <c r="B197" s="139" t="s">
        <v>4934</v>
      </c>
      <c r="C197" s="141" t="s">
        <v>43</v>
      </c>
      <c r="D197" s="141" t="n">
        <f aca="false">SUMIF(門市請款明細表!$H$3:$H$1981,$C197,門市請款明細表!$J$3:$J$1981)</f>
        <v>0</v>
      </c>
      <c r="E197" s="431" t="n">
        <f aca="false">SUMIFS(門市請款明細表!$J$3:$J$1981,門市請款明細表!$H$3:$H$1981,$C197,門市請款明細表!$I$3:$I$1981,E$1)</f>
        <v>0</v>
      </c>
      <c r="F197" s="431" t="n">
        <f aca="false">SUMIFS(門市請款明細表!$J$3:$J$1981,門市請款明細表!$H$3:$H$1981,$C197,門市請款明細表!$I$3:$I$1981,F$1)</f>
        <v>0</v>
      </c>
      <c r="G197" s="431" t="n">
        <f aca="false">SUMIFS(門市請款明細表!$J$3:$J$1981,門市請款明細表!$H$3:$H$1981,$C197,門市請款明細表!$I$3:$I$1981,G$1)</f>
        <v>0</v>
      </c>
      <c r="H197" s="431" t="n">
        <f aca="false">SUMIFS(門市請款明細表!$J$3:$J$1981,門市請款明細表!$H$3:$H$1981,$C197,門市請款明細表!$I$3:$I$1981,H$1)</f>
        <v>0</v>
      </c>
      <c r="I197" s="15" t="n">
        <f aca="false">SUM(E197:H197)</f>
        <v>0</v>
      </c>
      <c r="J197" s="0" t="str">
        <f aca="false">IF(D197=I197,"●","✖")</f>
        <v>●</v>
      </c>
    </row>
    <row r="198" customFormat="false" ht="16.5" hidden="false" customHeight="false" outlineLevel="0" collapsed="false">
      <c r="A198" s="431" t="n">
        <v>193</v>
      </c>
      <c r="B198" s="139" t="s">
        <v>4934</v>
      </c>
      <c r="C198" s="141" t="s">
        <v>300</v>
      </c>
      <c r="D198" s="141" t="n">
        <f aca="false">SUMIF(門市請款明細表!$H$3:$H$1981,$C198,門市請款明細表!$J$3:$J$1981)</f>
        <v>0</v>
      </c>
      <c r="E198" s="431" t="n">
        <f aca="false">SUMIFS(門市請款明細表!$J$3:$J$1981,門市請款明細表!$H$3:$H$1981,$C198,門市請款明細表!$I$3:$I$1981,E$1)</f>
        <v>0</v>
      </c>
      <c r="F198" s="431" t="n">
        <f aca="false">SUMIFS(門市請款明細表!$J$3:$J$1981,門市請款明細表!$H$3:$H$1981,$C198,門市請款明細表!$I$3:$I$1981,F$1)</f>
        <v>0</v>
      </c>
      <c r="G198" s="431" t="n">
        <f aca="false">SUMIFS(門市請款明細表!$J$3:$J$1981,門市請款明細表!$H$3:$H$1981,$C198,門市請款明細表!$I$3:$I$1981,G$1)</f>
        <v>0</v>
      </c>
      <c r="H198" s="431" t="n">
        <f aca="false">SUMIFS(門市請款明細表!$J$3:$J$1981,門市請款明細表!$H$3:$H$1981,$C198,門市請款明細表!$I$3:$I$1981,H$1)</f>
        <v>0</v>
      </c>
      <c r="I198" s="15" t="n">
        <f aca="false">SUM(E198:H198)</f>
        <v>0</v>
      </c>
      <c r="J198" s="0" t="str">
        <f aca="false">IF(D198=I198,"●","✖")</f>
        <v>●</v>
      </c>
    </row>
    <row r="199" customFormat="false" ht="16.5" hidden="false" customHeight="false" outlineLevel="0" collapsed="false">
      <c r="A199" s="431" t="n">
        <v>194</v>
      </c>
      <c r="B199" s="139" t="s">
        <v>4934</v>
      </c>
      <c r="C199" s="141" t="s">
        <v>330</v>
      </c>
      <c r="D199" s="141" t="n">
        <f aca="false">SUMIF(門市請款明細表!$H$3:$H$1981,$C199,門市請款明細表!$J$3:$J$1981)</f>
        <v>0</v>
      </c>
      <c r="E199" s="431" t="n">
        <f aca="false">SUMIFS(門市請款明細表!$J$3:$J$1981,門市請款明細表!$H$3:$H$1981,$C199,門市請款明細表!$I$3:$I$1981,E$1)</f>
        <v>0</v>
      </c>
      <c r="F199" s="431" t="n">
        <f aca="false">SUMIFS(門市請款明細表!$J$3:$J$1981,門市請款明細表!$H$3:$H$1981,$C199,門市請款明細表!$I$3:$I$1981,F$1)</f>
        <v>0</v>
      </c>
      <c r="G199" s="431" t="n">
        <f aca="false">SUMIFS(門市請款明細表!$J$3:$J$1981,門市請款明細表!$H$3:$H$1981,$C199,門市請款明細表!$I$3:$I$1981,G$1)</f>
        <v>0</v>
      </c>
      <c r="H199" s="431" t="n">
        <f aca="false">SUMIFS(門市請款明細表!$J$3:$J$1981,門市請款明細表!$H$3:$H$1981,$C199,門市請款明細表!$I$3:$I$1981,H$1)</f>
        <v>0</v>
      </c>
      <c r="I199" s="15" t="n">
        <f aca="false">SUM(E199:H199)</f>
        <v>0</v>
      </c>
      <c r="J199" s="0" t="str">
        <f aca="false">IF(D199=I199,"●","✖")</f>
        <v>●</v>
      </c>
    </row>
    <row r="200" customFormat="false" ht="16.5" hidden="false" customHeight="false" outlineLevel="0" collapsed="false">
      <c r="A200" s="431" t="n">
        <v>195</v>
      </c>
      <c r="B200" s="139" t="s">
        <v>4930</v>
      </c>
      <c r="C200" s="141" t="s">
        <v>250</v>
      </c>
      <c r="D200" s="141" t="n">
        <f aca="false">SUMIF(門市請款明細表!$H$3:$H$1981,$C200,門市請款明細表!$J$3:$J$1981)</f>
        <v>0</v>
      </c>
      <c r="E200" s="431" t="n">
        <f aca="false">SUMIFS(門市請款明細表!$J$3:$J$1981,門市請款明細表!$H$3:$H$1981,$C200,門市請款明細表!$I$3:$I$1981,E$1)</f>
        <v>0</v>
      </c>
      <c r="F200" s="431" t="n">
        <f aca="false">SUMIFS(門市請款明細表!$J$3:$J$1981,門市請款明細表!$H$3:$H$1981,$C200,門市請款明細表!$I$3:$I$1981,F$1)</f>
        <v>0</v>
      </c>
      <c r="G200" s="431" t="n">
        <f aca="false">SUMIFS(門市請款明細表!$J$3:$J$1981,門市請款明細表!$H$3:$H$1981,$C200,門市請款明細表!$I$3:$I$1981,G$1)</f>
        <v>0</v>
      </c>
      <c r="H200" s="431" t="n">
        <f aca="false">SUMIFS(門市請款明細表!$J$3:$J$1981,門市請款明細表!$H$3:$H$1981,$C200,門市請款明細表!$I$3:$I$1981,H$1)</f>
        <v>0</v>
      </c>
      <c r="I200" s="15" t="n">
        <f aca="false">SUM(E200:H200)</f>
        <v>0</v>
      </c>
      <c r="J200" s="0" t="str">
        <f aca="false">IF(D200=I200,"●","✖")</f>
        <v>●</v>
      </c>
    </row>
    <row r="201" customFormat="false" ht="16.5" hidden="false" customHeight="false" outlineLevel="0" collapsed="false">
      <c r="A201" s="431" t="n">
        <v>196</v>
      </c>
      <c r="B201" s="139" t="s">
        <v>4930</v>
      </c>
      <c r="C201" s="141" t="s">
        <v>105</v>
      </c>
      <c r="D201" s="141" t="n">
        <f aca="false">SUMIF(門市請款明細表!$H$3:$H$1981,$C201,門市請款明細表!$J$3:$J$1981)</f>
        <v>0</v>
      </c>
      <c r="E201" s="431" t="n">
        <f aca="false">SUMIFS(門市請款明細表!$J$3:$J$1981,門市請款明細表!$H$3:$H$1981,$C201,門市請款明細表!$I$3:$I$1981,E$1)</f>
        <v>0</v>
      </c>
      <c r="F201" s="431" t="n">
        <f aca="false">SUMIFS(門市請款明細表!$J$3:$J$1981,門市請款明細表!$H$3:$H$1981,$C201,門市請款明細表!$I$3:$I$1981,F$1)</f>
        <v>0</v>
      </c>
      <c r="G201" s="431" t="n">
        <f aca="false">SUMIFS(門市請款明細表!$J$3:$J$1981,門市請款明細表!$H$3:$H$1981,$C201,門市請款明細表!$I$3:$I$1981,G$1)</f>
        <v>0</v>
      </c>
      <c r="H201" s="431" t="n">
        <f aca="false">SUMIFS(門市請款明細表!$J$3:$J$1981,門市請款明細表!$H$3:$H$1981,$C201,門市請款明細表!$I$3:$I$1981,H$1)</f>
        <v>0</v>
      </c>
      <c r="I201" s="15" t="n">
        <f aca="false">SUM(E201:H201)</f>
        <v>0</v>
      </c>
      <c r="J201" s="0" t="str">
        <f aca="false">IF(D201=I201,"●","✖")</f>
        <v>●</v>
      </c>
    </row>
    <row r="202" customFormat="false" ht="16.5" hidden="false" customHeight="false" outlineLevel="0" collapsed="false">
      <c r="A202" s="431" t="n">
        <v>197</v>
      </c>
      <c r="B202" s="139" t="s">
        <v>4930</v>
      </c>
      <c r="C202" s="141" t="s">
        <v>180</v>
      </c>
      <c r="D202" s="141" t="n">
        <f aca="false">SUMIF(門市請款明細表!$H$3:$H$1981,$C202,門市請款明細表!$J$3:$J$1981)</f>
        <v>0</v>
      </c>
      <c r="E202" s="431" t="n">
        <f aca="false">SUMIFS(門市請款明細表!$J$3:$J$1981,門市請款明細表!$H$3:$H$1981,$C202,門市請款明細表!$I$3:$I$1981,E$1)</f>
        <v>0</v>
      </c>
      <c r="F202" s="431" t="n">
        <f aca="false">SUMIFS(門市請款明細表!$J$3:$J$1981,門市請款明細表!$H$3:$H$1981,$C202,門市請款明細表!$I$3:$I$1981,F$1)</f>
        <v>0</v>
      </c>
      <c r="G202" s="431" t="n">
        <f aca="false">SUMIFS(門市請款明細表!$J$3:$J$1981,門市請款明細表!$H$3:$H$1981,$C202,門市請款明細表!$I$3:$I$1981,G$1)</f>
        <v>0</v>
      </c>
      <c r="H202" s="431" t="n">
        <f aca="false">SUMIFS(門市請款明細表!$J$3:$J$1981,門市請款明細表!$H$3:$H$1981,$C202,門市請款明細表!$I$3:$I$1981,H$1)</f>
        <v>0</v>
      </c>
      <c r="I202" s="15" t="n">
        <f aca="false">SUM(E202:H202)</f>
        <v>0</v>
      </c>
      <c r="J202" s="0" t="str">
        <f aca="false">IF(D202=I202,"●","✖")</f>
        <v>●</v>
      </c>
    </row>
    <row r="203" customFormat="false" ht="16.5" hidden="false" customHeight="false" outlineLevel="0" collapsed="false">
      <c r="A203" s="431" t="n">
        <v>198</v>
      </c>
      <c r="B203" s="139" t="s">
        <v>4930</v>
      </c>
      <c r="C203" s="141" t="s">
        <v>415</v>
      </c>
      <c r="D203" s="141" t="n">
        <f aca="false">SUMIF(門市請款明細表!$H$3:$H$1981,$C203,門市請款明細表!$J$3:$J$1981)</f>
        <v>0</v>
      </c>
      <c r="E203" s="431" t="n">
        <f aca="false">SUMIFS(門市請款明細表!$J$3:$J$1981,門市請款明細表!$H$3:$H$1981,$C203,門市請款明細表!$I$3:$I$1981,E$1)</f>
        <v>0</v>
      </c>
      <c r="F203" s="431" t="n">
        <f aca="false">SUMIFS(門市請款明細表!$J$3:$J$1981,門市請款明細表!$H$3:$H$1981,$C203,門市請款明細表!$I$3:$I$1981,F$1)</f>
        <v>0</v>
      </c>
      <c r="G203" s="431" t="n">
        <f aca="false">SUMIFS(門市請款明細表!$J$3:$J$1981,門市請款明細表!$H$3:$H$1981,$C203,門市請款明細表!$I$3:$I$1981,G$1)</f>
        <v>0</v>
      </c>
      <c r="H203" s="431" t="n">
        <f aca="false">SUMIFS(門市請款明細表!$J$3:$J$1981,門市請款明細表!$H$3:$H$1981,$C203,門市請款明細表!$I$3:$I$1981,H$1)</f>
        <v>0</v>
      </c>
      <c r="I203" s="15" t="n">
        <f aca="false">SUM(E203:H203)</f>
        <v>0</v>
      </c>
      <c r="J203" s="0" t="str">
        <f aca="false">IF(D203=I203,"●","✖")</f>
        <v>●</v>
      </c>
    </row>
    <row r="204" customFormat="false" ht="16.5" hidden="false" customHeight="false" outlineLevel="0" collapsed="false">
      <c r="A204" s="431" t="n">
        <v>199</v>
      </c>
      <c r="B204" s="139" t="s">
        <v>4930</v>
      </c>
      <c r="C204" s="141" t="s">
        <v>347</v>
      </c>
      <c r="D204" s="141" t="n">
        <f aca="false">SUMIF(門市請款明細表!$H$3:$H$1981,$C204,門市請款明細表!$J$3:$J$1981)</f>
        <v>0</v>
      </c>
      <c r="E204" s="431" t="n">
        <f aca="false">SUMIFS(門市請款明細表!$J$3:$J$1981,門市請款明細表!$H$3:$H$1981,$C204,門市請款明細表!$I$3:$I$1981,E$1)</f>
        <v>0</v>
      </c>
      <c r="F204" s="431" t="n">
        <f aca="false">SUMIFS(門市請款明細表!$J$3:$J$1981,門市請款明細表!$H$3:$H$1981,$C204,門市請款明細表!$I$3:$I$1981,F$1)</f>
        <v>0</v>
      </c>
      <c r="G204" s="431" t="n">
        <f aca="false">SUMIFS(門市請款明細表!$J$3:$J$1981,門市請款明細表!$H$3:$H$1981,$C204,門市請款明細表!$I$3:$I$1981,G$1)</f>
        <v>0</v>
      </c>
      <c r="H204" s="431" t="n">
        <f aca="false">SUMIFS(門市請款明細表!$J$3:$J$1981,門市請款明細表!$H$3:$H$1981,$C204,門市請款明細表!$I$3:$I$1981,H$1)</f>
        <v>0</v>
      </c>
      <c r="I204" s="15" t="n">
        <f aca="false">SUM(E204:H204)</f>
        <v>0</v>
      </c>
      <c r="J204" s="0" t="str">
        <f aca="false">IF(D204=I204,"●","✖")</f>
        <v>●</v>
      </c>
    </row>
    <row r="205" customFormat="false" ht="16.5" hidden="false" customHeight="false" outlineLevel="0" collapsed="false">
      <c r="A205" s="431" t="n">
        <v>200</v>
      </c>
      <c r="B205" s="139" t="s">
        <v>4930</v>
      </c>
      <c r="C205" s="141" t="s">
        <v>254</v>
      </c>
      <c r="D205" s="141" t="n">
        <f aca="false">SUMIF(門市請款明細表!$H$3:$H$1981,$C205,門市請款明細表!$J$3:$J$1981)</f>
        <v>0</v>
      </c>
      <c r="E205" s="431" t="n">
        <f aca="false">SUMIFS(門市請款明細表!$J$3:$J$1981,門市請款明細表!$H$3:$H$1981,$C205,門市請款明細表!$I$3:$I$1981,E$1)</f>
        <v>0</v>
      </c>
      <c r="F205" s="431" t="n">
        <f aca="false">SUMIFS(門市請款明細表!$J$3:$J$1981,門市請款明細表!$H$3:$H$1981,$C205,門市請款明細表!$I$3:$I$1981,F$1)</f>
        <v>0</v>
      </c>
      <c r="G205" s="431" t="n">
        <f aca="false">SUMIFS(門市請款明細表!$J$3:$J$1981,門市請款明細表!$H$3:$H$1981,$C205,門市請款明細表!$I$3:$I$1981,G$1)</f>
        <v>0</v>
      </c>
      <c r="H205" s="431" t="n">
        <f aca="false">SUMIFS(門市請款明細表!$J$3:$J$1981,門市請款明細表!$H$3:$H$1981,$C205,門市請款明細表!$I$3:$I$1981,H$1)</f>
        <v>0</v>
      </c>
      <c r="I205" s="15" t="n">
        <f aca="false">SUM(E205:H205)</f>
        <v>0</v>
      </c>
      <c r="J205" s="0" t="str">
        <f aca="false">IF(D205=I205,"●","✖")</f>
        <v>●</v>
      </c>
    </row>
    <row r="206" customFormat="false" ht="16.5" hidden="false" customHeight="false" outlineLevel="0" collapsed="false">
      <c r="A206" s="431" t="n">
        <v>201</v>
      </c>
      <c r="B206" s="139" t="s">
        <v>4930</v>
      </c>
      <c r="C206" s="141" t="s">
        <v>356</v>
      </c>
      <c r="D206" s="141" t="n">
        <f aca="false">SUMIF(門市請款明細表!$H$3:$H$1981,$C206,門市請款明細表!$J$3:$J$1981)</f>
        <v>0</v>
      </c>
      <c r="E206" s="431" t="n">
        <f aca="false">SUMIFS(門市請款明細表!$J$3:$J$1981,門市請款明細表!$H$3:$H$1981,$C206,門市請款明細表!$I$3:$I$1981,E$1)</f>
        <v>0</v>
      </c>
      <c r="F206" s="431" t="n">
        <f aca="false">SUMIFS(門市請款明細表!$J$3:$J$1981,門市請款明細表!$H$3:$H$1981,$C206,門市請款明細表!$I$3:$I$1981,F$1)</f>
        <v>0</v>
      </c>
      <c r="G206" s="431" t="n">
        <f aca="false">SUMIFS(門市請款明細表!$J$3:$J$1981,門市請款明細表!$H$3:$H$1981,$C206,門市請款明細表!$I$3:$I$1981,G$1)</f>
        <v>0</v>
      </c>
      <c r="H206" s="431" t="n">
        <f aca="false">SUMIFS(門市請款明細表!$J$3:$J$1981,門市請款明細表!$H$3:$H$1981,$C206,門市請款明細表!$I$3:$I$1981,H$1)</f>
        <v>0</v>
      </c>
      <c r="I206" s="15" t="n">
        <f aca="false">SUM(E206:H206)</f>
        <v>0</v>
      </c>
      <c r="J206" s="0" t="str">
        <f aca="false">IF(D206=I206,"●","✖")</f>
        <v>●</v>
      </c>
    </row>
    <row r="207" customFormat="false" ht="16.5" hidden="false" customHeight="false" outlineLevel="0" collapsed="false">
      <c r="A207" s="431" t="n">
        <v>202</v>
      </c>
      <c r="B207" s="139" t="s">
        <v>4930</v>
      </c>
      <c r="C207" s="141" t="s">
        <v>328</v>
      </c>
      <c r="D207" s="141" t="n">
        <f aca="false">SUMIF(門市請款明細表!$H$3:$H$1981,$C207,門市請款明細表!$J$3:$J$1981)</f>
        <v>0</v>
      </c>
      <c r="E207" s="431" t="n">
        <f aca="false">SUMIFS(門市請款明細表!$J$3:$J$1981,門市請款明細表!$H$3:$H$1981,$C207,門市請款明細表!$I$3:$I$1981,E$1)</f>
        <v>0</v>
      </c>
      <c r="F207" s="431" t="n">
        <f aca="false">SUMIFS(門市請款明細表!$J$3:$J$1981,門市請款明細表!$H$3:$H$1981,$C207,門市請款明細表!$I$3:$I$1981,F$1)</f>
        <v>0</v>
      </c>
      <c r="G207" s="431" t="n">
        <f aca="false">SUMIFS(門市請款明細表!$J$3:$J$1981,門市請款明細表!$H$3:$H$1981,$C207,門市請款明細表!$I$3:$I$1981,G$1)</f>
        <v>0</v>
      </c>
      <c r="H207" s="431" t="n">
        <f aca="false">SUMIFS(門市請款明細表!$J$3:$J$1981,門市請款明細表!$H$3:$H$1981,$C207,門市請款明細表!$I$3:$I$1981,H$1)</f>
        <v>0</v>
      </c>
      <c r="I207" s="15" t="n">
        <f aca="false">SUM(E207:H207)</f>
        <v>0</v>
      </c>
      <c r="J207" s="0" t="str">
        <f aca="false">IF(D207=I207,"●","✖")</f>
        <v>●</v>
      </c>
    </row>
    <row r="208" customFormat="false" ht="16.5" hidden="false" customHeight="false" outlineLevel="0" collapsed="false">
      <c r="A208" s="431" t="n">
        <v>203</v>
      </c>
      <c r="B208" s="139" t="s">
        <v>4935</v>
      </c>
      <c r="C208" s="141" t="s">
        <v>23</v>
      </c>
      <c r="D208" s="141" t="n">
        <f aca="false">SUMIF(門市請款明細表!$H$3:$H$1981,$C208,門市請款明細表!$J$3:$J$1981)</f>
        <v>0</v>
      </c>
      <c r="E208" s="431" t="n">
        <f aca="false">SUMIFS(門市請款明細表!$J$3:$J$1981,門市請款明細表!$H$3:$H$1981,$C208,門市請款明細表!$I$3:$I$1981,E$1)</f>
        <v>0</v>
      </c>
      <c r="F208" s="431" t="n">
        <f aca="false">SUMIFS(門市請款明細表!$J$3:$J$1981,門市請款明細表!$H$3:$H$1981,$C208,門市請款明細表!$I$3:$I$1981,F$1)</f>
        <v>0</v>
      </c>
      <c r="G208" s="431" t="n">
        <f aca="false">SUMIFS(門市請款明細表!$J$3:$J$1981,門市請款明細表!$H$3:$H$1981,$C208,門市請款明細表!$I$3:$I$1981,G$1)</f>
        <v>0</v>
      </c>
      <c r="H208" s="431" t="n">
        <f aca="false">SUMIFS(門市請款明細表!$J$3:$J$1981,門市請款明細表!$H$3:$H$1981,$C208,門市請款明細表!$I$3:$I$1981,H$1)</f>
        <v>0</v>
      </c>
      <c r="I208" s="15" t="n">
        <f aca="false">SUM(E208:H208)</f>
        <v>0</v>
      </c>
      <c r="J208" s="0" t="str">
        <f aca="false">IF(D208=I208,"●","✖")</f>
        <v>●</v>
      </c>
    </row>
    <row r="209" customFormat="false" ht="16.5" hidden="false" customHeight="false" outlineLevel="0" collapsed="false">
      <c r="A209" s="431" t="n">
        <v>204</v>
      </c>
      <c r="B209" s="139" t="s">
        <v>4935</v>
      </c>
      <c r="C209" s="141" t="s">
        <v>424</v>
      </c>
      <c r="D209" s="141" t="n">
        <f aca="false">SUMIF(門市請款明細表!$H$3:$H$1981,$C209,門市請款明細表!$J$3:$J$1981)</f>
        <v>0</v>
      </c>
      <c r="E209" s="431" t="n">
        <f aca="false">SUMIFS(門市請款明細表!$J$3:$J$1981,門市請款明細表!$H$3:$H$1981,$C209,門市請款明細表!$I$3:$I$1981,E$1)</f>
        <v>0</v>
      </c>
      <c r="F209" s="431" t="n">
        <f aca="false">SUMIFS(門市請款明細表!$J$3:$J$1981,門市請款明細表!$H$3:$H$1981,$C209,門市請款明細表!$I$3:$I$1981,F$1)</f>
        <v>0</v>
      </c>
      <c r="G209" s="431" t="n">
        <f aca="false">SUMIFS(門市請款明細表!$J$3:$J$1981,門市請款明細表!$H$3:$H$1981,$C209,門市請款明細表!$I$3:$I$1981,G$1)</f>
        <v>0</v>
      </c>
      <c r="H209" s="431" t="n">
        <f aca="false">SUMIFS(門市請款明細表!$J$3:$J$1981,門市請款明細表!$H$3:$H$1981,$C209,門市請款明細表!$I$3:$I$1981,H$1)</f>
        <v>0</v>
      </c>
      <c r="I209" s="15" t="n">
        <f aca="false">SUM(E209:H209)</f>
        <v>0</v>
      </c>
      <c r="J209" s="0" t="str">
        <f aca="false">IF(D209=I209,"●","✖")</f>
        <v>●</v>
      </c>
    </row>
    <row r="210" customFormat="false" ht="16.5" hidden="false" customHeight="false" outlineLevel="0" collapsed="false">
      <c r="A210" s="431" t="n">
        <v>205</v>
      </c>
      <c r="B210" s="139" t="s">
        <v>4931</v>
      </c>
      <c r="C210" s="141" t="s">
        <v>409</v>
      </c>
      <c r="D210" s="141" t="n">
        <f aca="false">SUMIF(門市請款明細表!$H$3:$H$1981,$C210,門市請款明細表!$J$3:$J$1981)</f>
        <v>0</v>
      </c>
      <c r="E210" s="431" t="n">
        <f aca="false">SUMIFS(門市請款明細表!$J$3:$J$1981,門市請款明細表!$H$3:$H$1981,$C210,門市請款明細表!$I$3:$I$1981,E$1)</f>
        <v>0</v>
      </c>
      <c r="F210" s="431" t="n">
        <f aca="false">SUMIFS(門市請款明細表!$J$3:$J$1981,門市請款明細表!$H$3:$H$1981,$C210,門市請款明細表!$I$3:$I$1981,F$1)</f>
        <v>0</v>
      </c>
      <c r="G210" s="431" t="n">
        <f aca="false">SUMIFS(門市請款明細表!$J$3:$J$1981,門市請款明細表!$H$3:$H$1981,$C210,門市請款明細表!$I$3:$I$1981,G$1)</f>
        <v>0</v>
      </c>
      <c r="H210" s="431" t="n">
        <f aca="false">SUMIFS(門市請款明細表!$J$3:$J$1981,門市請款明細表!$H$3:$H$1981,$C210,門市請款明細表!$I$3:$I$1981,H$1)</f>
        <v>0</v>
      </c>
      <c r="I210" s="15" t="n">
        <f aca="false">SUM(E210:H210)</f>
        <v>0</v>
      </c>
      <c r="J210" s="0" t="str">
        <f aca="false">IF(D210=I210,"●","✖")</f>
        <v>●</v>
      </c>
    </row>
    <row r="211" customFormat="false" ht="16.5" hidden="false" customHeight="false" outlineLevel="0" collapsed="false">
      <c r="A211" s="431" t="n">
        <v>206</v>
      </c>
      <c r="B211" s="139" t="s">
        <v>4931</v>
      </c>
      <c r="C211" s="141" t="s">
        <v>422</v>
      </c>
      <c r="D211" s="141" t="n">
        <f aca="false">SUMIF(門市請款明細表!$H$3:$H$1981,$C211,門市請款明細表!$J$3:$J$1981)</f>
        <v>0</v>
      </c>
      <c r="E211" s="431" t="n">
        <f aca="false">SUMIFS(門市請款明細表!$J$3:$J$1981,門市請款明細表!$H$3:$H$1981,$C211,門市請款明細表!$I$3:$I$1981,E$1)</f>
        <v>0</v>
      </c>
      <c r="F211" s="431" t="n">
        <f aca="false">SUMIFS(門市請款明細表!$J$3:$J$1981,門市請款明細表!$H$3:$H$1981,$C211,門市請款明細表!$I$3:$I$1981,F$1)</f>
        <v>0</v>
      </c>
      <c r="G211" s="431" t="n">
        <f aca="false">SUMIFS(門市請款明細表!$J$3:$J$1981,門市請款明細表!$H$3:$H$1981,$C211,門市請款明細表!$I$3:$I$1981,G$1)</f>
        <v>0</v>
      </c>
      <c r="H211" s="431" t="n">
        <f aca="false">SUMIFS(門市請款明細表!$J$3:$J$1981,門市請款明細表!$H$3:$H$1981,$C211,門市請款明細表!$I$3:$I$1981,H$1)</f>
        <v>0</v>
      </c>
      <c r="I211" s="15" t="n">
        <f aca="false">SUM(E211:H211)</f>
        <v>0</v>
      </c>
      <c r="J211" s="0" t="str">
        <f aca="false">IF(D211=I211,"●","✖")</f>
        <v>●</v>
      </c>
    </row>
    <row r="212" customFormat="false" ht="16.5" hidden="false" customHeight="false" outlineLevel="0" collapsed="false">
      <c r="A212" s="431" t="n">
        <v>207</v>
      </c>
      <c r="B212" s="139" t="s">
        <v>4931</v>
      </c>
      <c r="C212" s="141" t="s">
        <v>401</v>
      </c>
      <c r="D212" s="141" t="n">
        <f aca="false">SUMIF(門市請款明細表!$H$3:$H$1981,$C212,門市請款明細表!$J$3:$J$1981)</f>
        <v>0</v>
      </c>
      <c r="E212" s="431" t="n">
        <f aca="false">SUMIFS(門市請款明細表!$J$3:$J$1981,門市請款明細表!$H$3:$H$1981,$C212,門市請款明細表!$I$3:$I$1981,E$1)</f>
        <v>0</v>
      </c>
      <c r="F212" s="431" t="n">
        <f aca="false">SUMIFS(門市請款明細表!$J$3:$J$1981,門市請款明細表!$H$3:$H$1981,$C212,門市請款明細表!$I$3:$I$1981,F$1)</f>
        <v>0</v>
      </c>
      <c r="G212" s="431" t="n">
        <f aca="false">SUMIFS(門市請款明細表!$J$3:$J$1981,門市請款明細表!$H$3:$H$1981,$C212,門市請款明細表!$I$3:$I$1981,G$1)</f>
        <v>0</v>
      </c>
      <c r="H212" s="431" t="n">
        <f aca="false">SUMIFS(門市請款明細表!$J$3:$J$1981,門市請款明細表!$H$3:$H$1981,$C212,門市請款明細表!$I$3:$I$1981,H$1)</f>
        <v>0</v>
      </c>
      <c r="I212" s="15" t="n">
        <f aca="false">SUM(E212:H212)</f>
        <v>0</v>
      </c>
      <c r="J212" s="0" t="str">
        <f aca="false">IF(D212=I212,"●","✖")</f>
        <v>●</v>
      </c>
    </row>
    <row r="213" customFormat="false" ht="16.5" hidden="false" customHeight="false" outlineLevel="0" collapsed="false">
      <c r="A213" s="431" t="n">
        <v>208</v>
      </c>
      <c r="B213" s="139" t="s">
        <v>4931</v>
      </c>
      <c r="C213" s="141" t="s">
        <v>17</v>
      </c>
      <c r="D213" s="141" t="n">
        <f aca="false">SUMIF(門市請款明細表!$H$3:$H$1981,$C213,門市請款明細表!$J$3:$J$1981)</f>
        <v>0</v>
      </c>
      <c r="E213" s="431" t="n">
        <f aca="false">SUMIFS(門市請款明細表!$J$3:$J$1981,門市請款明細表!$H$3:$H$1981,$C213,門市請款明細表!$I$3:$I$1981,E$1)</f>
        <v>0</v>
      </c>
      <c r="F213" s="431" t="n">
        <f aca="false">SUMIFS(門市請款明細表!$J$3:$J$1981,門市請款明細表!$H$3:$H$1981,$C213,門市請款明細表!$I$3:$I$1981,F$1)</f>
        <v>0</v>
      </c>
      <c r="G213" s="431" t="n">
        <f aca="false">SUMIFS(門市請款明細表!$J$3:$J$1981,門市請款明細表!$H$3:$H$1981,$C213,門市請款明細表!$I$3:$I$1981,G$1)</f>
        <v>0</v>
      </c>
      <c r="H213" s="431" t="n">
        <f aca="false">SUMIFS(門市請款明細表!$J$3:$J$1981,門市請款明細表!$H$3:$H$1981,$C213,門市請款明細表!$I$3:$I$1981,H$1)</f>
        <v>0</v>
      </c>
      <c r="I213" s="15" t="n">
        <f aca="false">SUM(E213:H213)</f>
        <v>0</v>
      </c>
      <c r="J213" s="0" t="str">
        <f aca="false">IF(D213=I213,"●","✖")</f>
        <v>●</v>
      </c>
    </row>
    <row r="214" customFormat="false" ht="16.5" hidden="false" customHeight="false" outlineLevel="0" collapsed="false">
      <c r="A214" s="431" t="n">
        <v>209</v>
      </c>
      <c r="B214" s="139" t="s">
        <v>4933</v>
      </c>
      <c r="C214" s="141" t="s">
        <v>312</v>
      </c>
      <c r="D214" s="141" t="n">
        <f aca="false">SUMIF(門市請款明細表!$H$3:$H$1981,$C214,門市請款明細表!$J$3:$J$1981)</f>
        <v>0</v>
      </c>
      <c r="E214" s="431" t="n">
        <f aca="false">SUMIFS(門市請款明細表!$J$3:$J$1981,門市請款明細表!$H$3:$H$1981,$C214,門市請款明細表!$I$3:$I$1981,E$1)</f>
        <v>0</v>
      </c>
      <c r="F214" s="431" t="n">
        <f aca="false">SUMIFS(門市請款明細表!$J$3:$J$1981,門市請款明細表!$H$3:$H$1981,$C214,門市請款明細表!$I$3:$I$1981,F$1)</f>
        <v>0</v>
      </c>
      <c r="G214" s="431" t="n">
        <f aca="false">SUMIFS(門市請款明細表!$J$3:$J$1981,門市請款明細表!$H$3:$H$1981,$C214,門市請款明細表!$I$3:$I$1981,G$1)</f>
        <v>0</v>
      </c>
      <c r="H214" s="431" t="n">
        <f aca="false">SUMIFS(門市請款明細表!$J$3:$J$1981,門市請款明細表!$H$3:$H$1981,$C214,門市請款明細表!$I$3:$I$1981,H$1)</f>
        <v>0</v>
      </c>
      <c r="I214" s="15" t="n">
        <f aca="false">SUM(E214:H214)</f>
        <v>0</v>
      </c>
      <c r="J214" s="0" t="str">
        <f aca="false">IF(D214=I214,"●","✖")</f>
        <v>●</v>
      </c>
    </row>
    <row r="215" customFormat="false" ht="16.5" hidden="false" customHeight="false" outlineLevel="0" collapsed="false">
      <c r="A215" s="431" t="n">
        <v>210</v>
      </c>
      <c r="B215" s="139" t="s">
        <v>4933</v>
      </c>
      <c r="C215" s="141" t="s">
        <v>237</v>
      </c>
      <c r="D215" s="141" t="n">
        <f aca="false">SUMIF(門市請款明細表!$H$3:$H$1981,$C215,門市請款明細表!$J$3:$J$1981)</f>
        <v>0</v>
      </c>
      <c r="E215" s="431" t="n">
        <f aca="false">SUMIFS(門市請款明細表!$J$3:$J$1981,門市請款明細表!$H$3:$H$1981,$C215,門市請款明細表!$I$3:$I$1981,E$1)</f>
        <v>0</v>
      </c>
      <c r="F215" s="431" t="n">
        <f aca="false">SUMIFS(門市請款明細表!$J$3:$J$1981,門市請款明細表!$H$3:$H$1981,$C215,門市請款明細表!$I$3:$I$1981,F$1)</f>
        <v>0</v>
      </c>
      <c r="G215" s="431" t="n">
        <f aca="false">SUMIFS(門市請款明細表!$J$3:$J$1981,門市請款明細表!$H$3:$H$1981,$C215,門市請款明細表!$I$3:$I$1981,G$1)</f>
        <v>0</v>
      </c>
      <c r="H215" s="431" t="n">
        <f aca="false">SUMIFS(門市請款明細表!$J$3:$J$1981,門市請款明細表!$H$3:$H$1981,$C215,門市請款明細表!$I$3:$I$1981,H$1)</f>
        <v>0</v>
      </c>
      <c r="I215" s="15" t="n">
        <f aca="false">SUM(E215:H215)</f>
        <v>0</v>
      </c>
      <c r="J215" s="0" t="str">
        <f aca="false">IF(D215=I215,"●","✖")</f>
        <v>●</v>
      </c>
    </row>
    <row r="216" customFormat="false" ht="16.5" hidden="false" customHeight="false" outlineLevel="0" collapsed="false">
      <c r="A216" s="431" t="n">
        <v>211</v>
      </c>
      <c r="B216" s="139" t="s">
        <v>4933</v>
      </c>
      <c r="C216" s="141" t="s">
        <v>11</v>
      </c>
      <c r="D216" s="141" t="n">
        <f aca="false">SUMIF(門市請款明細表!$H$3:$H$1981,$C216,門市請款明細表!$J$3:$J$1981)</f>
        <v>0</v>
      </c>
      <c r="E216" s="431" t="n">
        <f aca="false">SUMIFS(門市請款明細表!$J$3:$J$1981,門市請款明細表!$H$3:$H$1981,$C216,門市請款明細表!$I$3:$I$1981,E$1)</f>
        <v>0</v>
      </c>
      <c r="F216" s="431" t="n">
        <f aca="false">SUMIFS(門市請款明細表!$J$3:$J$1981,門市請款明細表!$H$3:$H$1981,$C216,門市請款明細表!$I$3:$I$1981,F$1)</f>
        <v>0</v>
      </c>
      <c r="G216" s="431" t="n">
        <f aca="false">SUMIFS(門市請款明細表!$J$3:$J$1981,門市請款明細表!$H$3:$H$1981,$C216,門市請款明細表!$I$3:$I$1981,G$1)</f>
        <v>0</v>
      </c>
      <c r="H216" s="431" t="n">
        <f aca="false">SUMIFS(門市請款明細表!$J$3:$J$1981,門市請款明細表!$H$3:$H$1981,$C216,門市請款明細表!$I$3:$I$1981,H$1)</f>
        <v>0</v>
      </c>
      <c r="I216" s="15" t="n">
        <f aca="false">SUM(E216:H216)</f>
        <v>0</v>
      </c>
      <c r="J216" s="0" t="str">
        <f aca="false">IF(D216=I216,"●","✖")</f>
        <v>●</v>
      </c>
    </row>
    <row r="217" customFormat="false" ht="16.5" hidden="false" customHeight="false" outlineLevel="0" collapsed="false">
      <c r="A217" s="431" t="n">
        <v>212</v>
      </c>
      <c r="B217" s="139" t="s">
        <v>4944</v>
      </c>
      <c r="C217" s="141" t="s">
        <v>12</v>
      </c>
      <c r="D217" s="141" t="n">
        <f aca="false">SUMIF(門市請款明細表!$H$3:$H$1981,$C217,門市請款明細表!$J$3:$J$1981)</f>
        <v>0</v>
      </c>
      <c r="E217" s="431" t="n">
        <f aca="false">SUMIFS(門市請款明細表!$J$3:$J$1981,門市請款明細表!$H$3:$H$1981,$C217,門市請款明細表!$I$3:$I$1981,E$1)</f>
        <v>0</v>
      </c>
      <c r="F217" s="431" t="n">
        <f aca="false">SUMIFS(門市請款明細表!$J$3:$J$1981,門市請款明細表!$H$3:$H$1981,$C217,門市請款明細表!$I$3:$I$1981,F$1)</f>
        <v>0</v>
      </c>
      <c r="G217" s="431" t="n">
        <f aca="false">SUMIFS(門市請款明細表!$J$3:$J$1981,門市請款明細表!$H$3:$H$1981,$C217,門市請款明細表!$I$3:$I$1981,G$1)</f>
        <v>0</v>
      </c>
      <c r="H217" s="431" t="n">
        <f aca="false">SUMIFS(門市請款明細表!$J$3:$J$1981,門市請款明細表!$H$3:$H$1981,$C217,門市請款明細表!$I$3:$I$1981,H$1)</f>
        <v>0</v>
      </c>
      <c r="I217" s="15" t="n">
        <f aca="false">SUM(E217:H217)</f>
        <v>0</v>
      </c>
      <c r="J217" s="0" t="str">
        <f aca="false">IF(D217=I217,"●","✖")</f>
        <v>●</v>
      </c>
    </row>
    <row r="218" customFormat="false" ht="16.5" hidden="false" customHeight="false" outlineLevel="0" collapsed="false">
      <c r="A218" s="431" t="n">
        <v>213</v>
      </c>
      <c r="B218" s="139" t="s">
        <v>4934</v>
      </c>
      <c r="C218" s="141" t="s">
        <v>191</v>
      </c>
      <c r="D218" s="141" t="n">
        <f aca="false">SUMIF(門市請款明細表!$H$3:$H$1981,$C218,門市請款明細表!$J$3:$J$1981)</f>
        <v>0</v>
      </c>
      <c r="E218" s="431" t="n">
        <f aca="false">SUMIFS(門市請款明細表!$J$3:$J$1981,門市請款明細表!$H$3:$H$1981,$C218,門市請款明細表!$I$3:$I$1981,E$1)</f>
        <v>0</v>
      </c>
      <c r="F218" s="431" t="n">
        <f aca="false">SUMIFS(門市請款明細表!$J$3:$J$1981,門市請款明細表!$H$3:$H$1981,$C218,門市請款明細表!$I$3:$I$1981,F$1)</f>
        <v>0</v>
      </c>
      <c r="G218" s="431" t="n">
        <f aca="false">SUMIFS(門市請款明細表!$J$3:$J$1981,門市請款明細表!$H$3:$H$1981,$C218,門市請款明細表!$I$3:$I$1981,G$1)</f>
        <v>0</v>
      </c>
      <c r="H218" s="431" t="n">
        <f aca="false">SUMIFS(門市請款明細表!$J$3:$J$1981,門市請款明細表!$H$3:$H$1981,$C218,門市請款明細表!$I$3:$I$1981,H$1)</f>
        <v>0</v>
      </c>
      <c r="I218" s="15" t="n">
        <f aca="false">SUM(E218:H218)</f>
        <v>0</v>
      </c>
      <c r="J218" s="0" t="str">
        <f aca="false">IF(D218=I218,"●","✖")</f>
        <v>●</v>
      </c>
    </row>
    <row r="219" customFormat="false" ht="16.5" hidden="false" customHeight="false" outlineLevel="0" collapsed="false">
      <c r="A219" s="431" t="n">
        <v>214</v>
      </c>
      <c r="B219" s="139" t="s">
        <v>4934</v>
      </c>
      <c r="C219" s="141" t="s">
        <v>165</v>
      </c>
      <c r="D219" s="141" t="n">
        <f aca="false">SUMIF(門市請款明細表!$H$3:$H$1981,$C219,門市請款明細表!$J$3:$J$1981)</f>
        <v>0</v>
      </c>
      <c r="E219" s="431" t="n">
        <f aca="false">SUMIFS(門市請款明細表!$J$3:$J$1981,門市請款明細表!$H$3:$H$1981,$C219,門市請款明細表!$I$3:$I$1981,E$1)</f>
        <v>0</v>
      </c>
      <c r="F219" s="431" t="n">
        <f aca="false">SUMIFS(門市請款明細表!$J$3:$J$1981,門市請款明細表!$H$3:$H$1981,$C219,門市請款明細表!$I$3:$I$1981,F$1)</f>
        <v>0</v>
      </c>
      <c r="G219" s="431" t="n">
        <f aca="false">SUMIFS(門市請款明細表!$J$3:$J$1981,門市請款明細表!$H$3:$H$1981,$C219,門市請款明細表!$I$3:$I$1981,G$1)</f>
        <v>0</v>
      </c>
      <c r="H219" s="431" t="n">
        <f aca="false">SUMIFS(門市請款明細表!$J$3:$J$1981,門市請款明細表!$H$3:$H$1981,$C219,門市請款明細表!$I$3:$I$1981,H$1)</f>
        <v>0</v>
      </c>
      <c r="I219" s="15" t="n">
        <f aca="false">SUM(E219:H219)</f>
        <v>0</v>
      </c>
      <c r="J219" s="0" t="str">
        <f aca="false">IF(D219=I219,"●","✖")</f>
        <v>●</v>
      </c>
    </row>
    <row r="220" customFormat="false" ht="16.5" hidden="false" customHeight="false" outlineLevel="0" collapsed="false">
      <c r="A220" s="431" t="n">
        <v>215</v>
      </c>
      <c r="B220" s="139" t="s">
        <v>4934</v>
      </c>
      <c r="C220" s="141" t="s">
        <v>95</v>
      </c>
      <c r="D220" s="141" t="n">
        <f aca="false">SUMIF(門市請款明細表!$H$3:$H$1981,$C220,門市請款明細表!$J$3:$J$1981)</f>
        <v>0</v>
      </c>
      <c r="E220" s="431" t="n">
        <f aca="false">SUMIFS(門市請款明細表!$J$3:$J$1981,門市請款明細表!$H$3:$H$1981,$C220,門市請款明細表!$I$3:$I$1981,E$1)</f>
        <v>0</v>
      </c>
      <c r="F220" s="431" t="n">
        <f aca="false">SUMIFS(門市請款明細表!$J$3:$J$1981,門市請款明細表!$H$3:$H$1981,$C220,門市請款明細表!$I$3:$I$1981,F$1)</f>
        <v>0</v>
      </c>
      <c r="G220" s="431" t="n">
        <f aca="false">SUMIFS(門市請款明細表!$J$3:$J$1981,門市請款明細表!$H$3:$H$1981,$C220,門市請款明細表!$I$3:$I$1981,G$1)</f>
        <v>0</v>
      </c>
      <c r="H220" s="431" t="n">
        <f aca="false">SUMIFS(門市請款明細表!$J$3:$J$1981,門市請款明細表!$H$3:$H$1981,$C220,門市請款明細表!$I$3:$I$1981,H$1)</f>
        <v>0</v>
      </c>
      <c r="I220" s="15" t="n">
        <f aca="false">SUM(E220:H220)</f>
        <v>0</v>
      </c>
      <c r="J220" s="0" t="str">
        <f aca="false">IF(D220=I220,"●","✖")</f>
        <v>●</v>
      </c>
    </row>
    <row r="221" customFormat="false" ht="16.5" hidden="false" customHeight="false" outlineLevel="0" collapsed="false">
      <c r="A221" s="431" t="n">
        <v>216</v>
      </c>
      <c r="B221" s="139" t="s">
        <v>4932</v>
      </c>
      <c r="C221" s="141" t="s">
        <v>274</v>
      </c>
      <c r="D221" s="141" t="n">
        <f aca="false">SUMIF(門市請款明細表!$H$3:$H$1981,$C221,門市請款明細表!$J$3:$J$1981)</f>
        <v>0</v>
      </c>
      <c r="E221" s="431" t="n">
        <f aca="false">SUMIFS(門市請款明細表!$J$3:$J$1981,門市請款明細表!$H$3:$H$1981,$C221,門市請款明細表!$I$3:$I$1981,E$1)</f>
        <v>0</v>
      </c>
      <c r="F221" s="431" t="n">
        <f aca="false">SUMIFS(門市請款明細表!$J$3:$J$1981,門市請款明細表!$H$3:$H$1981,$C221,門市請款明細表!$I$3:$I$1981,F$1)</f>
        <v>0</v>
      </c>
      <c r="G221" s="431" t="n">
        <f aca="false">SUMIFS(門市請款明細表!$J$3:$J$1981,門市請款明細表!$H$3:$H$1981,$C221,門市請款明細表!$I$3:$I$1981,G$1)</f>
        <v>0</v>
      </c>
      <c r="H221" s="431" t="n">
        <f aca="false">SUMIFS(門市請款明細表!$J$3:$J$1981,門市請款明細表!$H$3:$H$1981,$C221,門市請款明細表!$I$3:$I$1981,H$1)</f>
        <v>0</v>
      </c>
      <c r="I221" s="15" t="n">
        <f aca="false">SUM(E221:H221)</f>
        <v>0</v>
      </c>
      <c r="J221" s="0" t="str">
        <f aca="false">IF(D221=I221,"●","✖")</f>
        <v>●</v>
      </c>
    </row>
    <row r="222" customFormat="false" ht="16.5" hidden="false" customHeight="false" outlineLevel="0" collapsed="false">
      <c r="A222" s="431" t="n">
        <v>217</v>
      </c>
      <c r="B222" s="139" t="s">
        <v>4931</v>
      </c>
      <c r="C222" s="141" t="s">
        <v>98</v>
      </c>
      <c r="D222" s="141" t="n">
        <f aca="false">SUMIF(門市請款明細表!$H$3:$H$1981,$C222,門市請款明細表!$J$3:$J$1981)</f>
        <v>0</v>
      </c>
      <c r="E222" s="431" t="n">
        <f aca="false">SUMIFS(門市請款明細表!$J$3:$J$1981,門市請款明細表!$H$3:$H$1981,$C222,門市請款明細表!$I$3:$I$1981,E$1)</f>
        <v>0</v>
      </c>
      <c r="F222" s="431" t="n">
        <f aca="false">SUMIFS(門市請款明細表!$J$3:$J$1981,門市請款明細表!$H$3:$H$1981,$C222,門市請款明細表!$I$3:$I$1981,F$1)</f>
        <v>0</v>
      </c>
      <c r="G222" s="431" t="n">
        <f aca="false">SUMIFS(門市請款明細表!$J$3:$J$1981,門市請款明細表!$H$3:$H$1981,$C222,門市請款明細表!$I$3:$I$1981,G$1)</f>
        <v>0</v>
      </c>
      <c r="H222" s="431" t="n">
        <f aca="false">SUMIFS(門市請款明細表!$J$3:$J$1981,門市請款明細表!$H$3:$H$1981,$C222,門市請款明細表!$I$3:$I$1981,H$1)</f>
        <v>0</v>
      </c>
      <c r="I222" s="15" t="n">
        <f aca="false">SUM(E222:H222)</f>
        <v>0</v>
      </c>
      <c r="J222" s="0" t="str">
        <f aca="false">IF(D222=I222,"●","✖")</f>
        <v>●</v>
      </c>
    </row>
    <row r="223" customFormat="false" ht="16.5" hidden="false" customHeight="false" outlineLevel="0" collapsed="false">
      <c r="A223" s="431" t="n">
        <v>218</v>
      </c>
      <c r="B223" s="139" t="s">
        <v>4936</v>
      </c>
      <c r="C223" s="141" t="s">
        <v>37</v>
      </c>
      <c r="D223" s="141" t="n">
        <f aca="false">SUMIF(門市請款明細表!$H$3:$H$1981,$C223,門市請款明細表!$J$3:$J$1981)</f>
        <v>0</v>
      </c>
      <c r="E223" s="431" t="n">
        <f aca="false">SUMIFS(門市請款明細表!$J$3:$J$1981,門市請款明細表!$H$3:$H$1981,$C223,門市請款明細表!$I$3:$I$1981,E$1)</f>
        <v>0</v>
      </c>
      <c r="F223" s="431" t="n">
        <f aca="false">SUMIFS(門市請款明細表!$J$3:$J$1981,門市請款明細表!$H$3:$H$1981,$C223,門市請款明細表!$I$3:$I$1981,F$1)</f>
        <v>0</v>
      </c>
      <c r="G223" s="431" t="n">
        <f aca="false">SUMIFS(門市請款明細表!$J$3:$J$1981,門市請款明細表!$H$3:$H$1981,$C223,門市請款明細表!$I$3:$I$1981,G$1)</f>
        <v>0</v>
      </c>
      <c r="H223" s="431" t="n">
        <f aca="false">SUMIFS(門市請款明細表!$J$3:$J$1981,門市請款明細表!$H$3:$H$1981,$C223,門市請款明細表!$I$3:$I$1981,H$1)</f>
        <v>0</v>
      </c>
      <c r="I223" s="15" t="n">
        <f aca="false">SUM(E223:H223)</f>
        <v>0</v>
      </c>
      <c r="J223" s="0" t="str">
        <f aca="false">IF(D223=I223,"●","✖")</f>
        <v>●</v>
      </c>
    </row>
    <row r="224" customFormat="false" ht="16.5" hidden="false" customHeight="false" outlineLevel="0" collapsed="false">
      <c r="A224" s="431" t="n">
        <v>219</v>
      </c>
      <c r="B224" s="139" t="s">
        <v>4929</v>
      </c>
      <c r="C224" s="141" t="s">
        <v>119</v>
      </c>
      <c r="D224" s="141" t="n">
        <f aca="false">SUMIF(門市請款明細表!$H$3:$H$1981,$C224,門市請款明細表!$J$3:$J$1981)</f>
        <v>0</v>
      </c>
      <c r="E224" s="431" t="n">
        <f aca="false">SUMIFS(門市請款明細表!$J$3:$J$1981,門市請款明細表!$H$3:$H$1981,$C224,門市請款明細表!$I$3:$I$1981,E$1)</f>
        <v>0</v>
      </c>
      <c r="F224" s="431" t="n">
        <f aca="false">SUMIFS(門市請款明細表!$J$3:$J$1981,門市請款明細表!$H$3:$H$1981,$C224,門市請款明細表!$I$3:$I$1981,F$1)</f>
        <v>0</v>
      </c>
      <c r="G224" s="431" t="n">
        <f aca="false">SUMIFS(門市請款明細表!$J$3:$J$1981,門市請款明細表!$H$3:$H$1981,$C224,門市請款明細表!$I$3:$I$1981,G$1)</f>
        <v>0</v>
      </c>
      <c r="H224" s="431" t="n">
        <f aca="false">SUMIFS(門市請款明細表!$J$3:$J$1981,門市請款明細表!$H$3:$H$1981,$C224,門市請款明細表!$I$3:$I$1981,H$1)</f>
        <v>0</v>
      </c>
      <c r="I224" s="15" t="n">
        <f aca="false">SUM(E224:H224)</f>
        <v>0</v>
      </c>
      <c r="J224" s="0" t="str">
        <f aca="false">IF(D224=I224,"●","✖")</f>
        <v>●</v>
      </c>
    </row>
    <row r="225" customFormat="false" ht="16.5" hidden="false" customHeight="false" outlineLevel="0" collapsed="false">
      <c r="A225" s="431" t="n">
        <v>220</v>
      </c>
      <c r="B225" s="139" t="s">
        <v>4935</v>
      </c>
      <c r="C225" s="141" t="s">
        <v>162</v>
      </c>
      <c r="D225" s="141" t="n">
        <f aca="false">SUMIF(門市請款明細表!$H$3:$H$1981,$C225,門市請款明細表!$J$3:$J$1981)</f>
        <v>0</v>
      </c>
      <c r="E225" s="431" t="n">
        <f aca="false">SUMIFS(門市請款明細表!$J$3:$J$1981,門市請款明細表!$H$3:$H$1981,$C225,門市請款明細表!$I$3:$I$1981,E$1)</f>
        <v>0</v>
      </c>
      <c r="F225" s="431" t="n">
        <f aca="false">SUMIFS(門市請款明細表!$J$3:$J$1981,門市請款明細表!$H$3:$H$1981,$C225,門市請款明細表!$I$3:$I$1981,F$1)</f>
        <v>0</v>
      </c>
      <c r="G225" s="431" t="n">
        <f aca="false">SUMIFS(門市請款明細表!$J$3:$J$1981,門市請款明細表!$H$3:$H$1981,$C225,門市請款明細表!$I$3:$I$1981,G$1)</f>
        <v>0</v>
      </c>
      <c r="H225" s="431" t="n">
        <f aca="false">SUMIFS(門市請款明細表!$J$3:$J$1981,門市請款明細表!$H$3:$H$1981,$C225,門市請款明細表!$I$3:$I$1981,H$1)</f>
        <v>0</v>
      </c>
      <c r="I225" s="15" t="n">
        <f aca="false">SUM(E225:H225)</f>
        <v>0</v>
      </c>
      <c r="J225" s="0" t="str">
        <f aca="false">IF(D225=I225,"●","✖")</f>
        <v>●</v>
      </c>
    </row>
    <row r="226" customFormat="false" ht="16.5" hidden="false" customHeight="false" outlineLevel="0" collapsed="false">
      <c r="A226" s="431" t="n">
        <v>221</v>
      </c>
      <c r="B226" s="139" t="s">
        <v>4935</v>
      </c>
      <c r="C226" s="141" t="s">
        <v>145</v>
      </c>
      <c r="D226" s="141" t="n">
        <f aca="false">SUMIF(門市請款明細表!$H$3:$H$1981,$C226,門市請款明細表!$J$3:$J$1981)</f>
        <v>0</v>
      </c>
      <c r="E226" s="431" t="n">
        <f aca="false">SUMIFS(門市請款明細表!$J$3:$J$1981,門市請款明細表!$H$3:$H$1981,$C226,門市請款明細表!$I$3:$I$1981,E$1)</f>
        <v>0</v>
      </c>
      <c r="F226" s="431" t="n">
        <f aca="false">SUMIFS(門市請款明細表!$J$3:$J$1981,門市請款明細表!$H$3:$H$1981,$C226,門市請款明細表!$I$3:$I$1981,F$1)</f>
        <v>0</v>
      </c>
      <c r="G226" s="431" t="n">
        <f aca="false">SUMIFS(門市請款明細表!$J$3:$J$1981,門市請款明細表!$H$3:$H$1981,$C226,門市請款明細表!$I$3:$I$1981,G$1)</f>
        <v>0</v>
      </c>
      <c r="H226" s="431" t="n">
        <f aca="false">SUMIFS(門市請款明細表!$J$3:$J$1981,門市請款明細表!$H$3:$H$1981,$C226,門市請款明細表!$I$3:$I$1981,H$1)</f>
        <v>0</v>
      </c>
      <c r="I226" s="15" t="n">
        <f aca="false">SUM(E226:H226)</f>
        <v>0</v>
      </c>
      <c r="J226" s="0" t="str">
        <f aca="false">IF(D226=I226,"●","✖")</f>
        <v>●</v>
      </c>
    </row>
    <row r="227" customFormat="false" ht="16.5" hidden="false" customHeight="false" outlineLevel="0" collapsed="false">
      <c r="A227" s="431" t="n">
        <v>222</v>
      </c>
      <c r="B227" s="139" t="s">
        <v>4935</v>
      </c>
      <c r="C227" s="141" t="s">
        <v>173</v>
      </c>
      <c r="D227" s="141" t="n">
        <f aca="false">SUMIF(門市請款明細表!$H$3:$H$1981,$C227,門市請款明細表!$J$3:$J$1981)</f>
        <v>0</v>
      </c>
      <c r="E227" s="431" t="n">
        <f aca="false">SUMIFS(門市請款明細表!$J$3:$J$1981,門市請款明細表!$H$3:$H$1981,$C227,門市請款明細表!$I$3:$I$1981,E$1)</f>
        <v>0</v>
      </c>
      <c r="F227" s="431" t="n">
        <f aca="false">SUMIFS(門市請款明細表!$J$3:$J$1981,門市請款明細表!$H$3:$H$1981,$C227,門市請款明細表!$I$3:$I$1981,F$1)</f>
        <v>0</v>
      </c>
      <c r="G227" s="431" t="n">
        <f aca="false">SUMIFS(門市請款明細表!$J$3:$J$1981,門市請款明細表!$H$3:$H$1981,$C227,門市請款明細表!$I$3:$I$1981,G$1)</f>
        <v>0</v>
      </c>
      <c r="H227" s="431" t="n">
        <f aca="false">SUMIFS(門市請款明細表!$J$3:$J$1981,門市請款明細表!$H$3:$H$1981,$C227,門市請款明細表!$I$3:$I$1981,H$1)</f>
        <v>0</v>
      </c>
      <c r="I227" s="15" t="n">
        <f aca="false">SUM(E227:H227)</f>
        <v>0</v>
      </c>
      <c r="J227" s="0" t="str">
        <f aca="false">IF(D227=I227,"●","✖")</f>
        <v>●</v>
      </c>
    </row>
    <row r="228" customFormat="false" ht="16.5" hidden="false" customHeight="false" outlineLevel="0" collapsed="false">
      <c r="A228" s="431" t="n">
        <v>223</v>
      </c>
      <c r="B228" s="139" t="s">
        <v>4935</v>
      </c>
      <c r="C228" s="141" t="s">
        <v>368</v>
      </c>
      <c r="D228" s="141" t="n">
        <f aca="false">SUMIF(門市請款明細表!$H$3:$H$1981,$C228,門市請款明細表!$J$3:$J$1981)</f>
        <v>0</v>
      </c>
      <c r="E228" s="431" t="n">
        <f aca="false">SUMIFS(門市請款明細表!$J$3:$J$1981,門市請款明細表!$H$3:$H$1981,$C228,門市請款明細表!$I$3:$I$1981,E$1)</f>
        <v>0</v>
      </c>
      <c r="F228" s="431" t="n">
        <f aca="false">SUMIFS(門市請款明細表!$J$3:$J$1981,門市請款明細表!$H$3:$H$1981,$C228,門市請款明細表!$I$3:$I$1981,F$1)</f>
        <v>0</v>
      </c>
      <c r="G228" s="431" t="n">
        <f aca="false">SUMIFS(門市請款明細表!$J$3:$J$1981,門市請款明細表!$H$3:$H$1981,$C228,門市請款明細表!$I$3:$I$1981,G$1)</f>
        <v>0</v>
      </c>
      <c r="H228" s="431" t="n">
        <f aca="false">SUMIFS(門市請款明細表!$J$3:$J$1981,門市請款明細表!$H$3:$H$1981,$C228,門市請款明細表!$I$3:$I$1981,H$1)</f>
        <v>0</v>
      </c>
      <c r="I228" s="15" t="n">
        <f aca="false">SUM(E228:H228)</f>
        <v>0</v>
      </c>
      <c r="J228" s="0" t="str">
        <f aca="false">IF(D228=I228,"●","✖")</f>
        <v>●</v>
      </c>
    </row>
    <row r="229" customFormat="false" ht="16.5" hidden="false" customHeight="false" outlineLevel="0" collapsed="false">
      <c r="A229" s="431" t="n">
        <v>224</v>
      </c>
      <c r="B229" s="139" t="s">
        <v>4935</v>
      </c>
      <c r="C229" s="141" t="s">
        <v>365</v>
      </c>
      <c r="D229" s="141" t="n">
        <f aca="false">SUMIF(門市請款明細表!$H$3:$H$1981,$C229,門市請款明細表!$J$3:$J$1981)</f>
        <v>0</v>
      </c>
      <c r="E229" s="431" t="n">
        <f aca="false">SUMIFS(門市請款明細表!$J$3:$J$1981,門市請款明細表!$H$3:$H$1981,$C229,門市請款明細表!$I$3:$I$1981,E$1)</f>
        <v>0</v>
      </c>
      <c r="F229" s="431" t="n">
        <f aca="false">SUMIFS(門市請款明細表!$J$3:$J$1981,門市請款明細表!$H$3:$H$1981,$C229,門市請款明細表!$I$3:$I$1981,F$1)</f>
        <v>0</v>
      </c>
      <c r="G229" s="431" t="n">
        <f aca="false">SUMIFS(門市請款明細表!$J$3:$J$1981,門市請款明細表!$H$3:$H$1981,$C229,門市請款明細表!$I$3:$I$1981,G$1)</f>
        <v>0</v>
      </c>
      <c r="H229" s="431" t="n">
        <f aca="false">SUMIFS(門市請款明細表!$J$3:$J$1981,門市請款明細表!$H$3:$H$1981,$C229,門市請款明細表!$I$3:$I$1981,H$1)</f>
        <v>0</v>
      </c>
      <c r="I229" s="15" t="n">
        <f aca="false">SUM(E229:H229)</f>
        <v>0</v>
      </c>
      <c r="J229" s="0" t="str">
        <f aca="false">IF(D229=I229,"●","✖")</f>
        <v>●</v>
      </c>
    </row>
    <row r="230" customFormat="false" ht="16.5" hidden="false" customHeight="false" outlineLevel="0" collapsed="false">
      <c r="A230" s="431" t="n">
        <v>225</v>
      </c>
      <c r="B230" s="139" t="s">
        <v>4935</v>
      </c>
      <c r="C230" s="141" t="s">
        <v>182</v>
      </c>
      <c r="D230" s="141" t="n">
        <f aca="false">SUMIF(門市請款明細表!$H$3:$H$1981,$C230,門市請款明細表!$J$3:$J$1981)</f>
        <v>0</v>
      </c>
      <c r="E230" s="431" t="n">
        <f aca="false">SUMIFS(門市請款明細表!$J$3:$J$1981,門市請款明細表!$H$3:$H$1981,$C230,門市請款明細表!$I$3:$I$1981,E$1)</f>
        <v>0</v>
      </c>
      <c r="F230" s="431" t="n">
        <f aca="false">SUMIFS(門市請款明細表!$J$3:$J$1981,門市請款明細表!$H$3:$H$1981,$C230,門市請款明細表!$I$3:$I$1981,F$1)</f>
        <v>0</v>
      </c>
      <c r="G230" s="431" t="n">
        <f aca="false">SUMIFS(門市請款明細表!$J$3:$J$1981,門市請款明細表!$H$3:$H$1981,$C230,門市請款明細表!$I$3:$I$1981,G$1)</f>
        <v>0</v>
      </c>
      <c r="H230" s="431" t="n">
        <f aca="false">SUMIFS(門市請款明細表!$J$3:$J$1981,門市請款明細表!$H$3:$H$1981,$C230,門市請款明細表!$I$3:$I$1981,H$1)</f>
        <v>0</v>
      </c>
      <c r="I230" s="15" t="n">
        <f aca="false">SUM(E230:H230)</f>
        <v>0</v>
      </c>
      <c r="J230" s="0" t="str">
        <f aca="false">IF(D230=I230,"●","✖")</f>
        <v>●</v>
      </c>
    </row>
    <row r="231" customFormat="false" ht="16.5" hidden="false" customHeight="false" outlineLevel="0" collapsed="false">
      <c r="A231" s="431" t="n">
        <v>226</v>
      </c>
      <c r="B231" s="139" t="s">
        <v>4935</v>
      </c>
      <c r="C231" s="141" t="s">
        <v>143</v>
      </c>
      <c r="D231" s="141" t="n">
        <f aca="false">SUMIF(門市請款明細表!$H$3:$H$1981,$C231,門市請款明細表!$J$3:$J$1981)</f>
        <v>0</v>
      </c>
      <c r="E231" s="431" t="n">
        <f aca="false">SUMIFS(門市請款明細表!$J$3:$J$1981,門市請款明細表!$H$3:$H$1981,$C231,門市請款明細表!$I$3:$I$1981,E$1)</f>
        <v>0</v>
      </c>
      <c r="F231" s="431" t="n">
        <f aca="false">SUMIFS(門市請款明細表!$J$3:$J$1981,門市請款明細表!$H$3:$H$1981,$C231,門市請款明細表!$I$3:$I$1981,F$1)</f>
        <v>0</v>
      </c>
      <c r="G231" s="431" t="n">
        <f aca="false">SUMIFS(門市請款明細表!$J$3:$J$1981,門市請款明細表!$H$3:$H$1981,$C231,門市請款明細表!$I$3:$I$1981,G$1)</f>
        <v>0</v>
      </c>
      <c r="H231" s="431" t="n">
        <f aca="false">SUMIFS(門市請款明細表!$J$3:$J$1981,門市請款明細表!$H$3:$H$1981,$C231,門市請款明細表!$I$3:$I$1981,H$1)</f>
        <v>0</v>
      </c>
      <c r="I231" s="15" t="n">
        <f aca="false">SUM(E231:H231)</f>
        <v>0</v>
      </c>
      <c r="J231" s="0" t="str">
        <f aca="false">IF(D231=I231,"●","✖")</f>
        <v>●</v>
      </c>
    </row>
    <row r="232" customFormat="false" ht="16.5" hidden="false" customHeight="false" outlineLevel="0" collapsed="false">
      <c r="A232" s="431" t="n">
        <v>227</v>
      </c>
      <c r="B232" s="139" t="s">
        <v>4935</v>
      </c>
      <c r="C232" s="417" t="s">
        <v>207</v>
      </c>
      <c r="D232" s="141" t="n">
        <f aca="false">SUMIF(門市請款明細表!$H$3:$H$1981,$C232,門市請款明細表!$J$3:$J$1981)</f>
        <v>0</v>
      </c>
      <c r="E232" s="431" t="n">
        <f aca="false">SUMIFS(門市請款明細表!$J$3:$J$1981,門市請款明細表!$H$3:$H$1981,$C232,門市請款明細表!$I$3:$I$1981,E$1)</f>
        <v>0</v>
      </c>
      <c r="F232" s="431" t="n">
        <f aca="false">SUMIFS(門市請款明細表!$J$3:$J$1981,門市請款明細表!$H$3:$H$1981,$C232,門市請款明細表!$I$3:$I$1981,F$1)</f>
        <v>0</v>
      </c>
      <c r="G232" s="431" t="n">
        <f aca="false">SUMIFS(門市請款明細表!$J$3:$J$1981,門市請款明細表!$H$3:$H$1981,$C232,門市請款明細表!$I$3:$I$1981,G$1)</f>
        <v>0</v>
      </c>
      <c r="H232" s="431" t="n">
        <f aca="false">SUMIFS(門市請款明細表!$J$3:$J$1981,門市請款明細表!$H$3:$H$1981,$C232,門市請款明細表!$I$3:$I$1981,H$1)</f>
        <v>0</v>
      </c>
      <c r="I232" s="15" t="n">
        <f aca="false">SUM(E232:H232)</f>
        <v>0</v>
      </c>
      <c r="J232" s="0" t="str">
        <f aca="false">IF(D232=I232,"●","✖")</f>
        <v>●</v>
      </c>
    </row>
    <row r="233" customFormat="false" ht="16.5" hidden="false" customHeight="false" outlineLevel="0" collapsed="false">
      <c r="A233" s="431" t="n">
        <v>228</v>
      </c>
      <c r="B233" s="139" t="s">
        <v>4935</v>
      </c>
      <c r="C233" s="417" t="s">
        <v>303</v>
      </c>
      <c r="D233" s="141" t="n">
        <f aca="false">SUMIF(門市請款明細表!$H$3:$H$1981,$C233,門市請款明細表!$J$3:$J$1981)</f>
        <v>0</v>
      </c>
      <c r="E233" s="431" t="n">
        <f aca="false">SUMIFS(門市請款明細表!$J$3:$J$1981,門市請款明細表!$H$3:$H$1981,$C233,門市請款明細表!$I$3:$I$1981,E$1)</f>
        <v>0</v>
      </c>
      <c r="F233" s="431" t="n">
        <f aca="false">SUMIFS(門市請款明細表!$J$3:$J$1981,門市請款明細表!$H$3:$H$1981,$C233,門市請款明細表!$I$3:$I$1981,F$1)</f>
        <v>0</v>
      </c>
      <c r="G233" s="431" t="n">
        <f aca="false">SUMIFS(門市請款明細表!$J$3:$J$1981,門市請款明細表!$H$3:$H$1981,$C233,門市請款明細表!$I$3:$I$1981,G$1)</f>
        <v>0</v>
      </c>
      <c r="H233" s="431" t="n">
        <f aca="false">SUMIFS(門市請款明細表!$J$3:$J$1981,門市請款明細表!$H$3:$H$1981,$C233,門市請款明細表!$I$3:$I$1981,H$1)</f>
        <v>0</v>
      </c>
      <c r="I233" s="15" t="n">
        <f aca="false">SUM(E233:H233)</f>
        <v>0</v>
      </c>
      <c r="J233" s="0" t="str">
        <f aca="false">IF(D233=I233,"●","✖")</f>
        <v>●</v>
      </c>
    </row>
    <row r="234" customFormat="false" ht="16.5" hidden="false" customHeight="false" outlineLevel="0" collapsed="false">
      <c r="A234" s="431" t="n">
        <v>229</v>
      </c>
      <c r="B234" s="139" t="s">
        <v>4930</v>
      </c>
      <c r="C234" s="417" t="s">
        <v>259</v>
      </c>
      <c r="D234" s="141" t="n">
        <f aca="false">SUMIF(門市請款明細表!$H$3:$H$1981,$C234,門市請款明細表!$J$3:$J$1981)</f>
        <v>0</v>
      </c>
      <c r="E234" s="431" t="n">
        <f aca="false">SUMIFS(門市請款明細表!$J$3:$J$1981,門市請款明細表!$H$3:$H$1981,$C234,門市請款明細表!$I$3:$I$1981,E$1)</f>
        <v>0</v>
      </c>
      <c r="F234" s="431" t="n">
        <f aca="false">SUMIFS(門市請款明細表!$J$3:$J$1981,門市請款明細表!$H$3:$H$1981,$C234,門市請款明細表!$I$3:$I$1981,F$1)</f>
        <v>0</v>
      </c>
      <c r="G234" s="431" t="n">
        <f aca="false">SUMIFS(門市請款明細表!$J$3:$J$1981,門市請款明細表!$H$3:$H$1981,$C234,門市請款明細表!$I$3:$I$1981,G$1)</f>
        <v>0</v>
      </c>
      <c r="H234" s="431" t="n">
        <f aca="false">SUMIFS(門市請款明細表!$J$3:$J$1981,門市請款明細表!$H$3:$H$1981,$C234,門市請款明細表!$I$3:$I$1981,H$1)</f>
        <v>0</v>
      </c>
      <c r="I234" s="15" t="n">
        <f aca="false">SUM(E234:H234)</f>
        <v>0</v>
      </c>
      <c r="J234" s="0" t="str">
        <f aca="false">IF(D234=I234,"●","✖")</f>
        <v>●</v>
      </c>
    </row>
    <row r="235" customFormat="false" ht="16.5" hidden="false" customHeight="false" outlineLevel="0" collapsed="false">
      <c r="A235" s="431" t="n">
        <v>230</v>
      </c>
      <c r="B235" s="139" t="s">
        <v>4930</v>
      </c>
      <c r="C235" s="417" t="s">
        <v>181</v>
      </c>
      <c r="D235" s="141" t="n">
        <f aca="false">SUMIF(門市請款明細表!$H$3:$H$1981,$C235,門市請款明細表!$J$3:$J$1981)</f>
        <v>0</v>
      </c>
      <c r="E235" s="431" t="n">
        <f aca="false">SUMIFS(門市請款明細表!$J$3:$J$1981,門市請款明細表!$H$3:$H$1981,$C235,門市請款明細表!$I$3:$I$1981,E$1)</f>
        <v>0</v>
      </c>
      <c r="F235" s="431" t="n">
        <f aca="false">SUMIFS(門市請款明細表!$J$3:$J$1981,門市請款明細表!$H$3:$H$1981,$C235,門市請款明細表!$I$3:$I$1981,F$1)</f>
        <v>0</v>
      </c>
      <c r="G235" s="431" t="n">
        <f aca="false">SUMIFS(門市請款明細表!$J$3:$J$1981,門市請款明細表!$H$3:$H$1981,$C235,門市請款明細表!$I$3:$I$1981,G$1)</f>
        <v>0</v>
      </c>
      <c r="H235" s="431" t="n">
        <f aca="false">SUMIFS(門市請款明細表!$J$3:$J$1981,門市請款明細表!$H$3:$H$1981,$C235,門市請款明細表!$I$3:$I$1981,H$1)</f>
        <v>0</v>
      </c>
      <c r="I235" s="15" t="n">
        <f aca="false">SUM(E235:H235)</f>
        <v>0</v>
      </c>
      <c r="J235" s="0" t="str">
        <f aca="false">IF(D235=I235,"●","✖")</f>
        <v>●</v>
      </c>
    </row>
    <row r="236" customFormat="false" ht="16.5" hidden="false" customHeight="false" outlineLevel="0" collapsed="false">
      <c r="A236" s="431" t="n">
        <v>231</v>
      </c>
      <c r="B236" s="139" t="s">
        <v>4930</v>
      </c>
      <c r="C236" s="417" t="s">
        <v>252</v>
      </c>
      <c r="D236" s="141" t="n">
        <f aca="false">SUMIF(門市請款明細表!$H$3:$H$1981,$C236,門市請款明細表!$J$3:$J$1981)</f>
        <v>0</v>
      </c>
      <c r="E236" s="431" t="n">
        <f aca="false">SUMIFS(門市請款明細表!$J$3:$J$1981,門市請款明細表!$H$3:$H$1981,$C236,門市請款明細表!$I$3:$I$1981,E$1)</f>
        <v>0</v>
      </c>
      <c r="F236" s="431" t="n">
        <f aca="false">SUMIFS(門市請款明細表!$J$3:$J$1981,門市請款明細表!$H$3:$H$1981,$C236,門市請款明細表!$I$3:$I$1981,F$1)</f>
        <v>0</v>
      </c>
      <c r="G236" s="431" t="n">
        <f aca="false">SUMIFS(門市請款明細表!$J$3:$J$1981,門市請款明細表!$H$3:$H$1981,$C236,門市請款明細表!$I$3:$I$1981,G$1)</f>
        <v>0</v>
      </c>
      <c r="H236" s="431" t="n">
        <f aca="false">SUMIFS(門市請款明細表!$J$3:$J$1981,門市請款明細表!$H$3:$H$1981,$C236,門市請款明細表!$I$3:$I$1981,H$1)</f>
        <v>0</v>
      </c>
      <c r="I236" s="15" t="n">
        <f aca="false">SUM(E236:H236)</f>
        <v>0</v>
      </c>
      <c r="J236" s="0" t="str">
        <f aca="false">IF(D236=I236,"●","✖")</f>
        <v>●</v>
      </c>
    </row>
    <row r="237" customFormat="false" ht="16.5" hidden="false" customHeight="false" outlineLevel="0" collapsed="false">
      <c r="A237" s="431" t="n">
        <v>232</v>
      </c>
      <c r="B237" s="139" t="s">
        <v>4930</v>
      </c>
      <c r="C237" s="417" t="s">
        <v>257</v>
      </c>
      <c r="D237" s="141" t="n">
        <f aca="false">SUMIF(門市請款明細表!$H$3:$H$1981,$C237,門市請款明細表!$J$3:$J$1981)</f>
        <v>0</v>
      </c>
      <c r="E237" s="431" t="n">
        <f aca="false">SUMIFS(門市請款明細表!$J$3:$J$1981,門市請款明細表!$H$3:$H$1981,$C237,門市請款明細表!$I$3:$I$1981,E$1)</f>
        <v>0</v>
      </c>
      <c r="F237" s="431" t="n">
        <f aca="false">SUMIFS(門市請款明細表!$J$3:$J$1981,門市請款明細表!$H$3:$H$1981,$C237,門市請款明細表!$I$3:$I$1981,F$1)</f>
        <v>0</v>
      </c>
      <c r="G237" s="431" t="n">
        <f aca="false">SUMIFS(門市請款明細表!$J$3:$J$1981,門市請款明細表!$H$3:$H$1981,$C237,門市請款明細表!$I$3:$I$1981,G$1)</f>
        <v>0</v>
      </c>
      <c r="H237" s="431" t="n">
        <f aca="false">SUMIFS(門市請款明細表!$J$3:$J$1981,門市請款明細表!$H$3:$H$1981,$C237,門市請款明細表!$I$3:$I$1981,H$1)</f>
        <v>0</v>
      </c>
      <c r="I237" s="15" t="n">
        <f aca="false">SUM(E237:H237)</f>
        <v>0</v>
      </c>
      <c r="J237" s="0" t="str">
        <f aca="false">IF(D237=I237,"●","✖")</f>
        <v>●</v>
      </c>
    </row>
    <row r="238" customFormat="false" ht="16.5" hidden="false" customHeight="false" outlineLevel="0" collapsed="false">
      <c r="A238" s="431" t="n">
        <v>233</v>
      </c>
      <c r="B238" s="139" t="s">
        <v>4930</v>
      </c>
      <c r="C238" s="417" t="s">
        <v>22</v>
      </c>
      <c r="D238" s="141" t="n">
        <f aca="false">SUMIF(門市請款明細表!$H$3:$H$1981,$C238,門市請款明細表!$J$3:$J$1981)</f>
        <v>0</v>
      </c>
      <c r="E238" s="431" t="n">
        <f aca="false">SUMIFS(門市請款明細表!$J$3:$J$1981,門市請款明細表!$H$3:$H$1981,$C238,門市請款明細表!$I$3:$I$1981,E$1)</f>
        <v>0</v>
      </c>
      <c r="F238" s="431" t="n">
        <f aca="false">SUMIFS(門市請款明細表!$J$3:$J$1981,門市請款明細表!$H$3:$H$1981,$C238,門市請款明細表!$I$3:$I$1981,F$1)</f>
        <v>0</v>
      </c>
      <c r="G238" s="431" t="n">
        <f aca="false">SUMIFS(門市請款明細表!$J$3:$J$1981,門市請款明細表!$H$3:$H$1981,$C238,門市請款明細表!$I$3:$I$1981,G$1)</f>
        <v>0</v>
      </c>
      <c r="H238" s="431" t="n">
        <f aca="false">SUMIFS(門市請款明細表!$J$3:$J$1981,門市請款明細表!$H$3:$H$1981,$C238,門市請款明細表!$I$3:$I$1981,H$1)</f>
        <v>0</v>
      </c>
      <c r="I238" s="15" t="n">
        <f aca="false">SUM(E238:H238)</f>
        <v>0</v>
      </c>
      <c r="J238" s="0" t="str">
        <f aca="false">IF(D238=I238,"●","✖")</f>
        <v>●</v>
      </c>
    </row>
    <row r="239" customFormat="false" ht="16.5" hidden="false" customHeight="false" outlineLevel="0" collapsed="false">
      <c r="A239" s="431" t="n">
        <v>234</v>
      </c>
      <c r="B239" s="139" t="s">
        <v>4930</v>
      </c>
      <c r="C239" s="417" t="s">
        <v>379</v>
      </c>
      <c r="D239" s="141" t="n">
        <f aca="false">SUMIF(門市請款明細表!$H$3:$H$1981,$C239,門市請款明細表!$J$3:$J$1981)</f>
        <v>0</v>
      </c>
      <c r="E239" s="431" t="n">
        <f aca="false">SUMIFS(門市請款明細表!$J$3:$J$1981,門市請款明細表!$H$3:$H$1981,$C239,門市請款明細表!$I$3:$I$1981,E$1)</f>
        <v>0</v>
      </c>
      <c r="F239" s="431" t="n">
        <f aca="false">SUMIFS(門市請款明細表!$J$3:$J$1981,門市請款明細表!$H$3:$H$1981,$C239,門市請款明細表!$I$3:$I$1981,F$1)</f>
        <v>0</v>
      </c>
      <c r="G239" s="431" t="n">
        <f aca="false">SUMIFS(門市請款明細表!$J$3:$J$1981,門市請款明細表!$H$3:$H$1981,$C239,門市請款明細表!$I$3:$I$1981,G$1)</f>
        <v>0</v>
      </c>
      <c r="H239" s="431" t="n">
        <f aca="false">SUMIFS(門市請款明細表!$J$3:$J$1981,門市請款明細表!$H$3:$H$1981,$C239,門市請款明細表!$I$3:$I$1981,H$1)</f>
        <v>0</v>
      </c>
      <c r="I239" s="15" t="n">
        <f aca="false">SUM(E239:H239)</f>
        <v>0</v>
      </c>
      <c r="J239" s="0" t="str">
        <f aca="false">IF(D239=I239,"●","✖")</f>
        <v>●</v>
      </c>
    </row>
    <row r="240" customFormat="false" ht="16.5" hidden="false" customHeight="false" outlineLevel="0" collapsed="false">
      <c r="A240" s="431" t="n">
        <v>235</v>
      </c>
      <c r="B240" s="139" t="s">
        <v>4930</v>
      </c>
      <c r="C240" s="417" t="s">
        <v>44</v>
      </c>
      <c r="D240" s="141" t="n">
        <f aca="false">SUMIF(門市請款明細表!$H$3:$H$1981,$C240,門市請款明細表!$J$3:$J$1981)</f>
        <v>0</v>
      </c>
      <c r="E240" s="431" t="n">
        <f aca="false">SUMIFS(門市請款明細表!$J$3:$J$1981,門市請款明細表!$H$3:$H$1981,$C240,門市請款明細表!$I$3:$I$1981,E$1)</f>
        <v>0</v>
      </c>
      <c r="F240" s="431" t="n">
        <f aca="false">SUMIFS(門市請款明細表!$J$3:$J$1981,門市請款明細表!$H$3:$H$1981,$C240,門市請款明細表!$I$3:$I$1981,F$1)</f>
        <v>0</v>
      </c>
      <c r="G240" s="431" t="n">
        <f aca="false">SUMIFS(門市請款明細表!$J$3:$J$1981,門市請款明細表!$H$3:$H$1981,$C240,門市請款明細表!$I$3:$I$1981,G$1)</f>
        <v>0</v>
      </c>
      <c r="H240" s="431" t="n">
        <f aca="false">SUMIFS(門市請款明細表!$J$3:$J$1981,門市請款明細表!$H$3:$H$1981,$C240,門市請款明細表!$I$3:$I$1981,H$1)</f>
        <v>0</v>
      </c>
      <c r="I240" s="15" t="n">
        <f aca="false">SUM(E240:H240)</f>
        <v>0</v>
      </c>
      <c r="J240" s="0" t="str">
        <f aca="false">IF(D240=I240,"●","✖")</f>
        <v>●</v>
      </c>
    </row>
    <row r="241" customFormat="false" ht="16.5" hidden="false" customHeight="false" outlineLevel="0" collapsed="false">
      <c r="A241" s="431" t="n">
        <v>236</v>
      </c>
      <c r="B241" s="139" t="s">
        <v>4930</v>
      </c>
      <c r="C241" s="417" t="s">
        <v>239</v>
      </c>
      <c r="D241" s="141" t="n">
        <f aca="false">SUMIF(門市請款明細表!$H$3:$H$1981,$C241,門市請款明細表!$J$3:$J$1981)</f>
        <v>0</v>
      </c>
      <c r="E241" s="431" t="n">
        <f aca="false">SUMIFS(門市請款明細表!$J$3:$J$1981,門市請款明細表!$H$3:$H$1981,$C241,門市請款明細表!$I$3:$I$1981,E$1)</f>
        <v>0</v>
      </c>
      <c r="F241" s="431" t="n">
        <f aca="false">SUMIFS(門市請款明細表!$J$3:$J$1981,門市請款明細表!$H$3:$H$1981,$C241,門市請款明細表!$I$3:$I$1981,F$1)</f>
        <v>0</v>
      </c>
      <c r="G241" s="431" t="n">
        <f aca="false">SUMIFS(門市請款明細表!$J$3:$J$1981,門市請款明細表!$H$3:$H$1981,$C241,門市請款明細表!$I$3:$I$1981,G$1)</f>
        <v>0</v>
      </c>
      <c r="H241" s="431" t="n">
        <f aca="false">SUMIFS(門市請款明細表!$J$3:$J$1981,門市請款明細表!$H$3:$H$1981,$C241,門市請款明細表!$I$3:$I$1981,H$1)</f>
        <v>0</v>
      </c>
      <c r="I241" s="15" t="n">
        <f aca="false">SUM(E241:H241)</f>
        <v>0</v>
      </c>
      <c r="J241" s="0" t="str">
        <f aca="false">IF(D241=I241,"●","✖")</f>
        <v>●</v>
      </c>
    </row>
    <row r="242" customFormat="false" ht="16.5" hidden="false" customHeight="false" outlineLevel="0" collapsed="false">
      <c r="A242" s="431" t="n">
        <v>237</v>
      </c>
      <c r="B242" s="139" t="s">
        <v>4930</v>
      </c>
      <c r="C242" s="417" t="s">
        <v>311</v>
      </c>
      <c r="D242" s="141" t="n">
        <f aca="false">SUMIF(門市請款明細表!$H$3:$H$1981,$C242,門市請款明細表!$J$3:$J$1981)</f>
        <v>0</v>
      </c>
      <c r="E242" s="431" t="n">
        <f aca="false">SUMIFS(門市請款明細表!$J$3:$J$1981,門市請款明細表!$H$3:$H$1981,$C242,門市請款明細表!$I$3:$I$1981,E$1)</f>
        <v>0</v>
      </c>
      <c r="F242" s="431" t="n">
        <f aca="false">SUMIFS(門市請款明細表!$J$3:$J$1981,門市請款明細表!$H$3:$H$1981,$C242,門市請款明細表!$I$3:$I$1981,F$1)</f>
        <v>0</v>
      </c>
      <c r="G242" s="431" t="n">
        <f aca="false">SUMIFS(門市請款明細表!$J$3:$J$1981,門市請款明細表!$H$3:$H$1981,$C242,門市請款明細表!$I$3:$I$1981,G$1)</f>
        <v>0</v>
      </c>
      <c r="H242" s="431" t="n">
        <f aca="false">SUMIFS(門市請款明細表!$J$3:$J$1981,門市請款明細表!$H$3:$H$1981,$C242,門市請款明細表!$I$3:$I$1981,H$1)</f>
        <v>0</v>
      </c>
      <c r="I242" s="15" t="n">
        <f aca="false">SUM(E242:H242)</f>
        <v>0</v>
      </c>
      <c r="J242" s="0" t="str">
        <f aca="false">IF(D242=I242,"●","✖")</f>
        <v>●</v>
      </c>
    </row>
    <row r="243" customFormat="false" ht="16.5" hidden="false" customHeight="false" outlineLevel="0" collapsed="false">
      <c r="A243" s="431" t="n">
        <v>238</v>
      </c>
      <c r="B243" s="139" t="s">
        <v>4932</v>
      </c>
      <c r="C243" s="417" t="s">
        <v>426</v>
      </c>
      <c r="D243" s="141" t="n">
        <f aca="false">SUMIF(門市請款明細表!$H$3:$H$1981,$C243,門市請款明細表!$J$3:$J$1981)</f>
        <v>0</v>
      </c>
      <c r="E243" s="431" t="n">
        <f aca="false">SUMIFS(門市請款明細表!$J$3:$J$1981,門市請款明細表!$H$3:$H$1981,$C243,門市請款明細表!$I$3:$I$1981,E$1)</f>
        <v>0</v>
      </c>
      <c r="F243" s="431" t="n">
        <f aca="false">SUMIFS(門市請款明細表!$J$3:$J$1981,門市請款明細表!$H$3:$H$1981,$C243,門市請款明細表!$I$3:$I$1981,F$1)</f>
        <v>0</v>
      </c>
      <c r="G243" s="431" t="n">
        <f aca="false">SUMIFS(門市請款明細表!$J$3:$J$1981,門市請款明細表!$H$3:$H$1981,$C243,門市請款明細表!$I$3:$I$1981,G$1)</f>
        <v>0</v>
      </c>
      <c r="H243" s="431" t="n">
        <f aca="false">SUMIFS(門市請款明細表!$J$3:$J$1981,門市請款明細表!$H$3:$H$1981,$C243,門市請款明細表!$I$3:$I$1981,H$1)</f>
        <v>0</v>
      </c>
      <c r="I243" s="15" t="n">
        <f aca="false">SUM(E243:H243)</f>
        <v>0</v>
      </c>
      <c r="J243" s="0" t="str">
        <f aca="false">IF(D243=I243,"●","✖")</f>
        <v>●</v>
      </c>
    </row>
    <row r="244" customFormat="false" ht="16.5" hidden="false" customHeight="false" outlineLevel="0" collapsed="false">
      <c r="A244" s="431" t="n">
        <v>239</v>
      </c>
      <c r="B244" s="139" t="s">
        <v>4932</v>
      </c>
      <c r="C244" s="417" t="s">
        <v>9</v>
      </c>
      <c r="D244" s="141" t="n">
        <f aca="false">SUMIF(門市請款明細表!$H$3:$H$1981,$C244,門市請款明細表!$J$3:$J$1981)</f>
        <v>0</v>
      </c>
      <c r="E244" s="431" t="n">
        <f aca="false">SUMIFS(門市請款明細表!$J$3:$J$1981,門市請款明細表!$H$3:$H$1981,$C244,門市請款明細表!$I$3:$I$1981,E$1)</f>
        <v>0</v>
      </c>
      <c r="F244" s="431" t="n">
        <f aca="false">SUMIFS(門市請款明細表!$J$3:$J$1981,門市請款明細表!$H$3:$H$1981,$C244,門市請款明細表!$I$3:$I$1981,F$1)</f>
        <v>0</v>
      </c>
      <c r="G244" s="431" t="n">
        <f aca="false">SUMIFS(門市請款明細表!$J$3:$J$1981,門市請款明細表!$H$3:$H$1981,$C244,門市請款明細表!$I$3:$I$1981,G$1)</f>
        <v>0</v>
      </c>
      <c r="H244" s="431" t="n">
        <f aca="false">SUMIFS(門市請款明細表!$J$3:$J$1981,門市請款明細表!$H$3:$H$1981,$C244,門市請款明細表!$I$3:$I$1981,H$1)</f>
        <v>0</v>
      </c>
      <c r="I244" s="15" t="n">
        <f aca="false">SUM(E244:H244)</f>
        <v>0</v>
      </c>
      <c r="J244" s="0" t="str">
        <f aca="false">IF(D244=I244,"●","✖")</f>
        <v>●</v>
      </c>
    </row>
    <row r="245" customFormat="false" ht="16.5" hidden="false" customHeight="false" outlineLevel="0" collapsed="false">
      <c r="A245" s="431" t="n">
        <v>240</v>
      </c>
      <c r="B245" s="139" t="s">
        <v>4932</v>
      </c>
      <c r="C245" s="417" t="s">
        <v>47</v>
      </c>
      <c r="D245" s="141" t="n">
        <f aca="false">SUMIF(門市請款明細表!$H$3:$H$1981,$C245,門市請款明細表!$J$3:$J$1981)</f>
        <v>0</v>
      </c>
      <c r="E245" s="431" t="n">
        <f aca="false">SUMIFS(門市請款明細表!$J$3:$J$1981,門市請款明細表!$H$3:$H$1981,$C245,門市請款明細表!$I$3:$I$1981,E$1)</f>
        <v>0</v>
      </c>
      <c r="F245" s="431" t="n">
        <f aca="false">SUMIFS(門市請款明細表!$J$3:$J$1981,門市請款明細表!$H$3:$H$1981,$C245,門市請款明細表!$I$3:$I$1981,F$1)</f>
        <v>0</v>
      </c>
      <c r="G245" s="431" t="n">
        <f aca="false">SUMIFS(門市請款明細表!$J$3:$J$1981,門市請款明細表!$H$3:$H$1981,$C245,門市請款明細表!$I$3:$I$1981,G$1)</f>
        <v>0</v>
      </c>
      <c r="H245" s="431" t="n">
        <f aca="false">SUMIFS(門市請款明細表!$J$3:$J$1981,門市請款明細表!$H$3:$H$1981,$C245,門市請款明細表!$I$3:$I$1981,H$1)</f>
        <v>0</v>
      </c>
      <c r="I245" s="15" t="n">
        <f aca="false">SUM(E245:H245)</f>
        <v>0</v>
      </c>
      <c r="J245" s="0" t="str">
        <f aca="false">IF(D245=I245,"●","✖")</f>
        <v>●</v>
      </c>
    </row>
    <row r="246" customFormat="false" ht="16.5" hidden="false" customHeight="false" outlineLevel="0" collapsed="false">
      <c r="A246" s="431" t="n">
        <v>241</v>
      </c>
      <c r="B246" s="139" t="s">
        <v>4932</v>
      </c>
      <c r="C246" s="417" t="s">
        <v>266</v>
      </c>
      <c r="D246" s="141" t="n">
        <f aca="false">SUMIF(門市請款明細表!$H$3:$H$1981,$C246,門市請款明細表!$J$3:$J$1981)</f>
        <v>0</v>
      </c>
      <c r="E246" s="431" t="n">
        <f aca="false">SUMIFS(門市請款明細表!$J$3:$J$1981,門市請款明細表!$H$3:$H$1981,$C246,門市請款明細表!$I$3:$I$1981,E$1)</f>
        <v>0</v>
      </c>
      <c r="F246" s="431" t="n">
        <f aca="false">SUMIFS(門市請款明細表!$J$3:$J$1981,門市請款明細表!$H$3:$H$1981,$C246,門市請款明細表!$I$3:$I$1981,F$1)</f>
        <v>0</v>
      </c>
      <c r="G246" s="431" t="n">
        <f aca="false">SUMIFS(門市請款明細表!$J$3:$J$1981,門市請款明細表!$H$3:$H$1981,$C246,門市請款明細表!$I$3:$I$1981,G$1)</f>
        <v>0</v>
      </c>
      <c r="H246" s="431" t="n">
        <f aca="false">SUMIFS(門市請款明細表!$J$3:$J$1981,門市請款明細表!$H$3:$H$1981,$C246,門市請款明細表!$I$3:$I$1981,H$1)</f>
        <v>0</v>
      </c>
      <c r="I246" s="15" t="n">
        <f aca="false">SUM(E246:H246)</f>
        <v>0</v>
      </c>
      <c r="J246" s="0" t="str">
        <f aca="false">IF(D246=I246,"●","✖")</f>
        <v>●</v>
      </c>
    </row>
    <row r="247" customFormat="false" ht="16.5" hidden="false" customHeight="false" outlineLevel="0" collapsed="false">
      <c r="A247" s="431" t="n">
        <v>242</v>
      </c>
      <c r="B247" s="139" t="s">
        <v>4932</v>
      </c>
      <c r="C247" s="417" t="s">
        <v>76</v>
      </c>
      <c r="D247" s="141" t="n">
        <f aca="false">SUMIF(門市請款明細表!$H$3:$H$1981,$C247,門市請款明細表!$J$3:$J$1981)</f>
        <v>0</v>
      </c>
      <c r="E247" s="431" t="n">
        <f aca="false">SUMIFS(門市請款明細表!$J$3:$J$1981,門市請款明細表!$H$3:$H$1981,$C247,門市請款明細表!$I$3:$I$1981,E$1)</f>
        <v>0</v>
      </c>
      <c r="F247" s="431" t="n">
        <f aca="false">SUMIFS(門市請款明細表!$J$3:$J$1981,門市請款明細表!$H$3:$H$1981,$C247,門市請款明細表!$I$3:$I$1981,F$1)</f>
        <v>0</v>
      </c>
      <c r="G247" s="431" t="n">
        <f aca="false">SUMIFS(門市請款明細表!$J$3:$J$1981,門市請款明細表!$H$3:$H$1981,$C247,門市請款明細表!$I$3:$I$1981,G$1)</f>
        <v>0</v>
      </c>
      <c r="H247" s="431" t="n">
        <f aca="false">SUMIFS(門市請款明細表!$J$3:$J$1981,門市請款明細表!$H$3:$H$1981,$C247,門市請款明細表!$I$3:$I$1981,H$1)</f>
        <v>0</v>
      </c>
      <c r="I247" s="15" t="n">
        <f aca="false">SUM(E247:H247)</f>
        <v>0</v>
      </c>
      <c r="J247" s="0" t="str">
        <f aca="false">IF(D247=I247,"●","✖")</f>
        <v>●</v>
      </c>
    </row>
    <row r="248" customFormat="false" ht="16.5" hidden="false" customHeight="false" outlineLevel="0" collapsed="false">
      <c r="A248" s="431" t="n">
        <v>243</v>
      </c>
      <c r="B248" s="139" t="s">
        <v>4932</v>
      </c>
      <c r="C248" s="417" t="s">
        <v>243</v>
      </c>
      <c r="D248" s="141" t="n">
        <f aca="false">SUMIF(門市請款明細表!$H$3:$H$1981,$C248,門市請款明細表!$J$3:$J$1981)</f>
        <v>0</v>
      </c>
      <c r="E248" s="431" t="n">
        <f aca="false">SUMIFS(門市請款明細表!$J$3:$J$1981,門市請款明細表!$H$3:$H$1981,$C248,門市請款明細表!$I$3:$I$1981,E$1)</f>
        <v>0</v>
      </c>
      <c r="F248" s="431" t="n">
        <f aca="false">SUMIFS(門市請款明細表!$J$3:$J$1981,門市請款明細表!$H$3:$H$1981,$C248,門市請款明細表!$I$3:$I$1981,F$1)</f>
        <v>0</v>
      </c>
      <c r="G248" s="431" t="n">
        <f aca="false">SUMIFS(門市請款明細表!$J$3:$J$1981,門市請款明細表!$H$3:$H$1981,$C248,門市請款明細表!$I$3:$I$1981,G$1)</f>
        <v>0</v>
      </c>
      <c r="H248" s="431" t="n">
        <f aca="false">SUMIFS(門市請款明細表!$J$3:$J$1981,門市請款明細表!$H$3:$H$1981,$C248,門市請款明細表!$I$3:$I$1981,H$1)</f>
        <v>0</v>
      </c>
      <c r="I248" s="15" t="n">
        <f aca="false">SUM(E248:H248)</f>
        <v>0</v>
      </c>
      <c r="J248" s="0" t="str">
        <f aca="false">IF(D248=I248,"●","✖")</f>
        <v>●</v>
      </c>
    </row>
    <row r="249" customFormat="false" ht="16.5" hidden="false" customHeight="false" outlineLevel="0" collapsed="false">
      <c r="A249" s="431" t="n">
        <v>244</v>
      </c>
      <c r="B249" s="139" t="s">
        <v>4932</v>
      </c>
      <c r="C249" s="417" t="s">
        <v>265</v>
      </c>
      <c r="D249" s="141" t="n">
        <f aca="false">SUMIF(門市請款明細表!$H$3:$H$1981,$C249,門市請款明細表!$J$3:$J$1981)</f>
        <v>0</v>
      </c>
      <c r="E249" s="431" t="n">
        <f aca="false">SUMIFS(門市請款明細表!$J$3:$J$1981,門市請款明細表!$H$3:$H$1981,$C249,門市請款明細表!$I$3:$I$1981,E$1)</f>
        <v>0</v>
      </c>
      <c r="F249" s="431" t="n">
        <f aca="false">SUMIFS(門市請款明細表!$J$3:$J$1981,門市請款明細表!$H$3:$H$1981,$C249,門市請款明細表!$I$3:$I$1981,F$1)</f>
        <v>0</v>
      </c>
      <c r="G249" s="431" t="n">
        <f aca="false">SUMIFS(門市請款明細表!$J$3:$J$1981,門市請款明細表!$H$3:$H$1981,$C249,門市請款明細表!$I$3:$I$1981,G$1)</f>
        <v>0</v>
      </c>
      <c r="H249" s="431" t="n">
        <f aca="false">SUMIFS(門市請款明細表!$J$3:$J$1981,門市請款明細表!$H$3:$H$1981,$C249,門市請款明細表!$I$3:$I$1981,H$1)</f>
        <v>0</v>
      </c>
      <c r="I249" s="15" t="n">
        <f aca="false">SUM(E249:H249)</f>
        <v>0</v>
      </c>
      <c r="J249" s="0" t="str">
        <f aca="false">IF(D249=I249,"●","✖")</f>
        <v>●</v>
      </c>
    </row>
    <row r="250" customFormat="false" ht="16.5" hidden="false" customHeight="false" outlineLevel="0" collapsed="false">
      <c r="A250" s="431" t="n">
        <v>245</v>
      </c>
      <c r="B250" s="139" t="s">
        <v>4932</v>
      </c>
      <c r="C250" s="417" t="s">
        <v>346</v>
      </c>
      <c r="D250" s="141" t="n">
        <f aca="false">SUMIF(門市請款明細表!$H$3:$H$1981,$C250,門市請款明細表!$J$3:$J$1981)</f>
        <v>0</v>
      </c>
      <c r="E250" s="431" t="n">
        <f aca="false">SUMIFS(門市請款明細表!$J$3:$J$1981,門市請款明細表!$H$3:$H$1981,$C250,門市請款明細表!$I$3:$I$1981,E$1)</f>
        <v>0</v>
      </c>
      <c r="F250" s="431" t="n">
        <f aca="false">SUMIFS(門市請款明細表!$J$3:$J$1981,門市請款明細表!$H$3:$H$1981,$C250,門市請款明細表!$I$3:$I$1981,F$1)</f>
        <v>0</v>
      </c>
      <c r="G250" s="431" t="n">
        <f aca="false">SUMIFS(門市請款明細表!$J$3:$J$1981,門市請款明細表!$H$3:$H$1981,$C250,門市請款明細表!$I$3:$I$1981,G$1)</f>
        <v>0</v>
      </c>
      <c r="H250" s="431" t="n">
        <f aca="false">SUMIFS(門市請款明細表!$J$3:$J$1981,門市請款明細表!$H$3:$H$1981,$C250,門市請款明細表!$I$3:$I$1981,H$1)</f>
        <v>0</v>
      </c>
      <c r="I250" s="15" t="n">
        <f aca="false">SUM(E250:H250)</f>
        <v>0</v>
      </c>
      <c r="J250" s="0" t="str">
        <f aca="false">IF(D250=I250,"●","✖")</f>
        <v>●</v>
      </c>
    </row>
    <row r="251" customFormat="false" ht="16.5" hidden="false" customHeight="false" outlineLevel="0" collapsed="false">
      <c r="A251" s="431" t="n">
        <v>246</v>
      </c>
      <c r="B251" s="139" t="s">
        <v>4931</v>
      </c>
      <c r="C251" s="417" t="s">
        <v>382</v>
      </c>
      <c r="D251" s="141" t="n">
        <f aca="false">SUMIF(門市請款明細表!$H$3:$H$1981,$C251,門市請款明細表!$J$3:$J$1981)</f>
        <v>0</v>
      </c>
      <c r="E251" s="431" t="n">
        <f aca="false">SUMIFS(門市請款明細表!$J$3:$J$1981,門市請款明細表!$H$3:$H$1981,$C251,門市請款明細表!$I$3:$I$1981,E$1)</f>
        <v>0</v>
      </c>
      <c r="F251" s="431" t="n">
        <f aca="false">SUMIFS(門市請款明細表!$J$3:$J$1981,門市請款明細表!$H$3:$H$1981,$C251,門市請款明細表!$I$3:$I$1981,F$1)</f>
        <v>0</v>
      </c>
      <c r="G251" s="431" t="n">
        <f aca="false">SUMIFS(門市請款明細表!$J$3:$J$1981,門市請款明細表!$H$3:$H$1981,$C251,門市請款明細表!$I$3:$I$1981,G$1)</f>
        <v>0</v>
      </c>
      <c r="H251" s="431" t="n">
        <f aca="false">SUMIFS(門市請款明細表!$J$3:$J$1981,門市請款明細表!$H$3:$H$1981,$C251,門市請款明細表!$I$3:$I$1981,H$1)</f>
        <v>0</v>
      </c>
      <c r="I251" s="15" t="n">
        <f aca="false">SUM(E251:H251)</f>
        <v>0</v>
      </c>
      <c r="J251" s="0" t="str">
        <f aca="false">IF(D251=I251,"●","✖")</f>
        <v>●</v>
      </c>
    </row>
    <row r="252" customFormat="false" ht="16.5" hidden="false" customHeight="false" outlineLevel="0" collapsed="false">
      <c r="A252" s="431" t="n">
        <v>247</v>
      </c>
      <c r="B252" s="139" t="s">
        <v>4934</v>
      </c>
      <c r="C252" s="417" t="s">
        <v>41</v>
      </c>
      <c r="D252" s="141" t="n">
        <f aca="false">SUMIF(門市請款明細表!$H$3:$H$1981,$C252,門市請款明細表!$J$3:$J$1981)</f>
        <v>0</v>
      </c>
      <c r="E252" s="431" t="n">
        <f aca="false">SUMIFS(門市請款明細表!$J$3:$J$1981,門市請款明細表!$H$3:$H$1981,$C252,門市請款明細表!$I$3:$I$1981,E$1)</f>
        <v>0</v>
      </c>
      <c r="F252" s="431" t="n">
        <f aca="false">SUMIFS(門市請款明細表!$J$3:$J$1981,門市請款明細表!$H$3:$H$1981,$C252,門市請款明細表!$I$3:$I$1981,F$1)</f>
        <v>0</v>
      </c>
      <c r="G252" s="431" t="n">
        <f aca="false">SUMIFS(門市請款明細表!$J$3:$J$1981,門市請款明細表!$H$3:$H$1981,$C252,門市請款明細表!$I$3:$I$1981,G$1)</f>
        <v>0</v>
      </c>
      <c r="H252" s="431" t="n">
        <f aca="false">SUMIFS(門市請款明細表!$J$3:$J$1981,門市請款明細表!$H$3:$H$1981,$C252,門市請款明細表!$I$3:$I$1981,H$1)</f>
        <v>0</v>
      </c>
      <c r="I252" s="15" t="n">
        <f aca="false">SUM(E252:H252)</f>
        <v>0</v>
      </c>
      <c r="J252" s="0" t="str">
        <f aca="false">IF(D252=I252,"●","✖")</f>
        <v>●</v>
      </c>
    </row>
    <row r="253" customFormat="false" ht="16.5" hidden="false" customHeight="false" outlineLevel="0" collapsed="false">
      <c r="A253" s="431" t="n">
        <v>248</v>
      </c>
      <c r="B253" s="139" t="s">
        <v>4934</v>
      </c>
      <c r="C253" s="417" t="s">
        <v>5</v>
      </c>
      <c r="D253" s="141" t="n">
        <f aca="false">SUMIF(門市請款明細表!$H$3:$H$1981,$C253,門市請款明細表!$J$3:$J$1981)</f>
        <v>0</v>
      </c>
      <c r="E253" s="431" t="n">
        <f aca="false">SUMIFS(門市請款明細表!$J$3:$J$1981,門市請款明細表!$H$3:$H$1981,$C253,門市請款明細表!$I$3:$I$1981,E$1)</f>
        <v>0</v>
      </c>
      <c r="F253" s="431" t="n">
        <f aca="false">SUMIFS(門市請款明細表!$J$3:$J$1981,門市請款明細表!$H$3:$H$1981,$C253,門市請款明細表!$I$3:$I$1981,F$1)</f>
        <v>0</v>
      </c>
      <c r="G253" s="431" t="n">
        <f aca="false">SUMIFS(門市請款明細表!$J$3:$J$1981,門市請款明細表!$H$3:$H$1981,$C253,門市請款明細表!$I$3:$I$1981,G$1)</f>
        <v>0</v>
      </c>
      <c r="H253" s="431" t="n">
        <f aca="false">SUMIFS(門市請款明細表!$J$3:$J$1981,門市請款明細表!$H$3:$H$1981,$C253,門市請款明細表!$I$3:$I$1981,H$1)</f>
        <v>0</v>
      </c>
      <c r="I253" s="15" t="n">
        <f aca="false">SUM(E253:H253)</f>
        <v>0</v>
      </c>
      <c r="J253" s="0" t="str">
        <f aca="false">IF(D253=I253,"●","✖")</f>
        <v>●</v>
      </c>
    </row>
    <row r="254" customFormat="false" ht="16.5" hidden="false" customHeight="false" outlineLevel="0" collapsed="false">
      <c r="A254" s="431" t="n">
        <v>249</v>
      </c>
      <c r="B254" s="139" t="s">
        <v>4934</v>
      </c>
      <c r="C254" s="417" t="s">
        <v>226</v>
      </c>
      <c r="D254" s="141" t="n">
        <f aca="false">SUMIF(門市請款明細表!$H$3:$H$1981,$C254,門市請款明細表!$J$3:$J$1981)</f>
        <v>0</v>
      </c>
      <c r="E254" s="431" t="n">
        <f aca="false">SUMIFS(門市請款明細表!$J$3:$J$1981,門市請款明細表!$H$3:$H$1981,$C254,門市請款明細表!$I$3:$I$1981,E$1)</f>
        <v>0</v>
      </c>
      <c r="F254" s="431" t="n">
        <f aca="false">SUMIFS(門市請款明細表!$J$3:$J$1981,門市請款明細表!$H$3:$H$1981,$C254,門市請款明細表!$I$3:$I$1981,F$1)</f>
        <v>0</v>
      </c>
      <c r="G254" s="431" t="n">
        <f aca="false">SUMIFS(門市請款明細表!$J$3:$J$1981,門市請款明細表!$H$3:$H$1981,$C254,門市請款明細表!$I$3:$I$1981,G$1)</f>
        <v>0</v>
      </c>
      <c r="H254" s="431" t="n">
        <f aca="false">SUMIFS(門市請款明細表!$J$3:$J$1981,門市請款明細表!$H$3:$H$1981,$C254,門市請款明細表!$I$3:$I$1981,H$1)</f>
        <v>0</v>
      </c>
      <c r="I254" s="15" t="n">
        <f aca="false">SUM(E254:H254)</f>
        <v>0</v>
      </c>
      <c r="J254" s="0" t="str">
        <f aca="false">IF(D254=I254,"●","✖")</f>
        <v>●</v>
      </c>
    </row>
    <row r="255" customFormat="false" ht="16.5" hidden="false" customHeight="false" outlineLevel="0" collapsed="false">
      <c r="A255" s="431" t="n">
        <v>250</v>
      </c>
      <c r="B255" s="139" t="s">
        <v>4934</v>
      </c>
      <c r="C255" s="417" t="s">
        <v>184</v>
      </c>
      <c r="D255" s="141" t="n">
        <f aca="false">SUMIF(門市請款明細表!$H$3:$H$1981,$C255,門市請款明細表!$J$3:$J$1981)</f>
        <v>0</v>
      </c>
      <c r="E255" s="431" t="n">
        <f aca="false">SUMIFS(門市請款明細表!$J$3:$J$1981,門市請款明細表!$H$3:$H$1981,$C255,門市請款明細表!$I$3:$I$1981,E$1)</f>
        <v>0</v>
      </c>
      <c r="F255" s="431" t="n">
        <f aca="false">SUMIFS(門市請款明細表!$J$3:$J$1981,門市請款明細表!$H$3:$H$1981,$C255,門市請款明細表!$I$3:$I$1981,F$1)</f>
        <v>0</v>
      </c>
      <c r="G255" s="431" t="n">
        <f aca="false">SUMIFS(門市請款明細表!$J$3:$J$1981,門市請款明細表!$H$3:$H$1981,$C255,門市請款明細表!$I$3:$I$1981,G$1)</f>
        <v>0</v>
      </c>
      <c r="H255" s="431" t="n">
        <f aca="false">SUMIFS(門市請款明細表!$J$3:$J$1981,門市請款明細表!$H$3:$H$1981,$C255,門市請款明細表!$I$3:$I$1981,H$1)</f>
        <v>0</v>
      </c>
      <c r="I255" s="15" t="n">
        <f aca="false">SUM(E255:H255)</f>
        <v>0</v>
      </c>
      <c r="J255" s="0" t="str">
        <f aca="false">IF(D255=I255,"●","✖")</f>
        <v>●</v>
      </c>
    </row>
    <row r="256" customFormat="false" ht="16.5" hidden="false" customHeight="false" outlineLevel="0" collapsed="false">
      <c r="A256" s="431" t="n">
        <v>251</v>
      </c>
      <c r="B256" s="139" t="s">
        <v>4934</v>
      </c>
      <c r="C256" s="417" t="s">
        <v>97</v>
      </c>
      <c r="D256" s="141" t="n">
        <f aca="false">SUMIF(門市請款明細表!$H$3:$H$1981,$C256,門市請款明細表!$J$3:$J$1981)</f>
        <v>0</v>
      </c>
      <c r="E256" s="431" t="n">
        <f aca="false">SUMIFS(門市請款明細表!$J$3:$J$1981,門市請款明細表!$H$3:$H$1981,$C256,門市請款明細表!$I$3:$I$1981,E$1)</f>
        <v>0</v>
      </c>
      <c r="F256" s="431" t="n">
        <f aca="false">SUMIFS(門市請款明細表!$J$3:$J$1981,門市請款明細表!$H$3:$H$1981,$C256,門市請款明細表!$I$3:$I$1981,F$1)</f>
        <v>0</v>
      </c>
      <c r="G256" s="431" t="n">
        <f aca="false">SUMIFS(門市請款明細表!$J$3:$J$1981,門市請款明細表!$H$3:$H$1981,$C256,門市請款明細表!$I$3:$I$1981,G$1)</f>
        <v>0</v>
      </c>
      <c r="H256" s="431" t="n">
        <f aca="false">SUMIFS(門市請款明細表!$J$3:$J$1981,門市請款明細表!$H$3:$H$1981,$C256,門市請款明細表!$I$3:$I$1981,H$1)</f>
        <v>0</v>
      </c>
      <c r="I256" s="15" t="n">
        <f aca="false">SUM(E256:H256)</f>
        <v>0</v>
      </c>
      <c r="J256" s="0" t="str">
        <f aca="false">IF(D256=I256,"●","✖")</f>
        <v>●</v>
      </c>
    </row>
    <row r="257" customFormat="false" ht="16.5" hidden="false" customHeight="false" outlineLevel="0" collapsed="false">
      <c r="A257" s="431" t="n">
        <v>252</v>
      </c>
      <c r="B257" s="139" t="s">
        <v>4934</v>
      </c>
      <c r="C257" s="417" t="s">
        <v>360</v>
      </c>
      <c r="D257" s="141" t="n">
        <f aca="false">SUMIF(門市請款明細表!$H$3:$H$1981,$C257,門市請款明細表!$J$3:$J$1981)</f>
        <v>0</v>
      </c>
      <c r="E257" s="431" t="n">
        <f aca="false">SUMIFS(門市請款明細表!$J$3:$J$1981,門市請款明細表!$H$3:$H$1981,$C257,門市請款明細表!$I$3:$I$1981,E$1)</f>
        <v>0</v>
      </c>
      <c r="F257" s="431" t="n">
        <f aca="false">SUMIFS(門市請款明細表!$J$3:$J$1981,門市請款明細表!$H$3:$H$1981,$C257,門市請款明細表!$I$3:$I$1981,F$1)</f>
        <v>0</v>
      </c>
      <c r="G257" s="431" t="n">
        <f aca="false">SUMIFS(門市請款明細表!$J$3:$J$1981,門市請款明細表!$H$3:$H$1981,$C257,門市請款明細表!$I$3:$I$1981,G$1)</f>
        <v>0</v>
      </c>
      <c r="H257" s="431" t="n">
        <f aca="false">SUMIFS(門市請款明細表!$J$3:$J$1981,門市請款明細表!$H$3:$H$1981,$C257,門市請款明細表!$I$3:$I$1981,H$1)</f>
        <v>0</v>
      </c>
      <c r="I257" s="15" t="n">
        <f aca="false">SUM(E257:H257)</f>
        <v>0</v>
      </c>
      <c r="J257" s="0" t="str">
        <f aca="false">IF(D257=I257,"●","✖")</f>
        <v>●</v>
      </c>
    </row>
    <row r="258" customFormat="false" ht="16.5" hidden="false" customHeight="false" outlineLevel="0" collapsed="false">
      <c r="A258" s="431" t="n">
        <v>253</v>
      </c>
      <c r="B258" s="139" t="s">
        <v>4933</v>
      </c>
      <c r="C258" s="417" t="s">
        <v>86</v>
      </c>
      <c r="D258" s="141" t="n">
        <f aca="false">SUMIF(門市請款明細表!$H$3:$H$1981,$C258,門市請款明細表!$J$3:$J$1981)</f>
        <v>0</v>
      </c>
      <c r="E258" s="431" t="n">
        <f aca="false">SUMIFS(門市請款明細表!$J$3:$J$1981,門市請款明細表!$H$3:$H$1981,$C258,門市請款明細表!$I$3:$I$1981,E$1)</f>
        <v>0</v>
      </c>
      <c r="F258" s="431" t="n">
        <f aca="false">SUMIFS(門市請款明細表!$J$3:$J$1981,門市請款明細表!$H$3:$H$1981,$C258,門市請款明細表!$I$3:$I$1981,F$1)</f>
        <v>0</v>
      </c>
      <c r="G258" s="431" t="n">
        <f aca="false">SUMIFS(門市請款明細表!$J$3:$J$1981,門市請款明細表!$H$3:$H$1981,$C258,門市請款明細表!$I$3:$I$1981,G$1)</f>
        <v>0</v>
      </c>
      <c r="H258" s="431" t="n">
        <f aca="false">SUMIFS(門市請款明細表!$J$3:$J$1981,門市請款明細表!$H$3:$H$1981,$C258,門市請款明細表!$I$3:$I$1981,H$1)</f>
        <v>0</v>
      </c>
      <c r="I258" s="15" t="n">
        <f aca="false">SUM(E258:H258)</f>
        <v>0</v>
      </c>
      <c r="J258" s="0" t="str">
        <f aca="false">IF(D258=I258,"●","✖")</f>
        <v>●</v>
      </c>
    </row>
    <row r="259" customFormat="false" ht="16.5" hidden="false" customHeight="false" outlineLevel="0" collapsed="false">
      <c r="A259" s="431" t="n">
        <v>254</v>
      </c>
      <c r="B259" s="139" t="s">
        <v>4933</v>
      </c>
      <c r="C259" s="417" t="s">
        <v>238</v>
      </c>
      <c r="D259" s="141" t="n">
        <f aca="false">SUMIF(門市請款明細表!$H$3:$H$1981,$C259,門市請款明細表!$J$3:$J$1981)</f>
        <v>0</v>
      </c>
      <c r="E259" s="431" t="n">
        <f aca="false">SUMIFS(門市請款明細表!$J$3:$J$1981,門市請款明細表!$H$3:$H$1981,$C259,門市請款明細表!$I$3:$I$1981,E$1)</f>
        <v>0</v>
      </c>
      <c r="F259" s="431" t="n">
        <f aca="false">SUMIFS(門市請款明細表!$J$3:$J$1981,門市請款明細表!$H$3:$H$1981,$C259,門市請款明細表!$I$3:$I$1981,F$1)</f>
        <v>0</v>
      </c>
      <c r="G259" s="431" t="n">
        <f aca="false">SUMIFS(門市請款明細表!$J$3:$J$1981,門市請款明細表!$H$3:$H$1981,$C259,門市請款明細表!$I$3:$I$1981,G$1)</f>
        <v>0</v>
      </c>
      <c r="H259" s="431" t="n">
        <f aca="false">SUMIFS(門市請款明細表!$J$3:$J$1981,門市請款明細表!$H$3:$H$1981,$C259,門市請款明細表!$I$3:$I$1981,H$1)</f>
        <v>0</v>
      </c>
      <c r="I259" s="15" t="n">
        <f aca="false">SUM(E259:H259)</f>
        <v>0</v>
      </c>
      <c r="J259" s="0" t="str">
        <f aca="false">IF(D259=I259,"●","✖")</f>
        <v>●</v>
      </c>
    </row>
    <row r="260" customFormat="false" ht="16.5" hidden="false" customHeight="false" outlineLevel="0" collapsed="false">
      <c r="A260" s="431" t="n">
        <v>255</v>
      </c>
      <c r="B260" s="139" t="s">
        <v>4933</v>
      </c>
      <c r="C260" s="417" t="s">
        <v>323</v>
      </c>
      <c r="D260" s="141" t="n">
        <f aca="false">SUMIF(門市請款明細表!$H$3:$H$1981,$C260,門市請款明細表!$J$3:$J$1981)</f>
        <v>0</v>
      </c>
      <c r="E260" s="431" t="n">
        <f aca="false">SUMIFS(門市請款明細表!$J$3:$J$1981,門市請款明細表!$H$3:$H$1981,$C260,門市請款明細表!$I$3:$I$1981,E$1)</f>
        <v>0</v>
      </c>
      <c r="F260" s="431" t="n">
        <f aca="false">SUMIFS(門市請款明細表!$J$3:$J$1981,門市請款明細表!$H$3:$H$1981,$C260,門市請款明細表!$I$3:$I$1981,F$1)</f>
        <v>0</v>
      </c>
      <c r="G260" s="431" t="n">
        <f aca="false">SUMIFS(門市請款明細表!$J$3:$J$1981,門市請款明細表!$H$3:$H$1981,$C260,門市請款明細表!$I$3:$I$1981,G$1)</f>
        <v>0</v>
      </c>
      <c r="H260" s="431" t="n">
        <f aca="false">SUMIFS(門市請款明細表!$J$3:$J$1981,門市請款明細表!$H$3:$H$1981,$C260,門市請款明細表!$I$3:$I$1981,H$1)</f>
        <v>0</v>
      </c>
      <c r="I260" s="15" t="n">
        <f aca="false">SUM(E260:H260)</f>
        <v>0</v>
      </c>
      <c r="J260" s="0" t="str">
        <f aca="false">IF(D260=I260,"●","✖")</f>
        <v>●</v>
      </c>
    </row>
    <row r="261" customFormat="false" ht="16.5" hidden="false" customHeight="false" outlineLevel="0" collapsed="false">
      <c r="A261" s="431" t="n">
        <v>256</v>
      </c>
      <c r="B261" s="139" t="s">
        <v>4933</v>
      </c>
      <c r="C261" s="417" t="s">
        <v>45</v>
      </c>
      <c r="D261" s="141" t="n">
        <f aca="false">SUMIF(門市請款明細表!$H$3:$H$1981,$C261,門市請款明細表!$J$3:$J$1981)</f>
        <v>0</v>
      </c>
      <c r="E261" s="431" t="n">
        <f aca="false">SUMIFS(門市請款明細表!$J$3:$J$1981,門市請款明細表!$H$3:$H$1981,$C261,門市請款明細表!$I$3:$I$1981,E$1)</f>
        <v>0</v>
      </c>
      <c r="F261" s="431" t="n">
        <f aca="false">SUMIFS(門市請款明細表!$J$3:$J$1981,門市請款明細表!$H$3:$H$1981,$C261,門市請款明細表!$I$3:$I$1981,F$1)</f>
        <v>0</v>
      </c>
      <c r="G261" s="431" t="n">
        <f aca="false">SUMIFS(門市請款明細表!$J$3:$J$1981,門市請款明細表!$H$3:$H$1981,$C261,門市請款明細表!$I$3:$I$1981,G$1)</f>
        <v>0</v>
      </c>
      <c r="H261" s="431" t="n">
        <f aca="false">SUMIFS(門市請款明細表!$J$3:$J$1981,門市請款明細表!$H$3:$H$1981,$C261,門市請款明細表!$I$3:$I$1981,H$1)</f>
        <v>0</v>
      </c>
      <c r="I261" s="15" t="n">
        <f aca="false">SUM(E261:H261)</f>
        <v>0</v>
      </c>
      <c r="J261" s="0" t="str">
        <f aca="false">IF(D261=I261,"●","✖")</f>
        <v>●</v>
      </c>
    </row>
    <row r="262" customFormat="false" ht="16.5" hidden="false" customHeight="false" outlineLevel="0" collapsed="false">
      <c r="A262" s="431" t="n">
        <v>257</v>
      </c>
      <c r="B262" s="139" t="s">
        <v>4934</v>
      </c>
      <c r="C262" s="417" t="s">
        <v>210</v>
      </c>
      <c r="D262" s="141" t="n">
        <f aca="false">SUMIF(門市請款明細表!$H$3:$H$1981,$C262,門市請款明細表!$J$3:$J$1981)</f>
        <v>0</v>
      </c>
      <c r="E262" s="431" t="n">
        <f aca="false">SUMIFS(門市請款明細表!$J$3:$J$1981,門市請款明細表!$H$3:$H$1981,$C262,門市請款明細表!$I$3:$I$1981,E$1)</f>
        <v>0</v>
      </c>
      <c r="F262" s="431" t="n">
        <f aca="false">SUMIFS(門市請款明細表!$J$3:$J$1981,門市請款明細表!$H$3:$H$1981,$C262,門市請款明細表!$I$3:$I$1981,F$1)</f>
        <v>0</v>
      </c>
      <c r="G262" s="431" t="n">
        <f aca="false">SUMIFS(門市請款明細表!$J$3:$J$1981,門市請款明細表!$H$3:$H$1981,$C262,門市請款明細表!$I$3:$I$1981,G$1)</f>
        <v>0</v>
      </c>
      <c r="H262" s="431" t="n">
        <f aca="false">SUMIFS(門市請款明細表!$J$3:$J$1981,門市請款明細表!$H$3:$H$1981,$C262,門市請款明細表!$I$3:$I$1981,H$1)</f>
        <v>0</v>
      </c>
      <c r="I262" s="15" t="n">
        <f aca="false">SUM(E262:H262)</f>
        <v>0</v>
      </c>
      <c r="J262" s="0" t="str">
        <f aca="false">IF(D262=I262,"●","✖")</f>
        <v>●</v>
      </c>
    </row>
    <row r="263" customFormat="false" ht="16.5" hidden="false" customHeight="false" outlineLevel="0" collapsed="false">
      <c r="A263" s="431" t="n">
        <v>258</v>
      </c>
      <c r="B263" s="139" t="s">
        <v>4929</v>
      </c>
      <c r="C263" s="417" t="s">
        <v>148</v>
      </c>
      <c r="D263" s="141" t="n">
        <f aca="false">SUMIF(門市請款明細表!$H$3:$H$1981,$C263,門市請款明細表!$J$3:$J$1981)</f>
        <v>0</v>
      </c>
      <c r="E263" s="431" t="n">
        <f aca="false">SUMIFS(門市請款明細表!$J$3:$J$1981,門市請款明細表!$H$3:$H$1981,$C263,門市請款明細表!$I$3:$I$1981,E$1)</f>
        <v>0</v>
      </c>
      <c r="F263" s="431" t="n">
        <f aca="false">SUMIFS(門市請款明細表!$J$3:$J$1981,門市請款明細表!$H$3:$H$1981,$C263,門市請款明細表!$I$3:$I$1981,F$1)</f>
        <v>0</v>
      </c>
      <c r="G263" s="431" t="n">
        <f aca="false">SUMIFS(門市請款明細表!$J$3:$J$1981,門市請款明細表!$H$3:$H$1981,$C263,門市請款明細表!$I$3:$I$1981,G$1)</f>
        <v>0</v>
      </c>
      <c r="H263" s="431" t="n">
        <f aca="false">SUMIFS(門市請款明細表!$J$3:$J$1981,門市請款明細表!$H$3:$H$1981,$C263,門市請款明細表!$I$3:$I$1981,H$1)</f>
        <v>0</v>
      </c>
      <c r="I263" s="15" t="n">
        <f aca="false">SUM(E263:H263)</f>
        <v>0</v>
      </c>
      <c r="J263" s="0" t="str">
        <f aca="false">IF(D263=I263,"●","✖")</f>
        <v>●</v>
      </c>
    </row>
    <row r="264" customFormat="false" ht="16.5" hidden="false" customHeight="false" outlineLevel="0" collapsed="false">
      <c r="A264" s="431" t="n">
        <v>259</v>
      </c>
      <c r="B264" s="139" t="s">
        <v>4929</v>
      </c>
      <c r="C264" s="417" t="s">
        <v>246</v>
      </c>
      <c r="D264" s="141" t="n">
        <f aca="false">SUMIF(門市請款明細表!$H$3:$H$1981,$C264,門市請款明細表!$J$3:$J$1981)</f>
        <v>0</v>
      </c>
      <c r="E264" s="431" t="n">
        <f aca="false">SUMIFS(門市請款明細表!$J$3:$J$1981,門市請款明細表!$H$3:$H$1981,$C264,門市請款明細表!$I$3:$I$1981,E$1)</f>
        <v>0</v>
      </c>
      <c r="F264" s="431" t="n">
        <f aca="false">SUMIFS(門市請款明細表!$J$3:$J$1981,門市請款明細表!$H$3:$H$1981,$C264,門市請款明細表!$I$3:$I$1981,F$1)</f>
        <v>0</v>
      </c>
      <c r="G264" s="431" t="n">
        <f aca="false">SUMIFS(門市請款明細表!$J$3:$J$1981,門市請款明細表!$H$3:$H$1981,$C264,門市請款明細表!$I$3:$I$1981,G$1)</f>
        <v>0</v>
      </c>
      <c r="H264" s="431" t="n">
        <f aca="false">SUMIFS(門市請款明細表!$J$3:$J$1981,門市請款明細表!$H$3:$H$1981,$C264,門市請款明細表!$I$3:$I$1981,H$1)</f>
        <v>0</v>
      </c>
      <c r="I264" s="15" t="n">
        <f aca="false">SUM(E264:H264)</f>
        <v>0</v>
      </c>
      <c r="J264" s="0" t="str">
        <f aca="false">IF(D264=I264,"●","✖")</f>
        <v>●</v>
      </c>
    </row>
    <row r="265" customFormat="false" ht="16.5" hidden="false" customHeight="false" outlineLevel="0" collapsed="false">
      <c r="A265" s="431" t="n">
        <v>260</v>
      </c>
      <c r="B265" s="139" t="s">
        <v>4929</v>
      </c>
      <c r="C265" s="417" t="s">
        <v>313</v>
      </c>
      <c r="D265" s="141" t="n">
        <f aca="false">SUMIF(門市請款明細表!$H$3:$H$1981,$C265,門市請款明細表!$J$3:$J$1981)</f>
        <v>0</v>
      </c>
      <c r="E265" s="431" t="n">
        <f aca="false">SUMIFS(門市請款明細表!$J$3:$J$1981,門市請款明細表!$H$3:$H$1981,$C265,門市請款明細表!$I$3:$I$1981,E$1)</f>
        <v>0</v>
      </c>
      <c r="F265" s="431" t="n">
        <f aca="false">SUMIFS(門市請款明細表!$J$3:$J$1981,門市請款明細表!$H$3:$H$1981,$C265,門市請款明細表!$I$3:$I$1981,F$1)</f>
        <v>0</v>
      </c>
      <c r="G265" s="431" t="n">
        <f aca="false">SUMIFS(門市請款明細表!$J$3:$J$1981,門市請款明細表!$H$3:$H$1981,$C265,門市請款明細表!$I$3:$I$1981,G$1)</f>
        <v>0</v>
      </c>
      <c r="H265" s="431" t="n">
        <f aca="false">SUMIFS(門市請款明細表!$J$3:$J$1981,門市請款明細表!$H$3:$H$1981,$C265,門市請款明細表!$I$3:$I$1981,H$1)</f>
        <v>0</v>
      </c>
      <c r="I265" s="15" t="n">
        <f aca="false">SUM(E265:H265)</f>
        <v>0</v>
      </c>
      <c r="J265" s="0" t="str">
        <f aca="false">IF(D265=I265,"●","✖")</f>
        <v>●</v>
      </c>
    </row>
    <row r="266" customFormat="false" ht="16.5" hidden="false" customHeight="false" outlineLevel="0" collapsed="false">
      <c r="A266" s="431" t="n">
        <v>261</v>
      </c>
      <c r="B266" s="139" t="s">
        <v>4929</v>
      </c>
      <c r="C266" s="417" t="s">
        <v>395</v>
      </c>
      <c r="D266" s="141" t="n">
        <f aca="false">SUMIF(門市請款明細表!$H$3:$H$1981,$C266,門市請款明細表!$J$3:$J$1981)</f>
        <v>0</v>
      </c>
      <c r="E266" s="431" t="n">
        <f aca="false">SUMIFS(門市請款明細表!$J$3:$J$1981,門市請款明細表!$H$3:$H$1981,$C266,門市請款明細表!$I$3:$I$1981,E$1)</f>
        <v>0</v>
      </c>
      <c r="F266" s="431" t="n">
        <f aca="false">SUMIFS(門市請款明細表!$J$3:$J$1981,門市請款明細表!$H$3:$H$1981,$C266,門市請款明細表!$I$3:$I$1981,F$1)</f>
        <v>0</v>
      </c>
      <c r="G266" s="431" t="n">
        <f aca="false">SUMIFS(門市請款明細表!$J$3:$J$1981,門市請款明細表!$H$3:$H$1981,$C266,門市請款明細表!$I$3:$I$1981,G$1)</f>
        <v>0</v>
      </c>
      <c r="H266" s="431" t="n">
        <f aca="false">SUMIFS(門市請款明細表!$J$3:$J$1981,門市請款明細表!$H$3:$H$1981,$C266,門市請款明細表!$I$3:$I$1981,H$1)</f>
        <v>0</v>
      </c>
      <c r="I266" s="15" t="n">
        <f aca="false">SUM(E266:H266)</f>
        <v>0</v>
      </c>
      <c r="J266" s="0" t="str">
        <f aca="false">IF(D266=I266,"●","✖")</f>
        <v>●</v>
      </c>
    </row>
    <row r="267" customFormat="false" ht="16.5" hidden="false" customHeight="false" outlineLevel="0" collapsed="false">
      <c r="A267" s="431" t="n">
        <v>262</v>
      </c>
      <c r="B267" s="139" t="s">
        <v>4929</v>
      </c>
      <c r="C267" s="417" t="s">
        <v>25</v>
      </c>
      <c r="D267" s="141" t="n">
        <f aca="false">SUMIF(門市請款明細表!$H$3:$H$1981,$C267,門市請款明細表!$J$3:$J$1981)</f>
        <v>0</v>
      </c>
      <c r="E267" s="431" t="n">
        <f aca="false">SUMIFS(門市請款明細表!$J$3:$J$1981,門市請款明細表!$H$3:$H$1981,$C267,門市請款明細表!$I$3:$I$1981,E$1)</f>
        <v>0</v>
      </c>
      <c r="F267" s="431" t="n">
        <f aca="false">SUMIFS(門市請款明細表!$J$3:$J$1981,門市請款明細表!$H$3:$H$1981,$C267,門市請款明細表!$I$3:$I$1981,F$1)</f>
        <v>0</v>
      </c>
      <c r="G267" s="431" t="n">
        <f aca="false">SUMIFS(門市請款明細表!$J$3:$J$1981,門市請款明細表!$H$3:$H$1981,$C267,門市請款明細表!$I$3:$I$1981,G$1)</f>
        <v>0</v>
      </c>
      <c r="H267" s="431" t="n">
        <f aca="false">SUMIFS(門市請款明細表!$J$3:$J$1981,門市請款明細表!$H$3:$H$1981,$C267,門市請款明細表!$I$3:$I$1981,H$1)</f>
        <v>0</v>
      </c>
      <c r="I267" s="15" t="n">
        <f aca="false">SUM(E267:H267)</f>
        <v>0</v>
      </c>
      <c r="J267" s="0" t="str">
        <f aca="false">IF(D267=I267,"●","✖")</f>
        <v>●</v>
      </c>
    </row>
    <row r="268" customFormat="false" ht="16.5" hidden="false" customHeight="false" outlineLevel="0" collapsed="false">
      <c r="A268" s="431" t="n">
        <v>263</v>
      </c>
      <c r="B268" s="139" t="s">
        <v>4929</v>
      </c>
      <c r="C268" s="417" t="s">
        <v>20</v>
      </c>
      <c r="D268" s="141" t="n">
        <f aca="false">SUMIF(門市請款明細表!$H$3:$H$1981,$C268,門市請款明細表!$J$3:$J$1981)</f>
        <v>0</v>
      </c>
      <c r="E268" s="431" t="n">
        <f aca="false">SUMIFS(門市請款明細表!$J$3:$J$1981,門市請款明細表!$H$3:$H$1981,$C268,門市請款明細表!$I$3:$I$1981,E$1)</f>
        <v>0</v>
      </c>
      <c r="F268" s="431" t="n">
        <f aca="false">SUMIFS(門市請款明細表!$J$3:$J$1981,門市請款明細表!$H$3:$H$1981,$C268,門市請款明細表!$I$3:$I$1981,F$1)</f>
        <v>0</v>
      </c>
      <c r="G268" s="431" t="n">
        <f aca="false">SUMIFS(門市請款明細表!$J$3:$J$1981,門市請款明細表!$H$3:$H$1981,$C268,門市請款明細表!$I$3:$I$1981,G$1)</f>
        <v>0</v>
      </c>
      <c r="H268" s="431" t="n">
        <f aca="false">SUMIFS(門市請款明細表!$J$3:$J$1981,門市請款明細表!$H$3:$H$1981,$C268,門市請款明細表!$I$3:$I$1981,H$1)</f>
        <v>0</v>
      </c>
      <c r="I268" s="15" t="n">
        <f aca="false">SUM(E268:H268)</f>
        <v>0</v>
      </c>
      <c r="J268" s="0" t="str">
        <f aca="false">IF(D268=I268,"●","✖")</f>
        <v>●</v>
      </c>
    </row>
    <row r="269" customFormat="false" ht="16.5" hidden="false" customHeight="false" outlineLevel="0" collapsed="false">
      <c r="A269" s="431" t="n">
        <v>264</v>
      </c>
      <c r="B269" s="139" t="s">
        <v>4929</v>
      </c>
      <c r="C269" s="417" t="s">
        <v>420</v>
      </c>
      <c r="D269" s="141" t="n">
        <f aca="false">SUMIF(門市請款明細表!$H$3:$H$1981,$C269,門市請款明細表!$J$3:$J$1981)</f>
        <v>0</v>
      </c>
      <c r="E269" s="431" t="n">
        <f aca="false">SUMIFS(門市請款明細表!$J$3:$J$1981,門市請款明細表!$H$3:$H$1981,$C269,門市請款明細表!$I$3:$I$1981,E$1)</f>
        <v>0</v>
      </c>
      <c r="F269" s="431" t="n">
        <f aca="false">SUMIFS(門市請款明細表!$J$3:$J$1981,門市請款明細表!$H$3:$H$1981,$C269,門市請款明細表!$I$3:$I$1981,F$1)</f>
        <v>0</v>
      </c>
      <c r="G269" s="431" t="n">
        <f aca="false">SUMIFS(門市請款明細表!$J$3:$J$1981,門市請款明細表!$H$3:$H$1981,$C269,門市請款明細表!$I$3:$I$1981,G$1)</f>
        <v>0</v>
      </c>
      <c r="H269" s="431" t="n">
        <f aca="false">SUMIFS(門市請款明細表!$J$3:$J$1981,門市請款明細表!$H$3:$H$1981,$C269,門市請款明細表!$I$3:$I$1981,H$1)</f>
        <v>0</v>
      </c>
      <c r="I269" s="15" t="n">
        <f aca="false">SUM(E269:H269)</f>
        <v>0</v>
      </c>
      <c r="J269" s="0" t="str">
        <f aca="false">IF(D269=I269,"●","✖")</f>
        <v>●</v>
      </c>
    </row>
    <row r="270" customFormat="false" ht="16.5" hidden="false" customHeight="false" outlineLevel="0" collapsed="false">
      <c r="A270" s="431" t="n">
        <v>265</v>
      </c>
      <c r="B270" s="139" t="s">
        <v>4929</v>
      </c>
      <c r="C270" s="417" t="s">
        <v>251</v>
      </c>
      <c r="D270" s="141" t="n">
        <f aca="false">SUMIF(門市請款明細表!$H$3:$H$1981,$C270,門市請款明細表!$J$3:$J$1981)</f>
        <v>0</v>
      </c>
      <c r="E270" s="431" t="n">
        <f aca="false">SUMIFS(門市請款明細表!$J$3:$J$1981,門市請款明細表!$H$3:$H$1981,$C270,門市請款明細表!$I$3:$I$1981,E$1)</f>
        <v>0</v>
      </c>
      <c r="F270" s="431" t="n">
        <f aca="false">SUMIFS(門市請款明細表!$J$3:$J$1981,門市請款明細表!$H$3:$H$1981,$C270,門市請款明細表!$I$3:$I$1981,F$1)</f>
        <v>0</v>
      </c>
      <c r="G270" s="431" t="n">
        <f aca="false">SUMIFS(門市請款明細表!$J$3:$J$1981,門市請款明細表!$H$3:$H$1981,$C270,門市請款明細表!$I$3:$I$1981,G$1)</f>
        <v>0</v>
      </c>
      <c r="H270" s="431" t="n">
        <f aca="false">SUMIFS(門市請款明細表!$J$3:$J$1981,門市請款明細表!$H$3:$H$1981,$C270,門市請款明細表!$I$3:$I$1981,H$1)</f>
        <v>0</v>
      </c>
      <c r="I270" s="15" t="n">
        <f aca="false">SUM(E270:H270)</f>
        <v>0</v>
      </c>
      <c r="J270" s="0" t="str">
        <f aca="false">IF(D270=I270,"●","✖")</f>
        <v>●</v>
      </c>
    </row>
    <row r="271" customFormat="false" ht="16.5" hidden="false" customHeight="false" outlineLevel="0" collapsed="false">
      <c r="A271" s="431" t="n">
        <v>266</v>
      </c>
      <c r="B271" s="139" t="s">
        <v>4929</v>
      </c>
      <c r="C271" s="417" t="s">
        <v>217</v>
      </c>
      <c r="D271" s="141" t="n">
        <f aca="false">SUMIF(門市請款明細表!$H$3:$H$1981,$C271,門市請款明細表!$J$3:$J$1981)</f>
        <v>0</v>
      </c>
      <c r="E271" s="431" t="n">
        <f aca="false">SUMIFS(門市請款明細表!$J$3:$J$1981,門市請款明細表!$H$3:$H$1981,$C271,門市請款明細表!$I$3:$I$1981,E$1)</f>
        <v>0</v>
      </c>
      <c r="F271" s="431" t="n">
        <f aca="false">SUMIFS(門市請款明細表!$J$3:$J$1981,門市請款明細表!$H$3:$H$1981,$C271,門市請款明細表!$I$3:$I$1981,F$1)</f>
        <v>0</v>
      </c>
      <c r="G271" s="431" t="n">
        <f aca="false">SUMIFS(門市請款明細表!$J$3:$J$1981,門市請款明細表!$H$3:$H$1981,$C271,門市請款明細表!$I$3:$I$1981,G$1)</f>
        <v>0</v>
      </c>
      <c r="H271" s="431" t="n">
        <f aca="false">SUMIFS(門市請款明細表!$J$3:$J$1981,門市請款明細表!$H$3:$H$1981,$C271,門市請款明細表!$I$3:$I$1981,H$1)</f>
        <v>0</v>
      </c>
      <c r="I271" s="15" t="n">
        <f aca="false">SUM(E271:H271)</f>
        <v>0</v>
      </c>
      <c r="J271" s="0" t="str">
        <f aca="false">IF(D271=I271,"●","✖")</f>
        <v>●</v>
      </c>
    </row>
    <row r="272" customFormat="false" ht="16.5" hidden="false" customHeight="false" outlineLevel="0" collapsed="false">
      <c r="A272" s="431" t="n">
        <v>267</v>
      </c>
      <c r="B272" s="139" t="s">
        <v>4929</v>
      </c>
      <c r="C272" s="417" t="s">
        <v>212</v>
      </c>
      <c r="D272" s="141" t="n">
        <f aca="false">SUMIF(門市請款明細表!$H$3:$H$1981,$C272,門市請款明細表!$J$3:$J$1981)</f>
        <v>0</v>
      </c>
      <c r="E272" s="431" t="n">
        <f aca="false">SUMIFS(門市請款明細表!$J$3:$J$1981,門市請款明細表!$H$3:$H$1981,$C272,門市請款明細表!$I$3:$I$1981,E$1)</f>
        <v>0</v>
      </c>
      <c r="F272" s="431" t="n">
        <f aca="false">SUMIFS(門市請款明細表!$J$3:$J$1981,門市請款明細表!$H$3:$H$1981,$C272,門市請款明細表!$I$3:$I$1981,F$1)</f>
        <v>0</v>
      </c>
      <c r="G272" s="431" t="n">
        <f aca="false">SUMIFS(門市請款明細表!$J$3:$J$1981,門市請款明細表!$H$3:$H$1981,$C272,門市請款明細表!$I$3:$I$1981,G$1)</f>
        <v>0</v>
      </c>
      <c r="H272" s="431" t="n">
        <f aca="false">SUMIFS(門市請款明細表!$J$3:$J$1981,門市請款明細表!$H$3:$H$1981,$C272,門市請款明細表!$I$3:$I$1981,H$1)</f>
        <v>0</v>
      </c>
      <c r="I272" s="15" t="n">
        <f aca="false">SUM(E272:H272)</f>
        <v>0</v>
      </c>
      <c r="J272" s="0" t="str">
        <f aca="false">IF(D272=I272,"●","✖")</f>
        <v>●</v>
      </c>
    </row>
    <row r="273" customFormat="false" ht="16.5" hidden="false" customHeight="false" outlineLevel="0" collapsed="false">
      <c r="A273" s="431" t="n">
        <v>268</v>
      </c>
      <c r="B273" s="139" t="s">
        <v>4929</v>
      </c>
      <c r="C273" s="417" t="s">
        <v>204</v>
      </c>
      <c r="D273" s="141" t="n">
        <f aca="false">SUMIF(門市請款明細表!$H$3:$H$1981,$C273,門市請款明細表!$J$3:$J$1981)</f>
        <v>0</v>
      </c>
      <c r="E273" s="431" t="n">
        <f aca="false">SUMIFS(門市請款明細表!$J$3:$J$1981,門市請款明細表!$H$3:$H$1981,$C273,門市請款明細表!$I$3:$I$1981,E$1)</f>
        <v>0</v>
      </c>
      <c r="F273" s="431" t="n">
        <f aca="false">SUMIFS(門市請款明細表!$J$3:$J$1981,門市請款明細表!$H$3:$H$1981,$C273,門市請款明細表!$I$3:$I$1981,F$1)</f>
        <v>0</v>
      </c>
      <c r="G273" s="431" t="n">
        <f aca="false">SUMIFS(門市請款明細表!$J$3:$J$1981,門市請款明細表!$H$3:$H$1981,$C273,門市請款明細表!$I$3:$I$1981,G$1)</f>
        <v>0</v>
      </c>
      <c r="H273" s="431" t="n">
        <f aca="false">SUMIFS(門市請款明細表!$J$3:$J$1981,門市請款明細表!$H$3:$H$1981,$C273,門市請款明細表!$I$3:$I$1981,H$1)</f>
        <v>0</v>
      </c>
      <c r="I273" s="15" t="n">
        <f aca="false">SUM(E273:H273)</f>
        <v>0</v>
      </c>
      <c r="J273" s="0" t="str">
        <f aca="false">IF(D273=I273,"●","✖")</f>
        <v>●</v>
      </c>
    </row>
    <row r="274" customFormat="false" ht="16.5" hidden="false" customHeight="false" outlineLevel="0" collapsed="false">
      <c r="A274" s="431" t="n">
        <v>269</v>
      </c>
      <c r="B274" s="139" t="s">
        <v>4929</v>
      </c>
      <c r="C274" s="417" t="s">
        <v>65</v>
      </c>
      <c r="D274" s="141" t="n">
        <f aca="false">SUMIF(門市請款明細表!$H$3:$H$1981,$C274,門市請款明細表!$J$3:$J$1981)</f>
        <v>0</v>
      </c>
      <c r="E274" s="431" t="n">
        <f aca="false">SUMIFS(門市請款明細表!$J$3:$J$1981,門市請款明細表!$H$3:$H$1981,$C274,門市請款明細表!$I$3:$I$1981,E$1)</f>
        <v>0</v>
      </c>
      <c r="F274" s="431" t="n">
        <f aca="false">SUMIFS(門市請款明細表!$J$3:$J$1981,門市請款明細表!$H$3:$H$1981,$C274,門市請款明細表!$I$3:$I$1981,F$1)</f>
        <v>0</v>
      </c>
      <c r="G274" s="431" t="n">
        <f aca="false">SUMIFS(門市請款明細表!$J$3:$J$1981,門市請款明細表!$H$3:$H$1981,$C274,門市請款明細表!$I$3:$I$1981,G$1)</f>
        <v>0</v>
      </c>
      <c r="H274" s="431" t="n">
        <f aca="false">SUMIFS(門市請款明細表!$J$3:$J$1981,門市請款明細表!$H$3:$H$1981,$C274,門市請款明細表!$I$3:$I$1981,H$1)</f>
        <v>0</v>
      </c>
      <c r="I274" s="15" t="n">
        <f aca="false">SUM(E274:H274)</f>
        <v>0</v>
      </c>
      <c r="J274" s="0" t="str">
        <f aca="false">IF(D274=I274,"●","✖")</f>
        <v>●</v>
      </c>
    </row>
    <row r="275" customFormat="false" ht="16.5" hidden="false" customHeight="false" outlineLevel="0" collapsed="false">
      <c r="A275" s="431" t="n">
        <v>270</v>
      </c>
      <c r="B275" s="139" t="s">
        <v>4935</v>
      </c>
      <c r="C275" s="417" t="s">
        <v>94</v>
      </c>
      <c r="D275" s="141" t="n">
        <f aca="false">SUMIF(門市請款明細表!$H$3:$H$1981,$C275,門市請款明細表!$J$3:$J$1981)</f>
        <v>0</v>
      </c>
      <c r="E275" s="431" t="n">
        <f aca="false">SUMIFS(門市請款明細表!$J$3:$J$1981,門市請款明細表!$H$3:$H$1981,$C275,門市請款明細表!$I$3:$I$1981,E$1)</f>
        <v>0</v>
      </c>
      <c r="F275" s="431" t="n">
        <f aca="false">SUMIFS(門市請款明細表!$J$3:$J$1981,門市請款明細表!$H$3:$H$1981,$C275,門市請款明細表!$I$3:$I$1981,F$1)</f>
        <v>0</v>
      </c>
      <c r="G275" s="431" t="n">
        <f aca="false">SUMIFS(門市請款明細表!$J$3:$J$1981,門市請款明細表!$H$3:$H$1981,$C275,門市請款明細表!$I$3:$I$1981,G$1)</f>
        <v>0</v>
      </c>
      <c r="H275" s="431" t="n">
        <f aca="false">SUMIFS(門市請款明細表!$J$3:$J$1981,門市請款明細表!$H$3:$H$1981,$C275,門市請款明細表!$I$3:$I$1981,H$1)</f>
        <v>0</v>
      </c>
      <c r="I275" s="15" t="n">
        <f aca="false">SUM(E275:H275)</f>
        <v>0</v>
      </c>
      <c r="J275" s="0" t="str">
        <f aca="false">IF(D275=I275,"●","✖")</f>
        <v>●</v>
      </c>
    </row>
    <row r="276" customFormat="false" ht="16.5" hidden="false" customHeight="false" outlineLevel="0" collapsed="false">
      <c r="A276" s="431" t="n">
        <v>271</v>
      </c>
      <c r="B276" s="139" t="s">
        <v>4935</v>
      </c>
      <c r="C276" s="417" t="s">
        <v>320</v>
      </c>
      <c r="D276" s="141" t="n">
        <f aca="false">SUMIF(門市請款明細表!$H$3:$H$1981,$C276,門市請款明細表!$J$3:$J$1981)</f>
        <v>0</v>
      </c>
      <c r="E276" s="431" t="n">
        <f aca="false">SUMIFS(門市請款明細表!$J$3:$J$1981,門市請款明細表!$H$3:$H$1981,$C276,門市請款明細表!$I$3:$I$1981,E$1)</f>
        <v>0</v>
      </c>
      <c r="F276" s="431" t="n">
        <f aca="false">SUMIFS(門市請款明細表!$J$3:$J$1981,門市請款明細表!$H$3:$H$1981,$C276,門市請款明細表!$I$3:$I$1981,F$1)</f>
        <v>0</v>
      </c>
      <c r="G276" s="431" t="n">
        <f aca="false">SUMIFS(門市請款明細表!$J$3:$J$1981,門市請款明細表!$H$3:$H$1981,$C276,門市請款明細表!$I$3:$I$1981,G$1)</f>
        <v>0</v>
      </c>
      <c r="H276" s="431" t="n">
        <f aca="false">SUMIFS(門市請款明細表!$J$3:$J$1981,門市請款明細表!$H$3:$H$1981,$C276,門市請款明細表!$I$3:$I$1981,H$1)</f>
        <v>0</v>
      </c>
      <c r="I276" s="15" t="n">
        <f aca="false">SUM(E276:H276)</f>
        <v>0</v>
      </c>
      <c r="J276" s="0" t="str">
        <f aca="false">IF(D276=I276,"●","✖")</f>
        <v>●</v>
      </c>
    </row>
    <row r="277" customFormat="false" ht="16.5" hidden="false" customHeight="false" outlineLevel="0" collapsed="false">
      <c r="A277" s="431" t="n">
        <v>272</v>
      </c>
      <c r="B277" s="139" t="s">
        <v>4933</v>
      </c>
      <c r="C277" s="417" t="s">
        <v>197</v>
      </c>
      <c r="D277" s="141" t="n">
        <f aca="false">SUMIF(門市請款明細表!$H$3:$H$1981,$C277,門市請款明細表!$J$3:$J$1981)</f>
        <v>0</v>
      </c>
      <c r="E277" s="431" t="n">
        <f aca="false">SUMIFS(門市請款明細表!$J$3:$J$1981,門市請款明細表!$H$3:$H$1981,$C277,門市請款明細表!$I$3:$I$1981,E$1)</f>
        <v>0</v>
      </c>
      <c r="F277" s="431" t="n">
        <f aca="false">SUMIFS(門市請款明細表!$J$3:$J$1981,門市請款明細表!$H$3:$H$1981,$C277,門市請款明細表!$I$3:$I$1981,F$1)</f>
        <v>0</v>
      </c>
      <c r="G277" s="431" t="n">
        <f aca="false">SUMIFS(門市請款明細表!$J$3:$J$1981,門市請款明細表!$H$3:$H$1981,$C277,門市請款明細表!$I$3:$I$1981,G$1)</f>
        <v>0</v>
      </c>
      <c r="H277" s="431" t="n">
        <f aca="false">SUMIFS(門市請款明細表!$J$3:$J$1981,門市請款明細表!$H$3:$H$1981,$C277,門市請款明細表!$I$3:$I$1981,H$1)</f>
        <v>0</v>
      </c>
      <c r="I277" s="15" t="n">
        <f aca="false">SUM(E277:H277)</f>
        <v>0</v>
      </c>
      <c r="J277" s="0" t="str">
        <f aca="false">IF(D277=I277,"●","✖")</f>
        <v>●</v>
      </c>
    </row>
    <row r="278" customFormat="false" ht="16.5" hidden="false" customHeight="false" outlineLevel="0" collapsed="false">
      <c r="A278" s="431" t="n">
        <v>273</v>
      </c>
      <c r="B278" s="139" t="s">
        <v>4935</v>
      </c>
      <c r="C278" s="417" t="s">
        <v>38</v>
      </c>
      <c r="D278" s="141" t="n">
        <f aca="false">SUMIF(門市請款明細表!$H$3:$H$1981,$C278,門市請款明細表!$J$3:$J$1981)</f>
        <v>0</v>
      </c>
      <c r="E278" s="431" t="n">
        <f aca="false">SUMIFS(門市請款明細表!$J$3:$J$1981,門市請款明細表!$H$3:$H$1981,$C278,門市請款明細表!$I$3:$I$1981,E$1)</f>
        <v>0</v>
      </c>
      <c r="F278" s="431" t="n">
        <f aca="false">SUMIFS(門市請款明細表!$J$3:$J$1981,門市請款明細表!$H$3:$H$1981,$C278,門市請款明細表!$I$3:$I$1981,F$1)</f>
        <v>0</v>
      </c>
      <c r="G278" s="431" t="n">
        <f aca="false">SUMIFS(門市請款明細表!$J$3:$J$1981,門市請款明細表!$H$3:$H$1981,$C278,門市請款明細表!$I$3:$I$1981,G$1)</f>
        <v>0</v>
      </c>
      <c r="H278" s="431" t="n">
        <f aca="false">SUMIFS(門市請款明細表!$J$3:$J$1981,門市請款明細表!$H$3:$H$1981,$C278,門市請款明細表!$I$3:$I$1981,H$1)</f>
        <v>0</v>
      </c>
      <c r="I278" s="15" t="n">
        <f aca="false">SUM(E278:H278)</f>
        <v>0</v>
      </c>
      <c r="J278" s="0" t="str">
        <f aca="false">IF(D278=I278,"●","✖")</f>
        <v>●</v>
      </c>
    </row>
    <row r="279" customFormat="false" ht="16.5" hidden="false" customHeight="false" outlineLevel="0" collapsed="false">
      <c r="A279" s="431" t="n">
        <v>274</v>
      </c>
      <c r="B279" s="139" t="s">
        <v>4935</v>
      </c>
      <c r="C279" s="417" t="s">
        <v>83</v>
      </c>
      <c r="D279" s="141" t="n">
        <f aca="false">SUMIF(門市請款明細表!$H$3:$H$1981,$C279,門市請款明細表!$J$3:$J$1981)</f>
        <v>0</v>
      </c>
      <c r="E279" s="431" t="n">
        <f aca="false">SUMIFS(門市請款明細表!$J$3:$J$1981,門市請款明細表!$H$3:$H$1981,$C279,門市請款明細表!$I$3:$I$1981,E$1)</f>
        <v>0</v>
      </c>
      <c r="F279" s="431" t="n">
        <f aca="false">SUMIFS(門市請款明細表!$J$3:$J$1981,門市請款明細表!$H$3:$H$1981,$C279,門市請款明細表!$I$3:$I$1981,F$1)</f>
        <v>0</v>
      </c>
      <c r="G279" s="431" t="n">
        <f aca="false">SUMIFS(門市請款明細表!$J$3:$J$1981,門市請款明細表!$H$3:$H$1981,$C279,門市請款明細表!$I$3:$I$1981,G$1)</f>
        <v>0</v>
      </c>
      <c r="H279" s="431" t="n">
        <f aca="false">SUMIFS(門市請款明細表!$J$3:$J$1981,門市請款明細表!$H$3:$H$1981,$C279,門市請款明細表!$I$3:$I$1981,H$1)</f>
        <v>0</v>
      </c>
      <c r="I279" s="15" t="n">
        <f aca="false">SUM(E279:H279)</f>
        <v>0</v>
      </c>
      <c r="J279" s="0" t="str">
        <f aca="false">IF(D279=I279,"●","✖")</f>
        <v>●</v>
      </c>
    </row>
    <row r="280" customFormat="false" ht="16.5" hidden="false" customHeight="false" outlineLevel="0" collapsed="false">
      <c r="A280" s="431" t="n">
        <v>275</v>
      </c>
      <c r="B280" s="139" t="s">
        <v>4935</v>
      </c>
      <c r="C280" s="417" t="s">
        <v>317</v>
      </c>
      <c r="D280" s="141" t="n">
        <f aca="false">SUMIF(門市請款明細表!$H$3:$H$1981,$C280,門市請款明細表!$J$3:$J$1981)</f>
        <v>0</v>
      </c>
      <c r="E280" s="431" t="n">
        <f aca="false">SUMIFS(門市請款明細表!$J$3:$J$1981,門市請款明細表!$H$3:$H$1981,$C280,門市請款明細表!$I$3:$I$1981,E$1)</f>
        <v>0</v>
      </c>
      <c r="F280" s="431" t="n">
        <f aca="false">SUMIFS(門市請款明細表!$J$3:$J$1981,門市請款明細表!$H$3:$H$1981,$C280,門市請款明細表!$I$3:$I$1981,F$1)</f>
        <v>0</v>
      </c>
      <c r="G280" s="431" t="n">
        <f aca="false">SUMIFS(門市請款明細表!$J$3:$J$1981,門市請款明細表!$H$3:$H$1981,$C280,門市請款明細表!$I$3:$I$1981,G$1)</f>
        <v>0</v>
      </c>
      <c r="H280" s="431" t="n">
        <f aca="false">SUMIFS(門市請款明細表!$J$3:$J$1981,門市請款明細表!$H$3:$H$1981,$C280,門市請款明細表!$I$3:$I$1981,H$1)</f>
        <v>0</v>
      </c>
      <c r="I280" s="15" t="n">
        <f aca="false">SUM(E280:H280)</f>
        <v>0</v>
      </c>
      <c r="J280" s="0" t="str">
        <f aca="false">IF(D280=I280,"●","✖")</f>
        <v>●</v>
      </c>
    </row>
    <row r="281" customFormat="false" ht="16.5" hidden="false" customHeight="false" outlineLevel="0" collapsed="false">
      <c r="A281" s="431" t="n">
        <v>276</v>
      </c>
      <c r="B281" s="139" t="s">
        <v>4935</v>
      </c>
      <c r="C281" s="417" t="s">
        <v>369</v>
      </c>
      <c r="D281" s="141" t="n">
        <f aca="false">SUMIF(門市請款明細表!$H$3:$H$1981,$C281,門市請款明細表!$J$3:$J$1981)</f>
        <v>0</v>
      </c>
      <c r="E281" s="431" t="n">
        <f aca="false">SUMIFS(門市請款明細表!$J$3:$J$1981,門市請款明細表!$H$3:$H$1981,$C281,門市請款明細表!$I$3:$I$1981,E$1)</f>
        <v>0</v>
      </c>
      <c r="F281" s="431" t="n">
        <f aca="false">SUMIFS(門市請款明細表!$J$3:$J$1981,門市請款明細表!$H$3:$H$1981,$C281,門市請款明細表!$I$3:$I$1981,F$1)</f>
        <v>0</v>
      </c>
      <c r="G281" s="431" t="n">
        <f aca="false">SUMIFS(門市請款明細表!$J$3:$J$1981,門市請款明細表!$H$3:$H$1981,$C281,門市請款明細表!$I$3:$I$1981,G$1)</f>
        <v>0</v>
      </c>
      <c r="H281" s="431" t="n">
        <f aca="false">SUMIFS(門市請款明細表!$J$3:$J$1981,門市請款明細表!$H$3:$H$1981,$C281,門市請款明細表!$I$3:$I$1981,H$1)</f>
        <v>0</v>
      </c>
      <c r="I281" s="15" t="n">
        <f aca="false">SUM(E281:H281)</f>
        <v>0</v>
      </c>
      <c r="J281" s="0" t="str">
        <f aca="false">IF(D281=I281,"●","✖")</f>
        <v>●</v>
      </c>
    </row>
    <row r="282" customFormat="false" ht="16.5" hidden="false" customHeight="false" outlineLevel="0" collapsed="false">
      <c r="A282" s="431" t="n">
        <v>277</v>
      </c>
      <c r="B282" s="139" t="s">
        <v>4929</v>
      </c>
      <c r="C282" s="417" t="s">
        <v>211</v>
      </c>
      <c r="D282" s="141" t="n">
        <f aca="false">SUMIF(門市請款明細表!$H$3:$H$1981,$C282,門市請款明細表!$J$3:$J$1981)</f>
        <v>0</v>
      </c>
      <c r="E282" s="431" t="n">
        <f aca="false">SUMIFS(門市請款明細表!$J$3:$J$1981,門市請款明細表!$H$3:$H$1981,$C282,門市請款明細表!$I$3:$I$1981,E$1)</f>
        <v>0</v>
      </c>
      <c r="F282" s="431" t="n">
        <f aca="false">SUMIFS(門市請款明細表!$J$3:$J$1981,門市請款明細表!$H$3:$H$1981,$C282,門市請款明細表!$I$3:$I$1981,F$1)</f>
        <v>0</v>
      </c>
      <c r="G282" s="431" t="n">
        <f aca="false">SUMIFS(門市請款明細表!$J$3:$J$1981,門市請款明細表!$H$3:$H$1981,$C282,門市請款明細表!$I$3:$I$1981,G$1)</f>
        <v>0</v>
      </c>
      <c r="H282" s="431" t="n">
        <f aca="false">SUMIFS(門市請款明細表!$J$3:$J$1981,門市請款明細表!$H$3:$H$1981,$C282,門市請款明細表!$I$3:$I$1981,H$1)</f>
        <v>0</v>
      </c>
      <c r="I282" s="15" t="n">
        <f aca="false">SUM(E282:H282)</f>
        <v>0</v>
      </c>
      <c r="J282" s="0" t="str">
        <f aca="false">IF(D282=I282,"●","✖")</f>
        <v>●</v>
      </c>
    </row>
    <row r="283" customFormat="false" ht="16.5" hidden="false" customHeight="false" outlineLevel="0" collapsed="false">
      <c r="A283" s="431" t="n">
        <v>278</v>
      </c>
      <c r="B283" s="139" t="s">
        <v>4933</v>
      </c>
      <c r="C283" s="417" t="s">
        <v>279</v>
      </c>
      <c r="D283" s="141" t="n">
        <f aca="false">SUMIF(門市請款明細表!$H$3:$H$1981,$C283,門市請款明細表!$J$3:$J$1981)</f>
        <v>0</v>
      </c>
      <c r="E283" s="431" t="n">
        <f aca="false">SUMIFS(門市請款明細表!$J$3:$J$1981,門市請款明細表!$H$3:$H$1981,$C283,門市請款明細表!$I$3:$I$1981,E$1)</f>
        <v>0</v>
      </c>
      <c r="F283" s="431" t="n">
        <f aca="false">SUMIFS(門市請款明細表!$J$3:$J$1981,門市請款明細表!$H$3:$H$1981,$C283,門市請款明細表!$I$3:$I$1981,F$1)</f>
        <v>0</v>
      </c>
      <c r="G283" s="431" t="n">
        <f aca="false">SUMIFS(門市請款明細表!$J$3:$J$1981,門市請款明細表!$H$3:$H$1981,$C283,門市請款明細表!$I$3:$I$1981,G$1)</f>
        <v>0</v>
      </c>
      <c r="H283" s="431" t="n">
        <f aca="false">SUMIFS(門市請款明細表!$J$3:$J$1981,門市請款明細表!$H$3:$H$1981,$C283,門市請款明細表!$I$3:$I$1981,H$1)</f>
        <v>0</v>
      </c>
      <c r="I283" s="15" t="n">
        <f aca="false">SUM(E283:H283)</f>
        <v>0</v>
      </c>
      <c r="J283" s="0" t="str">
        <f aca="false">IF(D283=I283,"●","✖")</f>
        <v>●</v>
      </c>
    </row>
    <row r="284" customFormat="false" ht="16.5" hidden="false" customHeight="false" outlineLevel="0" collapsed="false">
      <c r="A284" s="431" t="n">
        <v>279</v>
      </c>
      <c r="B284" s="139" t="s">
        <v>4935</v>
      </c>
      <c r="C284" s="417" t="s">
        <v>150</v>
      </c>
      <c r="D284" s="141" t="n">
        <f aca="false">SUMIF(門市請款明細表!$H$3:$H$1981,$C284,門市請款明細表!$J$3:$J$1981)</f>
        <v>0</v>
      </c>
      <c r="E284" s="431" t="n">
        <f aca="false">SUMIFS(門市請款明細表!$J$3:$J$1981,門市請款明細表!$H$3:$H$1981,$C284,門市請款明細表!$I$3:$I$1981,E$1)</f>
        <v>0</v>
      </c>
      <c r="F284" s="431" t="n">
        <f aca="false">SUMIFS(門市請款明細表!$J$3:$J$1981,門市請款明細表!$H$3:$H$1981,$C284,門市請款明細表!$I$3:$I$1981,F$1)</f>
        <v>0</v>
      </c>
      <c r="G284" s="431" t="n">
        <f aca="false">SUMIFS(門市請款明細表!$J$3:$J$1981,門市請款明細表!$H$3:$H$1981,$C284,門市請款明細表!$I$3:$I$1981,G$1)</f>
        <v>0</v>
      </c>
      <c r="H284" s="431" t="n">
        <f aca="false">SUMIFS(門市請款明細表!$J$3:$J$1981,門市請款明細表!$H$3:$H$1981,$C284,門市請款明細表!$I$3:$I$1981,H$1)</f>
        <v>0</v>
      </c>
      <c r="I284" s="15" t="n">
        <f aca="false">SUM(E284:H284)</f>
        <v>0</v>
      </c>
      <c r="J284" s="0" t="str">
        <f aca="false">IF(D284=I284,"●","✖")</f>
        <v>●</v>
      </c>
    </row>
    <row r="285" customFormat="false" ht="16.5" hidden="false" customHeight="false" outlineLevel="0" collapsed="false">
      <c r="A285" s="431" t="n">
        <v>280</v>
      </c>
      <c r="B285" s="139" t="s">
        <v>4935</v>
      </c>
      <c r="C285" s="417" t="s">
        <v>242</v>
      </c>
      <c r="D285" s="141" t="n">
        <f aca="false">SUMIF(門市請款明細表!$H$3:$H$1981,$C285,門市請款明細表!$J$3:$J$1981)</f>
        <v>0</v>
      </c>
      <c r="E285" s="431" t="n">
        <f aca="false">SUMIFS(門市請款明細表!$J$3:$J$1981,門市請款明細表!$H$3:$H$1981,$C285,門市請款明細表!$I$3:$I$1981,E$1)</f>
        <v>0</v>
      </c>
      <c r="F285" s="431" t="n">
        <f aca="false">SUMIFS(門市請款明細表!$J$3:$J$1981,門市請款明細表!$H$3:$H$1981,$C285,門市請款明細表!$I$3:$I$1981,F$1)</f>
        <v>0</v>
      </c>
      <c r="G285" s="431" t="n">
        <f aca="false">SUMIFS(門市請款明細表!$J$3:$J$1981,門市請款明細表!$H$3:$H$1981,$C285,門市請款明細表!$I$3:$I$1981,G$1)</f>
        <v>0</v>
      </c>
      <c r="H285" s="431" t="n">
        <f aca="false">SUMIFS(門市請款明細表!$J$3:$J$1981,門市請款明細表!$H$3:$H$1981,$C285,門市請款明細表!$I$3:$I$1981,H$1)</f>
        <v>0</v>
      </c>
      <c r="I285" s="15" t="n">
        <f aca="false">SUM(E285:H285)</f>
        <v>0</v>
      </c>
      <c r="J285" s="0" t="str">
        <f aca="false">IF(D285=I285,"●","✖")</f>
        <v>●</v>
      </c>
    </row>
    <row r="286" customFormat="false" ht="16.5" hidden="false" customHeight="false" outlineLevel="0" collapsed="false">
      <c r="A286" s="431" t="n">
        <v>281</v>
      </c>
      <c r="B286" s="139" t="s">
        <v>4929</v>
      </c>
      <c r="C286" s="417" t="s">
        <v>171</v>
      </c>
      <c r="D286" s="141" t="n">
        <f aca="false">SUMIF(門市請款明細表!$H$3:$H$1981,$C286,門市請款明細表!$J$3:$J$1981)</f>
        <v>0</v>
      </c>
      <c r="E286" s="431" t="n">
        <f aca="false">SUMIFS(門市請款明細表!$J$3:$J$1981,門市請款明細表!$H$3:$H$1981,$C286,門市請款明細表!$I$3:$I$1981,E$1)</f>
        <v>0</v>
      </c>
      <c r="F286" s="431" t="n">
        <f aca="false">SUMIFS(門市請款明細表!$J$3:$J$1981,門市請款明細表!$H$3:$H$1981,$C286,門市請款明細表!$I$3:$I$1981,F$1)</f>
        <v>0</v>
      </c>
      <c r="G286" s="431" t="n">
        <f aca="false">SUMIFS(門市請款明細表!$J$3:$J$1981,門市請款明細表!$H$3:$H$1981,$C286,門市請款明細表!$I$3:$I$1981,G$1)</f>
        <v>0</v>
      </c>
      <c r="H286" s="431" t="n">
        <f aca="false">SUMIFS(門市請款明細表!$J$3:$J$1981,門市請款明細表!$H$3:$H$1981,$C286,門市請款明細表!$I$3:$I$1981,H$1)</f>
        <v>0</v>
      </c>
      <c r="I286" s="15" t="n">
        <f aca="false">SUM(E286:H286)</f>
        <v>0</v>
      </c>
      <c r="J286" s="0" t="str">
        <f aca="false">IF(D286=I286,"●","✖")</f>
        <v>●</v>
      </c>
    </row>
    <row r="287" customFormat="false" ht="16.5" hidden="false" customHeight="false" outlineLevel="0" collapsed="false">
      <c r="A287" s="431" t="n">
        <v>282</v>
      </c>
      <c r="B287" s="139" t="s">
        <v>4929</v>
      </c>
      <c r="C287" s="417" t="s">
        <v>362</v>
      </c>
      <c r="D287" s="141" t="n">
        <f aca="false">SUMIF(門市請款明細表!$H$3:$H$1981,$C287,門市請款明細表!$J$3:$J$1981)</f>
        <v>0</v>
      </c>
      <c r="E287" s="431" t="n">
        <f aca="false">SUMIFS(門市請款明細表!$J$3:$J$1981,門市請款明細表!$H$3:$H$1981,$C287,門市請款明細表!$I$3:$I$1981,E$1)</f>
        <v>0</v>
      </c>
      <c r="F287" s="431" t="n">
        <f aca="false">SUMIFS(門市請款明細表!$J$3:$J$1981,門市請款明細表!$H$3:$H$1981,$C287,門市請款明細表!$I$3:$I$1981,F$1)</f>
        <v>0</v>
      </c>
      <c r="G287" s="431" t="n">
        <f aca="false">SUMIFS(門市請款明細表!$J$3:$J$1981,門市請款明細表!$H$3:$H$1981,$C287,門市請款明細表!$I$3:$I$1981,G$1)</f>
        <v>0</v>
      </c>
      <c r="H287" s="431" t="n">
        <f aca="false">SUMIFS(門市請款明細表!$J$3:$J$1981,門市請款明細表!$H$3:$H$1981,$C287,門市請款明細表!$I$3:$I$1981,H$1)</f>
        <v>0</v>
      </c>
      <c r="I287" s="15" t="n">
        <f aca="false">SUM(E287:H287)</f>
        <v>0</v>
      </c>
      <c r="J287" s="0" t="str">
        <f aca="false">IF(D287=I287,"●","✖")</f>
        <v>●</v>
      </c>
    </row>
    <row r="288" customFormat="false" ht="16.5" hidden="false" customHeight="false" outlineLevel="0" collapsed="false">
      <c r="A288" s="431" t="n">
        <v>283</v>
      </c>
      <c r="B288" s="139" t="s">
        <v>4929</v>
      </c>
      <c r="C288" s="417" t="s">
        <v>233</v>
      </c>
      <c r="D288" s="141" t="n">
        <f aca="false">SUMIF(門市請款明細表!$H$3:$H$1981,$C288,門市請款明細表!$J$3:$J$1981)</f>
        <v>0</v>
      </c>
      <c r="E288" s="431" t="n">
        <f aca="false">SUMIFS(門市請款明細表!$J$3:$J$1981,門市請款明細表!$H$3:$H$1981,$C288,門市請款明細表!$I$3:$I$1981,E$1)</f>
        <v>0</v>
      </c>
      <c r="F288" s="431" t="n">
        <f aca="false">SUMIFS(門市請款明細表!$J$3:$J$1981,門市請款明細表!$H$3:$H$1981,$C288,門市請款明細表!$I$3:$I$1981,F$1)</f>
        <v>0</v>
      </c>
      <c r="G288" s="431" t="n">
        <f aca="false">SUMIFS(門市請款明細表!$J$3:$J$1981,門市請款明細表!$H$3:$H$1981,$C288,門市請款明細表!$I$3:$I$1981,G$1)</f>
        <v>0</v>
      </c>
      <c r="H288" s="431" t="n">
        <f aca="false">SUMIFS(門市請款明細表!$J$3:$J$1981,門市請款明細表!$H$3:$H$1981,$C288,門市請款明細表!$I$3:$I$1981,H$1)</f>
        <v>0</v>
      </c>
      <c r="I288" s="15" t="n">
        <f aca="false">SUM(E288:H288)</f>
        <v>0</v>
      </c>
      <c r="J288" s="0" t="str">
        <f aca="false">IF(D288=I288,"●","✖")</f>
        <v>●</v>
      </c>
    </row>
    <row r="289" customFormat="false" ht="16.5" hidden="false" customHeight="false" outlineLevel="0" collapsed="false">
      <c r="A289" s="431" t="n">
        <v>284</v>
      </c>
      <c r="B289" s="139" t="s">
        <v>4929</v>
      </c>
      <c r="C289" s="417" t="s">
        <v>367</v>
      </c>
      <c r="D289" s="141" t="n">
        <f aca="false">SUMIF(門市請款明細表!$H$3:$H$1981,$C289,門市請款明細表!$J$3:$J$1981)</f>
        <v>0</v>
      </c>
      <c r="E289" s="431" t="n">
        <f aca="false">SUMIFS(門市請款明細表!$J$3:$J$1981,門市請款明細表!$H$3:$H$1981,$C289,門市請款明細表!$I$3:$I$1981,E$1)</f>
        <v>0</v>
      </c>
      <c r="F289" s="431" t="n">
        <f aca="false">SUMIFS(門市請款明細表!$J$3:$J$1981,門市請款明細表!$H$3:$H$1981,$C289,門市請款明細表!$I$3:$I$1981,F$1)</f>
        <v>0</v>
      </c>
      <c r="G289" s="431" t="n">
        <f aca="false">SUMIFS(門市請款明細表!$J$3:$J$1981,門市請款明細表!$H$3:$H$1981,$C289,門市請款明細表!$I$3:$I$1981,G$1)</f>
        <v>0</v>
      </c>
      <c r="H289" s="431" t="n">
        <f aca="false">SUMIFS(門市請款明細表!$J$3:$J$1981,門市請款明細表!$H$3:$H$1981,$C289,門市請款明細表!$I$3:$I$1981,H$1)</f>
        <v>0</v>
      </c>
      <c r="I289" s="15" t="n">
        <f aca="false">SUM(E289:H289)</f>
        <v>0</v>
      </c>
      <c r="J289" s="0" t="str">
        <f aca="false">IF(D289=I289,"●","✖")</f>
        <v>●</v>
      </c>
    </row>
    <row r="290" customFormat="false" ht="16.5" hidden="false" customHeight="false" outlineLevel="0" collapsed="false">
      <c r="A290" s="431" t="n">
        <v>285</v>
      </c>
      <c r="B290" s="139" t="s">
        <v>4929</v>
      </c>
      <c r="C290" s="417" t="s">
        <v>413</v>
      </c>
      <c r="D290" s="141" t="n">
        <f aca="false">SUMIF(門市請款明細表!$H$3:$H$1981,$C290,門市請款明細表!$J$3:$J$1981)</f>
        <v>0</v>
      </c>
      <c r="E290" s="431" t="n">
        <f aca="false">SUMIFS(門市請款明細表!$J$3:$J$1981,門市請款明細表!$H$3:$H$1981,$C290,門市請款明細表!$I$3:$I$1981,E$1)</f>
        <v>0</v>
      </c>
      <c r="F290" s="431" t="n">
        <f aca="false">SUMIFS(門市請款明細表!$J$3:$J$1981,門市請款明細表!$H$3:$H$1981,$C290,門市請款明細表!$I$3:$I$1981,F$1)</f>
        <v>0</v>
      </c>
      <c r="G290" s="431" t="n">
        <f aca="false">SUMIFS(門市請款明細表!$J$3:$J$1981,門市請款明細表!$H$3:$H$1981,$C290,門市請款明細表!$I$3:$I$1981,G$1)</f>
        <v>0</v>
      </c>
      <c r="H290" s="431" t="n">
        <f aca="false">SUMIFS(門市請款明細表!$J$3:$J$1981,門市請款明細表!$H$3:$H$1981,$C290,門市請款明細表!$I$3:$I$1981,H$1)</f>
        <v>0</v>
      </c>
      <c r="I290" s="15" t="n">
        <f aca="false">SUM(E290:H290)</f>
        <v>0</v>
      </c>
      <c r="J290" s="0" t="str">
        <f aca="false">IF(D290=I290,"●","✖")</f>
        <v>●</v>
      </c>
    </row>
    <row r="291" customFormat="false" ht="16.5" hidden="false" customHeight="false" outlineLevel="0" collapsed="false">
      <c r="A291" s="431" t="n">
        <v>286</v>
      </c>
      <c r="B291" s="139" t="s">
        <v>4931</v>
      </c>
      <c r="C291" s="417" t="s">
        <v>164</v>
      </c>
      <c r="D291" s="141" t="n">
        <f aca="false">SUMIF(門市請款明細表!$H$3:$H$1981,$C291,門市請款明細表!$J$3:$J$1981)</f>
        <v>0</v>
      </c>
      <c r="E291" s="431" t="n">
        <f aca="false">SUMIFS(門市請款明細表!$J$3:$J$1981,門市請款明細表!$H$3:$H$1981,$C291,門市請款明細表!$I$3:$I$1981,E$1)</f>
        <v>0</v>
      </c>
      <c r="F291" s="431" t="n">
        <f aca="false">SUMIFS(門市請款明細表!$J$3:$J$1981,門市請款明細表!$H$3:$H$1981,$C291,門市請款明細表!$I$3:$I$1981,F$1)</f>
        <v>0</v>
      </c>
      <c r="G291" s="431" t="n">
        <f aca="false">SUMIFS(門市請款明細表!$J$3:$J$1981,門市請款明細表!$H$3:$H$1981,$C291,門市請款明細表!$I$3:$I$1981,G$1)</f>
        <v>0</v>
      </c>
      <c r="H291" s="431" t="n">
        <f aca="false">SUMIFS(門市請款明細表!$J$3:$J$1981,門市請款明細表!$H$3:$H$1981,$C291,門市請款明細表!$I$3:$I$1981,H$1)</f>
        <v>0</v>
      </c>
      <c r="I291" s="15" t="n">
        <f aca="false">SUM(E291:H291)</f>
        <v>0</v>
      </c>
      <c r="J291" s="0" t="str">
        <f aca="false">IF(D291=I291,"●","✖")</f>
        <v>●</v>
      </c>
    </row>
    <row r="292" customFormat="false" ht="16.5" hidden="false" customHeight="false" outlineLevel="0" collapsed="false">
      <c r="A292" s="431" t="n">
        <v>287</v>
      </c>
      <c r="B292" s="139" t="s">
        <v>4931</v>
      </c>
      <c r="C292" s="417" t="s">
        <v>156</v>
      </c>
      <c r="D292" s="141" t="n">
        <f aca="false">SUMIF(門市請款明細表!$H$3:$H$1981,$C292,門市請款明細表!$J$3:$J$1981)</f>
        <v>0</v>
      </c>
      <c r="E292" s="431" t="n">
        <f aca="false">SUMIFS(門市請款明細表!$J$3:$J$1981,門市請款明細表!$H$3:$H$1981,$C292,門市請款明細表!$I$3:$I$1981,E$1)</f>
        <v>0</v>
      </c>
      <c r="F292" s="431" t="n">
        <f aca="false">SUMIFS(門市請款明細表!$J$3:$J$1981,門市請款明細表!$H$3:$H$1981,$C292,門市請款明細表!$I$3:$I$1981,F$1)</f>
        <v>0</v>
      </c>
      <c r="G292" s="431" t="n">
        <f aca="false">SUMIFS(門市請款明細表!$J$3:$J$1981,門市請款明細表!$H$3:$H$1981,$C292,門市請款明細表!$I$3:$I$1981,G$1)</f>
        <v>0</v>
      </c>
      <c r="H292" s="431" t="n">
        <f aca="false">SUMIFS(門市請款明細表!$J$3:$J$1981,門市請款明細表!$H$3:$H$1981,$C292,門市請款明細表!$I$3:$I$1981,H$1)</f>
        <v>0</v>
      </c>
      <c r="I292" s="15" t="n">
        <f aca="false">SUM(E292:H292)</f>
        <v>0</v>
      </c>
      <c r="J292" s="0" t="str">
        <f aca="false">IF(D292=I292,"●","✖")</f>
        <v>●</v>
      </c>
    </row>
    <row r="293" customFormat="false" ht="16.5" hidden="false" customHeight="false" outlineLevel="0" collapsed="false">
      <c r="A293" s="431" t="n">
        <v>288</v>
      </c>
      <c r="B293" s="139" t="s">
        <v>4931</v>
      </c>
      <c r="C293" s="417" t="s">
        <v>345</v>
      </c>
      <c r="D293" s="141" t="n">
        <f aca="false">SUMIF(門市請款明細表!$H$3:$H$1981,$C293,門市請款明細表!$J$3:$J$1981)</f>
        <v>0</v>
      </c>
      <c r="E293" s="431" t="n">
        <f aca="false">SUMIFS(門市請款明細表!$J$3:$J$1981,門市請款明細表!$H$3:$H$1981,$C293,門市請款明細表!$I$3:$I$1981,E$1)</f>
        <v>0</v>
      </c>
      <c r="F293" s="431" t="n">
        <f aca="false">SUMIFS(門市請款明細表!$J$3:$J$1981,門市請款明細表!$H$3:$H$1981,$C293,門市請款明細表!$I$3:$I$1981,F$1)</f>
        <v>0</v>
      </c>
      <c r="G293" s="431" t="n">
        <f aca="false">SUMIFS(門市請款明細表!$J$3:$J$1981,門市請款明細表!$H$3:$H$1981,$C293,門市請款明細表!$I$3:$I$1981,G$1)</f>
        <v>0</v>
      </c>
      <c r="H293" s="431" t="n">
        <f aca="false">SUMIFS(門市請款明細表!$J$3:$J$1981,門市請款明細表!$H$3:$H$1981,$C293,門市請款明細表!$I$3:$I$1981,H$1)</f>
        <v>0</v>
      </c>
      <c r="I293" s="15" t="n">
        <f aca="false">SUM(E293:H293)</f>
        <v>0</v>
      </c>
      <c r="J293" s="0" t="str">
        <f aca="false">IF(D293=I293,"●","✖")</f>
        <v>●</v>
      </c>
    </row>
    <row r="294" customFormat="false" ht="16.5" hidden="false" customHeight="false" outlineLevel="0" collapsed="false">
      <c r="A294" s="431" t="n">
        <v>289</v>
      </c>
      <c r="B294" s="139" t="s">
        <v>4931</v>
      </c>
      <c r="C294" s="417" t="s">
        <v>372</v>
      </c>
      <c r="D294" s="141" t="n">
        <f aca="false">SUMIF(門市請款明細表!$H$3:$H$1981,$C294,門市請款明細表!$J$3:$J$1981)</f>
        <v>0</v>
      </c>
      <c r="E294" s="431" t="n">
        <f aca="false">SUMIFS(門市請款明細表!$J$3:$J$1981,門市請款明細表!$H$3:$H$1981,$C294,門市請款明細表!$I$3:$I$1981,E$1)</f>
        <v>0</v>
      </c>
      <c r="F294" s="431" t="n">
        <f aca="false">SUMIFS(門市請款明細表!$J$3:$J$1981,門市請款明細表!$H$3:$H$1981,$C294,門市請款明細表!$I$3:$I$1981,F$1)</f>
        <v>0</v>
      </c>
      <c r="G294" s="431" t="n">
        <f aca="false">SUMIFS(門市請款明細表!$J$3:$J$1981,門市請款明細表!$H$3:$H$1981,$C294,門市請款明細表!$I$3:$I$1981,G$1)</f>
        <v>0</v>
      </c>
      <c r="H294" s="431" t="n">
        <f aca="false">SUMIFS(門市請款明細表!$J$3:$J$1981,門市請款明細表!$H$3:$H$1981,$C294,門市請款明細表!$I$3:$I$1981,H$1)</f>
        <v>0</v>
      </c>
      <c r="I294" s="15" t="n">
        <f aca="false">SUM(E294:H294)</f>
        <v>0</v>
      </c>
      <c r="J294" s="0" t="str">
        <f aca="false">IF(D294=I294,"●","✖")</f>
        <v>●</v>
      </c>
    </row>
    <row r="295" customFormat="false" ht="16.5" hidden="false" customHeight="false" outlineLevel="0" collapsed="false">
      <c r="A295" s="431" t="n">
        <v>290</v>
      </c>
      <c r="B295" s="139" t="s">
        <v>4931</v>
      </c>
      <c r="C295" s="417" t="s">
        <v>163</v>
      </c>
      <c r="D295" s="141" t="n">
        <f aca="false">SUMIF(門市請款明細表!$H$3:$H$1981,$C295,門市請款明細表!$J$3:$J$1981)</f>
        <v>0</v>
      </c>
      <c r="E295" s="431" t="n">
        <f aca="false">SUMIFS(門市請款明細表!$J$3:$J$1981,門市請款明細表!$H$3:$H$1981,$C295,門市請款明細表!$I$3:$I$1981,E$1)</f>
        <v>0</v>
      </c>
      <c r="F295" s="431" t="n">
        <f aca="false">SUMIFS(門市請款明細表!$J$3:$J$1981,門市請款明細表!$H$3:$H$1981,$C295,門市請款明細表!$I$3:$I$1981,F$1)</f>
        <v>0</v>
      </c>
      <c r="G295" s="431" t="n">
        <f aca="false">SUMIFS(門市請款明細表!$J$3:$J$1981,門市請款明細表!$H$3:$H$1981,$C295,門市請款明細表!$I$3:$I$1981,G$1)</f>
        <v>0</v>
      </c>
      <c r="H295" s="431" t="n">
        <f aca="false">SUMIFS(門市請款明細表!$J$3:$J$1981,門市請款明細表!$H$3:$H$1981,$C295,門市請款明細表!$I$3:$I$1981,H$1)</f>
        <v>0</v>
      </c>
      <c r="I295" s="15" t="n">
        <f aca="false">SUM(E295:H295)</f>
        <v>0</v>
      </c>
      <c r="J295" s="0" t="str">
        <f aca="false">IF(D295=I295,"●","✖")</f>
        <v>●</v>
      </c>
    </row>
    <row r="296" customFormat="false" ht="16.5" hidden="false" customHeight="false" outlineLevel="0" collapsed="false">
      <c r="A296" s="431" t="n">
        <v>291</v>
      </c>
      <c r="B296" s="139" t="s">
        <v>4931</v>
      </c>
      <c r="C296" s="417" t="s">
        <v>364</v>
      </c>
      <c r="D296" s="141" t="n">
        <f aca="false">SUMIF(門市請款明細表!$H$3:$H$1981,$C296,門市請款明細表!$J$3:$J$1981)</f>
        <v>0</v>
      </c>
      <c r="E296" s="431" t="n">
        <f aca="false">SUMIFS(門市請款明細表!$J$3:$J$1981,門市請款明細表!$H$3:$H$1981,$C296,門市請款明細表!$I$3:$I$1981,E$1)</f>
        <v>0</v>
      </c>
      <c r="F296" s="431" t="n">
        <f aca="false">SUMIFS(門市請款明細表!$J$3:$J$1981,門市請款明細表!$H$3:$H$1981,$C296,門市請款明細表!$I$3:$I$1981,F$1)</f>
        <v>0</v>
      </c>
      <c r="G296" s="431" t="n">
        <f aca="false">SUMIFS(門市請款明細表!$J$3:$J$1981,門市請款明細表!$H$3:$H$1981,$C296,門市請款明細表!$I$3:$I$1981,G$1)</f>
        <v>0</v>
      </c>
      <c r="H296" s="431" t="n">
        <f aca="false">SUMIFS(門市請款明細表!$J$3:$J$1981,門市請款明細表!$H$3:$H$1981,$C296,門市請款明細表!$I$3:$I$1981,H$1)</f>
        <v>0</v>
      </c>
      <c r="I296" s="15" t="n">
        <f aca="false">SUM(E296:H296)</f>
        <v>0</v>
      </c>
      <c r="J296" s="0" t="str">
        <f aca="false">IF(D296=I296,"●","✖")</f>
        <v>●</v>
      </c>
    </row>
    <row r="297" customFormat="false" ht="16.5" hidden="false" customHeight="false" outlineLevel="0" collapsed="false">
      <c r="A297" s="431" t="n">
        <v>292</v>
      </c>
      <c r="B297" s="139" t="s">
        <v>4934</v>
      </c>
      <c r="C297" s="417" t="s">
        <v>335</v>
      </c>
      <c r="D297" s="141" t="n">
        <f aca="false">SUMIF(門市請款明細表!$H$3:$H$1981,$C297,門市請款明細表!$J$3:$J$1981)</f>
        <v>0</v>
      </c>
      <c r="E297" s="431" t="n">
        <f aca="false">SUMIFS(門市請款明細表!$J$3:$J$1981,門市請款明細表!$H$3:$H$1981,$C297,門市請款明細表!$I$3:$I$1981,E$1)</f>
        <v>0</v>
      </c>
      <c r="F297" s="431" t="n">
        <f aca="false">SUMIFS(門市請款明細表!$J$3:$J$1981,門市請款明細表!$H$3:$H$1981,$C297,門市請款明細表!$I$3:$I$1981,F$1)</f>
        <v>0</v>
      </c>
      <c r="G297" s="431" t="n">
        <f aca="false">SUMIFS(門市請款明細表!$J$3:$J$1981,門市請款明細表!$H$3:$H$1981,$C297,門市請款明細表!$I$3:$I$1981,G$1)</f>
        <v>0</v>
      </c>
      <c r="H297" s="431" t="n">
        <f aca="false">SUMIFS(門市請款明細表!$J$3:$J$1981,門市請款明細表!$H$3:$H$1981,$C297,門市請款明細表!$I$3:$I$1981,H$1)</f>
        <v>0</v>
      </c>
      <c r="I297" s="15" t="n">
        <f aca="false">SUM(E297:H297)</f>
        <v>0</v>
      </c>
      <c r="J297" s="0" t="str">
        <f aca="false">IF(D297=I297,"●","✖")</f>
        <v>●</v>
      </c>
    </row>
    <row r="298" customFormat="false" ht="16.5" hidden="false" customHeight="false" outlineLevel="0" collapsed="false">
      <c r="A298" s="431" t="n">
        <v>293</v>
      </c>
      <c r="B298" s="139" t="s">
        <v>4935</v>
      </c>
      <c r="C298" s="417" t="s">
        <v>410</v>
      </c>
      <c r="D298" s="141" t="n">
        <f aca="false">SUMIF(門市請款明細表!$H$3:$H$1981,$C298,門市請款明細表!$J$3:$J$1981)</f>
        <v>0</v>
      </c>
      <c r="E298" s="431" t="n">
        <f aca="false">SUMIFS(門市請款明細表!$J$3:$J$1981,門市請款明細表!$H$3:$H$1981,$C298,門市請款明細表!$I$3:$I$1981,E$1)</f>
        <v>0</v>
      </c>
      <c r="F298" s="431" t="n">
        <f aca="false">SUMIFS(門市請款明細表!$J$3:$J$1981,門市請款明細表!$H$3:$H$1981,$C298,門市請款明細表!$I$3:$I$1981,F$1)</f>
        <v>0</v>
      </c>
      <c r="G298" s="431" t="n">
        <f aca="false">SUMIFS(門市請款明細表!$J$3:$J$1981,門市請款明細表!$H$3:$H$1981,$C298,門市請款明細表!$I$3:$I$1981,G$1)</f>
        <v>0</v>
      </c>
      <c r="H298" s="431" t="n">
        <f aca="false">SUMIFS(門市請款明細表!$J$3:$J$1981,門市請款明細表!$H$3:$H$1981,$C298,門市請款明細表!$I$3:$I$1981,H$1)</f>
        <v>0</v>
      </c>
      <c r="I298" s="15" t="n">
        <f aca="false">SUM(E298:H298)</f>
        <v>0</v>
      </c>
      <c r="J298" s="0" t="str">
        <f aca="false">IF(D298=I298,"●","✖")</f>
        <v>●</v>
      </c>
    </row>
    <row r="299" customFormat="false" ht="16.5" hidden="false" customHeight="false" outlineLevel="0" collapsed="false">
      <c r="A299" s="431" t="n">
        <v>294</v>
      </c>
      <c r="B299" s="139" t="s">
        <v>4929</v>
      </c>
      <c r="C299" s="417" t="s">
        <v>93</v>
      </c>
      <c r="D299" s="141" t="n">
        <f aca="false">SUMIF(門市請款明細表!$H$3:$H$1981,$C299,門市請款明細表!$J$3:$J$1981)</f>
        <v>0</v>
      </c>
      <c r="E299" s="431" t="n">
        <f aca="false">SUMIFS(門市請款明細表!$J$3:$J$1981,門市請款明細表!$H$3:$H$1981,$C299,門市請款明細表!$I$3:$I$1981,E$1)</f>
        <v>0</v>
      </c>
      <c r="F299" s="431" t="n">
        <f aca="false">SUMIFS(門市請款明細表!$J$3:$J$1981,門市請款明細表!$H$3:$H$1981,$C299,門市請款明細表!$I$3:$I$1981,F$1)</f>
        <v>0</v>
      </c>
      <c r="G299" s="431" t="n">
        <f aca="false">SUMIFS(門市請款明細表!$J$3:$J$1981,門市請款明細表!$H$3:$H$1981,$C299,門市請款明細表!$I$3:$I$1981,G$1)</f>
        <v>0</v>
      </c>
      <c r="H299" s="431" t="n">
        <f aca="false">SUMIFS(門市請款明細表!$J$3:$J$1981,門市請款明細表!$H$3:$H$1981,$C299,門市請款明細表!$I$3:$I$1981,H$1)</f>
        <v>0</v>
      </c>
      <c r="I299" s="15" t="n">
        <f aca="false">SUM(E299:H299)</f>
        <v>0</v>
      </c>
      <c r="J299" s="0" t="str">
        <f aca="false">IF(D299=I299,"●","✖")</f>
        <v>●</v>
      </c>
    </row>
    <row r="300" customFormat="false" ht="16.5" hidden="false" customHeight="false" outlineLevel="0" collapsed="false">
      <c r="A300" s="431" t="n">
        <v>295</v>
      </c>
      <c r="B300" s="139" t="s">
        <v>4935</v>
      </c>
      <c r="C300" s="417" t="s">
        <v>297</v>
      </c>
      <c r="D300" s="141" t="n">
        <f aca="false">SUMIF(門市請款明細表!$H$3:$H$1981,$C300,門市請款明細表!$J$3:$J$1981)</f>
        <v>0</v>
      </c>
      <c r="E300" s="431" t="n">
        <f aca="false">SUMIFS(門市請款明細表!$J$3:$J$1981,門市請款明細表!$H$3:$H$1981,$C300,門市請款明細表!$I$3:$I$1981,E$1)</f>
        <v>0</v>
      </c>
      <c r="F300" s="431" t="n">
        <f aca="false">SUMIFS(門市請款明細表!$J$3:$J$1981,門市請款明細表!$H$3:$H$1981,$C300,門市請款明細表!$I$3:$I$1981,F$1)</f>
        <v>0</v>
      </c>
      <c r="G300" s="431" t="n">
        <f aca="false">SUMIFS(門市請款明細表!$J$3:$J$1981,門市請款明細表!$H$3:$H$1981,$C300,門市請款明細表!$I$3:$I$1981,G$1)</f>
        <v>0</v>
      </c>
      <c r="H300" s="431" t="n">
        <f aca="false">SUMIFS(門市請款明細表!$J$3:$J$1981,門市請款明細表!$H$3:$H$1981,$C300,門市請款明細表!$I$3:$I$1981,H$1)</f>
        <v>0</v>
      </c>
      <c r="I300" s="15" t="n">
        <f aca="false">SUM(E300:H300)</f>
        <v>0</v>
      </c>
      <c r="J300" s="0" t="str">
        <f aca="false">IF(D300=I300,"●","✖")</f>
        <v>●</v>
      </c>
    </row>
    <row r="301" customFormat="false" ht="16.5" hidden="false" customHeight="false" outlineLevel="0" collapsed="false">
      <c r="A301" s="431" t="n">
        <v>296</v>
      </c>
      <c r="B301" s="139" t="s">
        <v>4935</v>
      </c>
      <c r="C301" s="417" t="s">
        <v>155</v>
      </c>
      <c r="D301" s="141" t="n">
        <f aca="false">SUMIF(門市請款明細表!$H$3:$H$1981,$C301,門市請款明細表!$J$3:$J$1981)</f>
        <v>0</v>
      </c>
      <c r="E301" s="431" t="n">
        <f aca="false">SUMIFS(門市請款明細表!$J$3:$J$1981,門市請款明細表!$H$3:$H$1981,$C301,門市請款明細表!$I$3:$I$1981,E$1)</f>
        <v>0</v>
      </c>
      <c r="F301" s="431" t="n">
        <f aca="false">SUMIFS(門市請款明細表!$J$3:$J$1981,門市請款明細表!$H$3:$H$1981,$C301,門市請款明細表!$I$3:$I$1981,F$1)</f>
        <v>0</v>
      </c>
      <c r="G301" s="431" t="n">
        <f aca="false">SUMIFS(門市請款明細表!$J$3:$J$1981,門市請款明細表!$H$3:$H$1981,$C301,門市請款明細表!$I$3:$I$1981,G$1)</f>
        <v>0</v>
      </c>
      <c r="H301" s="431" t="n">
        <f aca="false">SUMIFS(門市請款明細表!$J$3:$J$1981,門市請款明細表!$H$3:$H$1981,$C301,門市請款明細表!$I$3:$I$1981,H$1)</f>
        <v>0</v>
      </c>
      <c r="I301" s="15" t="n">
        <f aca="false">SUM(E301:H301)</f>
        <v>0</v>
      </c>
      <c r="J301" s="0" t="str">
        <f aca="false">IF(D301=I301,"●","✖")</f>
        <v>●</v>
      </c>
    </row>
    <row r="302" customFormat="false" ht="16.5" hidden="false" customHeight="false" outlineLevel="0" collapsed="false">
      <c r="A302" s="431" t="n">
        <v>297</v>
      </c>
      <c r="B302" s="139" t="s">
        <v>4935</v>
      </c>
      <c r="C302" s="417" t="s">
        <v>394</v>
      </c>
      <c r="D302" s="141" t="n">
        <f aca="false">SUMIF(門市請款明細表!$H$3:$H$1981,$C302,門市請款明細表!$J$3:$J$1981)</f>
        <v>0</v>
      </c>
      <c r="E302" s="431" t="n">
        <f aca="false">SUMIFS(門市請款明細表!$J$3:$J$1981,門市請款明細表!$H$3:$H$1981,$C302,門市請款明細表!$I$3:$I$1981,E$1)</f>
        <v>0</v>
      </c>
      <c r="F302" s="431" t="n">
        <f aca="false">SUMIFS(門市請款明細表!$J$3:$J$1981,門市請款明細表!$H$3:$H$1981,$C302,門市請款明細表!$I$3:$I$1981,F$1)</f>
        <v>0</v>
      </c>
      <c r="G302" s="431" t="n">
        <f aca="false">SUMIFS(門市請款明細表!$J$3:$J$1981,門市請款明細表!$H$3:$H$1981,$C302,門市請款明細表!$I$3:$I$1981,G$1)</f>
        <v>0</v>
      </c>
      <c r="H302" s="431" t="n">
        <f aca="false">SUMIFS(門市請款明細表!$J$3:$J$1981,門市請款明細表!$H$3:$H$1981,$C302,門市請款明細表!$I$3:$I$1981,H$1)</f>
        <v>0</v>
      </c>
      <c r="I302" s="15" t="n">
        <f aca="false">SUM(E302:H302)</f>
        <v>0</v>
      </c>
      <c r="J302" s="0" t="str">
        <f aca="false">IF(D302=I302,"●","✖")</f>
        <v>●</v>
      </c>
    </row>
    <row r="303" customFormat="false" ht="16.5" hidden="false" customHeight="false" outlineLevel="0" collapsed="false">
      <c r="A303" s="431" t="n">
        <v>298</v>
      </c>
      <c r="B303" s="139" t="s">
        <v>4934</v>
      </c>
      <c r="C303" s="417" t="s">
        <v>295</v>
      </c>
      <c r="D303" s="141" t="n">
        <f aca="false">SUMIF(門市請款明細表!$H$3:$H$1981,$C303,門市請款明細表!$J$3:$J$1981)</f>
        <v>0</v>
      </c>
      <c r="E303" s="431" t="n">
        <f aca="false">SUMIFS(門市請款明細表!$J$3:$J$1981,門市請款明細表!$H$3:$H$1981,$C303,門市請款明細表!$I$3:$I$1981,E$1)</f>
        <v>0</v>
      </c>
      <c r="F303" s="431" t="n">
        <f aca="false">SUMIFS(門市請款明細表!$J$3:$J$1981,門市請款明細表!$H$3:$H$1981,$C303,門市請款明細表!$I$3:$I$1981,F$1)</f>
        <v>0</v>
      </c>
      <c r="G303" s="431" t="n">
        <f aca="false">SUMIFS(門市請款明細表!$J$3:$J$1981,門市請款明細表!$H$3:$H$1981,$C303,門市請款明細表!$I$3:$I$1981,G$1)</f>
        <v>0</v>
      </c>
      <c r="H303" s="431" t="n">
        <f aca="false">SUMIFS(門市請款明細表!$J$3:$J$1981,門市請款明細表!$H$3:$H$1981,$C303,門市請款明細表!$I$3:$I$1981,H$1)</f>
        <v>0</v>
      </c>
      <c r="I303" s="15" t="n">
        <f aca="false">SUM(E303:H303)</f>
        <v>0</v>
      </c>
      <c r="J303" s="0" t="str">
        <f aca="false">IF(D303=I303,"●","✖")</f>
        <v>●</v>
      </c>
    </row>
    <row r="304" customFormat="false" ht="16.5" hidden="false" customHeight="false" outlineLevel="0" collapsed="false">
      <c r="A304" s="431" t="n">
        <v>299</v>
      </c>
      <c r="B304" s="139" t="s">
        <v>4934</v>
      </c>
      <c r="C304" s="417" t="s">
        <v>361</v>
      </c>
      <c r="D304" s="141" t="n">
        <f aca="false">SUMIF(門市請款明細表!$H$3:$H$1981,$C304,門市請款明細表!$J$3:$J$1981)</f>
        <v>0</v>
      </c>
      <c r="E304" s="431" t="n">
        <f aca="false">SUMIFS(門市請款明細表!$J$3:$J$1981,門市請款明細表!$H$3:$H$1981,$C304,門市請款明細表!$I$3:$I$1981,E$1)</f>
        <v>0</v>
      </c>
      <c r="F304" s="431" t="n">
        <f aca="false">SUMIFS(門市請款明細表!$J$3:$J$1981,門市請款明細表!$H$3:$H$1981,$C304,門市請款明細表!$I$3:$I$1981,F$1)</f>
        <v>0</v>
      </c>
      <c r="G304" s="431" t="n">
        <f aca="false">SUMIFS(門市請款明細表!$J$3:$J$1981,門市請款明細表!$H$3:$H$1981,$C304,門市請款明細表!$I$3:$I$1981,G$1)</f>
        <v>0</v>
      </c>
      <c r="H304" s="431" t="n">
        <f aca="false">SUMIFS(門市請款明細表!$J$3:$J$1981,門市請款明細表!$H$3:$H$1981,$C304,門市請款明細表!$I$3:$I$1981,H$1)</f>
        <v>0</v>
      </c>
      <c r="I304" s="15" t="n">
        <f aca="false">SUM(E304:H304)</f>
        <v>0</v>
      </c>
      <c r="J304" s="0" t="str">
        <f aca="false">IF(D304=I304,"●","✖")</f>
        <v>●</v>
      </c>
    </row>
    <row r="305" customFormat="false" ht="16.5" hidden="false" customHeight="false" outlineLevel="0" collapsed="false">
      <c r="A305" s="431" t="n">
        <v>300</v>
      </c>
      <c r="B305" s="139" t="s">
        <v>4934</v>
      </c>
      <c r="C305" s="417" t="s">
        <v>228</v>
      </c>
      <c r="D305" s="141" t="n">
        <f aca="false">SUMIF(門市請款明細表!$H$3:$H$1981,$C305,門市請款明細表!$J$3:$J$1981)</f>
        <v>0</v>
      </c>
      <c r="E305" s="431" t="n">
        <f aca="false">SUMIFS(門市請款明細表!$J$3:$J$1981,門市請款明細表!$H$3:$H$1981,$C305,門市請款明細表!$I$3:$I$1981,E$1)</f>
        <v>0</v>
      </c>
      <c r="F305" s="431" t="n">
        <f aca="false">SUMIFS(門市請款明細表!$J$3:$J$1981,門市請款明細表!$H$3:$H$1981,$C305,門市請款明細表!$I$3:$I$1981,F$1)</f>
        <v>0</v>
      </c>
      <c r="G305" s="431" t="n">
        <f aca="false">SUMIFS(門市請款明細表!$J$3:$J$1981,門市請款明細表!$H$3:$H$1981,$C305,門市請款明細表!$I$3:$I$1981,G$1)</f>
        <v>0</v>
      </c>
      <c r="H305" s="431" t="n">
        <f aca="false">SUMIFS(門市請款明細表!$J$3:$J$1981,門市請款明細表!$H$3:$H$1981,$C305,門市請款明細表!$I$3:$I$1981,H$1)</f>
        <v>0</v>
      </c>
      <c r="I305" s="15" t="n">
        <f aca="false">SUM(E305:H305)</f>
        <v>0</v>
      </c>
      <c r="J305" s="0" t="str">
        <f aca="false">IF(D305=I305,"●","✖")</f>
        <v>●</v>
      </c>
    </row>
    <row r="306" customFormat="false" ht="16.5" hidden="false" customHeight="false" outlineLevel="0" collapsed="false">
      <c r="A306" s="431" t="n">
        <v>301</v>
      </c>
      <c r="B306" s="139" t="s">
        <v>4936</v>
      </c>
      <c r="C306" s="417" t="s">
        <v>253</v>
      </c>
      <c r="D306" s="141" t="n">
        <f aca="false">SUMIF(門市請款明細表!$H$3:$H$1981,$C306,門市請款明細表!$J$3:$J$1981)</f>
        <v>0</v>
      </c>
      <c r="E306" s="431" t="n">
        <f aca="false">SUMIFS(門市請款明細表!$J$3:$J$1981,門市請款明細表!$H$3:$H$1981,$C306,門市請款明細表!$I$3:$I$1981,E$1)</f>
        <v>0</v>
      </c>
      <c r="F306" s="431" t="n">
        <f aca="false">SUMIFS(門市請款明細表!$J$3:$J$1981,門市請款明細表!$H$3:$H$1981,$C306,門市請款明細表!$I$3:$I$1981,F$1)</f>
        <v>0</v>
      </c>
      <c r="G306" s="431" t="n">
        <f aca="false">SUMIFS(門市請款明細表!$J$3:$J$1981,門市請款明細表!$H$3:$H$1981,$C306,門市請款明細表!$I$3:$I$1981,G$1)</f>
        <v>0</v>
      </c>
      <c r="H306" s="431" t="n">
        <f aca="false">SUMIFS(門市請款明細表!$J$3:$J$1981,門市請款明細表!$H$3:$H$1981,$C306,門市請款明細表!$I$3:$I$1981,H$1)</f>
        <v>0</v>
      </c>
      <c r="I306" s="15" t="n">
        <f aca="false">SUM(E306:H306)</f>
        <v>0</v>
      </c>
      <c r="J306" s="0" t="str">
        <f aca="false">IF(D306=I306,"●","✖")</f>
        <v>●</v>
      </c>
    </row>
    <row r="307" customFormat="false" ht="16.5" hidden="false" customHeight="false" outlineLevel="0" collapsed="false">
      <c r="A307" s="431" t="n">
        <v>302</v>
      </c>
      <c r="B307" s="139" t="s">
        <v>4936</v>
      </c>
      <c r="C307" s="417" t="s">
        <v>73</v>
      </c>
      <c r="D307" s="141" t="n">
        <f aca="false">SUMIF(門市請款明細表!$H$3:$H$1981,$C307,門市請款明細表!$J$3:$J$1981)</f>
        <v>0</v>
      </c>
      <c r="E307" s="431" t="n">
        <f aca="false">SUMIFS(門市請款明細表!$J$3:$J$1981,門市請款明細表!$H$3:$H$1981,$C307,門市請款明細表!$I$3:$I$1981,E$1)</f>
        <v>0</v>
      </c>
      <c r="F307" s="431" t="n">
        <f aca="false">SUMIFS(門市請款明細表!$J$3:$J$1981,門市請款明細表!$H$3:$H$1981,$C307,門市請款明細表!$I$3:$I$1981,F$1)</f>
        <v>0</v>
      </c>
      <c r="G307" s="431" t="n">
        <f aca="false">SUMIFS(門市請款明細表!$J$3:$J$1981,門市請款明細表!$H$3:$H$1981,$C307,門市請款明細表!$I$3:$I$1981,G$1)</f>
        <v>0</v>
      </c>
      <c r="H307" s="431" t="n">
        <f aca="false">SUMIFS(門市請款明細表!$J$3:$J$1981,門市請款明細表!$H$3:$H$1981,$C307,門市請款明細表!$I$3:$I$1981,H$1)</f>
        <v>0</v>
      </c>
      <c r="I307" s="15" t="n">
        <f aca="false">SUM(E307:H307)</f>
        <v>0</v>
      </c>
      <c r="J307" s="0" t="str">
        <f aca="false">IF(D307=I307,"●","✖")</f>
        <v>●</v>
      </c>
    </row>
    <row r="308" customFormat="false" ht="16.5" hidden="false" customHeight="false" outlineLevel="0" collapsed="false">
      <c r="A308" s="431" t="n">
        <v>303</v>
      </c>
      <c r="B308" s="139" t="s">
        <v>4936</v>
      </c>
      <c r="C308" s="417" t="s">
        <v>194</v>
      </c>
      <c r="D308" s="141" t="n">
        <f aca="false">SUMIF(門市請款明細表!$H$3:$H$1981,$C308,門市請款明細表!$J$3:$J$1981)</f>
        <v>0</v>
      </c>
      <c r="E308" s="431" t="n">
        <f aca="false">SUMIFS(門市請款明細表!$J$3:$J$1981,門市請款明細表!$H$3:$H$1981,$C308,門市請款明細表!$I$3:$I$1981,E$1)</f>
        <v>0</v>
      </c>
      <c r="F308" s="431" t="n">
        <f aca="false">SUMIFS(門市請款明細表!$J$3:$J$1981,門市請款明細表!$H$3:$H$1981,$C308,門市請款明細表!$I$3:$I$1981,F$1)</f>
        <v>0</v>
      </c>
      <c r="G308" s="431" t="n">
        <f aca="false">SUMIFS(門市請款明細表!$J$3:$J$1981,門市請款明細表!$H$3:$H$1981,$C308,門市請款明細表!$I$3:$I$1981,G$1)</f>
        <v>0</v>
      </c>
      <c r="H308" s="431" t="n">
        <f aca="false">SUMIFS(門市請款明細表!$J$3:$J$1981,門市請款明細表!$H$3:$H$1981,$C308,門市請款明細表!$I$3:$I$1981,H$1)</f>
        <v>0</v>
      </c>
      <c r="I308" s="15" t="n">
        <f aca="false">SUM(E308:H308)</f>
        <v>0</v>
      </c>
      <c r="J308" s="0" t="str">
        <f aca="false">IF(D308=I308,"●","✖")</f>
        <v>●</v>
      </c>
    </row>
    <row r="309" customFormat="false" ht="16.5" hidden="false" customHeight="false" outlineLevel="0" collapsed="false">
      <c r="A309" s="431" t="n">
        <v>304</v>
      </c>
      <c r="B309" s="139" t="s">
        <v>4934</v>
      </c>
      <c r="C309" s="417" t="s">
        <v>293</v>
      </c>
      <c r="D309" s="141" t="n">
        <f aca="false">SUMIF(門市請款明細表!$H$3:$H$1981,$C309,門市請款明細表!$J$3:$J$1981)</f>
        <v>0</v>
      </c>
      <c r="E309" s="431" t="n">
        <f aca="false">SUMIFS(門市請款明細表!$J$3:$J$1981,門市請款明細表!$H$3:$H$1981,$C309,門市請款明細表!$I$3:$I$1981,E$1)</f>
        <v>0</v>
      </c>
      <c r="F309" s="431" t="n">
        <f aca="false">SUMIFS(門市請款明細表!$J$3:$J$1981,門市請款明細表!$H$3:$H$1981,$C309,門市請款明細表!$I$3:$I$1981,F$1)</f>
        <v>0</v>
      </c>
      <c r="G309" s="431" t="n">
        <f aca="false">SUMIFS(門市請款明細表!$J$3:$J$1981,門市請款明細表!$H$3:$H$1981,$C309,門市請款明細表!$I$3:$I$1981,G$1)</f>
        <v>0</v>
      </c>
      <c r="H309" s="431" t="n">
        <f aca="false">SUMIFS(門市請款明細表!$J$3:$J$1981,門市請款明細表!$H$3:$H$1981,$C309,門市請款明細表!$I$3:$I$1981,H$1)</f>
        <v>0</v>
      </c>
      <c r="I309" s="15" t="n">
        <f aca="false">SUM(E309:H309)</f>
        <v>0</v>
      </c>
      <c r="J309" s="0" t="str">
        <f aca="false">IF(D309=I309,"●","✖")</f>
        <v>●</v>
      </c>
    </row>
    <row r="310" customFormat="false" ht="16.5" hidden="false" customHeight="false" outlineLevel="0" collapsed="false">
      <c r="A310" s="431" t="n">
        <v>305</v>
      </c>
      <c r="B310" s="139" t="s">
        <v>4935</v>
      </c>
      <c r="C310" s="417" t="s">
        <v>135</v>
      </c>
      <c r="D310" s="141" t="n">
        <f aca="false">SUMIF(門市請款明細表!$H$3:$H$1981,$C310,門市請款明細表!$J$3:$J$1981)</f>
        <v>0</v>
      </c>
      <c r="E310" s="431" t="n">
        <f aca="false">SUMIFS(門市請款明細表!$J$3:$J$1981,門市請款明細表!$H$3:$H$1981,$C310,門市請款明細表!$I$3:$I$1981,E$1)</f>
        <v>0</v>
      </c>
      <c r="F310" s="431" t="n">
        <f aca="false">SUMIFS(門市請款明細表!$J$3:$J$1981,門市請款明細表!$H$3:$H$1981,$C310,門市請款明細表!$I$3:$I$1981,F$1)</f>
        <v>0</v>
      </c>
      <c r="G310" s="431" t="n">
        <f aca="false">SUMIFS(門市請款明細表!$J$3:$J$1981,門市請款明細表!$H$3:$H$1981,$C310,門市請款明細表!$I$3:$I$1981,G$1)</f>
        <v>0</v>
      </c>
      <c r="H310" s="431" t="n">
        <f aca="false">SUMIFS(門市請款明細表!$J$3:$J$1981,門市請款明細表!$H$3:$H$1981,$C310,門市請款明細表!$I$3:$I$1981,H$1)</f>
        <v>0</v>
      </c>
      <c r="I310" s="15" t="n">
        <f aca="false">SUM(E310:H310)</f>
        <v>0</v>
      </c>
      <c r="J310" s="0" t="str">
        <f aca="false">IF(D310=I310,"●","✖")</f>
        <v>●</v>
      </c>
    </row>
    <row r="311" customFormat="false" ht="16.5" hidden="false" customHeight="false" outlineLevel="0" collapsed="false">
      <c r="A311" s="431" t="n">
        <v>306</v>
      </c>
      <c r="B311" s="139" t="s">
        <v>4929</v>
      </c>
      <c r="C311" s="417" t="s">
        <v>27</v>
      </c>
      <c r="D311" s="141" t="n">
        <f aca="false">SUMIF(門市請款明細表!$H$3:$H$1981,$C311,門市請款明細表!$J$3:$J$1981)</f>
        <v>0</v>
      </c>
      <c r="E311" s="431" t="n">
        <f aca="false">SUMIFS(門市請款明細表!$J$3:$J$1981,門市請款明細表!$H$3:$H$1981,$C311,門市請款明細表!$I$3:$I$1981,E$1)</f>
        <v>0</v>
      </c>
      <c r="F311" s="431" t="n">
        <f aca="false">SUMIFS(門市請款明細表!$J$3:$J$1981,門市請款明細表!$H$3:$H$1981,$C311,門市請款明細表!$I$3:$I$1981,F$1)</f>
        <v>0</v>
      </c>
      <c r="G311" s="431" t="n">
        <f aca="false">SUMIFS(門市請款明細表!$J$3:$J$1981,門市請款明細表!$H$3:$H$1981,$C311,門市請款明細表!$I$3:$I$1981,G$1)</f>
        <v>0</v>
      </c>
      <c r="H311" s="431" t="n">
        <f aca="false">SUMIFS(門市請款明細表!$J$3:$J$1981,門市請款明細表!$H$3:$H$1981,$C311,門市請款明細表!$I$3:$I$1981,H$1)</f>
        <v>0</v>
      </c>
      <c r="I311" s="15" t="n">
        <f aca="false">SUM(E311:H311)</f>
        <v>0</v>
      </c>
      <c r="J311" s="0" t="str">
        <f aca="false">IF(D311=I311,"●","✖")</f>
        <v>●</v>
      </c>
    </row>
    <row r="312" customFormat="false" ht="16.5" hidden="false" customHeight="false" outlineLevel="0" collapsed="false">
      <c r="A312" s="431" t="n">
        <v>307</v>
      </c>
      <c r="B312" s="139" t="s">
        <v>4929</v>
      </c>
      <c r="C312" s="417" t="s">
        <v>327</v>
      </c>
      <c r="D312" s="141" t="n">
        <f aca="false">SUMIF(門市請款明細表!$H$3:$H$1981,$C312,門市請款明細表!$J$3:$J$1981)</f>
        <v>0</v>
      </c>
      <c r="E312" s="431" t="n">
        <f aca="false">SUMIFS(門市請款明細表!$J$3:$J$1981,門市請款明細表!$H$3:$H$1981,$C312,門市請款明細表!$I$3:$I$1981,E$1)</f>
        <v>0</v>
      </c>
      <c r="F312" s="431" t="n">
        <f aca="false">SUMIFS(門市請款明細表!$J$3:$J$1981,門市請款明細表!$H$3:$H$1981,$C312,門市請款明細表!$I$3:$I$1981,F$1)</f>
        <v>0</v>
      </c>
      <c r="G312" s="431" t="n">
        <f aca="false">SUMIFS(門市請款明細表!$J$3:$J$1981,門市請款明細表!$H$3:$H$1981,$C312,門市請款明細表!$I$3:$I$1981,G$1)</f>
        <v>0</v>
      </c>
      <c r="H312" s="431" t="n">
        <f aca="false">SUMIFS(門市請款明細表!$J$3:$J$1981,門市請款明細表!$H$3:$H$1981,$C312,門市請款明細表!$I$3:$I$1981,H$1)</f>
        <v>0</v>
      </c>
      <c r="I312" s="15" t="n">
        <f aca="false">SUM(E312:H312)</f>
        <v>0</v>
      </c>
      <c r="J312" s="0" t="str">
        <f aca="false">IF(D312=I312,"●","✖")</f>
        <v>●</v>
      </c>
    </row>
    <row r="313" customFormat="false" ht="16.5" hidden="false" customHeight="false" outlineLevel="0" collapsed="false">
      <c r="A313" s="431" t="n">
        <v>308</v>
      </c>
      <c r="B313" s="139" t="s">
        <v>4929</v>
      </c>
      <c r="C313" s="417" t="s">
        <v>309</v>
      </c>
      <c r="D313" s="141" t="n">
        <f aca="false">SUMIF(門市請款明細表!$H$3:$H$1981,$C313,門市請款明細表!$J$3:$J$1981)</f>
        <v>0</v>
      </c>
      <c r="E313" s="431" t="n">
        <f aca="false">SUMIFS(門市請款明細表!$J$3:$J$1981,門市請款明細表!$H$3:$H$1981,$C313,門市請款明細表!$I$3:$I$1981,E$1)</f>
        <v>0</v>
      </c>
      <c r="F313" s="431" t="n">
        <f aca="false">SUMIFS(門市請款明細表!$J$3:$J$1981,門市請款明細表!$H$3:$H$1981,$C313,門市請款明細表!$I$3:$I$1981,F$1)</f>
        <v>0</v>
      </c>
      <c r="G313" s="431" t="n">
        <f aca="false">SUMIFS(門市請款明細表!$J$3:$J$1981,門市請款明細表!$H$3:$H$1981,$C313,門市請款明細表!$I$3:$I$1981,G$1)</f>
        <v>0</v>
      </c>
      <c r="H313" s="431" t="n">
        <f aca="false">SUMIFS(門市請款明細表!$J$3:$J$1981,門市請款明細表!$H$3:$H$1981,$C313,門市請款明細表!$I$3:$I$1981,H$1)</f>
        <v>0</v>
      </c>
      <c r="I313" s="15" t="n">
        <f aca="false">SUM(E313:H313)</f>
        <v>0</v>
      </c>
      <c r="J313" s="0" t="str">
        <f aca="false">IF(D313=I313,"●","✖")</f>
        <v>●</v>
      </c>
    </row>
    <row r="314" customFormat="false" ht="16.5" hidden="false" customHeight="false" outlineLevel="0" collapsed="false">
      <c r="A314" s="431" t="n">
        <v>309</v>
      </c>
      <c r="B314" s="139" t="s">
        <v>4935</v>
      </c>
      <c r="C314" s="417" t="s">
        <v>71</v>
      </c>
      <c r="D314" s="141" t="n">
        <f aca="false">SUMIF(門市請款明細表!$H$3:$H$1981,$C314,門市請款明細表!$J$3:$J$1981)</f>
        <v>0</v>
      </c>
      <c r="E314" s="431" t="n">
        <f aca="false">SUMIFS(門市請款明細表!$J$3:$J$1981,門市請款明細表!$H$3:$H$1981,$C314,門市請款明細表!$I$3:$I$1981,E$1)</f>
        <v>0</v>
      </c>
      <c r="F314" s="431" t="n">
        <f aca="false">SUMIFS(門市請款明細表!$J$3:$J$1981,門市請款明細表!$H$3:$H$1981,$C314,門市請款明細表!$I$3:$I$1981,F$1)</f>
        <v>0</v>
      </c>
      <c r="G314" s="431" t="n">
        <f aca="false">SUMIFS(門市請款明細表!$J$3:$J$1981,門市請款明細表!$H$3:$H$1981,$C314,門市請款明細表!$I$3:$I$1981,G$1)</f>
        <v>0</v>
      </c>
      <c r="H314" s="431" t="n">
        <f aca="false">SUMIFS(門市請款明細表!$J$3:$J$1981,門市請款明細表!$H$3:$H$1981,$C314,門市請款明細表!$I$3:$I$1981,H$1)</f>
        <v>0</v>
      </c>
      <c r="I314" s="15" t="n">
        <f aca="false">SUM(E314:H314)</f>
        <v>0</v>
      </c>
      <c r="J314" s="0" t="str">
        <f aca="false">IF(D314=I314,"●","✖")</f>
        <v>●</v>
      </c>
    </row>
    <row r="315" customFormat="false" ht="16.5" hidden="false" customHeight="false" outlineLevel="0" collapsed="false">
      <c r="A315" s="431" t="n">
        <v>310</v>
      </c>
      <c r="B315" s="139" t="s">
        <v>4935</v>
      </c>
      <c r="C315" s="417" t="s">
        <v>371</v>
      </c>
      <c r="D315" s="141" t="n">
        <f aca="false">SUMIF(門市請款明細表!$H$3:$H$1981,$C315,門市請款明細表!$J$3:$J$1981)</f>
        <v>0</v>
      </c>
      <c r="E315" s="431" t="n">
        <f aca="false">SUMIFS(門市請款明細表!$J$3:$J$1981,門市請款明細表!$H$3:$H$1981,$C315,門市請款明細表!$I$3:$I$1981,E$1)</f>
        <v>0</v>
      </c>
      <c r="F315" s="431" t="n">
        <f aca="false">SUMIFS(門市請款明細表!$J$3:$J$1981,門市請款明細表!$H$3:$H$1981,$C315,門市請款明細表!$I$3:$I$1981,F$1)</f>
        <v>0</v>
      </c>
      <c r="G315" s="431" t="n">
        <f aca="false">SUMIFS(門市請款明細表!$J$3:$J$1981,門市請款明細表!$H$3:$H$1981,$C315,門市請款明細表!$I$3:$I$1981,G$1)</f>
        <v>0</v>
      </c>
      <c r="H315" s="431" t="n">
        <f aca="false">SUMIFS(門市請款明細表!$J$3:$J$1981,門市請款明細表!$H$3:$H$1981,$C315,門市請款明細表!$I$3:$I$1981,H$1)</f>
        <v>0</v>
      </c>
      <c r="I315" s="15" t="n">
        <f aca="false">SUM(E315:H315)</f>
        <v>0</v>
      </c>
      <c r="J315" s="0" t="str">
        <f aca="false">IF(D315=I315,"●","✖")</f>
        <v>●</v>
      </c>
    </row>
    <row r="316" customFormat="false" ht="16.5" hidden="false" customHeight="false" outlineLevel="0" collapsed="false">
      <c r="A316" s="431" t="n">
        <v>311</v>
      </c>
      <c r="B316" s="139" t="s">
        <v>4934</v>
      </c>
      <c r="C316" s="417" t="s">
        <v>61</v>
      </c>
      <c r="D316" s="141" t="n">
        <f aca="false">SUMIF(門市請款明細表!$H$3:$H$1981,$C316,門市請款明細表!$J$3:$J$1981)</f>
        <v>0</v>
      </c>
      <c r="E316" s="431" t="n">
        <f aca="false">SUMIFS(門市請款明細表!$J$3:$J$1981,門市請款明細表!$H$3:$H$1981,$C316,門市請款明細表!$I$3:$I$1981,E$1)</f>
        <v>0</v>
      </c>
      <c r="F316" s="431" t="n">
        <f aca="false">SUMIFS(門市請款明細表!$J$3:$J$1981,門市請款明細表!$H$3:$H$1981,$C316,門市請款明細表!$I$3:$I$1981,F$1)</f>
        <v>0</v>
      </c>
      <c r="G316" s="431" t="n">
        <f aca="false">SUMIFS(門市請款明細表!$J$3:$J$1981,門市請款明細表!$H$3:$H$1981,$C316,門市請款明細表!$I$3:$I$1981,G$1)</f>
        <v>0</v>
      </c>
      <c r="H316" s="431" t="n">
        <f aca="false">SUMIFS(門市請款明細表!$J$3:$J$1981,門市請款明細表!$H$3:$H$1981,$C316,門市請款明細表!$I$3:$I$1981,H$1)</f>
        <v>0</v>
      </c>
      <c r="I316" s="15" t="n">
        <f aca="false">SUM(E316:H316)</f>
        <v>0</v>
      </c>
      <c r="J316" s="0" t="str">
        <f aca="false">IF(D316=I316,"●","✖")</f>
        <v>●</v>
      </c>
    </row>
    <row r="317" customFormat="false" ht="16.5" hidden="false" customHeight="false" outlineLevel="0" collapsed="false">
      <c r="A317" s="431" t="n">
        <v>312</v>
      </c>
      <c r="B317" s="141" t="s">
        <v>4945</v>
      </c>
      <c r="C317" s="417" t="s">
        <v>283</v>
      </c>
      <c r="D317" s="141" t="n">
        <f aca="false">SUMIF(門市請款明細表!$H$3:$H$1981,$C317,門市請款明細表!$J$3:$J$1981)</f>
        <v>0</v>
      </c>
      <c r="E317" s="431" t="n">
        <f aca="false">SUMIFS(門市請款明細表!$J$3:$J$1981,門市請款明細表!$H$3:$H$1981,$C317,門市請款明細表!$I$3:$I$1981,E$1)</f>
        <v>0</v>
      </c>
      <c r="F317" s="431" t="n">
        <f aca="false">SUMIFS(門市請款明細表!$J$3:$J$1981,門市請款明細表!$H$3:$H$1981,$C317,門市請款明細表!$I$3:$I$1981,F$1)</f>
        <v>0</v>
      </c>
      <c r="G317" s="431" t="n">
        <f aca="false">SUMIFS(門市請款明細表!$J$3:$J$1981,門市請款明細表!$H$3:$H$1981,$C317,門市請款明細表!$I$3:$I$1981,G$1)</f>
        <v>0</v>
      </c>
      <c r="H317" s="431" t="n">
        <f aca="false">SUMIFS(門市請款明細表!$J$3:$J$1981,門市請款明細表!$H$3:$H$1981,$C317,門市請款明細表!$I$3:$I$1981,H$1)</f>
        <v>0</v>
      </c>
      <c r="I317" s="15" t="n">
        <f aca="false">SUM(E317:H317)</f>
        <v>0</v>
      </c>
      <c r="J317" s="0" t="str">
        <f aca="false">IF(D317=I317,"●","✖")</f>
        <v>●</v>
      </c>
    </row>
    <row r="318" customFormat="false" ht="16.5" hidden="false" customHeight="false" outlineLevel="0" collapsed="false">
      <c r="A318" s="431" t="n">
        <v>313</v>
      </c>
      <c r="B318" s="141" t="s">
        <v>4945</v>
      </c>
      <c r="C318" s="417" t="s">
        <v>329</v>
      </c>
      <c r="D318" s="141" t="n">
        <f aca="false">SUMIF(門市請款明細表!$H$3:$H$1981,$C318,門市請款明細表!$J$3:$J$1981)</f>
        <v>0</v>
      </c>
      <c r="E318" s="431" t="n">
        <f aca="false">SUMIFS(門市請款明細表!$J$3:$J$1981,門市請款明細表!$H$3:$H$1981,$C318,門市請款明細表!$I$3:$I$1981,E$1)</f>
        <v>0</v>
      </c>
      <c r="F318" s="431" t="n">
        <f aca="false">SUMIFS(門市請款明細表!$J$3:$J$1981,門市請款明細表!$H$3:$H$1981,$C318,門市請款明細表!$I$3:$I$1981,F$1)</f>
        <v>0</v>
      </c>
      <c r="G318" s="431" t="n">
        <f aca="false">SUMIFS(門市請款明細表!$J$3:$J$1981,門市請款明細表!$H$3:$H$1981,$C318,門市請款明細表!$I$3:$I$1981,G$1)</f>
        <v>0</v>
      </c>
      <c r="H318" s="431" t="n">
        <f aca="false">SUMIFS(門市請款明細表!$J$3:$J$1981,門市請款明細表!$H$3:$H$1981,$C318,門市請款明細表!$I$3:$I$1981,H$1)</f>
        <v>0</v>
      </c>
      <c r="I318" s="15" t="n">
        <f aca="false">SUM(E318:H318)</f>
        <v>0</v>
      </c>
      <c r="J318" s="0" t="str">
        <f aca="false">IF(D318=I318,"●","✖")</f>
        <v>●</v>
      </c>
    </row>
    <row r="319" customFormat="false" ht="16.5" hidden="false" customHeight="false" outlineLevel="0" collapsed="false">
      <c r="A319" s="431" t="n">
        <v>314</v>
      </c>
      <c r="B319" s="141" t="s">
        <v>4945</v>
      </c>
      <c r="C319" s="417" t="s">
        <v>390</v>
      </c>
      <c r="D319" s="141" t="n">
        <f aca="false">SUMIF(門市請款明細表!$H$3:$H$1981,$C319,門市請款明細表!$J$3:$J$1981)</f>
        <v>0</v>
      </c>
      <c r="E319" s="431" t="n">
        <f aca="false">SUMIFS(門市請款明細表!$J$3:$J$1981,門市請款明細表!$H$3:$H$1981,$C319,門市請款明細表!$I$3:$I$1981,E$1)</f>
        <v>0</v>
      </c>
      <c r="F319" s="431" t="n">
        <f aca="false">SUMIFS(門市請款明細表!$J$3:$J$1981,門市請款明細表!$H$3:$H$1981,$C319,門市請款明細表!$I$3:$I$1981,F$1)</f>
        <v>0</v>
      </c>
      <c r="G319" s="431" t="n">
        <f aca="false">SUMIFS(門市請款明細表!$J$3:$J$1981,門市請款明細表!$H$3:$H$1981,$C319,門市請款明細表!$I$3:$I$1981,G$1)</f>
        <v>0</v>
      </c>
      <c r="H319" s="431" t="n">
        <f aca="false">SUMIFS(門市請款明細表!$J$3:$J$1981,門市請款明細表!$H$3:$H$1981,$C319,門市請款明細表!$I$3:$I$1981,H$1)</f>
        <v>0</v>
      </c>
      <c r="I319" s="15" t="n">
        <f aca="false">SUM(E319:H319)</f>
        <v>0</v>
      </c>
      <c r="J319" s="0" t="str">
        <f aca="false">IF(D319=I319,"●","✖")</f>
        <v>●</v>
      </c>
    </row>
    <row r="320" customFormat="false" ht="16.5" hidden="false" customHeight="false" outlineLevel="0" collapsed="false">
      <c r="A320" s="431" t="n">
        <v>315</v>
      </c>
      <c r="B320" s="141" t="s">
        <v>4945</v>
      </c>
      <c r="C320" s="417" t="s">
        <v>189</v>
      </c>
      <c r="D320" s="141" t="n">
        <f aca="false">SUMIF(門市請款明細表!$H$3:$H$1981,$C320,門市請款明細表!$J$3:$J$1981)</f>
        <v>0</v>
      </c>
      <c r="E320" s="431" t="n">
        <f aca="false">SUMIFS(門市請款明細表!$J$3:$J$1981,門市請款明細表!$H$3:$H$1981,$C320,門市請款明細表!$I$3:$I$1981,E$1)</f>
        <v>0</v>
      </c>
      <c r="F320" s="431" t="n">
        <f aca="false">SUMIFS(門市請款明細表!$J$3:$J$1981,門市請款明細表!$H$3:$H$1981,$C320,門市請款明細表!$I$3:$I$1981,F$1)</f>
        <v>0</v>
      </c>
      <c r="G320" s="431" t="n">
        <f aca="false">SUMIFS(門市請款明細表!$J$3:$J$1981,門市請款明細表!$H$3:$H$1981,$C320,門市請款明細表!$I$3:$I$1981,G$1)</f>
        <v>0</v>
      </c>
      <c r="H320" s="431" t="n">
        <f aca="false">SUMIFS(門市請款明細表!$J$3:$J$1981,門市請款明細表!$H$3:$H$1981,$C320,門市請款明細表!$I$3:$I$1981,H$1)</f>
        <v>0</v>
      </c>
      <c r="I320" s="15" t="n">
        <f aca="false">SUM(E320:H320)</f>
        <v>0</v>
      </c>
      <c r="J320" s="0" t="str">
        <f aca="false">IF(D320=I320,"●","✖")</f>
        <v>●</v>
      </c>
    </row>
    <row r="321" customFormat="false" ht="16.5" hidden="false" customHeight="false" outlineLevel="0" collapsed="false">
      <c r="A321" s="431" t="n">
        <v>316</v>
      </c>
      <c r="B321" s="141" t="s">
        <v>4945</v>
      </c>
      <c r="C321" s="417" t="s">
        <v>158</v>
      </c>
      <c r="D321" s="141" t="n">
        <f aca="false">SUMIF(門市請款明細表!$H$3:$H$1981,$C321,門市請款明細表!$J$3:$J$1981)</f>
        <v>0</v>
      </c>
      <c r="E321" s="431" t="n">
        <f aca="false">SUMIFS(門市請款明細表!$J$3:$J$1981,門市請款明細表!$H$3:$H$1981,$C321,門市請款明細表!$I$3:$I$1981,E$1)</f>
        <v>0</v>
      </c>
      <c r="F321" s="431" t="n">
        <f aca="false">SUMIFS(門市請款明細表!$J$3:$J$1981,門市請款明細表!$H$3:$H$1981,$C321,門市請款明細表!$I$3:$I$1981,F$1)</f>
        <v>0</v>
      </c>
      <c r="G321" s="431" t="n">
        <f aca="false">SUMIFS(門市請款明細表!$J$3:$J$1981,門市請款明細表!$H$3:$H$1981,$C321,門市請款明細表!$I$3:$I$1981,G$1)</f>
        <v>0</v>
      </c>
      <c r="H321" s="431" t="n">
        <f aca="false">SUMIFS(門市請款明細表!$J$3:$J$1981,門市請款明細表!$H$3:$H$1981,$C321,門市請款明細表!$I$3:$I$1981,H$1)</f>
        <v>0</v>
      </c>
      <c r="I321" s="15" t="n">
        <f aca="false">SUM(E321:H321)</f>
        <v>0</v>
      </c>
      <c r="J321" s="0" t="str">
        <f aca="false">IF(D321=I321,"●","✖")</f>
        <v>●</v>
      </c>
    </row>
    <row r="322" customFormat="false" ht="16.5" hidden="false" customHeight="false" outlineLevel="0" collapsed="false">
      <c r="A322" s="431" t="n">
        <v>317</v>
      </c>
      <c r="B322" s="139" t="s">
        <v>4929</v>
      </c>
      <c r="C322" s="417" t="s">
        <v>245</v>
      </c>
      <c r="D322" s="141" t="n">
        <f aca="false">SUMIF(門市請款明細表!$H$3:$H$1981,$C322,門市請款明細表!$J$3:$J$1981)</f>
        <v>0</v>
      </c>
      <c r="E322" s="431" t="n">
        <f aca="false">SUMIFS(門市請款明細表!$J$3:$J$1981,門市請款明細表!$H$3:$H$1981,$C322,門市請款明細表!$I$3:$I$1981,E$1)</f>
        <v>0</v>
      </c>
      <c r="F322" s="431" t="n">
        <f aca="false">SUMIFS(門市請款明細表!$J$3:$J$1981,門市請款明細表!$H$3:$H$1981,$C322,門市請款明細表!$I$3:$I$1981,F$1)</f>
        <v>0</v>
      </c>
      <c r="G322" s="431" t="n">
        <f aca="false">SUMIFS(門市請款明細表!$J$3:$J$1981,門市請款明細表!$H$3:$H$1981,$C322,門市請款明細表!$I$3:$I$1981,G$1)</f>
        <v>0</v>
      </c>
      <c r="H322" s="431" t="n">
        <f aca="false">SUMIFS(門市請款明細表!$J$3:$J$1981,門市請款明細表!$H$3:$H$1981,$C322,門市請款明細表!$I$3:$I$1981,H$1)</f>
        <v>0</v>
      </c>
      <c r="I322" s="15" t="n">
        <f aca="false">SUM(E322:H322)</f>
        <v>0</v>
      </c>
      <c r="J322" s="0" t="str">
        <f aca="false">IF(D322=I322,"●","✖")</f>
        <v>●</v>
      </c>
    </row>
    <row r="323" customFormat="false" ht="16.5" hidden="false" customHeight="false" outlineLevel="0" collapsed="false">
      <c r="A323" s="431" t="n">
        <v>318</v>
      </c>
      <c r="B323" s="139" t="s">
        <v>4929</v>
      </c>
      <c r="C323" s="417" t="s">
        <v>170</v>
      </c>
      <c r="D323" s="141" t="n">
        <f aca="false">SUMIF(門市請款明細表!$H$3:$H$1981,$C323,門市請款明細表!$J$3:$J$1981)</f>
        <v>0</v>
      </c>
      <c r="E323" s="431" t="n">
        <f aca="false">SUMIFS(門市請款明細表!$J$3:$J$1981,門市請款明細表!$H$3:$H$1981,$C323,門市請款明細表!$I$3:$I$1981,E$1)</f>
        <v>0</v>
      </c>
      <c r="F323" s="431" t="n">
        <f aca="false">SUMIFS(門市請款明細表!$J$3:$J$1981,門市請款明細表!$H$3:$H$1981,$C323,門市請款明細表!$I$3:$I$1981,F$1)</f>
        <v>0</v>
      </c>
      <c r="G323" s="431" t="n">
        <f aca="false">SUMIFS(門市請款明細表!$J$3:$J$1981,門市請款明細表!$H$3:$H$1981,$C323,門市請款明細表!$I$3:$I$1981,G$1)</f>
        <v>0</v>
      </c>
      <c r="H323" s="431" t="n">
        <f aca="false">SUMIFS(門市請款明細表!$J$3:$J$1981,門市請款明細表!$H$3:$H$1981,$C323,門市請款明細表!$I$3:$I$1981,H$1)</f>
        <v>0</v>
      </c>
      <c r="I323" s="15" t="n">
        <f aca="false">SUM(E323:H323)</f>
        <v>0</v>
      </c>
      <c r="J323" s="0" t="str">
        <f aca="false">IF(D323=I323,"●","✖")</f>
        <v>●</v>
      </c>
    </row>
    <row r="324" customFormat="false" ht="16.5" hidden="false" customHeight="false" outlineLevel="0" collapsed="false">
      <c r="A324" s="431" t="n">
        <v>319</v>
      </c>
      <c r="B324" s="139" t="s">
        <v>4929</v>
      </c>
      <c r="C324" s="417" t="s">
        <v>301</v>
      </c>
      <c r="D324" s="141" t="n">
        <f aca="false">SUMIF(門市請款明細表!$H$3:$H$1981,$C324,門市請款明細表!$J$3:$J$1981)</f>
        <v>0</v>
      </c>
      <c r="E324" s="431" t="n">
        <f aca="false">SUMIFS(門市請款明細表!$J$3:$J$1981,門市請款明細表!$H$3:$H$1981,$C324,門市請款明細表!$I$3:$I$1981,E$1)</f>
        <v>0</v>
      </c>
      <c r="F324" s="431" t="n">
        <f aca="false">SUMIFS(門市請款明細表!$J$3:$J$1981,門市請款明細表!$H$3:$H$1981,$C324,門市請款明細表!$I$3:$I$1981,F$1)</f>
        <v>0</v>
      </c>
      <c r="G324" s="431" t="n">
        <f aca="false">SUMIFS(門市請款明細表!$J$3:$J$1981,門市請款明細表!$H$3:$H$1981,$C324,門市請款明細表!$I$3:$I$1981,G$1)</f>
        <v>0</v>
      </c>
      <c r="H324" s="431" t="n">
        <f aca="false">SUMIFS(門市請款明細表!$J$3:$J$1981,門市請款明細表!$H$3:$H$1981,$C324,門市請款明細表!$I$3:$I$1981,H$1)</f>
        <v>0</v>
      </c>
      <c r="I324" s="15" t="n">
        <f aca="false">SUM(E324:H324)</f>
        <v>0</v>
      </c>
      <c r="J324" s="0" t="str">
        <f aca="false">IF(D324=I324,"●","✖")</f>
        <v>●</v>
      </c>
    </row>
    <row r="325" customFormat="false" ht="16.5" hidden="false" customHeight="false" outlineLevel="0" collapsed="false">
      <c r="A325" s="431" t="n">
        <v>320</v>
      </c>
      <c r="B325" s="139" t="s">
        <v>4929</v>
      </c>
      <c r="C325" s="417" t="s">
        <v>324</v>
      </c>
      <c r="D325" s="141" t="n">
        <f aca="false">SUMIF(門市請款明細表!$H$3:$H$1981,$C325,門市請款明細表!$J$3:$J$1981)</f>
        <v>0</v>
      </c>
      <c r="E325" s="431" t="n">
        <f aca="false">SUMIFS(門市請款明細表!$J$3:$J$1981,門市請款明細表!$H$3:$H$1981,$C325,門市請款明細表!$I$3:$I$1981,E$1)</f>
        <v>0</v>
      </c>
      <c r="F325" s="431" t="n">
        <f aca="false">SUMIFS(門市請款明細表!$J$3:$J$1981,門市請款明細表!$H$3:$H$1981,$C325,門市請款明細表!$I$3:$I$1981,F$1)</f>
        <v>0</v>
      </c>
      <c r="G325" s="431" t="n">
        <f aca="false">SUMIFS(門市請款明細表!$J$3:$J$1981,門市請款明細表!$H$3:$H$1981,$C325,門市請款明細表!$I$3:$I$1981,G$1)</f>
        <v>0</v>
      </c>
      <c r="H325" s="431" t="n">
        <f aca="false">SUMIFS(門市請款明細表!$J$3:$J$1981,門市請款明細表!$H$3:$H$1981,$C325,門市請款明細表!$I$3:$I$1981,H$1)</f>
        <v>0</v>
      </c>
      <c r="I325" s="15" t="n">
        <f aca="false">SUM(E325:H325)</f>
        <v>0</v>
      </c>
      <c r="J325" s="0" t="str">
        <f aca="false">IF(D325=I325,"●","✖")</f>
        <v>●</v>
      </c>
    </row>
    <row r="326" customFormat="false" ht="16.5" hidden="false" customHeight="false" outlineLevel="0" collapsed="false">
      <c r="A326" s="431" t="n">
        <v>321</v>
      </c>
      <c r="B326" s="139" t="s">
        <v>4929</v>
      </c>
      <c r="C326" s="417" t="s">
        <v>247</v>
      </c>
      <c r="D326" s="141" t="n">
        <f aca="false">SUMIF(門市請款明細表!$H$3:$H$1981,$C326,門市請款明細表!$J$3:$J$1981)</f>
        <v>0</v>
      </c>
      <c r="E326" s="431" t="n">
        <f aca="false">SUMIFS(門市請款明細表!$J$3:$J$1981,門市請款明細表!$H$3:$H$1981,$C326,門市請款明細表!$I$3:$I$1981,E$1)</f>
        <v>0</v>
      </c>
      <c r="F326" s="431" t="n">
        <f aca="false">SUMIFS(門市請款明細表!$J$3:$J$1981,門市請款明細表!$H$3:$H$1981,$C326,門市請款明細表!$I$3:$I$1981,F$1)</f>
        <v>0</v>
      </c>
      <c r="G326" s="431" t="n">
        <f aca="false">SUMIFS(門市請款明細表!$J$3:$J$1981,門市請款明細表!$H$3:$H$1981,$C326,門市請款明細表!$I$3:$I$1981,G$1)</f>
        <v>0</v>
      </c>
      <c r="H326" s="431" t="n">
        <f aca="false">SUMIFS(門市請款明細表!$J$3:$J$1981,門市請款明細表!$H$3:$H$1981,$C326,門市請款明細表!$I$3:$I$1981,H$1)</f>
        <v>0</v>
      </c>
      <c r="I326" s="15" t="n">
        <f aca="false">SUM(E326:H326)</f>
        <v>0</v>
      </c>
      <c r="J326" s="0" t="str">
        <f aca="false">IF(D326=I326,"●","✖")</f>
        <v>●</v>
      </c>
    </row>
    <row r="327" customFormat="false" ht="16.5" hidden="false" customHeight="false" outlineLevel="0" collapsed="false">
      <c r="A327" s="431" t="n">
        <v>322</v>
      </c>
      <c r="B327" s="139" t="s">
        <v>4929</v>
      </c>
      <c r="C327" s="417" t="s">
        <v>161</v>
      </c>
      <c r="D327" s="141" t="n">
        <f aca="false">SUMIF(門市請款明細表!$H$3:$H$1981,$C327,門市請款明細表!$J$3:$J$1981)</f>
        <v>0</v>
      </c>
      <c r="E327" s="431" t="n">
        <f aca="false">SUMIFS(門市請款明細表!$J$3:$J$1981,門市請款明細表!$H$3:$H$1981,$C327,門市請款明細表!$I$3:$I$1981,E$1)</f>
        <v>0</v>
      </c>
      <c r="F327" s="431" t="n">
        <f aca="false">SUMIFS(門市請款明細表!$J$3:$J$1981,門市請款明細表!$H$3:$H$1981,$C327,門市請款明細表!$I$3:$I$1981,F$1)</f>
        <v>0</v>
      </c>
      <c r="G327" s="431" t="n">
        <f aca="false">SUMIFS(門市請款明細表!$J$3:$J$1981,門市請款明細表!$H$3:$H$1981,$C327,門市請款明細表!$I$3:$I$1981,G$1)</f>
        <v>0</v>
      </c>
      <c r="H327" s="431" t="n">
        <f aca="false">SUMIFS(門市請款明細表!$J$3:$J$1981,門市請款明細表!$H$3:$H$1981,$C327,門市請款明細表!$I$3:$I$1981,H$1)</f>
        <v>0</v>
      </c>
      <c r="I327" s="15" t="n">
        <f aca="false">SUM(E327:H327)</f>
        <v>0</v>
      </c>
      <c r="J327" s="0" t="str">
        <f aca="false">IF(D327=I327,"●","✖")</f>
        <v>●</v>
      </c>
    </row>
    <row r="328" customFormat="false" ht="16.5" hidden="false" customHeight="false" outlineLevel="0" collapsed="false">
      <c r="A328" s="431" t="n">
        <v>323</v>
      </c>
      <c r="B328" s="139" t="s">
        <v>4929</v>
      </c>
      <c r="C328" s="417" t="s">
        <v>130</v>
      </c>
      <c r="D328" s="141" t="n">
        <f aca="false">SUMIF(門市請款明細表!$H$3:$H$1981,$C328,門市請款明細表!$J$3:$J$1981)</f>
        <v>0</v>
      </c>
      <c r="E328" s="431" t="n">
        <f aca="false">SUMIFS(門市請款明細表!$J$3:$J$1981,門市請款明細表!$H$3:$H$1981,$C328,門市請款明細表!$I$3:$I$1981,E$1)</f>
        <v>0</v>
      </c>
      <c r="F328" s="431" t="n">
        <f aca="false">SUMIFS(門市請款明細表!$J$3:$J$1981,門市請款明細表!$H$3:$H$1981,$C328,門市請款明細表!$I$3:$I$1981,F$1)</f>
        <v>0</v>
      </c>
      <c r="G328" s="431" t="n">
        <f aca="false">SUMIFS(門市請款明細表!$J$3:$J$1981,門市請款明細表!$H$3:$H$1981,$C328,門市請款明細表!$I$3:$I$1981,G$1)</f>
        <v>0</v>
      </c>
      <c r="H328" s="431" t="n">
        <f aca="false">SUMIFS(門市請款明細表!$J$3:$J$1981,門市請款明細表!$H$3:$H$1981,$C328,門市請款明細表!$I$3:$I$1981,H$1)</f>
        <v>0</v>
      </c>
      <c r="I328" s="15" t="n">
        <f aca="false">SUM(E328:H328)</f>
        <v>0</v>
      </c>
      <c r="J328" s="0" t="str">
        <f aca="false">IF(D328=I328,"●","✖")</f>
        <v>●</v>
      </c>
    </row>
    <row r="329" customFormat="false" ht="16.5" hidden="false" customHeight="false" outlineLevel="0" collapsed="false">
      <c r="A329" s="431" t="n">
        <v>324</v>
      </c>
      <c r="B329" s="139" t="s">
        <v>4929</v>
      </c>
      <c r="C329" s="417" t="s">
        <v>334</v>
      </c>
      <c r="D329" s="141" t="n">
        <f aca="false">SUMIF(門市請款明細表!$H$3:$H$1981,$C329,門市請款明細表!$J$3:$J$1981)</f>
        <v>0</v>
      </c>
      <c r="E329" s="431" t="n">
        <f aca="false">SUMIFS(門市請款明細表!$J$3:$J$1981,門市請款明細表!$H$3:$H$1981,$C329,門市請款明細表!$I$3:$I$1981,E$1)</f>
        <v>0</v>
      </c>
      <c r="F329" s="431" t="n">
        <f aca="false">SUMIFS(門市請款明細表!$J$3:$J$1981,門市請款明細表!$H$3:$H$1981,$C329,門市請款明細表!$I$3:$I$1981,F$1)</f>
        <v>0</v>
      </c>
      <c r="G329" s="431" t="n">
        <f aca="false">SUMIFS(門市請款明細表!$J$3:$J$1981,門市請款明細表!$H$3:$H$1981,$C329,門市請款明細表!$I$3:$I$1981,G$1)</f>
        <v>0</v>
      </c>
      <c r="H329" s="431" t="n">
        <f aca="false">SUMIFS(門市請款明細表!$J$3:$J$1981,門市請款明細表!$H$3:$H$1981,$C329,門市請款明細表!$I$3:$I$1981,H$1)</f>
        <v>0</v>
      </c>
      <c r="I329" s="15" t="n">
        <f aca="false">SUM(E329:H329)</f>
        <v>0</v>
      </c>
      <c r="J329" s="0" t="str">
        <f aca="false">IF(D329=I329,"●","✖")</f>
        <v>●</v>
      </c>
    </row>
    <row r="330" customFormat="false" ht="16.5" hidden="false" customHeight="false" outlineLevel="0" collapsed="false">
      <c r="A330" s="431" t="n">
        <v>325</v>
      </c>
      <c r="B330" s="139" t="s">
        <v>4929</v>
      </c>
      <c r="C330" s="417" t="s">
        <v>103</v>
      </c>
      <c r="D330" s="141" t="n">
        <f aca="false">SUMIF(門市請款明細表!$H$3:$H$1981,$C330,門市請款明細表!$J$3:$J$1981)</f>
        <v>0</v>
      </c>
      <c r="E330" s="431" t="n">
        <f aca="false">SUMIFS(門市請款明細表!$J$3:$J$1981,門市請款明細表!$H$3:$H$1981,$C330,門市請款明細表!$I$3:$I$1981,E$1)</f>
        <v>0</v>
      </c>
      <c r="F330" s="431" t="n">
        <f aca="false">SUMIFS(門市請款明細表!$J$3:$J$1981,門市請款明細表!$H$3:$H$1981,$C330,門市請款明細表!$I$3:$I$1981,F$1)</f>
        <v>0</v>
      </c>
      <c r="G330" s="431" t="n">
        <f aca="false">SUMIFS(門市請款明細表!$J$3:$J$1981,門市請款明細表!$H$3:$H$1981,$C330,門市請款明細表!$I$3:$I$1981,G$1)</f>
        <v>0</v>
      </c>
      <c r="H330" s="431" t="n">
        <f aca="false">SUMIFS(門市請款明細表!$J$3:$J$1981,門市請款明細表!$H$3:$H$1981,$C330,門市請款明細表!$I$3:$I$1981,H$1)</f>
        <v>0</v>
      </c>
      <c r="I330" s="15" t="n">
        <f aca="false">SUM(E330:H330)</f>
        <v>0</v>
      </c>
      <c r="J330" s="0" t="str">
        <f aca="false">IF(D330=I330,"●","✖")</f>
        <v>●</v>
      </c>
    </row>
    <row r="331" customFormat="false" ht="16.5" hidden="false" customHeight="false" outlineLevel="0" collapsed="false">
      <c r="A331" s="431" t="n">
        <v>326</v>
      </c>
      <c r="B331" s="139" t="s">
        <v>4929</v>
      </c>
      <c r="C331" s="417" t="s">
        <v>16</v>
      </c>
      <c r="D331" s="141" t="n">
        <f aca="false">SUMIF(門市請款明細表!$H$3:$H$1981,$C331,門市請款明細表!$J$3:$J$1981)</f>
        <v>0</v>
      </c>
      <c r="E331" s="431" t="n">
        <f aca="false">SUMIFS(門市請款明細表!$J$3:$J$1981,門市請款明細表!$H$3:$H$1981,$C331,門市請款明細表!$I$3:$I$1981,E$1)</f>
        <v>0</v>
      </c>
      <c r="F331" s="431" t="n">
        <f aca="false">SUMIFS(門市請款明細表!$J$3:$J$1981,門市請款明細表!$H$3:$H$1981,$C331,門市請款明細表!$I$3:$I$1981,F$1)</f>
        <v>0</v>
      </c>
      <c r="G331" s="431" t="n">
        <f aca="false">SUMIFS(門市請款明細表!$J$3:$J$1981,門市請款明細表!$H$3:$H$1981,$C331,門市請款明細表!$I$3:$I$1981,G$1)</f>
        <v>0</v>
      </c>
      <c r="H331" s="431" t="n">
        <f aca="false">SUMIFS(門市請款明細表!$J$3:$J$1981,門市請款明細表!$H$3:$H$1981,$C331,門市請款明細表!$I$3:$I$1981,H$1)</f>
        <v>0</v>
      </c>
      <c r="I331" s="15" t="n">
        <f aca="false">SUM(E331:H331)</f>
        <v>0</v>
      </c>
      <c r="J331" s="0" t="str">
        <f aca="false">IF(D331=I331,"●","✖")</f>
        <v>●</v>
      </c>
    </row>
    <row r="332" customFormat="false" ht="16.5" hidden="false" customHeight="false" outlineLevel="0" collapsed="false">
      <c r="A332" s="431" t="n">
        <v>327</v>
      </c>
      <c r="B332" s="139" t="s">
        <v>4929</v>
      </c>
      <c r="C332" s="417" t="s">
        <v>227</v>
      </c>
      <c r="D332" s="141" t="n">
        <f aca="false">SUMIF(門市請款明細表!$H$3:$H$1981,$C332,門市請款明細表!$J$3:$J$1981)</f>
        <v>0</v>
      </c>
      <c r="E332" s="431" t="n">
        <f aca="false">SUMIFS(門市請款明細表!$J$3:$J$1981,門市請款明細表!$H$3:$H$1981,$C332,門市請款明細表!$I$3:$I$1981,E$1)</f>
        <v>0</v>
      </c>
      <c r="F332" s="431" t="n">
        <f aca="false">SUMIFS(門市請款明細表!$J$3:$J$1981,門市請款明細表!$H$3:$H$1981,$C332,門市請款明細表!$I$3:$I$1981,F$1)</f>
        <v>0</v>
      </c>
      <c r="G332" s="431" t="n">
        <f aca="false">SUMIFS(門市請款明細表!$J$3:$J$1981,門市請款明細表!$H$3:$H$1981,$C332,門市請款明細表!$I$3:$I$1981,G$1)</f>
        <v>0</v>
      </c>
      <c r="H332" s="431" t="n">
        <f aca="false">SUMIFS(門市請款明細表!$J$3:$J$1981,門市請款明細表!$H$3:$H$1981,$C332,門市請款明細表!$I$3:$I$1981,H$1)</f>
        <v>0</v>
      </c>
      <c r="I332" s="15" t="n">
        <f aca="false">SUM(E332:H332)</f>
        <v>0</v>
      </c>
      <c r="J332" s="0" t="str">
        <f aca="false">IF(D332=I332,"●","✖")</f>
        <v>●</v>
      </c>
    </row>
    <row r="333" customFormat="false" ht="16.5" hidden="false" customHeight="false" outlineLevel="0" collapsed="false">
      <c r="A333" s="431" t="n">
        <v>328</v>
      </c>
      <c r="B333" s="139" t="s">
        <v>4929</v>
      </c>
      <c r="C333" s="417" t="s">
        <v>306</v>
      </c>
      <c r="D333" s="141" t="n">
        <f aca="false">SUMIF(門市請款明細表!$H$3:$H$1981,$C333,門市請款明細表!$J$3:$J$1981)</f>
        <v>0</v>
      </c>
      <c r="E333" s="431" t="n">
        <f aca="false">SUMIFS(門市請款明細表!$J$3:$J$1981,門市請款明細表!$H$3:$H$1981,$C333,門市請款明細表!$I$3:$I$1981,E$1)</f>
        <v>0</v>
      </c>
      <c r="F333" s="431" t="n">
        <f aca="false">SUMIFS(門市請款明細表!$J$3:$J$1981,門市請款明細表!$H$3:$H$1981,$C333,門市請款明細表!$I$3:$I$1981,F$1)</f>
        <v>0</v>
      </c>
      <c r="G333" s="431" t="n">
        <f aca="false">SUMIFS(門市請款明細表!$J$3:$J$1981,門市請款明細表!$H$3:$H$1981,$C333,門市請款明細表!$I$3:$I$1981,G$1)</f>
        <v>0</v>
      </c>
      <c r="H333" s="431" t="n">
        <f aca="false">SUMIFS(門市請款明細表!$J$3:$J$1981,門市請款明細表!$H$3:$H$1981,$C333,門市請款明細表!$I$3:$I$1981,H$1)</f>
        <v>0</v>
      </c>
      <c r="I333" s="15" t="n">
        <f aca="false">SUM(E333:H333)</f>
        <v>0</v>
      </c>
      <c r="J333" s="0" t="str">
        <f aca="false">IF(D333=I333,"●","✖")</f>
        <v>●</v>
      </c>
    </row>
    <row r="334" customFormat="false" ht="16.5" hidden="false" customHeight="false" outlineLevel="0" collapsed="false">
      <c r="A334" s="431" t="n">
        <v>329</v>
      </c>
      <c r="B334" s="139" t="s">
        <v>4929</v>
      </c>
      <c r="C334" s="417" t="s">
        <v>8</v>
      </c>
      <c r="D334" s="141" t="n">
        <f aca="false">SUMIF(門市請款明細表!$H$3:$H$1981,$C334,門市請款明細表!$J$3:$J$1981)</f>
        <v>0</v>
      </c>
      <c r="E334" s="431" t="n">
        <f aca="false">SUMIFS(門市請款明細表!$J$3:$J$1981,門市請款明細表!$H$3:$H$1981,$C334,門市請款明細表!$I$3:$I$1981,E$1)</f>
        <v>0</v>
      </c>
      <c r="F334" s="431" t="n">
        <f aca="false">SUMIFS(門市請款明細表!$J$3:$J$1981,門市請款明細表!$H$3:$H$1981,$C334,門市請款明細表!$I$3:$I$1981,F$1)</f>
        <v>0</v>
      </c>
      <c r="G334" s="431" t="n">
        <f aca="false">SUMIFS(門市請款明細表!$J$3:$J$1981,門市請款明細表!$H$3:$H$1981,$C334,門市請款明細表!$I$3:$I$1981,G$1)</f>
        <v>0</v>
      </c>
      <c r="H334" s="431" t="n">
        <f aca="false">SUMIFS(門市請款明細表!$J$3:$J$1981,門市請款明細表!$H$3:$H$1981,$C334,門市請款明細表!$I$3:$I$1981,H$1)</f>
        <v>0</v>
      </c>
      <c r="I334" s="15" t="n">
        <f aca="false">SUM(E334:H334)</f>
        <v>0</v>
      </c>
      <c r="J334" s="0" t="str">
        <f aca="false">IF(D334=I334,"●","✖")</f>
        <v>●</v>
      </c>
    </row>
    <row r="335" customFormat="false" ht="16.5" hidden="false" customHeight="false" outlineLevel="0" collapsed="false">
      <c r="A335" s="431" t="n">
        <v>330</v>
      </c>
      <c r="B335" s="139" t="s">
        <v>4929</v>
      </c>
      <c r="C335" s="417" t="s">
        <v>53</v>
      </c>
      <c r="D335" s="141" t="n">
        <f aca="false">SUMIF(門市請款明細表!$H$3:$H$1981,$C335,門市請款明細表!$J$3:$J$1981)</f>
        <v>0</v>
      </c>
      <c r="E335" s="431" t="n">
        <f aca="false">SUMIFS(門市請款明細表!$J$3:$J$1981,門市請款明細表!$H$3:$H$1981,$C335,門市請款明細表!$I$3:$I$1981,E$1)</f>
        <v>0</v>
      </c>
      <c r="F335" s="431" t="n">
        <f aca="false">SUMIFS(門市請款明細表!$J$3:$J$1981,門市請款明細表!$H$3:$H$1981,$C335,門市請款明細表!$I$3:$I$1981,F$1)</f>
        <v>0</v>
      </c>
      <c r="G335" s="431" t="n">
        <f aca="false">SUMIFS(門市請款明細表!$J$3:$J$1981,門市請款明細表!$H$3:$H$1981,$C335,門市請款明細表!$I$3:$I$1981,G$1)</f>
        <v>0</v>
      </c>
      <c r="H335" s="431" t="n">
        <f aca="false">SUMIFS(門市請款明細表!$J$3:$J$1981,門市請款明細表!$H$3:$H$1981,$C335,門市請款明細表!$I$3:$I$1981,H$1)</f>
        <v>0</v>
      </c>
      <c r="I335" s="15" t="n">
        <f aca="false">SUM(E335:H335)</f>
        <v>0</v>
      </c>
      <c r="J335" s="0" t="str">
        <f aca="false">IF(D335=I335,"●","✖")</f>
        <v>●</v>
      </c>
    </row>
    <row r="336" customFormat="false" ht="16.5" hidden="false" customHeight="false" outlineLevel="0" collapsed="false">
      <c r="A336" s="431" t="n">
        <v>331</v>
      </c>
      <c r="B336" s="139" t="s">
        <v>4935</v>
      </c>
      <c r="C336" s="417" t="s">
        <v>354</v>
      </c>
      <c r="D336" s="141" t="n">
        <f aca="false">SUMIF(門市請款明細表!$H$3:$H$1981,$C336,門市請款明細表!$J$3:$J$1981)</f>
        <v>0</v>
      </c>
      <c r="E336" s="431" t="n">
        <f aca="false">SUMIFS(門市請款明細表!$J$3:$J$1981,門市請款明細表!$H$3:$H$1981,$C336,門市請款明細表!$I$3:$I$1981,E$1)</f>
        <v>0</v>
      </c>
      <c r="F336" s="431" t="n">
        <f aca="false">SUMIFS(門市請款明細表!$J$3:$J$1981,門市請款明細表!$H$3:$H$1981,$C336,門市請款明細表!$I$3:$I$1981,F$1)</f>
        <v>0</v>
      </c>
      <c r="G336" s="431" t="n">
        <f aca="false">SUMIFS(門市請款明細表!$J$3:$J$1981,門市請款明細表!$H$3:$H$1981,$C336,門市請款明細表!$I$3:$I$1981,G$1)</f>
        <v>0</v>
      </c>
      <c r="H336" s="431" t="n">
        <f aca="false">SUMIFS(門市請款明細表!$J$3:$J$1981,門市請款明細表!$H$3:$H$1981,$C336,門市請款明細表!$I$3:$I$1981,H$1)</f>
        <v>0</v>
      </c>
      <c r="I336" s="15" t="n">
        <f aca="false">SUM(E336:H336)</f>
        <v>0</v>
      </c>
      <c r="J336" s="0" t="str">
        <f aca="false">IF(D336=I336,"●","✖")</f>
        <v>●</v>
      </c>
    </row>
    <row r="337" customFormat="false" ht="16.5" hidden="false" customHeight="false" outlineLevel="0" collapsed="false">
      <c r="A337" s="431" t="n">
        <v>332</v>
      </c>
      <c r="B337" s="139" t="s">
        <v>4933</v>
      </c>
      <c r="C337" s="417" t="s">
        <v>114</v>
      </c>
      <c r="D337" s="141" t="n">
        <f aca="false">SUMIF(門市請款明細表!$H$3:$H$1981,$C337,門市請款明細表!$J$3:$J$1981)</f>
        <v>0</v>
      </c>
      <c r="E337" s="431" t="n">
        <f aca="false">SUMIFS(門市請款明細表!$J$3:$J$1981,門市請款明細表!$H$3:$H$1981,$C337,門市請款明細表!$I$3:$I$1981,E$1)</f>
        <v>0</v>
      </c>
      <c r="F337" s="431" t="n">
        <f aca="false">SUMIFS(門市請款明細表!$J$3:$J$1981,門市請款明細表!$H$3:$H$1981,$C337,門市請款明細表!$I$3:$I$1981,F$1)</f>
        <v>0</v>
      </c>
      <c r="G337" s="431" t="n">
        <f aca="false">SUMIFS(門市請款明細表!$J$3:$J$1981,門市請款明細表!$H$3:$H$1981,$C337,門市請款明細表!$I$3:$I$1981,G$1)</f>
        <v>0</v>
      </c>
      <c r="H337" s="431" t="n">
        <f aca="false">SUMIFS(門市請款明細表!$J$3:$J$1981,門市請款明細表!$H$3:$H$1981,$C337,門市請款明細表!$I$3:$I$1981,H$1)</f>
        <v>0</v>
      </c>
      <c r="I337" s="15" t="n">
        <f aca="false">SUM(E337:H337)</f>
        <v>0</v>
      </c>
      <c r="J337" s="0" t="str">
        <f aca="false">IF(D337=I337,"●","✖")</f>
        <v>●</v>
      </c>
    </row>
    <row r="338" customFormat="false" ht="16.5" hidden="false" customHeight="false" outlineLevel="0" collapsed="false">
      <c r="A338" s="431" t="n">
        <v>333</v>
      </c>
      <c r="B338" s="139" t="s">
        <v>4933</v>
      </c>
      <c r="C338" s="417" t="s">
        <v>34</v>
      </c>
      <c r="D338" s="141" t="n">
        <f aca="false">SUMIF(門市請款明細表!$H$3:$H$1981,$C338,門市請款明細表!$J$3:$J$1981)</f>
        <v>0</v>
      </c>
      <c r="E338" s="431" t="n">
        <f aca="false">SUMIFS(門市請款明細表!$J$3:$J$1981,門市請款明細表!$H$3:$H$1981,$C338,門市請款明細表!$I$3:$I$1981,E$1)</f>
        <v>0</v>
      </c>
      <c r="F338" s="431" t="n">
        <f aca="false">SUMIFS(門市請款明細表!$J$3:$J$1981,門市請款明細表!$H$3:$H$1981,$C338,門市請款明細表!$I$3:$I$1981,F$1)</f>
        <v>0</v>
      </c>
      <c r="G338" s="431" t="n">
        <f aca="false">SUMIFS(門市請款明細表!$J$3:$J$1981,門市請款明細表!$H$3:$H$1981,$C338,門市請款明細表!$I$3:$I$1981,G$1)</f>
        <v>0</v>
      </c>
      <c r="H338" s="431" t="n">
        <f aca="false">SUMIFS(門市請款明細表!$J$3:$J$1981,門市請款明細表!$H$3:$H$1981,$C338,門市請款明細表!$I$3:$I$1981,H$1)</f>
        <v>0</v>
      </c>
      <c r="I338" s="15" t="n">
        <f aca="false">SUM(E338:H338)</f>
        <v>0</v>
      </c>
      <c r="J338" s="0" t="str">
        <f aca="false">IF(D338=I338,"●","✖")</f>
        <v>●</v>
      </c>
    </row>
    <row r="339" customFormat="false" ht="16.5" hidden="false" customHeight="false" outlineLevel="0" collapsed="false">
      <c r="A339" s="431" t="n">
        <v>334</v>
      </c>
      <c r="B339" s="139" t="s">
        <v>4933</v>
      </c>
      <c r="C339" s="417" t="s">
        <v>304</v>
      </c>
      <c r="D339" s="141" t="n">
        <f aca="false">SUMIF(門市請款明細表!$H$3:$H$1981,$C339,門市請款明細表!$J$3:$J$1981)</f>
        <v>0</v>
      </c>
      <c r="E339" s="431" t="n">
        <f aca="false">SUMIFS(門市請款明細表!$J$3:$J$1981,門市請款明細表!$H$3:$H$1981,$C339,門市請款明細表!$I$3:$I$1981,E$1)</f>
        <v>0</v>
      </c>
      <c r="F339" s="431" t="n">
        <f aca="false">SUMIFS(門市請款明細表!$J$3:$J$1981,門市請款明細表!$H$3:$H$1981,$C339,門市請款明細表!$I$3:$I$1981,F$1)</f>
        <v>0</v>
      </c>
      <c r="G339" s="431" t="n">
        <f aca="false">SUMIFS(門市請款明細表!$J$3:$J$1981,門市請款明細表!$H$3:$H$1981,$C339,門市請款明細表!$I$3:$I$1981,G$1)</f>
        <v>0</v>
      </c>
      <c r="H339" s="431" t="n">
        <f aca="false">SUMIFS(門市請款明細表!$J$3:$J$1981,門市請款明細表!$H$3:$H$1981,$C339,門市請款明細表!$I$3:$I$1981,H$1)</f>
        <v>0</v>
      </c>
      <c r="I339" s="15" t="n">
        <f aca="false">SUM(E339:H339)</f>
        <v>0</v>
      </c>
      <c r="J339" s="0" t="str">
        <f aca="false">IF(D339=I339,"●","✖")</f>
        <v>●</v>
      </c>
    </row>
    <row r="340" customFormat="false" ht="16.5" hidden="false" customHeight="false" outlineLevel="0" collapsed="false">
      <c r="A340" s="431" t="n">
        <v>335</v>
      </c>
      <c r="B340" s="139" t="s">
        <v>4933</v>
      </c>
      <c r="C340" s="417" t="s">
        <v>35</v>
      </c>
      <c r="D340" s="141" t="n">
        <f aca="false">SUMIF(門市請款明細表!$H$3:$H$1981,$C340,門市請款明細表!$J$3:$J$1981)</f>
        <v>0</v>
      </c>
      <c r="E340" s="431" t="n">
        <f aca="false">SUMIFS(門市請款明細表!$J$3:$J$1981,門市請款明細表!$H$3:$H$1981,$C340,門市請款明細表!$I$3:$I$1981,E$1)</f>
        <v>0</v>
      </c>
      <c r="F340" s="431" t="n">
        <f aca="false">SUMIFS(門市請款明細表!$J$3:$J$1981,門市請款明細表!$H$3:$H$1981,$C340,門市請款明細表!$I$3:$I$1981,F$1)</f>
        <v>0</v>
      </c>
      <c r="G340" s="431" t="n">
        <f aca="false">SUMIFS(門市請款明細表!$J$3:$J$1981,門市請款明細表!$H$3:$H$1981,$C340,門市請款明細表!$I$3:$I$1981,G$1)</f>
        <v>0</v>
      </c>
      <c r="H340" s="431" t="n">
        <f aca="false">SUMIFS(門市請款明細表!$J$3:$J$1981,門市請款明細表!$H$3:$H$1981,$C340,門市請款明細表!$I$3:$I$1981,H$1)</f>
        <v>0</v>
      </c>
      <c r="I340" s="15" t="n">
        <f aca="false">SUM(E340:H340)</f>
        <v>0</v>
      </c>
      <c r="J340" s="0" t="str">
        <f aca="false">IF(D340=I340,"●","✖")</f>
        <v>●</v>
      </c>
    </row>
    <row r="341" customFormat="false" ht="16.5" hidden="false" customHeight="false" outlineLevel="0" collapsed="false">
      <c r="A341" s="431" t="n">
        <v>336</v>
      </c>
      <c r="B341" s="141" t="s">
        <v>4945</v>
      </c>
      <c r="C341" s="417" t="s">
        <v>234</v>
      </c>
      <c r="D341" s="141" t="n">
        <f aca="false">SUMIF(門市請款明細表!$H$3:$H$1981,$C341,門市請款明細表!$J$3:$J$1981)</f>
        <v>0</v>
      </c>
      <c r="E341" s="431" t="n">
        <f aca="false">SUMIFS(門市請款明細表!$J$3:$J$1981,門市請款明細表!$H$3:$H$1981,$C341,門市請款明細表!$I$3:$I$1981,E$1)</f>
        <v>0</v>
      </c>
      <c r="F341" s="431" t="n">
        <f aca="false">SUMIFS(門市請款明細表!$J$3:$J$1981,門市請款明細表!$H$3:$H$1981,$C341,門市請款明細表!$I$3:$I$1981,F$1)</f>
        <v>0</v>
      </c>
      <c r="G341" s="431" t="n">
        <f aca="false">SUMIFS(門市請款明細表!$J$3:$J$1981,門市請款明細表!$H$3:$H$1981,$C341,門市請款明細表!$I$3:$I$1981,G$1)</f>
        <v>0</v>
      </c>
      <c r="H341" s="431" t="n">
        <f aca="false">SUMIFS(門市請款明細表!$J$3:$J$1981,門市請款明細表!$H$3:$H$1981,$C341,門市請款明細表!$I$3:$I$1981,H$1)</f>
        <v>0</v>
      </c>
      <c r="I341" s="15" t="n">
        <f aca="false">SUM(E341:H341)</f>
        <v>0</v>
      </c>
      <c r="J341" s="0" t="str">
        <f aca="false">IF(D341=I341,"●","✖")</f>
        <v>●</v>
      </c>
    </row>
    <row r="342" customFormat="false" ht="16.5" hidden="false" customHeight="false" outlineLevel="0" collapsed="false">
      <c r="A342" s="431" t="n">
        <v>337</v>
      </c>
      <c r="B342" s="139" t="s">
        <v>4931</v>
      </c>
      <c r="C342" s="417" t="s">
        <v>201</v>
      </c>
      <c r="D342" s="141" t="n">
        <f aca="false">SUMIF(門市請款明細表!$H$3:$H$1981,$C342,門市請款明細表!$J$3:$J$1981)</f>
        <v>0</v>
      </c>
      <c r="E342" s="431" t="n">
        <f aca="false">SUMIFS(門市請款明細表!$J$3:$J$1981,門市請款明細表!$H$3:$H$1981,$C342,門市請款明細表!$I$3:$I$1981,E$1)</f>
        <v>0</v>
      </c>
      <c r="F342" s="431" t="n">
        <f aca="false">SUMIFS(門市請款明細表!$J$3:$J$1981,門市請款明細表!$H$3:$H$1981,$C342,門市請款明細表!$I$3:$I$1981,F$1)</f>
        <v>0</v>
      </c>
      <c r="G342" s="431" t="n">
        <f aca="false">SUMIFS(門市請款明細表!$J$3:$J$1981,門市請款明細表!$H$3:$H$1981,$C342,門市請款明細表!$I$3:$I$1981,G$1)</f>
        <v>0</v>
      </c>
      <c r="H342" s="431" t="n">
        <f aca="false">SUMIFS(門市請款明細表!$J$3:$J$1981,門市請款明細表!$H$3:$H$1981,$C342,門市請款明細表!$I$3:$I$1981,H$1)</f>
        <v>0</v>
      </c>
      <c r="I342" s="15" t="n">
        <f aca="false">SUM(E342:H342)</f>
        <v>0</v>
      </c>
      <c r="J342" s="0" t="str">
        <f aca="false">IF(D342=I342,"●","✖")</f>
        <v>●</v>
      </c>
    </row>
    <row r="343" customFormat="false" ht="16.5" hidden="false" customHeight="false" outlineLevel="0" collapsed="false">
      <c r="A343" s="431" t="n">
        <v>338</v>
      </c>
      <c r="B343" s="139" t="s">
        <v>4935</v>
      </c>
      <c r="C343" s="417" t="s">
        <v>359</v>
      </c>
      <c r="D343" s="141" t="n">
        <f aca="false">SUMIF(門市請款明細表!$H$3:$H$1981,$C343,門市請款明細表!$J$3:$J$1981)</f>
        <v>0</v>
      </c>
      <c r="E343" s="431" t="n">
        <f aca="false">SUMIFS(門市請款明細表!$J$3:$J$1981,門市請款明細表!$H$3:$H$1981,$C343,門市請款明細表!$I$3:$I$1981,E$1)</f>
        <v>0</v>
      </c>
      <c r="F343" s="431" t="n">
        <f aca="false">SUMIFS(門市請款明細表!$J$3:$J$1981,門市請款明細表!$H$3:$H$1981,$C343,門市請款明細表!$I$3:$I$1981,F$1)</f>
        <v>0</v>
      </c>
      <c r="G343" s="431" t="n">
        <f aca="false">SUMIFS(門市請款明細表!$J$3:$J$1981,門市請款明細表!$H$3:$H$1981,$C343,門市請款明細表!$I$3:$I$1981,G$1)</f>
        <v>0</v>
      </c>
      <c r="H343" s="431" t="n">
        <f aca="false">SUMIFS(門市請款明細表!$J$3:$J$1981,門市請款明細表!$H$3:$H$1981,$C343,門市請款明細表!$I$3:$I$1981,H$1)</f>
        <v>0</v>
      </c>
      <c r="I343" s="15" t="n">
        <f aca="false">SUM(E343:H343)</f>
        <v>0</v>
      </c>
      <c r="J343" s="0" t="str">
        <f aca="false">IF(D343=I343,"●","✖")</f>
        <v>●</v>
      </c>
    </row>
    <row r="344" customFormat="false" ht="16.5" hidden="false" customHeight="false" outlineLevel="0" collapsed="false">
      <c r="A344" s="431" t="n">
        <v>339</v>
      </c>
      <c r="B344" s="139" t="s">
        <v>4936</v>
      </c>
      <c r="C344" s="417" t="s">
        <v>256</v>
      </c>
      <c r="D344" s="141" t="n">
        <f aca="false">SUMIF(門市請款明細表!$H$3:$H$1981,$C344,門市請款明細表!$J$3:$J$1981)</f>
        <v>0</v>
      </c>
      <c r="E344" s="431" t="n">
        <f aca="false">SUMIFS(門市請款明細表!$J$3:$J$1981,門市請款明細表!$H$3:$H$1981,$C344,門市請款明細表!$I$3:$I$1981,E$1)</f>
        <v>0</v>
      </c>
      <c r="F344" s="431" t="n">
        <f aca="false">SUMIFS(門市請款明細表!$J$3:$J$1981,門市請款明細表!$H$3:$H$1981,$C344,門市請款明細表!$I$3:$I$1981,F$1)</f>
        <v>0</v>
      </c>
      <c r="G344" s="431" t="n">
        <f aca="false">SUMIFS(門市請款明細表!$J$3:$J$1981,門市請款明細表!$H$3:$H$1981,$C344,門市請款明細表!$I$3:$I$1981,G$1)</f>
        <v>0</v>
      </c>
      <c r="H344" s="431" t="n">
        <f aca="false">SUMIFS(門市請款明細表!$J$3:$J$1981,門市請款明細表!$H$3:$H$1981,$C344,門市請款明細表!$I$3:$I$1981,H$1)</f>
        <v>0</v>
      </c>
      <c r="I344" s="15" t="n">
        <f aca="false">SUM(E344:H344)</f>
        <v>0</v>
      </c>
      <c r="J344" s="0" t="str">
        <f aca="false">IF(D344=I344,"●","✖")</f>
        <v>●</v>
      </c>
    </row>
    <row r="345" customFormat="false" ht="16.5" hidden="false" customHeight="false" outlineLevel="0" collapsed="false">
      <c r="A345" s="431" t="n">
        <v>340</v>
      </c>
      <c r="B345" s="139" t="s">
        <v>4936</v>
      </c>
      <c r="C345" s="417" t="s">
        <v>397</v>
      </c>
      <c r="D345" s="141" t="n">
        <f aca="false">SUMIF(門市請款明細表!$H$3:$H$1981,$C345,門市請款明細表!$J$3:$J$1981)</f>
        <v>0</v>
      </c>
      <c r="E345" s="431" t="n">
        <f aca="false">SUMIFS(門市請款明細表!$J$3:$J$1981,門市請款明細表!$H$3:$H$1981,$C345,門市請款明細表!$I$3:$I$1981,E$1)</f>
        <v>0</v>
      </c>
      <c r="F345" s="431" t="n">
        <f aca="false">SUMIFS(門市請款明細表!$J$3:$J$1981,門市請款明細表!$H$3:$H$1981,$C345,門市請款明細表!$I$3:$I$1981,F$1)</f>
        <v>0</v>
      </c>
      <c r="G345" s="431" t="n">
        <f aca="false">SUMIFS(門市請款明細表!$J$3:$J$1981,門市請款明細表!$H$3:$H$1981,$C345,門市請款明細表!$I$3:$I$1981,G$1)</f>
        <v>0</v>
      </c>
      <c r="H345" s="431" t="n">
        <f aca="false">SUMIFS(門市請款明細表!$J$3:$J$1981,門市請款明細表!$H$3:$H$1981,$C345,門市請款明細表!$I$3:$I$1981,H$1)</f>
        <v>0</v>
      </c>
      <c r="I345" s="15" t="n">
        <f aca="false">SUM(E345:H345)</f>
        <v>0</v>
      </c>
      <c r="J345" s="0" t="str">
        <f aca="false">IF(D345=I345,"●","✖")</f>
        <v>●</v>
      </c>
    </row>
    <row r="346" customFormat="false" ht="16.5" hidden="false" customHeight="false" outlineLevel="0" collapsed="false">
      <c r="A346" s="431" t="n">
        <v>341</v>
      </c>
      <c r="B346" s="139" t="s">
        <v>4936</v>
      </c>
      <c r="C346" s="417" t="s">
        <v>302</v>
      </c>
      <c r="D346" s="141" t="n">
        <f aca="false">SUMIF(門市請款明細表!$H$3:$H$1981,$C346,門市請款明細表!$J$3:$J$1981)</f>
        <v>0</v>
      </c>
      <c r="E346" s="431" t="n">
        <f aca="false">SUMIFS(門市請款明細表!$J$3:$J$1981,門市請款明細表!$H$3:$H$1981,$C346,門市請款明細表!$I$3:$I$1981,E$1)</f>
        <v>0</v>
      </c>
      <c r="F346" s="431" t="n">
        <f aca="false">SUMIFS(門市請款明細表!$J$3:$J$1981,門市請款明細表!$H$3:$H$1981,$C346,門市請款明細表!$I$3:$I$1981,F$1)</f>
        <v>0</v>
      </c>
      <c r="G346" s="431" t="n">
        <f aca="false">SUMIFS(門市請款明細表!$J$3:$J$1981,門市請款明細表!$H$3:$H$1981,$C346,門市請款明細表!$I$3:$I$1981,G$1)</f>
        <v>0</v>
      </c>
      <c r="H346" s="431" t="n">
        <f aca="false">SUMIFS(門市請款明細表!$J$3:$J$1981,門市請款明細表!$H$3:$H$1981,$C346,門市請款明細表!$I$3:$I$1981,H$1)</f>
        <v>0</v>
      </c>
      <c r="I346" s="15" t="n">
        <f aca="false">SUM(E346:H346)</f>
        <v>0</v>
      </c>
      <c r="J346" s="0" t="str">
        <f aca="false">IF(D346=I346,"●","✖")</f>
        <v>●</v>
      </c>
    </row>
    <row r="347" customFormat="false" ht="16.5" hidden="false" customHeight="false" outlineLevel="0" collapsed="false">
      <c r="A347" s="431" t="n">
        <v>342</v>
      </c>
      <c r="B347" s="139" t="s">
        <v>4936</v>
      </c>
      <c r="C347" s="417" t="s">
        <v>223</v>
      </c>
      <c r="D347" s="141" t="n">
        <f aca="false">SUMIF(門市請款明細表!$H$3:$H$1981,$C347,門市請款明細表!$J$3:$J$1981)</f>
        <v>0</v>
      </c>
      <c r="E347" s="431" t="n">
        <f aca="false">SUMIFS(門市請款明細表!$J$3:$J$1981,門市請款明細表!$H$3:$H$1981,$C347,門市請款明細表!$I$3:$I$1981,E$1)</f>
        <v>0</v>
      </c>
      <c r="F347" s="431" t="n">
        <f aca="false">SUMIFS(門市請款明細表!$J$3:$J$1981,門市請款明細表!$H$3:$H$1981,$C347,門市請款明細表!$I$3:$I$1981,F$1)</f>
        <v>0</v>
      </c>
      <c r="G347" s="431" t="n">
        <f aca="false">SUMIFS(門市請款明細表!$J$3:$J$1981,門市請款明細表!$H$3:$H$1981,$C347,門市請款明細表!$I$3:$I$1981,G$1)</f>
        <v>0</v>
      </c>
      <c r="H347" s="431" t="n">
        <f aca="false">SUMIFS(門市請款明細表!$J$3:$J$1981,門市請款明細表!$H$3:$H$1981,$C347,門市請款明細表!$I$3:$I$1981,H$1)</f>
        <v>0</v>
      </c>
      <c r="I347" s="15" t="n">
        <f aca="false">SUM(E347:H347)</f>
        <v>0</v>
      </c>
      <c r="J347" s="0" t="str">
        <f aca="false">IF(D347=I347,"●","✖")</f>
        <v>●</v>
      </c>
    </row>
    <row r="348" customFormat="false" ht="16.5" hidden="false" customHeight="false" outlineLevel="0" collapsed="false">
      <c r="A348" s="431" t="n">
        <v>343</v>
      </c>
      <c r="B348" s="139" t="s">
        <v>4936</v>
      </c>
      <c r="C348" s="417" t="s">
        <v>221</v>
      </c>
      <c r="D348" s="141" t="n">
        <f aca="false">SUMIF(門市請款明細表!$H$3:$H$1981,$C348,門市請款明細表!$J$3:$J$1981)</f>
        <v>0</v>
      </c>
      <c r="E348" s="431" t="n">
        <f aca="false">SUMIFS(門市請款明細表!$J$3:$J$1981,門市請款明細表!$H$3:$H$1981,$C348,門市請款明細表!$I$3:$I$1981,E$1)</f>
        <v>0</v>
      </c>
      <c r="F348" s="431" t="n">
        <f aca="false">SUMIFS(門市請款明細表!$J$3:$J$1981,門市請款明細表!$H$3:$H$1981,$C348,門市請款明細表!$I$3:$I$1981,F$1)</f>
        <v>0</v>
      </c>
      <c r="G348" s="431" t="n">
        <f aca="false">SUMIFS(門市請款明細表!$J$3:$J$1981,門市請款明細表!$H$3:$H$1981,$C348,門市請款明細表!$I$3:$I$1981,G$1)</f>
        <v>0</v>
      </c>
      <c r="H348" s="431" t="n">
        <f aca="false">SUMIFS(門市請款明細表!$J$3:$J$1981,門市請款明細表!$H$3:$H$1981,$C348,門市請款明細表!$I$3:$I$1981,H$1)</f>
        <v>0</v>
      </c>
      <c r="I348" s="15" t="n">
        <f aca="false">SUM(E348:H348)</f>
        <v>0</v>
      </c>
      <c r="J348" s="0" t="str">
        <f aca="false">IF(D348=I348,"●","✖")</f>
        <v>●</v>
      </c>
    </row>
    <row r="349" customFormat="false" ht="16.5" hidden="false" customHeight="false" outlineLevel="0" collapsed="false">
      <c r="A349" s="431" t="n">
        <v>344</v>
      </c>
      <c r="B349" s="139" t="s">
        <v>4936</v>
      </c>
      <c r="C349" s="417" t="s">
        <v>260</v>
      </c>
      <c r="D349" s="141" t="n">
        <f aca="false">SUMIF(門市請款明細表!$H$3:$H$1981,$C349,門市請款明細表!$J$3:$J$1981)</f>
        <v>0</v>
      </c>
      <c r="E349" s="431" t="n">
        <f aca="false">SUMIFS(門市請款明細表!$J$3:$J$1981,門市請款明細表!$H$3:$H$1981,$C349,門市請款明細表!$I$3:$I$1981,E$1)</f>
        <v>0</v>
      </c>
      <c r="F349" s="431" t="n">
        <f aca="false">SUMIFS(門市請款明細表!$J$3:$J$1981,門市請款明細表!$H$3:$H$1981,$C349,門市請款明細表!$I$3:$I$1981,F$1)</f>
        <v>0</v>
      </c>
      <c r="G349" s="431" t="n">
        <f aca="false">SUMIFS(門市請款明細表!$J$3:$J$1981,門市請款明細表!$H$3:$H$1981,$C349,門市請款明細表!$I$3:$I$1981,G$1)</f>
        <v>0</v>
      </c>
      <c r="H349" s="431" t="n">
        <f aca="false">SUMIFS(門市請款明細表!$J$3:$J$1981,門市請款明細表!$H$3:$H$1981,$C349,門市請款明細表!$I$3:$I$1981,H$1)</f>
        <v>0</v>
      </c>
      <c r="I349" s="15" t="n">
        <f aca="false">SUM(E349:H349)</f>
        <v>0</v>
      </c>
      <c r="J349" s="0" t="str">
        <f aca="false">IF(D349=I349,"●","✖")</f>
        <v>●</v>
      </c>
    </row>
    <row r="350" customFormat="false" ht="16.5" hidden="false" customHeight="false" outlineLevel="0" collapsed="false">
      <c r="A350" s="431" t="n">
        <v>345</v>
      </c>
      <c r="B350" s="139" t="s">
        <v>4936</v>
      </c>
      <c r="C350" s="417" t="s">
        <v>51</v>
      </c>
      <c r="D350" s="141" t="n">
        <f aca="false">SUMIF(門市請款明細表!$H$3:$H$1981,$C350,門市請款明細表!$J$3:$J$1981)</f>
        <v>0</v>
      </c>
      <c r="E350" s="431" t="n">
        <f aca="false">SUMIFS(門市請款明細表!$J$3:$J$1981,門市請款明細表!$H$3:$H$1981,$C350,門市請款明細表!$I$3:$I$1981,E$1)</f>
        <v>0</v>
      </c>
      <c r="F350" s="431" t="n">
        <f aca="false">SUMIFS(門市請款明細表!$J$3:$J$1981,門市請款明細表!$H$3:$H$1981,$C350,門市請款明細表!$I$3:$I$1981,F$1)</f>
        <v>0</v>
      </c>
      <c r="G350" s="431" t="n">
        <f aca="false">SUMIFS(門市請款明細表!$J$3:$J$1981,門市請款明細表!$H$3:$H$1981,$C350,門市請款明細表!$I$3:$I$1981,G$1)</f>
        <v>0</v>
      </c>
      <c r="H350" s="431" t="n">
        <f aca="false">SUMIFS(門市請款明細表!$J$3:$J$1981,門市請款明細表!$H$3:$H$1981,$C350,門市請款明細表!$I$3:$I$1981,H$1)</f>
        <v>0</v>
      </c>
      <c r="I350" s="15" t="n">
        <f aca="false">SUM(E350:H350)</f>
        <v>0</v>
      </c>
      <c r="J350" s="0" t="str">
        <f aca="false">IF(D350=I350,"●","✖")</f>
        <v>●</v>
      </c>
    </row>
    <row r="351" customFormat="false" ht="16.5" hidden="false" customHeight="false" outlineLevel="0" collapsed="false">
      <c r="A351" s="431" t="n">
        <v>346</v>
      </c>
      <c r="B351" s="139" t="s">
        <v>4936</v>
      </c>
      <c r="C351" s="417" t="s">
        <v>69</v>
      </c>
      <c r="D351" s="141" t="n">
        <f aca="false">SUMIF(門市請款明細表!$H$3:$H$1981,$C351,門市請款明細表!$J$3:$J$1981)</f>
        <v>0</v>
      </c>
      <c r="E351" s="431" t="n">
        <f aca="false">SUMIFS(門市請款明細表!$J$3:$J$1981,門市請款明細表!$H$3:$H$1981,$C351,門市請款明細表!$I$3:$I$1981,E$1)</f>
        <v>0</v>
      </c>
      <c r="F351" s="431" t="n">
        <f aca="false">SUMIFS(門市請款明細表!$J$3:$J$1981,門市請款明細表!$H$3:$H$1981,$C351,門市請款明細表!$I$3:$I$1981,F$1)</f>
        <v>0</v>
      </c>
      <c r="G351" s="431" t="n">
        <f aca="false">SUMIFS(門市請款明細表!$J$3:$J$1981,門市請款明細表!$H$3:$H$1981,$C351,門市請款明細表!$I$3:$I$1981,G$1)</f>
        <v>0</v>
      </c>
      <c r="H351" s="431" t="n">
        <f aca="false">SUMIFS(門市請款明細表!$J$3:$J$1981,門市請款明細表!$H$3:$H$1981,$C351,門市請款明細表!$I$3:$I$1981,H$1)</f>
        <v>0</v>
      </c>
      <c r="I351" s="15" t="n">
        <f aca="false">SUM(E351:H351)</f>
        <v>0</v>
      </c>
      <c r="J351" s="0" t="str">
        <f aca="false">IF(D351=I351,"●","✖")</f>
        <v>●</v>
      </c>
    </row>
    <row r="352" customFormat="false" ht="16.5" hidden="false" customHeight="false" outlineLevel="0" collapsed="false">
      <c r="A352" s="431" t="n">
        <v>347</v>
      </c>
      <c r="B352" s="139" t="s">
        <v>4936</v>
      </c>
      <c r="C352" s="417" t="s">
        <v>64</v>
      </c>
      <c r="D352" s="141" t="n">
        <f aca="false">SUMIF(門市請款明細表!$H$3:$H$1981,$C352,門市請款明細表!$J$3:$J$1981)</f>
        <v>0</v>
      </c>
      <c r="E352" s="431" t="n">
        <f aca="false">SUMIFS(門市請款明細表!$J$3:$J$1981,門市請款明細表!$H$3:$H$1981,$C352,門市請款明細表!$I$3:$I$1981,E$1)</f>
        <v>0</v>
      </c>
      <c r="F352" s="431" t="n">
        <f aca="false">SUMIFS(門市請款明細表!$J$3:$J$1981,門市請款明細表!$H$3:$H$1981,$C352,門市請款明細表!$I$3:$I$1981,F$1)</f>
        <v>0</v>
      </c>
      <c r="G352" s="431" t="n">
        <f aca="false">SUMIFS(門市請款明細表!$J$3:$J$1981,門市請款明細表!$H$3:$H$1981,$C352,門市請款明細表!$I$3:$I$1981,G$1)</f>
        <v>0</v>
      </c>
      <c r="H352" s="431" t="n">
        <f aca="false">SUMIFS(門市請款明細表!$J$3:$J$1981,門市請款明細表!$H$3:$H$1981,$C352,門市請款明細表!$I$3:$I$1981,H$1)</f>
        <v>0</v>
      </c>
      <c r="I352" s="15" t="n">
        <f aca="false">SUM(E352:H352)</f>
        <v>0</v>
      </c>
      <c r="J352" s="0" t="str">
        <f aca="false">IF(D352=I352,"●","✖")</f>
        <v>●</v>
      </c>
    </row>
    <row r="353" customFormat="false" ht="16.5" hidden="false" customHeight="false" outlineLevel="0" collapsed="false">
      <c r="A353" s="431" t="n">
        <v>348</v>
      </c>
      <c r="B353" s="139" t="s">
        <v>4936</v>
      </c>
      <c r="C353" s="417" t="s">
        <v>264</v>
      </c>
      <c r="D353" s="141" t="n">
        <f aca="false">SUMIF(門市請款明細表!$H$3:$H$1981,$C353,門市請款明細表!$J$3:$J$1981)</f>
        <v>0</v>
      </c>
      <c r="E353" s="431" t="n">
        <f aca="false">SUMIFS(門市請款明細表!$J$3:$J$1981,門市請款明細表!$H$3:$H$1981,$C353,門市請款明細表!$I$3:$I$1981,E$1)</f>
        <v>0</v>
      </c>
      <c r="F353" s="431" t="n">
        <f aca="false">SUMIFS(門市請款明細表!$J$3:$J$1981,門市請款明細表!$H$3:$H$1981,$C353,門市請款明細表!$I$3:$I$1981,F$1)</f>
        <v>0</v>
      </c>
      <c r="G353" s="431" t="n">
        <f aca="false">SUMIFS(門市請款明細表!$J$3:$J$1981,門市請款明細表!$H$3:$H$1981,$C353,門市請款明細表!$I$3:$I$1981,G$1)</f>
        <v>0</v>
      </c>
      <c r="H353" s="431" t="n">
        <f aca="false">SUMIFS(門市請款明細表!$J$3:$J$1981,門市請款明細表!$H$3:$H$1981,$C353,門市請款明細表!$I$3:$I$1981,H$1)</f>
        <v>0</v>
      </c>
      <c r="I353" s="15" t="n">
        <f aca="false">SUM(E353:H353)</f>
        <v>0</v>
      </c>
      <c r="J353" s="0" t="str">
        <f aca="false">IF(D353=I353,"●","✖")</f>
        <v>●</v>
      </c>
    </row>
    <row r="354" customFormat="false" ht="16.5" hidden="false" customHeight="false" outlineLevel="0" collapsed="false">
      <c r="A354" s="431" t="n">
        <v>349</v>
      </c>
      <c r="B354" s="139" t="s">
        <v>4936</v>
      </c>
      <c r="C354" s="417" t="s">
        <v>185</v>
      </c>
      <c r="D354" s="141" t="n">
        <f aca="false">SUMIF(門市請款明細表!$H$3:$H$1981,$C354,門市請款明細表!$J$3:$J$1981)</f>
        <v>0</v>
      </c>
      <c r="E354" s="431" t="n">
        <f aca="false">SUMIFS(門市請款明細表!$J$3:$J$1981,門市請款明細表!$H$3:$H$1981,$C354,門市請款明細表!$I$3:$I$1981,E$1)</f>
        <v>0</v>
      </c>
      <c r="F354" s="431" t="n">
        <f aca="false">SUMIFS(門市請款明細表!$J$3:$J$1981,門市請款明細表!$H$3:$H$1981,$C354,門市請款明細表!$I$3:$I$1981,F$1)</f>
        <v>0</v>
      </c>
      <c r="G354" s="431" t="n">
        <f aca="false">SUMIFS(門市請款明細表!$J$3:$J$1981,門市請款明細表!$H$3:$H$1981,$C354,門市請款明細表!$I$3:$I$1981,G$1)</f>
        <v>0</v>
      </c>
      <c r="H354" s="431" t="n">
        <f aca="false">SUMIFS(門市請款明細表!$J$3:$J$1981,門市請款明細表!$H$3:$H$1981,$C354,門市請款明細表!$I$3:$I$1981,H$1)</f>
        <v>0</v>
      </c>
      <c r="I354" s="15" t="n">
        <f aca="false">SUM(E354:H354)</f>
        <v>0</v>
      </c>
      <c r="J354" s="0" t="str">
        <f aca="false">IF(D354=I354,"●","✖")</f>
        <v>●</v>
      </c>
    </row>
    <row r="355" customFormat="false" ht="16.5" hidden="false" customHeight="false" outlineLevel="0" collapsed="false">
      <c r="A355" s="431" t="n">
        <v>350</v>
      </c>
      <c r="B355" s="139" t="s">
        <v>4934</v>
      </c>
      <c r="C355" s="417" t="s">
        <v>157</v>
      </c>
      <c r="D355" s="141" t="n">
        <f aca="false">SUMIF(門市請款明細表!$H$3:$H$1981,$C355,門市請款明細表!$J$3:$J$1981)</f>
        <v>0</v>
      </c>
      <c r="E355" s="431" t="n">
        <f aca="false">SUMIFS(門市請款明細表!$J$3:$J$1981,門市請款明細表!$H$3:$H$1981,$C355,門市請款明細表!$I$3:$I$1981,E$1)</f>
        <v>0</v>
      </c>
      <c r="F355" s="431" t="n">
        <f aca="false">SUMIFS(門市請款明細表!$J$3:$J$1981,門市請款明細表!$H$3:$H$1981,$C355,門市請款明細表!$I$3:$I$1981,F$1)</f>
        <v>0</v>
      </c>
      <c r="G355" s="431" t="n">
        <f aca="false">SUMIFS(門市請款明細表!$J$3:$J$1981,門市請款明細表!$H$3:$H$1981,$C355,門市請款明細表!$I$3:$I$1981,G$1)</f>
        <v>0</v>
      </c>
      <c r="H355" s="431" t="n">
        <f aca="false">SUMIFS(門市請款明細表!$J$3:$J$1981,門市請款明細表!$H$3:$H$1981,$C355,門市請款明細表!$I$3:$I$1981,H$1)</f>
        <v>0</v>
      </c>
      <c r="I355" s="15" t="n">
        <f aca="false">SUM(E355:H355)</f>
        <v>0</v>
      </c>
      <c r="J355" s="0" t="str">
        <f aca="false">IF(D355=I355,"●","✖")</f>
        <v>●</v>
      </c>
    </row>
    <row r="356" customFormat="false" ht="16.5" hidden="false" customHeight="false" outlineLevel="0" collapsed="false">
      <c r="A356" s="431" t="n">
        <v>351</v>
      </c>
      <c r="B356" s="139" t="s">
        <v>4935</v>
      </c>
      <c r="C356" s="417" t="s">
        <v>159</v>
      </c>
      <c r="D356" s="141" t="n">
        <f aca="false">SUMIF(門市請款明細表!$H$3:$H$1981,$C356,門市請款明細表!$J$3:$J$1981)</f>
        <v>0</v>
      </c>
      <c r="E356" s="431" t="n">
        <f aca="false">SUMIFS(門市請款明細表!$J$3:$J$1981,門市請款明細表!$H$3:$H$1981,$C356,門市請款明細表!$I$3:$I$1981,E$1)</f>
        <v>0</v>
      </c>
      <c r="F356" s="431" t="n">
        <f aca="false">SUMIFS(門市請款明細表!$J$3:$J$1981,門市請款明細表!$H$3:$H$1981,$C356,門市請款明細表!$I$3:$I$1981,F$1)</f>
        <v>0</v>
      </c>
      <c r="G356" s="431" t="n">
        <f aca="false">SUMIFS(門市請款明細表!$J$3:$J$1981,門市請款明細表!$H$3:$H$1981,$C356,門市請款明細表!$I$3:$I$1981,G$1)</f>
        <v>0</v>
      </c>
      <c r="H356" s="431" t="n">
        <f aca="false">SUMIFS(門市請款明細表!$J$3:$J$1981,門市請款明細表!$H$3:$H$1981,$C356,門市請款明細表!$I$3:$I$1981,H$1)</f>
        <v>0</v>
      </c>
      <c r="I356" s="15" t="n">
        <f aca="false">SUM(E356:H356)</f>
        <v>0</v>
      </c>
      <c r="J356" s="0" t="str">
        <f aca="false">IF(D356=I356,"●","✖")</f>
        <v>●</v>
      </c>
    </row>
    <row r="357" customFormat="false" ht="16.5" hidden="false" customHeight="false" outlineLevel="0" collapsed="false">
      <c r="A357" s="431" t="n">
        <v>352</v>
      </c>
      <c r="B357" s="139" t="s">
        <v>4935</v>
      </c>
      <c r="C357" s="417" t="s">
        <v>188</v>
      </c>
      <c r="D357" s="141" t="n">
        <f aca="false">SUMIF(門市請款明細表!$H$3:$H$1981,$C357,門市請款明細表!$J$3:$J$1981)</f>
        <v>0</v>
      </c>
      <c r="E357" s="431" t="n">
        <f aca="false">SUMIFS(門市請款明細表!$J$3:$J$1981,門市請款明細表!$H$3:$H$1981,$C357,門市請款明細表!$I$3:$I$1981,E$1)</f>
        <v>0</v>
      </c>
      <c r="F357" s="431" t="n">
        <f aca="false">SUMIFS(門市請款明細表!$J$3:$J$1981,門市請款明細表!$H$3:$H$1981,$C357,門市請款明細表!$I$3:$I$1981,F$1)</f>
        <v>0</v>
      </c>
      <c r="G357" s="431" t="n">
        <f aca="false">SUMIFS(門市請款明細表!$J$3:$J$1981,門市請款明細表!$H$3:$H$1981,$C357,門市請款明細表!$I$3:$I$1981,G$1)</f>
        <v>0</v>
      </c>
      <c r="H357" s="431" t="n">
        <f aca="false">SUMIFS(門市請款明細表!$J$3:$J$1981,門市請款明細表!$H$3:$H$1981,$C357,門市請款明細表!$I$3:$I$1981,H$1)</f>
        <v>0</v>
      </c>
      <c r="I357" s="15" t="n">
        <f aca="false">SUM(E357:H357)</f>
        <v>0</v>
      </c>
      <c r="J357" s="0" t="str">
        <f aca="false">IF(D357=I357,"●","✖")</f>
        <v>●</v>
      </c>
    </row>
    <row r="358" customFormat="false" ht="16.5" hidden="false" customHeight="false" outlineLevel="0" collapsed="false">
      <c r="A358" s="431" t="n">
        <v>353</v>
      </c>
      <c r="B358" s="139" t="s">
        <v>4934</v>
      </c>
      <c r="C358" s="417" t="s">
        <v>6</v>
      </c>
      <c r="D358" s="141" t="n">
        <f aca="false">SUMIF(門市請款明細表!$H$3:$H$1981,$C358,門市請款明細表!$J$3:$J$1981)</f>
        <v>0</v>
      </c>
      <c r="E358" s="431" t="n">
        <f aca="false">SUMIFS(門市請款明細表!$J$3:$J$1981,門市請款明細表!$H$3:$H$1981,$C358,門市請款明細表!$I$3:$I$1981,E$1)</f>
        <v>0</v>
      </c>
      <c r="F358" s="431" t="n">
        <f aca="false">SUMIFS(門市請款明細表!$J$3:$J$1981,門市請款明細表!$H$3:$H$1981,$C358,門市請款明細表!$I$3:$I$1981,F$1)</f>
        <v>0</v>
      </c>
      <c r="G358" s="431" t="n">
        <f aca="false">SUMIFS(門市請款明細表!$J$3:$J$1981,門市請款明細表!$H$3:$H$1981,$C358,門市請款明細表!$I$3:$I$1981,G$1)</f>
        <v>0</v>
      </c>
      <c r="H358" s="431" t="n">
        <f aca="false">SUMIFS(門市請款明細表!$J$3:$J$1981,門市請款明細表!$H$3:$H$1981,$C358,門市請款明細表!$I$3:$I$1981,H$1)</f>
        <v>0</v>
      </c>
      <c r="I358" s="15" t="n">
        <f aca="false">SUM(E358:H358)</f>
        <v>0</v>
      </c>
      <c r="J358" s="0" t="str">
        <f aca="false">IF(D358=I358,"●","✖")</f>
        <v>●</v>
      </c>
    </row>
    <row r="359" customFormat="false" ht="16.5" hidden="false" customHeight="false" outlineLevel="0" collapsed="false">
      <c r="A359" s="431" t="n">
        <v>354</v>
      </c>
      <c r="B359" s="139" t="s">
        <v>4935</v>
      </c>
      <c r="C359" s="417" t="s">
        <v>78</v>
      </c>
      <c r="D359" s="141" t="n">
        <f aca="false">SUMIF(門市請款明細表!$H$3:$H$1981,$C359,門市請款明細表!$J$3:$J$1981)</f>
        <v>0</v>
      </c>
      <c r="E359" s="431" t="n">
        <f aca="false">SUMIFS(門市請款明細表!$J$3:$J$1981,門市請款明細表!$H$3:$H$1981,$C359,門市請款明細表!$I$3:$I$1981,E$1)</f>
        <v>0</v>
      </c>
      <c r="F359" s="431" t="n">
        <f aca="false">SUMIFS(門市請款明細表!$J$3:$J$1981,門市請款明細表!$H$3:$H$1981,$C359,門市請款明細表!$I$3:$I$1981,F$1)</f>
        <v>0</v>
      </c>
      <c r="G359" s="431" t="n">
        <f aca="false">SUMIFS(門市請款明細表!$J$3:$J$1981,門市請款明細表!$H$3:$H$1981,$C359,門市請款明細表!$I$3:$I$1981,G$1)</f>
        <v>0</v>
      </c>
      <c r="H359" s="431" t="n">
        <f aca="false">SUMIFS(門市請款明細表!$J$3:$J$1981,門市請款明細表!$H$3:$H$1981,$C359,門市請款明細表!$I$3:$I$1981,H$1)</f>
        <v>0</v>
      </c>
      <c r="I359" s="15" t="n">
        <f aca="false">SUM(E359:H359)</f>
        <v>0</v>
      </c>
      <c r="J359" s="0" t="str">
        <f aca="false">IF(D359=I359,"●","✖")</f>
        <v>●</v>
      </c>
    </row>
    <row r="360" customFormat="false" ht="16.5" hidden="false" customHeight="false" outlineLevel="0" collapsed="false">
      <c r="A360" s="431" t="n">
        <v>355</v>
      </c>
      <c r="B360" s="139" t="s">
        <v>4934</v>
      </c>
      <c r="C360" s="417" t="s">
        <v>230</v>
      </c>
      <c r="D360" s="141" t="n">
        <f aca="false">SUMIF(門市請款明細表!$H$3:$H$1981,$C360,門市請款明細表!$J$3:$J$1981)</f>
        <v>0</v>
      </c>
      <c r="E360" s="431" t="n">
        <f aca="false">SUMIFS(門市請款明細表!$J$3:$J$1981,門市請款明細表!$H$3:$H$1981,$C360,門市請款明細表!$I$3:$I$1981,E$1)</f>
        <v>0</v>
      </c>
      <c r="F360" s="431" t="n">
        <f aca="false">SUMIFS(門市請款明細表!$J$3:$J$1981,門市請款明細表!$H$3:$H$1981,$C360,門市請款明細表!$I$3:$I$1981,F$1)</f>
        <v>0</v>
      </c>
      <c r="G360" s="431" t="n">
        <f aca="false">SUMIFS(門市請款明細表!$J$3:$J$1981,門市請款明細表!$H$3:$H$1981,$C360,門市請款明細表!$I$3:$I$1981,G$1)</f>
        <v>0</v>
      </c>
      <c r="H360" s="431" t="n">
        <f aca="false">SUMIFS(門市請款明細表!$J$3:$J$1981,門市請款明細表!$H$3:$H$1981,$C360,門市請款明細表!$I$3:$I$1981,H$1)</f>
        <v>0</v>
      </c>
      <c r="I360" s="15" t="n">
        <f aca="false">SUM(E360:H360)</f>
        <v>0</v>
      </c>
      <c r="J360" s="0" t="str">
        <f aca="false">IF(D360=I360,"●","✖")</f>
        <v>●</v>
      </c>
    </row>
    <row r="361" customFormat="false" ht="16.5" hidden="false" customHeight="false" outlineLevel="0" collapsed="false">
      <c r="A361" s="431" t="n">
        <v>356</v>
      </c>
      <c r="B361" s="139" t="s">
        <v>4931</v>
      </c>
      <c r="C361" s="417" t="s">
        <v>224</v>
      </c>
      <c r="D361" s="141" t="n">
        <f aca="false">SUMIF(門市請款明細表!$H$3:$H$1981,$C361,門市請款明細表!$J$3:$J$1981)</f>
        <v>0</v>
      </c>
      <c r="E361" s="431" t="n">
        <f aca="false">SUMIFS(門市請款明細表!$J$3:$J$1981,門市請款明細表!$H$3:$H$1981,$C361,門市請款明細表!$I$3:$I$1981,E$1)</f>
        <v>0</v>
      </c>
      <c r="F361" s="431" t="n">
        <f aca="false">SUMIFS(門市請款明細表!$J$3:$J$1981,門市請款明細表!$H$3:$H$1981,$C361,門市請款明細表!$I$3:$I$1981,F$1)</f>
        <v>0</v>
      </c>
      <c r="G361" s="431" t="n">
        <f aca="false">SUMIFS(門市請款明細表!$J$3:$J$1981,門市請款明細表!$H$3:$H$1981,$C361,門市請款明細表!$I$3:$I$1981,G$1)</f>
        <v>0</v>
      </c>
      <c r="H361" s="431" t="n">
        <f aca="false">SUMIFS(門市請款明細表!$J$3:$J$1981,門市請款明細表!$H$3:$H$1981,$C361,門市請款明細表!$I$3:$I$1981,H$1)</f>
        <v>0</v>
      </c>
      <c r="I361" s="15" t="n">
        <f aca="false">SUM(E361:H361)</f>
        <v>0</v>
      </c>
      <c r="J361" s="0" t="str">
        <f aca="false">IF(D361=I361,"●","✖")</f>
        <v>●</v>
      </c>
    </row>
    <row r="362" customFormat="false" ht="16.5" hidden="false" customHeight="false" outlineLevel="0" collapsed="false">
      <c r="A362" s="431" t="n">
        <v>357</v>
      </c>
      <c r="B362" s="139" t="s">
        <v>4931</v>
      </c>
      <c r="C362" s="417" t="s">
        <v>84</v>
      </c>
      <c r="D362" s="141" t="n">
        <f aca="false">SUMIF(門市請款明細表!$H$3:$H$1981,$C362,門市請款明細表!$J$3:$J$1981)</f>
        <v>0</v>
      </c>
      <c r="E362" s="431" t="n">
        <f aca="false">SUMIFS(門市請款明細表!$J$3:$J$1981,門市請款明細表!$H$3:$H$1981,$C362,門市請款明細表!$I$3:$I$1981,E$1)</f>
        <v>0</v>
      </c>
      <c r="F362" s="431" t="n">
        <f aca="false">SUMIFS(門市請款明細表!$J$3:$J$1981,門市請款明細表!$H$3:$H$1981,$C362,門市請款明細表!$I$3:$I$1981,F$1)</f>
        <v>0</v>
      </c>
      <c r="G362" s="431" t="n">
        <f aca="false">SUMIFS(門市請款明細表!$J$3:$J$1981,門市請款明細表!$H$3:$H$1981,$C362,門市請款明細表!$I$3:$I$1981,G$1)</f>
        <v>0</v>
      </c>
      <c r="H362" s="431" t="n">
        <f aca="false">SUMIFS(門市請款明細表!$J$3:$J$1981,門市請款明細表!$H$3:$H$1981,$C362,門市請款明細表!$I$3:$I$1981,H$1)</f>
        <v>0</v>
      </c>
      <c r="I362" s="15" t="n">
        <f aca="false">SUM(E362:H362)</f>
        <v>0</v>
      </c>
      <c r="J362" s="0" t="str">
        <f aca="false">IF(D362=I362,"●","✖")</f>
        <v>●</v>
      </c>
    </row>
    <row r="363" customFormat="false" ht="16.5" hidden="false" customHeight="false" outlineLevel="0" collapsed="false">
      <c r="A363" s="431" t="n">
        <v>358</v>
      </c>
      <c r="B363" s="139" t="s">
        <v>4931</v>
      </c>
      <c r="C363" s="417" t="s">
        <v>39</v>
      </c>
      <c r="D363" s="141" t="n">
        <f aca="false">SUMIF(門市請款明細表!$H$3:$H$1981,$C363,門市請款明細表!$J$3:$J$1981)</f>
        <v>0</v>
      </c>
      <c r="E363" s="431" t="n">
        <f aca="false">SUMIFS(門市請款明細表!$J$3:$J$1981,門市請款明細表!$H$3:$H$1981,$C363,門市請款明細表!$I$3:$I$1981,E$1)</f>
        <v>0</v>
      </c>
      <c r="F363" s="431" t="n">
        <f aca="false">SUMIFS(門市請款明細表!$J$3:$J$1981,門市請款明細表!$H$3:$H$1981,$C363,門市請款明細表!$I$3:$I$1981,F$1)</f>
        <v>0</v>
      </c>
      <c r="G363" s="431" t="n">
        <f aca="false">SUMIFS(門市請款明細表!$J$3:$J$1981,門市請款明細表!$H$3:$H$1981,$C363,門市請款明細表!$I$3:$I$1981,G$1)</f>
        <v>0</v>
      </c>
      <c r="H363" s="431" t="n">
        <f aca="false">SUMIFS(門市請款明細表!$J$3:$J$1981,門市請款明細表!$H$3:$H$1981,$C363,門市請款明細表!$I$3:$I$1981,H$1)</f>
        <v>0</v>
      </c>
      <c r="I363" s="15" t="n">
        <f aca="false">SUM(E363:H363)</f>
        <v>0</v>
      </c>
      <c r="J363" s="0" t="str">
        <f aca="false">IF(D363=I363,"●","✖")</f>
        <v>●</v>
      </c>
    </row>
    <row r="364" customFormat="false" ht="16.5" hidden="false" customHeight="false" outlineLevel="0" collapsed="false">
      <c r="A364" s="431" t="n">
        <v>359</v>
      </c>
      <c r="B364" s="139" t="s">
        <v>4936</v>
      </c>
      <c r="C364" s="417" t="s">
        <v>236</v>
      </c>
      <c r="D364" s="141" t="n">
        <f aca="false">SUMIF(門市請款明細表!$H$3:$H$1981,$C364,門市請款明細表!$J$3:$J$1981)</f>
        <v>0</v>
      </c>
      <c r="E364" s="431" t="n">
        <f aca="false">SUMIFS(門市請款明細表!$J$3:$J$1981,門市請款明細表!$H$3:$H$1981,$C364,門市請款明細表!$I$3:$I$1981,E$1)</f>
        <v>0</v>
      </c>
      <c r="F364" s="431" t="n">
        <f aca="false">SUMIFS(門市請款明細表!$J$3:$J$1981,門市請款明細表!$H$3:$H$1981,$C364,門市請款明細表!$I$3:$I$1981,F$1)</f>
        <v>0</v>
      </c>
      <c r="G364" s="431" t="n">
        <f aca="false">SUMIFS(門市請款明細表!$J$3:$J$1981,門市請款明細表!$H$3:$H$1981,$C364,門市請款明細表!$I$3:$I$1981,G$1)</f>
        <v>0</v>
      </c>
      <c r="H364" s="431" t="n">
        <f aca="false">SUMIFS(門市請款明細表!$J$3:$J$1981,門市請款明細表!$H$3:$H$1981,$C364,門市請款明細表!$I$3:$I$1981,H$1)</f>
        <v>0</v>
      </c>
      <c r="I364" s="15" t="n">
        <f aca="false">SUM(E364:H364)</f>
        <v>0</v>
      </c>
      <c r="J364" s="0" t="str">
        <f aca="false">IF(D364=I364,"●","✖")</f>
        <v>●</v>
      </c>
    </row>
    <row r="365" customFormat="false" ht="16.5" hidden="false" customHeight="false" outlineLevel="0" collapsed="false">
      <c r="A365" s="431" t="n">
        <v>360</v>
      </c>
      <c r="B365" s="139" t="s">
        <v>4934</v>
      </c>
      <c r="C365" s="417" t="s">
        <v>391</v>
      </c>
      <c r="D365" s="141" t="n">
        <f aca="false">SUMIF(門市請款明細表!$H$3:$H$1981,$C365,門市請款明細表!$J$3:$J$1981)</f>
        <v>0</v>
      </c>
      <c r="E365" s="431" t="n">
        <f aca="false">SUMIFS(門市請款明細表!$J$3:$J$1981,門市請款明細表!$H$3:$H$1981,$C365,門市請款明細表!$I$3:$I$1981,E$1)</f>
        <v>0</v>
      </c>
      <c r="F365" s="431" t="n">
        <f aca="false">SUMIFS(門市請款明細表!$J$3:$J$1981,門市請款明細表!$H$3:$H$1981,$C365,門市請款明細表!$I$3:$I$1981,F$1)</f>
        <v>0</v>
      </c>
      <c r="G365" s="431" t="n">
        <f aca="false">SUMIFS(門市請款明細表!$J$3:$J$1981,門市請款明細表!$H$3:$H$1981,$C365,門市請款明細表!$I$3:$I$1981,G$1)</f>
        <v>0</v>
      </c>
      <c r="H365" s="431" t="n">
        <f aca="false">SUMIFS(門市請款明細表!$J$3:$J$1981,門市請款明細表!$H$3:$H$1981,$C365,門市請款明細表!$I$3:$I$1981,H$1)</f>
        <v>0</v>
      </c>
      <c r="I365" s="15" t="n">
        <f aca="false">SUM(E365:H365)</f>
        <v>0</v>
      </c>
      <c r="J365" s="0" t="str">
        <f aca="false">IF(D365=I365,"●","✖")</f>
        <v>●</v>
      </c>
    </row>
    <row r="366" customFormat="false" ht="16.5" hidden="false" customHeight="false" outlineLevel="0" collapsed="false">
      <c r="A366" s="431" t="n">
        <v>361</v>
      </c>
      <c r="B366" s="139" t="s">
        <v>4936</v>
      </c>
      <c r="C366" s="417" t="s">
        <v>290</v>
      </c>
      <c r="D366" s="141" t="n">
        <f aca="false">SUMIF(門市請款明細表!$H$3:$H$1981,$C366,門市請款明細表!$J$3:$J$1981)</f>
        <v>0</v>
      </c>
      <c r="E366" s="431" t="n">
        <f aca="false">SUMIFS(門市請款明細表!$J$3:$J$1981,門市請款明細表!$H$3:$H$1981,$C366,門市請款明細表!$I$3:$I$1981,E$1)</f>
        <v>0</v>
      </c>
      <c r="F366" s="431" t="n">
        <f aca="false">SUMIFS(門市請款明細表!$J$3:$J$1981,門市請款明細表!$H$3:$H$1981,$C366,門市請款明細表!$I$3:$I$1981,F$1)</f>
        <v>0</v>
      </c>
      <c r="G366" s="431" t="n">
        <f aca="false">SUMIFS(門市請款明細表!$J$3:$J$1981,門市請款明細表!$H$3:$H$1981,$C366,門市請款明細表!$I$3:$I$1981,G$1)</f>
        <v>0</v>
      </c>
      <c r="H366" s="431" t="n">
        <f aca="false">SUMIFS(門市請款明細表!$J$3:$J$1981,門市請款明細表!$H$3:$H$1981,$C366,門市請款明細表!$I$3:$I$1981,H$1)</f>
        <v>0</v>
      </c>
      <c r="I366" s="15" t="n">
        <f aca="false">SUM(E366:H366)</f>
        <v>0</v>
      </c>
      <c r="J366" s="0" t="str">
        <f aca="false">IF(D366=I366,"●","✖")</f>
        <v>●</v>
      </c>
    </row>
    <row r="367" customFormat="false" ht="16.5" hidden="false" customHeight="false" outlineLevel="0" collapsed="false">
      <c r="A367" s="431" t="n">
        <v>362</v>
      </c>
      <c r="B367" s="139" t="s">
        <v>4931</v>
      </c>
      <c r="C367" s="417" t="s">
        <v>133</v>
      </c>
      <c r="D367" s="141" t="n">
        <f aca="false">SUMIF(門市請款明細表!$H$3:$H$1981,$C367,門市請款明細表!$J$3:$J$1981)</f>
        <v>0</v>
      </c>
      <c r="E367" s="431" t="n">
        <f aca="false">SUMIFS(門市請款明細表!$J$3:$J$1981,門市請款明細表!$H$3:$H$1981,$C367,門市請款明細表!$I$3:$I$1981,E$1)</f>
        <v>0</v>
      </c>
      <c r="F367" s="431" t="n">
        <f aca="false">SUMIFS(門市請款明細表!$J$3:$J$1981,門市請款明細表!$H$3:$H$1981,$C367,門市請款明細表!$I$3:$I$1981,F$1)</f>
        <v>0</v>
      </c>
      <c r="G367" s="431" t="n">
        <f aca="false">SUMIFS(門市請款明細表!$J$3:$J$1981,門市請款明細表!$H$3:$H$1981,$C367,門市請款明細表!$I$3:$I$1981,G$1)</f>
        <v>0</v>
      </c>
      <c r="H367" s="431" t="n">
        <f aca="false">SUMIFS(門市請款明細表!$J$3:$J$1981,門市請款明細表!$H$3:$H$1981,$C367,門市請款明細表!$I$3:$I$1981,H$1)</f>
        <v>0</v>
      </c>
      <c r="I367" s="15" t="n">
        <f aca="false">SUM(E367:H367)</f>
        <v>0</v>
      </c>
      <c r="J367" s="0" t="str">
        <f aca="false">IF(D367=I367,"●","✖")</f>
        <v>●</v>
      </c>
    </row>
    <row r="368" customFormat="false" ht="16.5" hidden="false" customHeight="false" outlineLevel="0" collapsed="false">
      <c r="A368" s="431" t="n">
        <v>363</v>
      </c>
      <c r="B368" s="139" t="s">
        <v>4935</v>
      </c>
      <c r="C368" s="417" t="s">
        <v>378</v>
      </c>
      <c r="D368" s="141" t="n">
        <f aca="false">SUMIF(門市請款明細表!$H$3:$H$1981,$C368,門市請款明細表!$J$3:$J$1981)</f>
        <v>0</v>
      </c>
      <c r="E368" s="431" t="n">
        <f aca="false">SUMIFS(門市請款明細表!$J$3:$J$1981,門市請款明細表!$H$3:$H$1981,$C368,門市請款明細表!$I$3:$I$1981,E$1)</f>
        <v>0</v>
      </c>
      <c r="F368" s="431" t="n">
        <f aca="false">SUMIFS(門市請款明細表!$J$3:$J$1981,門市請款明細表!$H$3:$H$1981,$C368,門市請款明細表!$I$3:$I$1981,F$1)</f>
        <v>0</v>
      </c>
      <c r="G368" s="431" t="n">
        <f aca="false">SUMIFS(門市請款明細表!$J$3:$J$1981,門市請款明細表!$H$3:$H$1981,$C368,門市請款明細表!$I$3:$I$1981,G$1)</f>
        <v>0</v>
      </c>
      <c r="H368" s="431" t="n">
        <f aca="false">SUMIFS(門市請款明細表!$J$3:$J$1981,門市請款明細表!$H$3:$H$1981,$C368,門市請款明細表!$I$3:$I$1981,H$1)</f>
        <v>0</v>
      </c>
      <c r="I368" s="15" t="n">
        <f aca="false">SUM(E368:H368)</f>
        <v>0</v>
      </c>
      <c r="J368" s="0" t="str">
        <f aca="false">IF(D368=I368,"●","✖")</f>
        <v>●</v>
      </c>
    </row>
    <row r="369" customFormat="false" ht="16.5" hidden="false" customHeight="false" outlineLevel="0" collapsed="false">
      <c r="A369" s="431" t="n">
        <v>364</v>
      </c>
      <c r="B369" s="139" t="s">
        <v>4935</v>
      </c>
      <c r="C369" s="417" t="s">
        <v>352</v>
      </c>
      <c r="D369" s="141" t="n">
        <f aca="false">SUMIF(門市請款明細表!$H$3:$H$1981,$C369,門市請款明細表!$J$3:$J$1981)</f>
        <v>0</v>
      </c>
      <c r="E369" s="431" t="n">
        <f aca="false">SUMIFS(門市請款明細表!$J$3:$J$1981,門市請款明細表!$H$3:$H$1981,$C369,門市請款明細表!$I$3:$I$1981,E$1)</f>
        <v>0</v>
      </c>
      <c r="F369" s="431" t="n">
        <f aca="false">SUMIFS(門市請款明細表!$J$3:$J$1981,門市請款明細表!$H$3:$H$1981,$C369,門市請款明細表!$I$3:$I$1981,F$1)</f>
        <v>0</v>
      </c>
      <c r="G369" s="431" t="n">
        <f aca="false">SUMIFS(門市請款明細表!$J$3:$J$1981,門市請款明細表!$H$3:$H$1981,$C369,門市請款明細表!$I$3:$I$1981,G$1)</f>
        <v>0</v>
      </c>
      <c r="H369" s="431" t="n">
        <f aca="false">SUMIFS(門市請款明細表!$J$3:$J$1981,門市請款明細表!$H$3:$H$1981,$C369,門市請款明細表!$I$3:$I$1981,H$1)</f>
        <v>0</v>
      </c>
      <c r="I369" s="15" t="n">
        <f aca="false">SUM(E369:H369)</f>
        <v>0</v>
      </c>
      <c r="J369" s="0" t="str">
        <f aca="false">IF(D369=I369,"●","✖")</f>
        <v>●</v>
      </c>
    </row>
    <row r="370" customFormat="false" ht="16.5" hidden="false" customHeight="false" outlineLevel="0" collapsed="false">
      <c r="A370" s="431" t="n">
        <v>365</v>
      </c>
      <c r="B370" s="139" t="s">
        <v>4934</v>
      </c>
      <c r="C370" s="417" t="s">
        <v>96</v>
      </c>
      <c r="D370" s="141" t="n">
        <f aca="false">SUMIF(門市請款明細表!$H$3:$H$1981,$C370,門市請款明細表!$J$3:$J$1981)</f>
        <v>0</v>
      </c>
      <c r="E370" s="431" t="n">
        <f aca="false">SUMIFS(門市請款明細表!$J$3:$J$1981,門市請款明細表!$H$3:$H$1981,$C370,門市請款明細表!$I$3:$I$1981,E$1)</f>
        <v>0</v>
      </c>
      <c r="F370" s="431" t="n">
        <f aca="false">SUMIFS(門市請款明細表!$J$3:$J$1981,門市請款明細表!$H$3:$H$1981,$C370,門市請款明細表!$I$3:$I$1981,F$1)</f>
        <v>0</v>
      </c>
      <c r="G370" s="431" t="n">
        <f aca="false">SUMIFS(門市請款明細表!$J$3:$J$1981,門市請款明細表!$H$3:$H$1981,$C370,門市請款明細表!$I$3:$I$1981,G$1)</f>
        <v>0</v>
      </c>
      <c r="H370" s="431" t="n">
        <f aca="false">SUMIFS(門市請款明細表!$J$3:$J$1981,門市請款明細表!$H$3:$H$1981,$C370,門市請款明細表!$I$3:$I$1981,H$1)</f>
        <v>0</v>
      </c>
      <c r="I370" s="15" t="n">
        <f aca="false">SUM(E370:H370)</f>
        <v>0</v>
      </c>
      <c r="J370" s="0" t="str">
        <f aca="false">IF(D370=I370,"●","✖")</f>
        <v>●</v>
      </c>
    </row>
    <row r="371" customFormat="false" ht="16.5" hidden="false" customHeight="false" outlineLevel="0" collapsed="false">
      <c r="A371" s="431" t="n">
        <v>366</v>
      </c>
      <c r="B371" s="139" t="s">
        <v>4934</v>
      </c>
      <c r="C371" s="417" t="s">
        <v>89</v>
      </c>
      <c r="D371" s="141" t="n">
        <f aca="false">SUMIF(門市請款明細表!$H$3:$H$1981,$C371,門市請款明細表!$J$3:$J$1981)</f>
        <v>0</v>
      </c>
      <c r="E371" s="431" t="n">
        <f aca="false">SUMIFS(門市請款明細表!$J$3:$J$1981,門市請款明細表!$H$3:$H$1981,$C371,門市請款明細表!$I$3:$I$1981,E$1)</f>
        <v>0</v>
      </c>
      <c r="F371" s="431" t="n">
        <f aca="false">SUMIFS(門市請款明細表!$J$3:$J$1981,門市請款明細表!$H$3:$H$1981,$C371,門市請款明細表!$I$3:$I$1981,F$1)</f>
        <v>0</v>
      </c>
      <c r="G371" s="431" t="n">
        <f aca="false">SUMIFS(門市請款明細表!$J$3:$J$1981,門市請款明細表!$H$3:$H$1981,$C371,門市請款明細表!$I$3:$I$1981,G$1)</f>
        <v>0</v>
      </c>
      <c r="H371" s="431" t="n">
        <f aca="false">SUMIFS(門市請款明細表!$J$3:$J$1981,門市請款明細表!$H$3:$H$1981,$C371,門市請款明細表!$I$3:$I$1981,H$1)</f>
        <v>0</v>
      </c>
      <c r="I371" s="15" t="n">
        <f aca="false">SUM(E371:H371)</f>
        <v>0</v>
      </c>
      <c r="J371" s="0" t="str">
        <f aca="false">IF(D371=I371,"●","✖")</f>
        <v>●</v>
      </c>
    </row>
    <row r="372" customFormat="false" ht="16.5" hidden="false" customHeight="false" outlineLevel="0" collapsed="false">
      <c r="A372" s="431" t="n">
        <v>367</v>
      </c>
      <c r="B372" s="139" t="s">
        <v>4934</v>
      </c>
      <c r="C372" s="417" t="s">
        <v>231</v>
      </c>
      <c r="D372" s="141" t="n">
        <f aca="false">SUMIF(門市請款明細表!$H$3:$H$1981,$C372,門市請款明細表!$J$3:$J$1981)</f>
        <v>0</v>
      </c>
      <c r="E372" s="431" t="n">
        <f aca="false">SUMIFS(門市請款明細表!$J$3:$J$1981,門市請款明細表!$H$3:$H$1981,$C372,門市請款明細表!$I$3:$I$1981,E$1)</f>
        <v>0</v>
      </c>
      <c r="F372" s="431" t="n">
        <f aca="false">SUMIFS(門市請款明細表!$J$3:$J$1981,門市請款明細表!$H$3:$H$1981,$C372,門市請款明細表!$I$3:$I$1981,F$1)</f>
        <v>0</v>
      </c>
      <c r="G372" s="431" t="n">
        <f aca="false">SUMIFS(門市請款明細表!$J$3:$J$1981,門市請款明細表!$H$3:$H$1981,$C372,門市請款明細表!$I$3:$I$1981,G$1)</f>
        <v>0</v>
      </c>
      <c r="H372" s="431" t="n">
        <f aca="false">SUMIFS(門市請款明細表!$J$3:$J$1981,門市請款明細表!$H$3:$H$1981,$C372,門市請款明細表!$I$3:$I$1981,H$1)</f>
        <v>0</v>
      </c>
      <c r="I372" s="15" t="n">
        <f aca="false">SUM(E372:H372)</f>
        <v>0</v>
      </c>
      <c r="J372" s="0" t="str">
        <f aca="false">IF(D372=I372,"●","✖")</f>
        <v>●</v>
      </c>
    </row>
    <row r="373" customFormat="false" ht="16.5" hidden="false" customHeight="false" outlineLevel="0" collapsed="false">
      <c r="A373" s="431" t="n">
        <v>368</v>
      </c>
      <c r="B373" s="139" t="s">
        <v>4936</v>
      </c>
      <c r="C373" s="417" t="s">
        <v>280</v>
      </c>
      <c r="D373" s="141" t="n">
        <f aca="false">SUMIF(門市請款明細表!$H$3:$H$1981,$C373,門市請款明細表!$J$3:$J$1981)</f>
        <v>0</v>
      </c>
      <c r="E373" s="431" t="n">
        <f aca="false">SUMIFS(門市請款明細表!$J$3:$J$1981,門市請款明細表!$H$3:$H$1981,$C373,門市請款明細表!$I$3:$I$1981,E$1)</f>
        <v>0</v>
      </c>
      <c r="F373" s="431" t="n">
        <f aca="false">SUMIFS(門市請款明細表!$J$3:$J$1981,門市請款明細表!$H$3:$H$1981,$C373,門市請款明細表!$I$3:$I$1981,F$1)</f>
        <v>0</v>
      </c>
      <c r="G373" s="431" t="n">
        <f aca="false">SUMIFS(門市請款明細表!$J$3:$J$1981,門市請款明細表!$H$3:$H$1981,$C373,門市請款明細表!$I$3:$I$1981,G$1)</f>
        <v>0</v>
      </c>
      <c r="H373" s="431" t="n">
        <f aca="false">SUMIFS(門市請款明細表!$J$3:$J$1981,門市請款明細表!$H$3:$H$1981,$C373,門市請款明細表!$I$3:$I$1981,H$1)</f>
        <v>0</v>
      </c>
      <c r="I373" s="15" t="n">
        <f aca="false">SUM(E373:H373)</f>
        <v>0</v>
      </c>
      <c r="J373" s="0" t="str">
        <f aca="false">IF(D373=I373,"●","✖")</f>
        <v>●</v>
      </c>
    </row>
    <row r="374" customFormat="false" ht="16.5" hidden="false" customHeight="false" outlineLevel="0" collapsed="false">
      <c r="A374" s="431" t="n">
        <v>369</v>
      </c>
      <c r="B374" s="139" t="s">
        <v>4934</v>
      </c>
      <c r="C374" s="417" t="s">
        <v>190</v>
      </c>
      <c r="D374" s="141" t="n">
        <f aca="false">SUMIF(門市請款明細表!$H$3:$H$1981,$C374,門市請款明細表!$J$3:$J$1981)</f>
        <v>0</v>
      </c>
      <c r="E374" s="431" t="n">
        <f aca="false">SUMIFS(門市請款明細表!$J$3:$J$1981,門市請款明細表!$H$3:$H$1981,$C374,門市請款明細表!$I$3:$I$1981,E$1)</f>
        <v>0</v>
      </c>
      <c r="F374" s="431" t="n">
        <f aca="false">SUMIFS(門市請款明細表!$J$3:$J$1981,門市請款明細表!$H$3:$H$1981,$C374,門市請款明細表!$I$3:$I$1981,F$1)</f>
        <v>0</v>
      </c>
      <c r="G374" s="431" t="n">
        <f aca="false">SUMIFS(門市請款明細表!$J$3:$J$1981,門市請款明細表!$H$3:$H$1981,$C374,門市請款明細表!$I$3:$I$1981,G$1)</f>
        <v>0</v>
      </c>
      <c r="H374" s="431" t="n">
        <f aca="false">SUMIFS(門市請款明細表!$J$3:$J$1981,門市請款明細表!$H$3:$H$1981,$C374,門市請款明細表!$I$3:$I$1981,H$1)</f>
        <v>0</v>
      </c>
      <c r="I374" s="15" t="n">
        <f aca="false">SUM(E374:H374)</f>
        <v>0</v>
      </c>
      <c r="J374" s="0" t="str">
        <f aca="false">IF(D374=I374,"●","✖")</f>
        <v>●</v>
      </c>
    </row>
    <row r="375" customFormat="false" ht="16.5" hidden="false" customHeight="false" outlineLevel="0" collapsed="false">
      <c r="A375" s="431" t="n">
        <v>370</v>
      </c>
      <c r="B375" s="139" t="s">
        <v>4933</v>
      </c>
      <c r="C375" s="417" t="s">
        <v>92</v>
      </c>
      <c r="D375" s="141" t="n">
        <f aca="false">SUMIF(門市請款明細表!$H$3:$H$1981,$C375,門市請款明細表!$J$3:$J$1981)</f>
        <v>0</v>
      </c>
      <c r="E375" s="431" t="n">
        <f aca="false">SUMIFS(門市請款明細表!$J$3:$J$1981,門市請款明細表!$H$3:$H$1981,$C375,門市請款明細表!$I$3:$I$1981,E$1)</f>
        <v>0</v>
      </c>
      <c r="F375" s="431" t="n">
        <f aca="false">SUMIFS(門市請款明細表!$J$3:$J$1981,門市請款明細表!$H$3:$H$1981,$C375,門市請款明細表!$I$3:$I$1981,F$1)</f>
        <v>0</v>
      </c>
      <c r="G375" s="431" t="n">
        <f aca="false">SUMIFS(門市請款明細表!$J$3:$J$1981,門市請款明細表!$H$3:$H$1981,$C375,門市請款明細表!$I$3:$I$1981,G$1)</f>
        <v>0</v>
      </c>
      <c r="H375" s="431" t="n">
        <f aca="false">SUMIFS(門市請款明細表!$J$3:$J$1981,門市請款明細表!$H$3:$H$1981,$C375,門市請款明細表!$I$3:$I$1981,H$1)</f>
        <v>0</v>
      </c>
      <c r="I375" s="15" t="n">
        <f aca="false">SUM(E375:H375)</f>
        <v>0</v>
      </c>
      <c r="J375" s="0" t="str">
        <f aca="false">IF(D375=I375,"●","✖")</f>
        <v>●</v>
      </c>
    </row>
    <row r="376" customFormat="false" ht="16.5" hidden="false" customHeight="false" outlineLevel="0" collapsed="false">
      <c r="A376" s="431" t="n">
        <v>371</v>
      </c>
      <c r="B376" s="139" t="s">
        <v>4934</v>
      </c>
      <c r="C376" s="417" t="s">
        <v>316</v>
      </c>
      <c r="D376" s="141" t="n">
        <f aca="false">SUMIF(門市請款明細表!$H$3:$H$1981,$C376,門市請款明細表!$J$3:$J$1981)</f>
        <v>0</v>
      </c>
      <c r="E376" s="431" t="n">
        <f aca="false">SUMIFS(門市請款明細表!$J$3:$J$1981,門市請款明細表!$H$3:$H$1981,$C376,門市請款明細表!$I$3:$I$1981,E$1)</f>
        <v>0</v>
      </c>
      <c r="F376" s="431" t="n">
        <f aca="false">SUMIFS(門市請款明細表!$J$3:$J$1981,門市請款明細表!$H$3:$H$1981,$C376,門市請款明細表!$I$3:$I$1981,F$1)</f>
        <v>0</v>
      </c>
      <c r="G376" s="431" t="n">
        <f aca="false">SUMIFS(門市請款明細表!$J$3:$J$1981,門市請款明細表!$H$3:$H$1981,$C376,門市請款明細表!$I$3:$I$1981,G$1)</f>
        <v>0</v>
      </c>
      <c r="H376" s="431" t="n">
        <f aca="false">SUMIFS(門市請款明細表!$J$3:$J$1981,門市請款明細表!$H$3:$H$1981,$C376,門市請款明細表!$I$3:$I$1981,H$1)</f>
        <v>0</v>
      </c>
      <c r="I376" s="15" t="n">
        <f aca="false">SUM(E376:H376)</f>
        <v>0</v>
      </c>
      <c r="J376" s="0" t="str">
        <f aca="false">IF(D376=I376,"●","✖")</f>
        <v>●</v>
      </c>
    </row>
    <row r="377" customFormat="false" ht="16.5" hidden="false" customHeight="false" outlineLevel="0" collapsed="false">
      <c r="A377" s="431" t="n">
        <v>372</v>
      </c>
      <c r="B377" s="139" t="s">
        <v>4934</v>
      </c>
      <c r="C377" s="417" t="s">
        <v>106</v>
      </c>
      <c r="D377" s="141" t="n">
        <f aca="false">SUMIF(門市請款明細表!$H$3:$H$1981,$C377,門市請款明細表!$J$3:$J$1981)</f>
        <v>0</v>
      </c>
      <c r="E377" s="431" t="n">
        <f aca="false">SUMIFS(門市請款明細表!$J$3:$J$1981,門市請款明細表!$H$3:$H$1981,$C377,門市請款明細表!$I$3:$I$1981,E$1)</f>
        <v>0</v>
      </c>
      <c r="F377" s="431" t="n">
        <f aca="false">SUMIFS(門市請款明細表!$J$3:$J$1981,門市請款明細表!$H$3:$H$1981,$C377,門市請款明細表!$I$3:$I$1981,F$1)</f>
        <v>0</v>
      </c>
      <c r="G377" s="431" t="n">
        <f aca="false">SUMIFS(門市請款明細表!$J$3:$J$1981,門市請款明細表!$H$3:$H$1981,$C377,門市請款明細表!$I$3:$I$1981,G$1)</f>
        <v>0</v>
      </c>
      <c r="H377" s="431" t="n">
        <f aca="false">SUMIFS(門市請款明細表!$J$3:$J$1981,門市請款明細表!$H$3:$H$1981,$C377,門市請款明細表!$I$3:$I$1981,H$1)</f>
        <v>0</v>
      </c>
      <c r="I377" s="15" t="n">
        <f aca="false">SUM(E377:H377)</f>
        <v>0</v>
      </c>
      <c r="J377" s="0" t="str">
        <f aca="false">IF(D377=I377,"●","✖")</f>
        <v>●</v>
      </c>
    </row>
    <row r="378" customFormat="false" ht="16.5" hidden="false" customHeight="false" outlineLevel="0" collapsed="false">
      <c r="A378" s="431" t="n">
        <v>373</v>
      </c>
      <c r="B378" s="139" t="s">
        <v>4935</v>
      </c>
      <c r="C378" s="417" t="s">
        <v>60</v>
      </c>
      <c r="D378" s="141" t="n">
        <f aca="false">SUMIF(門市請款明細表!$H$3:$H$1981,$C378,門市請款明細表!$J$3:$J$1981)</f>
        <v>0</v>
      </c>
      <c r="E378" s="431" t="n">
        <f aca="false">SUMIFS(門市請款明細表!$J$3:$J$1981,門市請款明細表!$H$3:$H$1981,$C378,門市請款明細表!$I$3:$I$1981,E$1)</f>
        <v>0</v>
      </c>
      <c r="F378" s="431" t="n">
        <f aca="false">SUMIFS(門市請款明細表!$J$3:$J$1981,門市請款明細表!$H$3:$H$1981,$C378,門市請款明細表!$I$3:$I$1981,F$1)</f>
        <v>0</v>
      </c>
      <c r="G378" s="431" t="n">
        <f aca="false">SUMIFS(門市請款明細表!$J$3:$J$1981,門市請款明細表!$H$3:$H$1981,$C378,門市請款明細表!$I$3:$I$1981,G$1)</f>
        <v>0</v>
      </c>
      <c r="H378" s="431" t="n">
        <f aca="false">SUMIFS(門市請款明細表!$J$3:$J$1981,門市請款明細表!$H$3:$H$1981,$C378,門市請款明細表!$I$3:$I$1981,H$1)</f>
        <v>0</v>
      </c>
      <c r="I378" s="15" t="n">
        <f aca="false">SUM(E378:H378)</f>
        <v>0</v>
      </c>
      <c r="J378" s="0" t="str">
        <f aca="false">IF(D378=I378,"●","✖")</f>
        <v>●</v>
      </c>
    </row>
    <row r="379" customFormat="false" ht="16.5" hidden="false" customHeight="false" outlineLevel="0" collapsed="false">
      <c r="A379" s="431" t="n">
        <v>374</v>
      </c>
      <c r="B379" s="139" t="s">
        <v>4935</v>
      </c>
      <c r="C379" s="417" t="s">
        <v>417</v>
      </c>
      <c r="D379" s="141" t="n">
        <f aca="false">SUMIF(門市請款明細表!$H$3:$H$1981,$C379,門市請款明細表!$J$3:$J$1981)</f>
        <v>0</v>
      </c>
      <c r="E379" s="431" t="n">
        <f aca="false">SUMIFS(門市請款明細表!$J$3:$J$1981,門市請款明細表!$H$3:$H$1981,$C379,門市請款明細表!$I$3:$I$1981,E$1)</f>
        <v>0</v>
      </c>
      <c r="F379" s="431" t="n">
        <f aca="false">SUMIFS(門市請款明細表!$J$3:$J$1981,門市請款明細表!$H$3:$H$1981,$C379,門市請款明細表!$I$3:$I$1981,F$1)</f>
        <v>0</v>
      </c>
      <c r="G379" s="431" t="n">
        <f aca="false">SUMIFS(門市請款明細表!$J$3:$J$1981,門市請款明細表!$H$3:$H$1981,$C379,門市請款明細表!$I$3:$I$1981,G$1)</f>
        <v>0</v>
      </c>
      <c r="H379" s="431" t="n">
        <f aca="false">SUMIFS(門市請款明細表!$J$3:$J$1981,門市請款明細表!$H$3:$H$1981,$C379,門市請款明細表!$I$3:$I$1981,H$1)</f>
        <v>0</v>
      </c>
      <c r="I379" s="15" t="n">
        <f aca="false">SUM(E379:H379)</f>
        <v>0</v>
      </c>
      <c r="J379" s="0" t="str">
        <f aca="false">IF(D379=I379,"●","✖")</f>
        <v>●</v>
      </c>
    </row>
    <row r="380" customFormat="false" ht="16.5" hidden="false" customHeight="false" outlineLevel="0" collapsed="false">
      <c r="A380" s="431" t="n">
        <v>375</v>
      </c>
      <c r="B380" s="139" t="s">
        <v>4934</v>
      </c>
      <c r="C380" s="417" t="s">
        <v>152</v>
      </c>
      <c r="D380" s="141" t="n">
        <f aca="false">SUMIF(門市請款明細表!$H$3:$H$1981,$C380,門市請款明細表!$J$3:$J$1981)</f>
        <v>0</v>
      </c>
      <c r="E380" s="431" t="n">
        <f aca="false">SUMIFS(門市請款明細表!$J$3:$J$1981,門市請款明細表!$H$3:$H$1981,$C380,門市請款明細表!$I$3:$I$1981,E$1)</f>
        <v>0</v>
      </c>
      <c r="F380" s="431" t="n">
        <f aca="false">SUMIFS(門市請款明細表!$J$3:$J$1981,門市請款明細表!$H$3:$H$1981,$C380,門市請款明細表!$I$3:$I$1981,F$1)</f>
        <v>0</v>
      </c>
      <c r="G380" s="431" t="n">
        <f aca="false">SUMIFS(門市請款明細表!$J$3:$J$1981,門市請款明細表!$H$3:$H$1981,$C380,門市請款明細表!$I$3:$I$1981,G$1)</f>
        <v>0</v>
      </c>
      <c r="H380" s="431" t="n">
        <f aca="false">SUMIFS(門市請款明細表!$J$3:$J$1981,門市請款明細表!$H$3:$H$1981,$C380,門市請款明細表!$I$3:$I$1981,H$1)</f>
        <v>0</v>
      </c>
      <c r="I380" s="15" t="n">
        <f aca="false">SUM(E380:H380)</f>
        <v>0</v>
      </c>
      <c r="J380" s="0" t="str">
        <f aca="false">IF(D380=I380,"●","✖")</f>
        <v>●</v>
      </c>
    </row>
    <row r="381" customFormat="false" ht="16.5" hidden="false" customHeight="false" outlineLevel="0" collapsed="false">
      <c r="A381" s="431" t="n">
        <v>376</v>
      </c>
      <c r="B381" s="139" t="s">
        <v>4936</v>
      </c>
      <c r="C381" s="417" t="s">
        <v>216</v>
      </c>
      <c r="D381" s="141" t="n">
        <f aca="false">SUMIF(門市請款明細表!$H$3:$H$1981,$C381,門市請款明細表!$J$3:$J$1981)</f>
        <v>0</v>
      </c>
      <c r="E381" s="431" t="n">
        <f aca="false">SUMIFS(門市請款明細表!$J$3:$J$1981,門市請款明細表!$H$3:$H$1981,$C381,門市請款明細表!$I$3:$I$1981,E$1)</f>
        <v>0</v>
      </c>
      <c r="F381" s="431" t="n">
        <f aca="false">SUMIFS(門市請款明細表!$J$3:$J$1981,門市請款明細表!$H$3:$H$1981,$C381,門市請款明細表!$I$3:$I$1981,F$1)</f>
        <v>0</v>
      </c>
      <c r="G381" s="431" t="n">
        <f aca="false">SUMIFS(門市請款明細表!$J$3:$J$1981,門市請款明細表!$H$3:$H$1981,$C381,門市請款明細表!$I$3:$I$1981,G$1)</f>
        <v>0</v>
      </c>
      <c r="H381" s="431" t="n">
        <f aca="false">SUMIFS(門市請款明細表!$J$3:$J$1981,門市請款明細表!$H$3:$H$1981,$C381,門市請款明細表!$I$3:$I$1981,H$1)</f>
        <v>0</v>
      </c>
      <c r="I381" s="15" t="n">
        <f aca="false">SUM(E381:H381)</f>
        <v>0</v>
      </c>
      <c r="J381" s="0" t="str">
        <f aca="false">IF(D381=I381,"●","✖")</f>
        <v>●</v>
      </c>
    </row>
    <row r="382" customFormat="false" ht="16.5" hidden="false" customHeight="false" outlineLevel="0" collapsed="false">
      <c r="A382" s="431" t="n">
        <v>377</v>
      </c>
      <c r="B382" s="139" t="s">
        <v>4936</v>
      </c>
      <c r="C382" s="417" t="s">
        <v>208</v>
      </c>
      <c r="D382" s="141" t="n">
        <f aca="false">SUMIF(門市請款明細表!$H$3:$H$1981,$C382,門市請款明細表!$J$3:$J$1981)</f>
        <v>0</v>
      </c>
      <c r="E382" s="431" t="n">
        <f aca="false">SUMIFS(門市請款明細表!$J$3:$J$1981,門市請款明細表!$H$3:$H$1981,$C382,門市請款明細表!$I$3:$I$1981,E$1)</f>
        <v>0</v>
      </c>
      <c r="F382" s="431" t="n">
        <f aca="false">SUMIFS(門市請款明細表!$J$3:$J$1981,門市請款明細表!$H$3:$H$1981,$C382,門市請款明細表!$I$3:$I$1981,F$1)</f>
        <v>0</v>
      </c>
      <c r="G382" s="431" t="n">
        <f aca="false">SUMIFS(門市請款明細表!$J$3:$J$1981,門市請款明細表!$H$3:$H$1981,$C382,門市請款明細表!$I$3:$I$1981,G$1)</f>
        <v>0</v>
      </c>
      <c r="H382" s="431" t="n">
        <f aca="false">SUMIFS(門市請款明細表!$J$3:$J$1981,門市請款明細表!$H$3:$H$1981,$C382,門市請款明細表!$I$3:$I$1981,H$1)</f>
        <v>0</v>
      </c>
      <c r="I382" s="15" t="n">
        <f aca="false">SUM(E382:H382)</f>
        <v>0</v>
      </c>
      <c r="J382" s="0" t="str">
        <f aca="false">IF(D382=I382,"●","✖")</f>
        <v>●</v>
      </c>
    </row>
    <row r="383" customFormat="false" ht="16.5" hidden="false" customHeight="false" outlineLevel="0" collapsed="false">
      <c r="A383" s="431" t="n">
        <v>378</v>
      </c>
      <c r="B383" s="139" t="s">
        <v>4934</v>
      </c>
      <c r="C383" s="417" t="s">
        <v>244</v>
      </c>
      <c r="D383" s="141" t="n">
        <f aca="false">SUMIF(門市請款明細表!$H$3:$H$1981,$C383,門市請款明細表!$J$3:$J$1981)</f>
        <v>0</v>
      </c>
      <c r="E383" s="431" t="n">
        <f aca="false">SUMIFS(門市請款明細表!$J$3:$J$1981,門市請款明細表!$H$3:$H$1981,$C383,門市請款明細表!$I$3:$I$1981,E$1)</f>
        <v>0</v>
      </c>
      <c r="F383" s="431" t="n">
        <f aca="false">SUMIFS(門市請款明細表!$J$3:$J$1981,門市請款明細表!$H$3:$H$1981,$C383,門市請款明細表!$I$3:$I$1981,F$1)</f>
        <v>0</v>
      </c>
      <c r="G383" s="431" t="n">
        <f aca="false">SUMIFS(門市請款明細表!$J$3:$J$1981,門市請款明細表!$H$3:$H$1981,$C383,門市請款明細表!$I$3:$I$1981,G$1)</f>
        <v>0</v>
      </c>
      <c r="H383" s="431" t="n">
        <f aca="false">SUMIFS(門市請款明細表!$J$3:$J$1981,門市請款明細表!$H$3:$H$1981,$C383,門市請款明細表!$I$3:$I$1981,H$1)</f>
        <v>0</v>
      </c>
      <c r="I383" s="15" t="n">
        <f aca="false">SUM(E383:H383)</f>
        <v>0</v>
      </c>
      <c r="J383" s="0" t="str">
        <f aca="false">IF(D383=I383,"●","✖")</f>
        <v>●</v>
      </c>
    </row>
    <row r="384" customFormat="false" ht="16.5" hidden="false" customHeight="false" outlineLevel="0" collapsed="false">
      <c r="A384" s="431" t="n">
        <v>379</v>
      </c>
      <c r="B384" s="139" t="s">
        <v>4936</v>
      </c>
      <c r="C384" s="417" t="s">
        <v>195</v>
      </c>
      <c r="D384" s="141" t="n">
        <f aca="false">SUMIF(門市請款明細表!$H$3:$H$1981,$C384,門市請款明細表!$J$3:$J$1981)</f>
        <v>0</v>
      </c>
      <c r="E384" s="431" t="n">
        <f aca="false">SUMIFS(門市請款明細表!$J$3:$J$1981,門市請款明細表!$H$3:$H$1981,$C384,門市請款明細表!$I$3:$I$1981,E$1)</f>
        <v>0</v>
      </c>
      <c r="F384" s="431" t="n">
        <f aca="false">SUMIFS(門市請款明細表!$J$3:$J$1981,門市請款明細表!$H$3:$H$1981,$C384,門市請款明細表!$I$3:$I$1981,F$1)</f>
        <v>0</v>
      </c>
      <c r="G384" s="431" t="n">
        <f aca="false">SUMIFS(門市請款明細表!$J$3:$J$1981,門市請款明細表!$H$3:$H$1981,$C384,門市請款明細表!$I$3:$I$1981,G$1)</f>
        <v>0</v>
      </c>
      <c r="H384" s="431" t="n">
        <f aca="false">SUMIFS(門市請款明細表!$J$3:$J$1981,門市請款明細表!$H$3:$H$1981,$C384,門市請款明細表!$I$3:$I$1981,H$1)</f>
        <v>0</v>
      </c>
      <c r="I384" s="15" t="n">
        <f aca="false">SUM(E384:H384)</f>
        <v>0</v>
      </c>
      <c r="J384" s="0" t="str">
        <f aca="false">IF(D384=I384,"●","✖")</f>
        <v>●</v>
      </c>
    </row>
    <row r="385" customFormat="false" ht="16.5" hidden="false" customHeight="false" outlineLevel="0" collapsed="false">
      <c r="A385" s="431" t="n">
        <v>380</v>
      </c>
      <c r="B385" s="139" t="s">
        <v>4936</v>
      </c>
      <c r="C385" s="417" t="s">
        <v>222</v>
      </c>
      <c r="D385" s="141" t="n">
        <f aca="false">SUMIF(門市請款明細表!$H$3:$H$1981,$C385,門市請款明細表!$J$3:$J$1981)</f>
        <v>0</v>
      </c>
      <c r="E385" s="431" t="n">
        <f aca="false">SUMIFS(門市請款明細表!$J$3:$J$1981,門市請款明細表!$H$3:$H$1981,$C385,門市請款明細表!$I$3:$I$1981,E$1)</f>
        <v>0</v>
      </c>
      <c r="F385" s="431" t="n">
        <f aca="false">SUMIFS(門市請款明細表!$J$3:$J$1981,門市請款明細表!$H$3:$H$1981,$C385,門市請款明細表!$I$3:$I$1981,F$1)</f>
        <v>0</v>
      </c>
      <c r="G385" s="431" t="n">
        <f aca="false">SUMIFS(門市請款明細表!$J$3:$J$1981,門市請款明細表!$H$3:$H$1981,$C385,門市請款明細表!$I$3:$I$1981,G$1)</f>
        <v>0</v>
      </c>
      <c r="H385" s="431" t="n">
        <f aca="false">SUMIFS(門市請款明細表!$J$3:$J$1981,門市請款明細表!$H$3:$H$1981,$C385,門市請款明細表!$I$3:$I$1981,H$1)</f>
        <v>0</v>
      </c>
      <c r="I385" s="15" t="n">
        <f aca="false">SUM(E385:H385)</f>
        <v>0</v>
      </c>
      <c r="J385" s="0" t="str">
        <f aca="false">IF(D385=I385,"●","✖")</f>
        <v>●</v>
      </c>
    </row>
    <row r="386" customFormat="false" ht="16.5" hidden="false" customHeight="false" outlineLevel="0" collapsed="false">
      <c r="A386" s="431" t="n">
        <v>381</v>
      </c>
      <c r="B386" s="139" t="s">
        <v>4934</v>
      </c>
      <c r="C386" s="417" t="s">
        <v>240</v>
      </c>
      <c r="D386" s="141" t="n">
        <f aca="false">SUMIF(門市請款明細表!$H$3:$H$1981,$C386,門市請款明細表!$J$3:$J$1981)</f>
        <v>0</v>
      </c>
      <c r="E386" s="431" t="n">
        <f aca="false">SUMIFS(門市請款明細表!$J$3:$J$1981,門市請款明細表!$H$3:$H$1981,$C386,門市請款明細表!$I$3:$I$1981,E$1)</f>
        <v>0</v>
      </c>
      <c r="F386" s="431" t="n">
        <f aca="false">SUMIFS(門市請款明細表!$J$3:$J$1981,門市請款明細表!$H$3:$H$1981,$C386,門市請款明細表!$I$3:$I$1981,F$1)</f>
        <v>0</v>
      </c>
      <c r="G386" s="431" t="n">
        <f aca="false">SUMIFS(門市請款明細表!$J$3:$J$1981,門市請款明細表!$H$3:$H$1981,$C386,門市請款明細表!$I$3:$I$1981,G$1)</f>
        <v>0</v>
      </c>
      <c r="H386" s="431" t="n">
        <f aca="false">SUMIFS(門市請款明細表!$J$3:$J$1981,門市請款明細表!$H$3:$H$1981,$C386,門市請款明細表!$I$3:$I$1981,H$1)</f>
        <v>0</v>
      </c>
      <c r="I386" s="15" t="n">
        <f aca="false">SUM(E386:H386)</f>
        <v>0</v>
      </c>
      <c r="J386" s="0" t="str">
        <f aca="false">IF(D386=I386,"●","✖")</f>
        <v>●</v>
      </c>
    </row>
    <row r="387" customFormat="false" ht="16.5" hidden="false" customHeight="false" outlineLevel="0" collapsed="false">
      <c r="A387" s="431" t="n">
        <v>382</v>
      </c>
      <c r="B387" s="139" t="s">
        <v>4936</v>
      </c>
      <c r="C387" s="417" t="s">
        <v>425</v>
      </c>
      <c r="D387" s="141" t="n">
        <f aca="false">SUMIF(門市請款明細表!$H$3:$H$1981,$C387,門市請款明細表!$J$3:$J$1981)</f>
        <v>0</v>
      </c>
      <c r="E387" s="431" t="n">
        <f aca="false">SUMIFS(門市請款明細表!$J$3:$J$1981,門市請款明細表!$H$3:$H$1981,$C387,門市請款明細表!$I$3:$I$1981,E$1)</f>
        <v>0</v>
      </c>
      <c r="F387" s="431" t="n">
        <f aca="false">SUMIFS(門市請款明細表!$J$3:$J$1981,門市請款明細表!$H$3:$H$1981,$C387,門市請款明細表!$I$3:$I$1981,F$1)</f>
        <v>0</v>
      </c>
      <c r="G387" s="431" t="n">
        <f aca="false">SUMIFS(門市請款明細表!$J$3:$J$1981,門市請款明細表!$H$3:$H$1981,$C387,門市請款明細表!$I$3:$I$1981,G$1)</f>
        <v>0</v>
      </c>
      <c r="H387" s="431" t="n">
        <f aca="false">SUMIFS(門市請款明細表!$J$3:$J$1981,門市請款明細表!$H$3:$H$1981,$C387,門市請款明細表!$I$3:$I$1981,H$1)</f>
        <v>0</v>
      </c>
      <c r="I387" s="15" t="n">
        <f aca="false">SUM(E387:H387)</f>
        <v>0</v>
      </c>
      <c r="J387" s="0" t="str">
        <f aca="false">IF(D387=I387,"●","✖")</f>
        <v>●</v>
      </c>
    </row>
    <row r="388" customFormat="false" ht="16.5" hidden="false" customHeight="false" outlineLevel="0" collapsed="false">
      <c r="A388" s="431" t="n">
        <v>383</v>
      </c>
      <c r="B388" s="139" t="s">
        <v>4934</v>
      </c>
      <c r="C388" s="417" t="s">
        <v>7</v>
      </c>
      <c r="D388" s="141" t="n">
        <f aca="false">SUMIF(門市請款明細表!$H$3:$H$1981,$C388,門市請款明細表!$J$3:$J$1981)</f>
        <v>0</v>
      </c>
      <c r="E388" s="431" t="n">
        <f aca="false">SUMIFS(門市請款明細表!$J$3:$J$1981,門市請款明細表!$H$3:$H$1981,$C388,門市請款明細表!$I$3:$I$1981,E$1)</f>
        <v>0</v>
      </c>
      <c r="F388" s="431" t="n">
        <f aca="false">SUMIFS(門市請款明細表!$J$3:$J$1981,門市請款明細表!$H$3:$H$1981,$C388,門市請款明細表!$I$3:$I$1981,F$1)</f>
        <v>0</v>
      </c>
      <c r="G388" s="431" t="n">
        <f aca="false">SUMIFS(門市請款明細表!$J$3:$J$1981,門市請款明細表!$H$3:$H$1981,$C388,門市請款明細表!$I$3:$I$1981,G$1)</f>
        <v>0</v>
      </c>
      <c r="H388" s="431" t="n">
        <f aca="false">SUMIFS(門市請款明細表!$J$3:$J$1981,門市請款明細表!$H$3:$H$1981,$C388,門市請款明細表!$I$3:$I$1981,H$1)</f>
        <v>0</v>
      </c>
      <c r="I388" s="15" t="n">
        <f aca="false">SUM(E388:H388)</f>
        <v>0</v>
      </c>
      <c r="J388" s="0" t="str">
        <f aca="false">IF(D388=I388,"●","✖")</f>
        <v>●</v>
      </c>
    </row>
    <row r="389" customFormat="false" ht="16.5" hidden="false" customHeight="false" outlineLevel="0" collapsed="false">
      <c r="A389" s="431" t="n">
        <v>384</v>
      </c>
      <c r="B389" s="139" t="s">
        <v>4934</v>
      </c>
      <c r="C389" s="417" t="s">
        <v>107</v>
      </c>
      <c r="D389" s="141" t="n">
        <f aca="false">SUMIF(門市請款明細表!$H$3:$H$1981,$C389,門市請款明細表!$J$3:$J$1981)</f>
        <v>0</v>
      </c>
      <c r="E389" s="431" t="n">
        <f aca="false">SUMIFS(門市請款明細表!$J$3:$J$1981,門市請款明細表!$H$3:$H$1981,$C389,門市請款明細表!$I$3:$I$1981,E$1)</f>
        <v>0</v>
      </c>
      <c r="F389" s="431" t="n">
        <f aca="false">SUMIFS(門市請款明細表!$J$3:$J$1981,門市請款明細表!$H$3:$H$1981,$C389,門市請款明細表!$I$3:$I$1981,F$1)</f>
        <v>0</v>
      </c>
      <c r="G389" s="431" t="n">
        <f aca="false">SUMIFS(門市請款明細表!$J$3:$J$1981,門市請款明細表!$H$3:$H$1981,$C389,門市請款明細表!$I$3:$I$1981,G$1)</f>
        <v>0</v>
      </c>
      <c r="H389" s="431" t="n">
        <f aca="false">SUMIFS(門市請款明細表!$J$3:$J$1981,門市請款明細表!$H$3:$H$1981,$C389,門市請款明細表!$I$3:$I$1981,H$1)</f>
        <v>0</v>
      </c>
      <c r="I389" s="15" t="n">
        <f aca="false">SUM(E389:H389)</f>
        <v>0</v>
      </c>
      <c r="J389" s="0" t="str">
        <f aca="false">IF(D389=I389,"●","✖")</f>
        <v>●</v>
      </c>
    </row>
    <row r="390" customFormat="false" ht="16.5" hidden="false" customHeight="false" outlineLevel="0" collapsed="false">
      <c r="A390" s="431" t="n">
        <v>385</v>
      </c>
      <c r="B390" s="139" t="s">
        <v>4936</v>
      </c>
      <c r="C390" s="417" t="s">
        <v>366</v>
      </c>
      <c r="D390" s="141" t="n">
        <f aca="false">SUMIF(門市請款明細表!$H$3:$H$1981,$C390,門市請款明細表!$J$3:$J$1981)</f>
        <v>0</v>
      </c>
      <c r="E390" s="431" t="n">
        <f aca="false">SUMIFS(門市請款明細表!$J$3:$J$1981,門市請款明細表!$H$3:$H$1981,$C390,門市請款明細表!$I$3:$I$1981,E$1)</f>
        <v>0</v>
      </c>
      <c r="F390" s="431" t="n">
        <f aca="false">SUMIFS(門市請款明細表!$J$3:$J$1981,門市請款明細表!$H$3:$H$1981,$C390,門市請款明細表!$I$3:$I$1981,F$1)</f>
        <v>0</v>
      </c>
      <c r="G390" s="431" t="n">
        <f aca="false">SUMIFS(門市請款明細表!$J$3:$J$1981,門市請款明細表!$H$3:$H$1981,$C390,門市請款明細表!$I$3:$I$1981,G$1)</f>
        <v>0</v>
      </c>
      <c r="H390" s="431" t="n">
        <f aca="false">SUMIFS(門市請款明細表!$J$3:$J$1981,門市請款明細表!$H$3:$H$1981,$C390,門市請款明細表!$I$3:$I$1981,H$1)</f>
        <v>0</v>
      </c>
      <c r="I390" s="15" t="n">
        <f aca="false">SUM(E390:H390)</f>
        <v>0</v>
      </c>
      <c r="J390" s="0" t="str">
        <f aca="false">IF(D390=I390,"●","✖")</f>
        <v>●</v>
      </c>
    </row>
    <row r="391" customFormat="false" ht="16.5" hidden="false" customHeight="false" outlineLevel="0" collapsed="false">
      <c r="A391" s="431" t="n">
        <v>386</v>
      </c>
      <c r="B391" s="139" t="s">
        <v>4936</v>
      </c>
      <c r="C391" s="417" t="s">
        <v>54</v>
      </c>
      <c r="D391" s="141" t="n">
        <f aca="false">SUMIF(門市請款明細表!$H$3:$H$1981,$C391,門市請款明細表!$J$3:$J$1981)</f>
        <v>0</v>
      </c>
      <c r="E391" s="431" t="n">
        <f aca="false">SUMIFS(門市請款明細表!$J$3:$J$1981,門市請款明細表!$H$3:$H$1981,$C391,門市請款明細表!$I$3:$I$1981,E$1)</f>
        <v>0</v>
      </c>
      <c r="F391" s="431" t="n">
        <f aca="false">SUMIFS(門市請款明細表!$J$3:$J$1981,門市請款明細表!$H$3:$H$1981,$C391,門市請款明細表!$I$3:$I$1981,F$1)</f>
        <v>0</v>
      </c>
      <c r="G391" s="431" t="n">
        <f aca="false">SUMIFS(門市請款明細表!$J$3:$J$1981,門市請款明細表!$H$3:$H$1981,$C391,門市請款明細表!$I$3:$I$1981,G$1)</f>
        <v>0</v>
      </c>
      <c r="H391" s="431" t="n">
        <f aca="false">SUMIFS(門市請款明細表!$J$3:$J$1981,門市請款明細表!$H$3:$H$1981,$C391,門市請款明細表!$I$3:$I$1981,H$1)</f>
        <v>0</v>
      </c>
      <c r="I391" s="15" t="n">
        <f aca="false">SUM(E391:H391)</f>
        <v>0</v>
      </c>
      <c r="J391" s="0" t="str">
        <f aca="false">IF(D391=I391,"●","✖")</f>
        <v>●</v>
      </c>
    </row>
    <row r="392" customFormat="false" ht="16.5" hidden="false" customHeight="false" outlineLevel="0" collapsed="false">
      <c r="A392" s="431" t="n">
        <v>387</v>
      </c>
      <c r="B392" s="139" t="s">
        <v>4934</v>
      </c>
      <c r="C392" s="417" t="s">
        <v>315</v>
      </c>
      <c r="D392" s="141" t="n">
        <f aca="false">SUMIF(門市請款明細表!$H$3:$H$1981,$C392,門市請款明細表!$J$3:$J$1981)</f>
        <v>0</v>
      </c>
      <c r="E392" s="431" t="n">
        <f aca="false">SUMIFS(門市請款明細表!$J$3:$J$1981,門市請款明細表!$H$3:$H$1981,$C392,門市請款明細表!$I$3:$I$1981,E$1)</f>
        <v>0</v>
      </c>
      <c r="F392" s="431" t="n">
        <f aca="false">SUMIFS(門市請款明細表!$J$3:$J$1981,門市請款明細表!$H$3:$H$1981,$C392,門市請款明細表!$I$3:$I$1981,F$1)</f>
        <v>0</v>
      </c>
      <c r="G392" s="431" t="n">
        <f aca="false">SUMIFS(門市請款明細表!$J$3:$J$1981,門市請款明細表!$H$3:$H$1981,$C392,門市請款明細表!$I$3:$I$1981,G$1)</f>
        <v>0</v>
      </c>
      <c r="H392" s="431" t="n">
        <f aca="false">SUMIFS(門市請款明細表!$J$3:$J$1981,門市請款明細表!$H$3:$H$1981,$C392,門市請款明細表!$I$3:$I$1981,H$1)</f>
        <v>0</v>
      </c>
      <c r="I392" s="15" t="n">
        <f aca="false">SUM(E392:H392)</f>
        <v>0</v>
      </c>
      <c r="J392" s="0" t="str">
        <f aca="false">IF(D392=I392,"●","✖")</f>
        <v>●</v>
      </c>
    </row>
    <row r="393" customFormat="false" ht="16.5" hidden="false" customHeight="false" outlineLevel="0" collapsed="false">
      <c r="A393" s="431" t="n">
        <v>388</v>
      </c>
      <c r="B393" s="139" t="s">
        <v>4934</v>
      </c>
      <c r="C393" s="417" t="s">
        <v>91</v>
      </c>
      <c r="D393" s="141" t="n">
        <f aca="false">SUMIF(門市請款明細表!$H$3:$H$1981,$C393,門市請款明細表!$J$3:$J$1981)</f>
        <v>0</v>
      </c>
      <c r="E393" s="431" t="n">
        <f aca="false">SUMIFS(門市請款明細表!$J$3:$J$1981,門市請款明細表!$H$3:$H$1981,$C393,門市請款明細表!$I$3:$I$1981,E$1)</f>
        <v>0</v>
      </c>
      <c r="F393" s="431" t="n">
        <f aca="false">SUMIFS(門市請款明細表!$J$3:$J$1981,門市請款明細表!$H$3:$H$1981,$C393,門市請款明細表!$I$3:$I$1981,F$1)</f>
        <v>0</v>
      </c>
      <c r="G393" s="431" t="n">
        <f aca="false">SUMIFS(門市請款明細表!$J$3:$J$1981,門市請款明細表!$H$3:$H$1981,$C393,門市請款明細表!$I$3:$I$1981,G$1)</f>
        <v>0</v>
      </c>
      <c r="H393" s="431" t="n">
        <f aca="false">SUMIFS(門市請款明細表!$J$3:$J$1981,門市請款明細表!$H$3:$H$1981,$C393,門市請款明細表!$I$3:$I$1981,H$1)</f>
        <v>0</v>
      </c>
      <c r="I393" s="15" t="n">
        <f aca="false">SUM(E393:H393)</f>
        <v>0</v>
      </c>
      <c r="J393" s="0" t="str">
        <f aca="false">IF(D393=I393,"●","✖")</f>
        <v>●</v>
      </c>
    </row>
    <row r="394" customFormat="false" ht="16.5" hidden="false" customHeight="false" outlineLevel="0" collapsed="false">
      <c r="A394" s="431" t="n">
        <v>389</v>
      </c>
      <c r="B394" s="139" t="s">
        <v>4936</v>
      </c>
      <c r="C394" s="417" t="s">
        <v>353</v>
      </c>
      <c r="D394" s="141" t="n">
        <f aca="false">SUMIF(門市請款明細表!$H$3:$H$1981,$C394,門市請款明細表!$J$3:$J$1981)</f>
        <v>0</v>
      </c>
      <c r="E394" s="431" t="n">
        <f aca="false">SUMIFS(門市請款明細表!$J$3:$J$1981,門市請款明細表!$H$3:$H$1981,$C394,門市請款明細表!$I$3:$I$1981,E$1)</f>
        <v>0</v>
      </c>
      <c r="F394" s="431" t="n">
        <f aca="false">SUMIFS(門市請款明細表!$J$3:$J$1981,門市請款明細表!$H$3:$H$1981,$C394,門市請款明細表!$I$3:$I$1981,F$1)</f>
        <v>0</v>
      </c>
      <c r="G394" s="431" t="n">
        <f aca="false">SUMIFS(門市請款明細表!$J$3:$J$1981,門市請款明細表!$H$3:$H$1981,$C394,門市請款明細表!$I$3:$I$1981,G$1)</f>
        <v>0</v>
      </c>
      <c r="H394" s="431" t="n">
        <f aca="false">SUMIFS(門市請款明細表!$J$3:$J$1981,門市請款明細表!$H$3:$H$1981,$C394,門市請款明細表!$I$3:$I$1981,H$1)</f>
        <v>0</v>
      </c>
      <c r="I394" s="15" t="n">
        <f aca="false">SUM(E394:H394)</f>
        <v>0</v>
      </c>
      <c r="J394" s="0" t="str">
        <f aca="false">IF(D394=I394,"●","✖")</f>
        <v>●</v>
      </c>
    </row>
    <row r="395" customFormat="false" ht="16.5" hidden="false" customHeight="false" outlineLevel="0" collapsed="false">
      <c r="A395" s="431" t="n">
        <v>390</v>
      </c>
      <c r="B395" s="139" t="s">
        <v>4936</v>
      </c>
      <c r="C395" s="417" t="s">
        <v>358</v>
      </c>
      <c r="D395" s="141" t="n">
        <f aca="false">SUMIF(門市請款明細表!$H$3:$H$1981,$C395,門市請款明細表!$J$3:$J$1981)</f>
        <v>0</v>
      </c>
      <c r="E395" s="431" t="n">
        <f aca="false">SUMIFS(門市請款明細表!$J$3:$J$1981,門市請款明細表!$H$3:$H$1981,$C395,門市請款明細表!$I$3:$I$1981,E$1)</f>
        <v>0</v>
      </c>
      <c r="F395" s="431" t="n">
        <f aca="false">SUMIFS(門市請款明細表!$J$3:$J$1981,門市請款明細表!$H$3:$H$1981,$C395,門市請款明細表!$I$3:$I$1981,F$1)</f>
        <v>0</v>
      </c>
      <c r="G395" s="431" t="n">
        <f aca="false">SUMIFS(門市請款明細表!$J$3:$J$1981,門市請款明細表!$H$3:$H$1981,$C395,門市請款明細表!$I$3:$I$1981,G$1)</f>
        <v>0</v>
      </c>
      <c r="H395" s="431" t="n">
        <f aca="false">SUMIFS(門市請款明細表!$J$3:$J$1981,門市請款明細表!$H$3:$H$1981,$C395,門市請款明細表!$I$3:$I$1981,H$1)</f>
        <v>0</v>
      </c>
      <c r="I395" s="15" t="n">
        <f aca="false">SUM(E395:H395)</f>
        <v>0</v>
      </c>
      <c r="J395" s="0" t="str">
        <f aca="false">IF(D395=I395,"●","✖")</f>
        <v>●</v>
      </c>
    </row>
    <row r="396" customFormat="false" ht="16.5" hidden="false" customHeight="false" outlineLevel="0" collapsed="false">
      <c r="A396" s="431" t="n">
        <v>391</v>
      </c>
      <c r="B396" s="139" t="s">
        <v>4933</v>
      </c>
      <c r="C396" s="417" t="s">
        <v>411</v>
      </c>
      <c r="D396" s="141" t="n">
        <f aca="false">SUMIF(門市請款明細表!$H$3:$H$1981,$C396,門市請款明細表!$J$3:$J$1981)</f>
        <v>0</v>
      </c>
      <c r="E396" s="431" t="n">
        <f aca="false">SUMIFS(門市請款明細表!$J$3:$J$1981,門市請款明細表!$H$3:$H$1981,$C396,門市請款明細表!$I$3:$I$1981,E$1)</f>
        <v>0</v>
      </c>
      <c r="F396" s="431" t="n">
        <f aca="false">SUMIFS(門市請款明細表!$J$3:$J$1981,門市請款明細表!$H$3:$H$1981,$C396,門市請款明細表!$I$3:$I$1981,F$1)</f>
        <v>0</v>
      </c>
      <c r="G396" s="431" t="n">
        <f aca="false">SUMIFS(門市請款明細表!$J$3:$J$1981,門市請款明細表!$H$3:$H$1981,$C396,門市請款明細表!$I$3:$I$1981,G$1)</f>
        <v>0</v>
      </c>
      <c r="H396" s="431" t="n">
        <f aca="false">SUMIFS(門市請款明細表!$J$3:$J$1981,門市請款明細表!$H$3:$H$1981,$C396,門市請款明細表!$I$3:$I$1981,H$1)</f>
        <v>0</v>
      </c>
      <c r="I396" s="15" t="n">
        <f aca="false">SUM(E396:H396)</f>
        <v>0</v>
      </c>
      <c r="J396" s="0" t="str">
        <f aca="false">IF(D396=I396,"●","✖")</f>
        <v>●</v>
      </c>
    </row>
    <row r="397" customFormat="false" ht="16.5" hidden="false" customHeight="false" outlineLevel="0" collapsed="false">
      <c r="A397" s="431" t="n">
        <v>392</v>
      </c>
      <c r="B397" s="139" t="s">
        <v>4934</v>
      </c>
      <c r="C397" s="417" t="s">
        <v>141</v>
      </c>
      <c r="D397" s="141" t="n">
        <f aca="false">SUMIF(門市請款明細表!$H$3:$H$1981,$C397,門市請款明細表!$J$3:$J$1981)</f>
        <v>0</v>
      </c>
      <c r="E397" s="431" t="n">
        <f aca="false">SUMIFS(門市請款明細表!$J$3:$J$1981,門市請款明細表!$H$3:$H$1981,$C397,門市請款明細表!$I$3:$I$1981,E$1)</f>
        <v>0</v>
      </c>
      <c r="F397" s="431" t="n">
        <f aca="false">SUMIFS(門市請款明細表!$J$3:$J$1981,門市請款明細表!$H$3:$H$1981,$C397,門市請款明細表!$I$3:$I$1981,F$1)</f>
        <v>0</v>
      </c>
      <c r="G397" s="431" t="n">
        <f aca="false">SUMIFS(門市請款明細表!$J$3:$J$1981,門市請款明細表!$H$3:$H$1981,$C397,門市請款明細表!$I$3:$I$1981,G$1)</f>
        <v>0</v>
      </c>
      <c r="H397" s="431" t="n">
        <f aca="false">SUMIFS(門市請款明細表!$J$3:$J$1981,門市請款明細表!$H$3:$H$1981,$C397,門市請款明細表!$I$3:$I$1981,H$1)</f>
        <v>0</v>
      </c>
      <c r="I397" s="15" t="n">
        <f aca="false">SUM(E397:H397)</f>
        <v>0</v>
      </c>
      <c r="J397" s="0" t="str">
        <f aca="false">IF(D397=I397,"●","✖")</f>
        <v>●</v>
      </c>
    </row>
    <row r="398" customFormat="false" ht="16.5" hidden="false" customHeight="false" outlineLevel="0" collapsed="false">
      <c r="A398" s="431" t="n">
        <v>393</v>
      </c>
      <c r="B398" s="139" t="s">
        <v>4936</v>
      </c>
      <c r="C398" s="417" t="s">
        <v>55</v>
      </c>
      <c r="D398" s="141" t="n">
        <f aca="false">SUMIF(門市請款明細表!$H$3:$H$1981,$C398,門市請款明細表!$J$3:$J$1981)</f>
        <v>0</v>
      </c>
      <c r="E398" s="431" t="n">
        <f aca="false">SUMIFS(門市請款明細表!$J$3:$J$1981,門市請款明細表!$H$3:$H$1981,$C398,門市請款明細表!$I$3:$I$1981,E$1)</f>
        <v>0</v>
      </c>
      <c r="F398" s="431" t="n">
        <f aca="false">SUMIFS(門市請款明細表!$J$3:$J$1981,門市請款明細表!$H$3:$H$1981,$C398,門市請款明細表!$I$3:$I$1981,F$1)</f>
        <v>0</v>
      </c>
      <c r="G398" s="431" t="n">
        <f aca="false">SUMIFS(門市請款明細表!$J$3:$J$1981,門市請款明細表!$H$3:$H$1981,$C398,門市請款明細表!$I$3:$I$1981,G$1)</f>
        <v>0</v>
      </c>
      <c r="H398" s="431" t="n">
        <f aca="false">SUMIFS(門市請款明細表!$J$3:$J$1981,門市請款明細表!$H$3:$H$1981,$C398,門市請款明細表!$I$3:$I$1981,H$1)</f>
        <v>0</v>
      </c>
      <c r="I398" s="15" t="n">
        <f aca="false">SUM(E398:H398)</f>
        <v>0</v>
      </c>
      <c r="J398" s="0" t="str">
        <f aca="false">IF(D398=I398,"●","✖")</f>
        <v>●</v>
      </c>
    </row>
    <row r="399" customFormat="false" ht="16.5" hidden="false" customHeight="false" outlineLevel="0" collapsed="false">
      <c r="A399" s="431" t="n">
        <v>394</v>
      </c>
      <c r="B399" s="139" t="s">
        <v>4933</v>
      </c>
      <c r="C399" s="417" t="s">
        <v>29</v>
      </c>
      <c r="D399" s="141" t="n">
        <f aca="false">SUMIF(門市請款明細表!$H$3:$H$1981,$C399,門市請款明細表!$J$3:$J$1981)</f>
        <v>0</v>
      </c>
      <c r="E399" s="431" t="n">
        <f aca="false">SUMIFS(門市請款明細表!$J$3:$J$1981,門市請款明細表!$H$3:$H$1981,$C399,門市請款明細表!$I$3:$I$1981,E$1)</f>
        <v>0</v>
      </c>
      <c r="F399" s="431" t="n">
        <f aca="false">SUMIFS(門市請款明細表!$J$3:$J$1981,門市請款明細表!$H$3:$H$1981,$C399,門市請款明細表!$I$3:$I$1981,F$1)</f>
        <v>0</v>
      </c>
      <c r="G399" s="431" t="n">
        <f aca="false">SUMIFS(門市請款明細表!$J$3:$J$1981,門市請款明細表!$H$3:$H$1981,$C399,門市請款明細表!$I$3:$I$1981,G$1)</f>
        <v>0</v>
      </c>
      <c r="H399" s="431" t="n">
        <f aca="false">SUMIFS(門市請款明細表!$J$3:$J$1981,門市請款明細表!$H$3:$H$1981,$C399,門市請款明細表!$I$3:$I$1981,H$1)</f>
        <v>0</v>
      </c>
      <c r="I399" s="15" t="n">
        <f aca="false">SUM(E399:H399)</f>
        <v>0</v>
      </c>
      <c r="J399" s="0" t="str">
        <f aca="false">IF(D399=I399,"●","✖")</f>
        <v>●</v>
      </c>
    </row>
    <row r="400" customFormat="false" ht="16.5" hidden="false" customHeight="false" outlineLevel="0" collapsed="false">
      <c r="A400" s="431" t="n">
        <v>395</v>
      </c>
      <c r="B400" s="139" t="s">
        <v>4931</v>
      </c>
      <c r="C400" s="417" t="s">
        <v>322</v>
      </c>
      <c r="D400" s="141" t="n">
        <f aca="false">SUMIF(門市請款明細表!$H$3:$H$1981,$C400,門市請款明細表!$J$3:$J$1981)</f>
        <v>0</v>
      </c>
      <c r="E400" s="431" t="n">
        <f aca="false">SUMIFS(門市請款明細表!$J$3:$J$1981,門市請款明細表!$H$3:$H$1981,$C400,門市請款明細表!$I$3:$I$1981,E$1)</f>
        <v>0</v>
      </c>
      <c r="F400" s="431" t="n">
        <f aca="false">SUMIFS(門市請款明細表!$J$3:$J$1981,門市請款明細表!$H$3:$H$1981,$C400,門市請款明細表!$I$3:$I$1981,F$1)</f>
        <v>0</v>
      </c>
      <c r="G400" s="431" t="n">
        <f aca="false">SUMIFS(門市請款明細表!$J$3:$J$1981,門市請款明細表!$H$3:$H$1981,$C400,門市請款明細表!$I$3:$I$1981,G$1)</f>
        <v>0</v>
      </c>
      <c r="H400" s="431" t="n">
        <f aca="false">SUMIFS(門市請款明細表!$J$3:$J$1981,門市請款明細表!$H$3:$H$1981,$C400,門市請款明細表!$I$3:$I$1981,H$1)</f>
        <v>0</v>
      </c>
      <c r="I400" s="15" t="n">
        <f aca="false">SUM(E400:H400)</f>
        <v>0</v>
      </c>
      <c r="J400" s="0" t="str">
        <f aca="false">IF(D400=I400,"●","✖")</f>
        <v>●</v>
      </c>
    </row>
    <row r="401" customFormat="false" ht="16.5" hidden="false" customHeight="false" outlineLevel="0" collapsed="false">
      <c r="A401" s="431" t="n">
        <v>396</v>
      </c>
      <c r="B401" s="139" t="s">
        <v>4933</v>
      </c>
      <c r="C401" s="417" t="s">
        <v>166</v>
      </c>
      <c r="D401" s="141" t="n">
        <f aca="false">SUMIF(門市請款明細表!$H$3:$H$1981,$C401,門市請款明細表!$J$3:$J$1981)</f>
        <v>0</v>
      </c>
      <c r="E401" s="431" t="n">
        <f aca="false">SUMIFS(門市請款明細表!$J$3:$J$1981,門市請款明細表!$H$3:$H$1981,$C401,門市請款明細表!$I$3:$I$1981,E$1)</f>
        <v>0</v>
      </c>
      <c r="F401" s="431" t="n">
        <f aca="false">SUMIFS(門市請款明細表!$J$3:$J$1981,門市請款明細表!$H$3:$H$1981,$C401,門市請款明細表!$I$3:$I$1981,F$1)</f>
        <v>0</v>
      </c>
      <c r="G401" s="431" t="n">
        <f aca="false">SUMIFS(門市請款明細表!$J$3:$J$1981,門市請款明細表!$H$3:$H$1981,$C401,門市請款明細表!$I$3:$I$1981,G$1)</f>
        <v>0</v>
      </c>
      <c r="H401" s="431" t="n">
        <f aca="false">SUMIFS(門市請款明細表!$J$3:$J$1981,門市請款明細表!$H$3:$H$1981,$C401,門市請款明細表!$I$3:$I$1981,H$1)</f>
        <v>0</v>
      </c>
      <c r="I401" s="15" t="n">
        <f aca="false">SUM(E401:H401)</f>
        <v>0</v>
      </c>
      <c r="J401" s="0" t="str">
        <f aca="false">IF(D401=I401,"●","✖")</f>
        <v>●</v>
      </c>
    </row>
    <row r="402" customFormat="false" ht="16.5" hidden="false" customHeight="false" outlineLevel="0" collapsed="false">
      <c r="A402" s="431" t="n">
        <v>397</v>
      </c>
      <c r="B402" s="139" t="s">
        <v>4933</v>
      </c>
      <c r="C402" s="417" t="s">
        <v>209</v>
      </c>
      <c r="D402" s="141" t="n">
        <f aca="false">SUMIF(門市請款明細表!$H$3:$H$1981,$C402,門市請款明細表!$J$3:$J$1981)</f>
        <v>0</v>
      </c>
      <c r="E402" s="431" t="n">
        <f aca="false">SUMIFS(門市請款明細表!$J$3:$J$1981,門市請款明細表!$H$3:$H$1981,$C402,門市請款明細表!$I$3:$I$1981,E$1)</f>
        <v>0</v>
      </c>
      <c r="F402" s="431" t="n">
        <f aca="false">SUMIFS(門市請款明細表!$J$3:$J$1981,門市請款明細表!$H$3:$H$1981,$C402,門市請款明細表!$I$3:$I$1981,F$1)</f>
        <v>0</v>
      </c>
      <c r="G402" s="431" t="n">
        <f aca="false">SUMIFS(門市請款明細表!$J$3:$J$1981,門市請款明細表!$H$3:$H$1981,$C402,門市請款明細表!$I$3:$I$1981,G$1)</f>
        <v>0</v>
      </c>
      <c r="H402" s="431" t="n">
        <f aca="false">SUMIFS(門市請款明細表!$J$3:$J$1981,門市請款明細表!$H$3:$H$1981,$C402,門市請款明細表!$I$3:$I$1981,H$1)</f>
        <v>0</v>
      </c>
      <c r="I402" s="15" t="n">
        <f aca="false">SUM(E402:H402)</f>
        <v>0</v>
      </c>
      <c r="J402" s="0" t="str">
        <f aca="false">IF(D402=I402,"●","✖")</f>
        <v>●</v>
      </c>
    </row>
    <row r="403" customFormat="false" ht="16.5" hidden="false" customHeight="false" outlineLevel="0" collapsed="false">
      <c r="A403" s="431" t="n">
        <v>398</v>
      </c>
      <c r="B403" s="139" t="s">
        <v>4933</v>
      </c>
      <c r="C403" s="417" t="s">
        <v>305</v>
      </c>
      <c r="D403" s="141" t="n">
        <f aca="false">SUMIF(門市請款明細表!$H$3:$H$1981,$C403,門市請款明細表!$J$3:$J$1981)</f>
        <v>0</v>
      </c>
      <c r="E403" s="431" t="n">
        <f aca="false">SUMIFS(門市請款明細表!$J$3:$J$1981,門市請款明細表!$H$3:$H$1981,$C403,門市請款明細表!$I$3:$I$1981,E$1)</f>
        <v>0</v>
      </c>
      <c r="F403" s="431" t="n">
        <f aca="false">SUMIFS(門市請款明細表!$J$3:$J$1981,門市請款明細表!$H$3:$H$1981,$C403,門市請款明細表!$I$3:$I$1981,F$1)</f>
        <v>0</v>
      </c>
      <c r="G403" s="431" t="n">
        <f aca="false">SUMIFS(門市請款明細表!$J$3:$J$1981,門市請款明細表!$H$3:$H$1981,$C403,門市請款明細表!$I$3:$I$1981,G$1)</f>
        <v>0</v>
      </c>
      <c r="H403" s="431" t="n">
        <f aca="false">SUMIFS(門市請款明細表!$J$3:$J$1981,門市請款明細表!$H$3:$H$1981,$C403,門市請款明細表!$I$3:$I$1981,H$1)</f>
        <v>0</v>
      </c>
      <c r="I403" s="15" t="n">
        <f aca="false">SUM(E403:H403)</f>
        <v>0</v>
      </c>
      <c r="J403" s="0" t="str">
        <f aca="false">IF(D403=I403,"●","✖")</f>
        <v>●</v>
      </c>
    </row>
    <row r="404" customFormat="false" ht="16.5" hidden="false" customHeight="false" outlineLevel="0" collapsed="false">
      <c r="A404" s="431" t="n">
        <v>399</v>
      </c>
      <c r="B404" s="139" t="s">
        <v>4930</v>
      </c>
      <c r="C404" s="417" t="s">
        <v>79</v>
      </c>
      <c r="D404" s="141" t="n">
        <f aca="false">SUMIF(門市請款明細表!$H$3:$H$1981,$C404,門市請款明細表!$J$3:$J$1981)</f>
        <v>0</v>
      </c>
      <c r="E404" s="431" t="n">
        <f aca="false">SUMIFS(門市請款明細表!$J$3:$J$1981,門市請款明細表!$H$3:$H$1981,$C404,門市請款明細表!$I$3:$I$1981,E$1)</f>
        <v>0</v>
      </c>
      <c r="F404" s="431" t="n">
        <f aca="false">SUMIFS(門市請款明細表!$J$3:$J$1981,門市請款明細表!$H$3:$H$1981,$C404,門市請款明細表!$I$3:$I$1981,F$1)</f>
        <v>0</v>
      </c>
      <c r="G404" s="431" t="n">
        <f aca="false">SUMIFS(門市請款明細表!$J$3:$J$1981,門市請款明細表!$H$3:$H$1981,$C404,門市請款明細表!$I$3:$I$1981,G$1)</f>
        <v>0</v>
      </c>
      <c r="H404" s="431" t="n">
        <f aca="false">SUMIFS(門市請款明細表!$J$3:$J$1981,門市請款明細表!$H$3:$H$1981,$C404,門市請款明細表!$I$3:$I$1981,H$1)</f>
        <v>0</v>
      </c>
      <c r="I404" s="15" t="n">
        <f aca="false">SUM(E404:H404)</f>
        <v>0</v>
      </c>
      <c r="J404" s="0" t="str">
        <f aca="false">IF(D404=I404,"●","✖")</f>
        <v>●</v>
      </c>
    </row>
    <row r="405" customFormat="false" ht="16.5" hidden="false" customHeight="false" outlineLevel="0" collapsed="false">
      <c r="A405" s="431" t="n">
        <v>400</v>
      </c>
      <c r="B405" s="139" t="s">
        <v>4936</v>
      </c>
      <c r="C405" s="417" t="s">
        <v>202</v>
      </c>
      <c r="D405" s="141" t="n">
        <f aca="false">SUMIF(門市請款明細表!$H$3:$H$1981,$C405,門市請款明細表!$J$3:$J$1981)</f>
        <v>0</v>
      </c>
      <c r="E405" s="431" t="n">
        <f aca="false">SUMIFS(門市請款明細表!$J$3:$J$1981,門市請款明細表!$H$3:$H$1981,$C405,門市請款明細表!$I$3:$I$1981,E$1)</f>
        <v>0</v>
      </c>
      <c r="F405" s="431" t="n">
        <f aca="false">SUMIFS(門市請款明細表!$J$3:$J$1981,門市請款明細表!$H$3:$H$1981,$C405,門市請款明細表!$I$3:$I$1981,F$1)</f>
        <v>0</v>
      </c>
      <c r="G405" s="431" t="n">
        <f aca="false">SUMIFS(門市請款明細表!$J$3:$J$1981,門市請款明細表!$H$3:$H$1981,$C405,門市請款明細表!$I$3:$I$1981,G$1)</f>
        <v>0</v>
      </c>
      <c r="H405" s="431" t="n">
        <f aca="false">SUMIFS(門市請款明細表!$J$3:$J$1981,門市請款明細表!$H$3:$H$1981,$C405,門市請款明細表!$I$3:$I$1981,H$1)</f>
        <v>0</v>
      </c>
      <c r="I405" s="15" t="n">
        <f aca="false">SUM(E405:H405)</f>
        <v>0</v>
      </c>
      <c r="J405" s="0" t="str">
        <f aca="false">IF(D405=I405,"●","✖")</f>
        <v>●</v>
      </c>
    </row>
    <row r="406" customFormat="false" ht="16.5" hidden="false" customHeight="false" outlineLevel="0" collapsed="false">
      <c r="A406" s="431" t="n">
        <v>401</v>
      </c>
      <c r="B406" s="139" t="s">
        <v>4934</v>
      </c>
      <c r="C406" s="417" t="s">
        <v>373</v>
      </c>
      <c r="D406" s="141" t="n">
        <f aca="false">SUMIF(門市請款明細表!$H$3:$H$1981,$C406,門市請款明細表!$J$3:$J$1981)</f>
        <v>0</v>
      </c>
      <c r="E406" s="431" t="n">
        <f aca="false">SUMIFS(門市請款明細表!$J$3:$J$1981,門市請款明細表!$H$3:$H$1981,$C406,門市請款明細表!$I$3:$I$1981,E$1)</f>
        <v>0</v>
      </c>
      <c r="F406" s="431" t="n">
        <f aca="false">SUMIFS(門市請款明細表!$J$3:$J$1981,門市請款明細表!$H$3:$H$1981,$C406,門市請款明細表!$I$3:$I$1981,F$1)</f>
        <v>0</v>
      </c>
      <c r="G406" s="431" t="n">
        <f aca="false">SUMIFS(門市請款明細表!$J$3:$J$1981,門市請款明細表!$H$3:$H$1981,$C406,門市請款明細表!$I$3:$I$1981,G$1)</f>
        <v>0</v>
      </c>
      <c r="H406" s="431" t="n">
        <f aca="false">SUMIFS(門市請款明細表!$J$3:$J$1981,門市請款明細表!$H$3:$H$1981,$C406,門市請款明細表!$I$3:$I$1981,H$1)</f>
        <v>0</v>
      </c>
      <c r="I406" s="15" t="n">
        <f aca="false">SUM(E406:H406)</f>
        <v>0</v>
      </c>
      <c r="J406" s="0" t="str">
        <f aca="false">IF(D406=I406,"●","✖")</f>
        <v>●</v>
      </c>
    </row>
    <row r="407" customFormat="false" ht="16.5" hidden="false" customHeight="false" outlineLevel="0" collapsed="false">
      <c r="A407" s="431" t="n">
        <v>402</v>
      </c>
      <c r="B407" s="139" t="s">
        <v>4934</v>
      </c>
      <c r="C407" s="417" t="s">
        <v>262</v>
      </c>
      <c r="D407" s="141" t="n">
        <f aca="false">SUMIF(門市請款明細表!$H$3:$H$1981,$C407,門市請款明細表!$J$3:$J$1981)</f>
        <v>0</v>
      </c>
      <c r="E407" s="431" t="n">
        <f aca="false">SUMIFS(門市請款明細表!$J$3:$J$1981,門市請款明細表!$H$3:$H$1981,$C407,門市請款明細表!$I$3:$I$1981,E$1)</f>
        <v>0</v>
      </c>
      <c r="F407" s="431" t="n">
        <f aca="false">SUMIFS(門市請款明細表!$J$3:$J$1981,門市請款明細表!$H$3:$H$1981,$C407,門市請款明細表!$I$3:$I$1981,F$1)</f>
        <v>0</v>
      </c>
      <c r="G407" s="431" t="n">
        <f aca="false">SUMIFS(門市請款明細表!$J$3:$J$1981,門市請款明細表!$H$3:$H$1981,$C407,門市請款明細表!$I$3:$I$1981,G$1)</f>
        <v>0</v>
      </c>
      <c r="H407" s="431" t="n">
        <f aca="false">SUMIFS(門市請款明細表!$J$3:$J$1981,門市請款明細表!$H$3:$H$1981,$C407,門市請款明細表!$I$3:$I$1981,H$1)</f>
        <v>0</v>
      </c>
      <c r="I407" s="15" t="n">
        <f aca="false">SUM(E407:H407)</f>
        <v>0</v>
      </c>
      <c r="J407" s="0" t="str">
        <f aca="false">IF(D407=I407,"●","✖")</f>
        <v>●</v>
      </c>
    </row>
    <row r="408" customFormat="false" ht="16.5" hidden="false" customHeight="false" outlineLevel="0" collapsed="false">
      <c r="A408" s="431" t="n">
        <v>403</v>
      </c>
      <c r="B408" s="139" t="s">
        <v>4936</v>
      </c>
      <c r="C408" s="417" t="s">
        <v>14</v>
      </c>
      <c r="D408" s="141" t="n">
        <f aca="false">SUMIF(門市請款明細表!$H$3:$H$1981,$C408,門市請款明細表!$J$3:$J$1981)</f>
        <v>0</v>
      </c>
      <c r="E408" s="431" t="n">
        <f aca="false">SUMIFS(門市請款明細表!$J$3:$J$1981,門市請款明細表!$H$3:$H$1981,$C408,門市請款明細表!$I$3:$I$1981,E$1)</f>
        <v>0</v>
      </c>
      <c r="F408" s="431" t="n">
        <f aca="false">SUMIFS(門市請款明細表!$J$3:$J$1981,門市請款明細表!$H$3:$H$1981,$C408,門市請款明細表!$I$3:$I$1981,F$1)</f>
        <v>0</v>
      </c>
      <c r="G408" s="431" t="n">
        <f aca="false">SUMIFS(門市請款明細表!$J$3:$J$1981,門市請款明細表!$H$3:$H$1981,$C408,門市請款明細表!$I$3:$I$1981,G$1)</f>
        <v>0</v>
      </c>
      <c r="H408" s="431" t="n">
        <f aca="false">SUMIFS(門市請款明細表!$J$3:$J$1981,門市請款明細表!$H$3:$H$1981,$C408,門市請款明細表!$I$3:$I$1981,H$1)</f>
        <v>0</v>
      </c>
      <c r="I408" s="15" t="n">
        <f aca="false">SUM(E408:H408)</f>
        <v>0</v>
      </c>
      <c r="J408" s="0" t="str">
        <f aca="false">IF(D408=I408,"●","✖")</f>
        <v>●</v>
      </c>
    </row>
    <row r="409" customFormat="false" ht="16.5" hidden="false" customHeight="false" outlineLevel="0" collapsed="false">
      <c r="A409" s="431" t="n">
        <v>404</v>
      </c>
      <c r="B409" s="139" t="s">
        <v>4933</v>
      </c>
      <c r="C409" s="417" t="s">
        <v>310</v>
      </c>
      <c r="D409" s="141" t="n">
        <f aca="false">SUMIF(門市請款明細表!$H$3:$H$1981,$C409,門市請款明細表!$J$3:$J$1981)</f>
        <v>0</v>
      </c>
      <c r="E409" s="431" t="n">
        <f aca="false">SUMIFS(門市請款明細表!$J$3:$J$1981,門市請款明細表!$H$3:$H$1981,$C409,門市請款明細表!$I$3:$I$1981,E$1)</f>
        <v>0</v>
      </c>
      <c r="F409" s="431" t="n">
        <f aca="false">SUMIFS(門市請款明細表!$J$3:$J$1981,門市請款明細表!$H$3:$H$1981,$C409,門市請款明細表!$I$3:$I$1981,F$1)</f>
        <v>0</v>
      </c>
      <c r="G409" s="431" t="n">
        <f aca="false">SUMIFS(門市請款明細表!$J$3:$J$1981,門市請款明細表!$H$3:$H$1981,$C409,門市請款明細表!$I$3:$I$1981,G$1)</f>
        <v>0</v>
      </c>
      <c r="H409" s="431" t="n">
        <f aca="false">SUMIFS(門市請款明細表!$J$3:$J$1981,門市請款明細表!$H$3:$H$1981,$C409,門市請款明細表!$I$3:$I$1981,H$1)</f>
        <v>0</v>
      </c>
      <c r="I409" s="15" t="n">
        <f aca="false">SUM(E409:H409)</f>
        <v>0</v>
      </c>
      <c r="J409" s="0" t="str">
        <f aca="false">IF(D409=I409,"●","✖")</f>
        <v>●</v>
      </c>
    </row>
    <row r="410" customFormat="false" ht="16.5" hidden="false" customHeight="false" outlineLevel="0" collapsed="false">
      <c r="A410" s="431" t="n">
        <v>405</v>
      </c>
      <c r="B410" s="139" t="s">
        <v>4934</v>
      </c>
      <c r="C410" s="417" t="s">
        <v>72</v>
      </c>
      <c r="D410" s="141" t="n">
        <f aca="false">SUMIF(門市請款明細表!$H$3:$H$1981,$C410,門市請款明細表!$J$3:$J$1981)</f>
        <v>0</v>
      </c>
      <c r="E410" s="431" t="n">
        <f aca="false">SUMIFS(門市請款明細表!$J$3:$J$1981,門市請款明細表!$H$3:$H$1981,$C410,門市請款明細表!$I$3:$I$1981,E$1)</f>
        <v>0</v>
      </c>
      <c r="F410" s="431" t="n">
        <f aca="false">SUMIFS(門市請款明細表!$J$3:$J$1981,門市請款明細表!$H$3:$H$1981,$C410,門市請款明細表!$I$3:$I$1981,F$1)</f>
        <v>0</v>
      </c>
      <c r="G410" s="431" t="n">
        <f aca="false">SUMIFS(門市請款明細表!$J$3:$J$1981,門市請款明細表!$H$3:$H$1981,$C410,門市請款明細表!$I$3:$I$1981,G$1)</f>
        <v>0</v>
      </c>
      <c r="H410" s="431" t="n">
        <f aca="false">SUMIFS(門市請款明細表!$J$3:$J$1981,門市請款明細表!$H$3:$H$1981,$C410,門市請款明細表!$I$3:$I$1981,H$1)</f>
        <v>0</v>
      </c>
      <c r="I410" s="15" t="n">
        <f aca="false">SUM(E410:H410)</f>
        <v>0</v>
      </c>
      <c r="J410" s="0" t="str">
        <f aca="false">IF(D410=I410,"●","✖")</f>
        <v>●</v>
      </c>
    </row>
    <row r="411" customFormat="false" ht="16.5" hidden="false" customHeight="false" outlineLevel="0" collapsed="false">
      <c r="A411" s="431" t="n">
        <v>406</v>
      </c>
      <c r="B411" s="139" t="s">
        <v>4931</v>
      </c>
      <c r="C411" s="417" t="s">
        <v>177</v>
      </c>
      <c r="D411" s="141" t="n">
        <f aca="false">SUMIF(門市請款明細表!$H$3:$H$1981,$C411,門市請款明細表!$J$3:$J$1981)</f>
        <v>0</v>
      </c>
      <c r="E411" s="431" t="n">
        <f aca="false">SUMIFS(門市請款明細表!$J$3:$J$1981,門市請款明細表!$H$3:$H$1981,$C411,門市請款明細表!$I$3:$I$1981,E$1)</f>
        <v>0</v>
      </c>
      <c r="F411" s="431" t="n">
        <f aca="false">SUMIFS(門市請款明細表!$J$3:$J$1981,門市請款明細表!$H$3:$H$1981,$C411,門市請款明細表!$I$3:$I$1981,F$1)</f>
        <v>0</v>
      </c>
      <c r="G411" s="431" t="n">
        <f aca="false">SUMIFS(門市請款明細表!$J$3:$J$1981,門市請款明細表!$H$3:$H$1981,$C411,門市請款明細表!$I$3:$I$1981,G$1)</f>
        <v>0</v>
      </c>
      <c r="H411" s="431" t="n">
        <f aca="false">SUMIFS(門市請款明細表!$J$3:$J$1981,門市請款明細表!$H$3:$H$1981,$C411,門市請款明細表!$I$3:$I$1981,H$1)</f>
        <v>0</v>
      </c>
      <c r="I411" s="15" t="n">
        <f aca="false">SUM(E411:H411)</f>
        <v>0</v>
      </c>
      <c r="J411" s="0" t="str">
        <f aca="false">IF(D411=I411,"●","✖")</f>
        <v>●</v>
      </c>
    </row>
    <row r="412" customFormat="false" ht="16.5" hidden="false" customHeight="false" outlineLevel="0" collapsed="false">
      <c r="A412" s="431" t="n">
        <v>407</v>
      </c>
      <c r="B412" s="139" t="s">
        <v>4934</v>
      </c>
      <c r="C412" s="417" t="s">
        <v>26</v>
      </c>
      <c r="D412" s="141" t="n">
        <f aca="false">SUMIF(門市請款明細表!$H$3:$H$1981,$C412,門市請款明細表!$J$3:$J$1981)</f>
        <v>0</v>
      </c>
      <c r="E412" s="431" t="n">
        <f aca="false">SUMIFS(門市請款明細表!$J$3:$J$1981,門市請款明細表!$H$3:$H$1981,$C412,門市請款明細表!$I$3:$I$1981,E$1)</f>
        <v>0</v>
      </c>
      <c r="F412" s="431" t="n">
        <f aca="false">SUMIFS(門市請款明細表!$J$3:$J$1981,門市請款明細表!$H$3:$H$1981,$C412,門市請款明細表!$I$3:$I$1981,F$1)</f>
        <v>0</v>
      </c>
      <c r="G412" s="431" t="n">
        <f aca="false">SUMIFS(門市請款明細表!$J$3:$J$1981,門市請款明細表!$H$3:$H$1981,$C412,門市請款明細表!$I$3:$I$1981,G$1)</f>
        <v>0</v>
      </c>
      <c r="H412" s="431" t="n">
        <f aca="false">SUMIFS(門市請款明細表!$J$3:$J$1981,門市請款明細表!$H$3:$H$1981,$C412,門市請款明細表!$I$3:$I$1981,H$1)</f>
        <v>0</v>
      </c>
      <c r="I412" s="15" t="n">
        <f aca="false">SUM(E412:H412)</f>
        <v>0</v>
      </c>
      <c r="J412" s="0" t="str">
        <f aca="false">IF(D412=I412,"●","✖")</f>
        <v>●</v>
      </c>
    </row>
    <row r="413" customFormat="false" ht="16.5" hidden="false" customHeight="false" outlineLevel="0" collapsed="false">
      <c r="A413" s="431" t="n">
        <v>408</v>
      </c>
      <c r="B413" s="139" t="s">
        <v>4931</v>
      </c>
      <c r="C413" s="417" t="s">
        <v>134</v>
      </c>
      <c r="D413" s="141" t="n">
        <f aca="false">SUMIF(門市請款明細表!$H$3:$H$1981,$C413,門市請款明細表!$J$3:$J$1981)</f>
        <v>0</v>
      </c>
      <c r="E413" s="431" t="n">
        <f aca="false">SUMIFS(門市請款明細表!$J$3:$J$1981,門市請款明細表!$H$3:$H$1981,$C413,門市請款明細表!$I$3:$I$1981,E$1)</f>
        <v>0</v>
      </c>
      <c r="F413" s="431" t="n">
        <f aca="false">SUMIFS(門市請款明細表!$J$3:$J$1981,門市請款明細表!$H$3:$H$1981,$C413,門市請款明細表!$I$3:$I$1981,F$1)</f>
        <v>0</v>
      </c>
      <c r="G413" s="431" t="n">
        <f aca="false">SUMIFS(門市請款明細表!$J$3:$J$1981,門市請款明細表!$H$3:$H$1981,$C413,門市請款明細表!$I$3:$I$1981,G$1)</f>
        <v>0</v>
      </c>
      <c r="H413" s="431" t="n">
        <f aca="false">SUMIFS(門市請款明細表!$J$3:$J$1981,門市請款明細表!$H$3:$H$1981,$C413,門市請款明細表!$I$3:$I$1981,H$1)</f>
        <v>0</v>
      </c>
      <c r="I413" s="15" t="n">
        <f aca="false">SUM(E413:H413)</f>
        <v>0</v>
      </c>
      <c r="J413" s="0" t="str">
        <f aca="false">IF(D413=I413,"●","✖")</f>
        <v>●</v>
      </c>
    </row>
    <row r="414" customFormat="false" ht="16.5" hidden="false" customHeight="false" outlineLevel="0" collapsed="false">
      <c r="A414" s="431" t="n">
        <v>409</v>
      </c>
      <c r="B414" s="139" t="s">
        <v>4936</v>
      </c>
      <c r="C414" s="417" t="s">
        <v>142</v>
      </c>
      <c r="D414" s="141" t="n">
        <f aca="false">SUMIF(門市請款明細表!$H$3:$H$1981,$C414,門市請款明細表!$J$3:$J$1981)</f>
        <v>0</v>
      </c>
      <c r="E414" s="431" t="n">
        <f aca="false">SUMIFS(門市請款明細表!$J$3:$J$1981,門市請款明細表!$H$3:$H$1981,$C414,門市請款明細表!$I$3:$I$1981,E$1)</f>
        <v>0</v>
      </c>
      <c r="F414" s="431" t="n">
        <f aca="false">SUMIFS(門市請款明細表!$J$3:$J$1981,門市請款明細表!$H$3:$H$1981,$C414,門市請款明細表!$I$3:$I$1981,F$1)</f>
        <v>0</v>
      </c>
      <c r="G414" s="431" t="n">
        <f aca="false">SUMIFS(門市請款明細表!$J$3:$J$1981,門市請款明細表!$H$3:$H$1981,$C414,門市請款明細表!$I$3:$I$1981,G$1)</f>
        <v>0</v>
      </c>
      <c r="H414" s="431" t="n">
        <f aca="false">SUMIFS(門市請款明細表!$J$3:$J$1981,門市請款明細表!$H$3:$H$1981,$C414,門市請款明細表!$I$3:$I$1981,H$1)</f>
        <v>0</v>
      </c>
      <c r="I414" s="15" t="n">
        <f aca="false">SUM(E414:H414)</f>
        <v>0</v>
      </c>
      <c r="J414" s="0" t="str">
        <f aca="false">IF(D414=I414,"●","✖")</f>
        <v>●</v>
      </c>
    </row>
    <row r="415" customFormat="false" ht="16.5" hidden="false" customHeight="false" outlineLevel="0" collapsed="false">
      <c r="A415" s="431" t="n">
        <v>410</v>
      </c>
      <c r="B415" s="139" t="s">
        <v>4934</v>
      </c>
      <c r="C415" s="417" t="s">
        <v>261</v>
      </c>
      <c r="D415" s="141" t="n">
        <f aca="false">SUMIF(門市請款明細表!$H$3:$H$1981,$C415,門市請款明細表!$J$3:$J$1981)</f>
        <v>0</v>
      </c>
      <c r="E415" s="431" t="n">
        <f aca="false">SUMIFS(門市請款明細表!$J$3:$J$1981,門市請款明細表!$H$3:$H$1981,$C415,門市請款明細表!$I$3:$I$1981,E$1)</f>
        <v>0</v>
      </c>
      <c r="F415" s="431" t="n">
        <f aca="false">SUMIFS(門市請款明細表!$J$3:$J$1981,門市請款明細表!$H$3:$H$1981,$C415,門市請款明細表!$I$3:$I$1981,F$1)</f>
        <v>0</v>
      </c>
      <c r="G415" s="431" t="n">
        <f aca="false">SUMIFS(門市請款明細表!$J$3:$J$1981,門市請款明細表!$H$3:$H$1981,$C415,門市請款明細表!$I$3:$I$1981,G$1)</f>
        <v>0</v>
      </c>
      <c r="H415" s="431" t="n">
        <f aca="false">SUMIFS(門市請款明細表!$J$3:$J$1981,門市請款明細表!$H$3:$H$1981,$C415,門市請款明細表!$I$3:$I$1981,H$1)</f>
        <v>0</v>
      </c>
      <c r="I415" s="15" t="n">
        <f aca="false">SUM(E415:H415)</f>
        <v>0</v>
      </c>
      <c r="J415" s="0" t="str">
        <f aca="false">IF(D415=I415,"●","✖")</f>
        <v>●</v>
      </c>
    </row>
    <row r="416" customFormat="false" ht="16.5" hidden="false" customHeight="false" outlineLevel="0" collapsed="false">
      <c r="A416" s="431" t="n">
        <v>411</v>
      </c>
      <c r="B416" s="139" t="s">
        <v>4933</v>
      </c>
      <c r="C416" s="417" t="s">
        <v>192</v>
      </c>
      <c r="D416" s="141" t="n">
        <f aca="false">SUMIF(門市請款明細表!$H$3:$H$1981,$C416,門市請款明細表!$J$3:$J$1981)</f>
        <v>0</v>
      </c>
      <c r="E416" s="431" t="n">
        <f aca="false">SUMIFS(門市請款明細表!$J$3:$J$1981,門市請款明細表!$H$3:$H$1981,$C416,門市請款明細表!$I$3:$I$1981,E$1)</f>
        <v>0</v>
      </c>
      <c r="F416" s="431" t="n">
        <f aca="false">SUMIFS(門市請款明細表!$J$3:$J$1981,門市請款明細表!$H$3:$H$1981,$C416,門市請款明細表!$I$3:$I$1981,F$1)</f>
        <v>0</v>
      </c>
      <c r="G416" s="431" t="n">
        <f aca="false">SUMIFS(門市請款明細表!$J$3:$J$1981,門市請款明細表!$H$3:$H$1981,$C416,門市請款明細表!$I$3:$I$1981,G$1)</f>
        <v>0</v>
      </c>
      <c r="H416" s="431" t="n">
        <f aca="false">SUMIFS(門市請款明細表!$J$3:$J$1981,門市請款明細表!$H$3:$H$1981,$C416,門市請款明細表!$I$3:$I$1981,H$1)</f>
        <v>0</v>
      </c>
      <c r="I416" s="15" t="n">
        <f aca="false">SUM(E416:H416)</f>
        <v>0</v>
      </c>
      <c r="J416" s="0" t="str">
        <f aca="false">IF(D416=I416,"●","✖")</f>
        <v>●</v>
      </c>
    </row>
    <row r="417" customFormat="false" ht="16.5" hidden="false" customHeight="false" outlineLevel="0" collapsed="false">
      <c r="A417" s="431" t="n">
        <v>412</v>
      </c>
      <c r="B417" s="139" t="s">
        <v>4935</v>
      </c>
      <c r="C417" s="417" t="s">
        <v>339</v>
      </c>
      <c r="D417" s="141" t="n">
        <f aca="false">SUMIF(門市請款明細表!$H$3:$H$1981,$C417,門市請款明細表!$J$3:$J$1981)</f>
        <v>0</v>
      </c>
      <c r="E417" s="431" t="n">
        <f aca="false">SUMIFS(門市請款明細表!$J$3:$J$1981,門市請款明細表!$H$3:$H$1981,$C417,門市請款明細表!$I$3:$I$1981,E$1)</f>
        <v>0</v>
      </c>
      <c r="F417" s="431" t="n">
        <f aca="false">SUMIFS(門市請款明細表!$J$3:$J$1981,門市請款明細表!$H$3:$H$1981,$C417,門市請款明細表!$I$3:$I$1981,F$1)</f>
        <v>0</v>
      </c>
      <c r="G417" s="431" t="n">
        <f aca="false">SUMIFS(門市請款明細表!$J$3:$J$1981,門市請款明細表!$H$3:$H$1981,$C417,門市請款明細表!$I$3:$I$1981,G$1)</f>
        <v>0</v>
      </c>
      <c r="H417" s="431" t="n">
        <f aca="false">SUMIFS(門市請款明細表!$J$3:$J$1981,門市請款明細表!$H$3:$H$1981,$C417,門市請款明細表!$I$3:$I$1981,H$1)</f>
        <v>0</v>
      </c>
      <c r="I417" s="15" t="n">
        <f aca="false">SUM(E417:H417)</f>
        <v>0</v>
      </c>
      <c r="J417" s="0" t="str">
        <f aca="false">IF(D417=I417,"●","✖")</f>
        <v>●</v>
      </c>
    </row>
    <row r="418" customFormat="false" ht="16.5" hidden="false" customHeight="false" outlineLevel="0" collapsed="false">
      <c r="A418" s="431" t="n">
        <v>413</v>
      </c>
      <c r="B418" s="139" t="s">
        <v>4934</v>
      </c>
      <c r="C418" s="417" t="s">
        <v>178</v>
      </c>
      <c r="D418" s="141" t="n">
        <f aca="false">SUMIF(門市請款明細表!$H$3:$H$1981,$C418,門市請款明細表!$J$3:$J$1981)</f>
        <v>0</v>
      </c>
      <c r="E418" s="431" t="n">
        <f aca="false">SUMIFS(門市請款明細表!$J$3:$J$1981,門市請款明細表!$H$3:$H$1981,$C418,門市請款明細表!$I$3:$I$1981,E$1)</f>
        <v>0</v>
      </c>
      <c r="F418" s="431" t="n">
        <f aca="false">SUMIFS(門市請款明細表!$J$3:$J$1981,門市請款明細表!$H$3:$H$1981,$C418,門市請款明細表!$I$3:$I$1981,F$1)</f>
        <v>0</v>
      </c>
      <c r="G418" s="431" t="n">
        <f aca="false">SUMIFS(門市請款明細表!$J$3:$J$1981,門市請款明細表!$H$3:$H$1981,$C418,門市請款明細表!$I$3:$I$1981,G$1)</f>
        <v>0</v>
      </c>
      <c r="H418" s="431" t="n">
        <f aca="false">SUMIFS(門市請款明細表!$J$3:$J$1981,門市請款明細表!$H$3:$H$1981,$C418,門市請款明細表!$I$3:$I$1981,H$1)</f>
        <v>0</v>
      </c>
      <c r="I418" s="15" t="n">
        <f aca="false">SUM(E418:H418)</f>
        <v>0</v>
      </c>
      <c r="J418" s="0" t="str">
        <f aca="false">IF(D418=I418,"●","✖")</f>
        <v>●</v>
      </c>
    </row>
    <row r="419" customFormat="false" ht="16.5" hidden="false" customHeight="false" outlineLevel="0" collapsed="false">
      <c r="A419" s="431" t="n">
        <v>414</v>
      </c>
      <c r="B419" s="139" t="s">
        <v>4934</v>
      </c>
      <c r="C419" s="417" t="s">
        <v>282</v>
      </c>
      <c r="D419" s="141" t="n">
        <f aca="false">SUMIF(門市請款明細表!$H$3:$H$1981,$C419,門市請款明細表!$J$3:$J$1981)</f>
        <v>0</v>
      </c>
      <c r="E419" s="431" t="n">
        <f aca="false">SUMIFS(門市請款明細表!$J$3:$J$1981,門市請款明細表!$H$3:$H$1981,$C419,門市請款明細表!$I$3:$I$1981,E$1)</f>
        <v>0</v>
      </c>
      <c r="F419" s="431" t="n">
        <f aca="false">SUMIFS(門市請款明細表!$J$3:$J$1981,門市請款明細表!$H$3:$H$1981,$C419,門市請款明細表!$I$3:$I$1981,F$1)</f>
        <v>0</v>
      </c>
      <c r="G419" s="431" t="n">
        <f aca="false">SUMIFS(門市請款明細表!$J$3:$J$1981,門市請款明細表!$H$3:$H$1981,$C419,門市請款明細表!$I$3:$I$1981,G$1)</f>
        <v>0</v>
      </c>
      <c r="H419" s="431" t="n">
        <f aca="false">SUMIFS(門市請款明細表!$J$3:$J$1981,門市請款明細表!$H$3:$H$1981,$C419,門市請款明細表!$I$3:$I$1981,H$1)</f>
        <v>0</v>
      </c>
      <c r="I419" s="15" t="n">
        <f aca="false">SUM(E419:H419)</f>
        <v>0</v>
      </c>
      <c r="J419" s="0" t="str">
        <f aca="false">IF(D419=I419,"●","✖")</f>
        <v>●</v>
      </c>
    </row>
    <row r="420" customFormat="false" ht="16.5" hidden="false" customHeight="false" outlineLevel="0" collapsed="false">
      <c r="A420" s="431" t="n">
        <v>415</v>
      </c>
      <c r="B420" s="139" t="s">
        <v>4936</v>
      </c>
      <c r="C420" s="417" t="s">
        <v>80</v>
      </c>
      <c r="D420" s="141" t="n">
        <f aca="false">SUMIF(門市請款明細表!$H$3:$H$1981,$C420,門市請款明細表!$J$3:$J$1981)</f>
        <v>0</v>
      </c>
      <c r="E420" s="431" t="n">
        <f aca="false">SUMIFS(門市請款明細表!$J$3:$J$1981,門市請款明細表!$H$3:$H$1981,$C420,門市請款明細表!$I$3:$I$1981,E$1)</f>
        <v>0</v>
      </c>
      <c r="F420" s="431" t="n">
        <f aca="false">SUMIFS(門市請款明細表!$J$3:$J$1981,門市請款明細表!$H$3:$H$1981,$C420,門市請款明細表!$I$3:$I$1981,F$1)</f>
        <v>0</v>
      </c>
      <c r="G420" s="431" t="n">
        <f aca="false">SUMIFS(門市請款明細表!$J$3:$J$1981,門市請款明細表!$H$3:$H$1981,$C420,門市請款明細表!$I$3:$I$1981,G$1)</f>
        <v>0</v>
      </c>
      <c r="H420" s="431" t="n">
        <f aca="false">SUMIFS(門市請款明細表!$J$3:$J$1981,門市請款明細表!$H$3:$H$1981,$C420,門市請款明細表!$I$3:$I$1981,H$1)</f>
        <v>0</v>
      </c>
      <c r="I420" s="15" t="n">
        <f aca="false">SUM(E420:H420)</f>
        <v>0</v>
      </c>
      <c r="J420" s="0" t="str">
        <f aca="false">IF(D420=I420,"●","✖")</f>
        <v>●</v>
      </c>
    </row>
    <row r="421" customFormat="false" ht="16.5" hidden="false" customHeight="false" outlineLevel="0" collapsed="false">
      <c r="A421" s="431" t="n">
        <v>416</v>
      </c>
      <c r="B421" s="139" t="s">
        <v>4934</v>
      </c>
      <c r="C421" s="417" t="s">
        <v>132</v>
      </c>
      <c r="D421" s="141" t="n">
        <f aca="false">SUMIF(門市請款明細表!$H$3:$H$1981,$C421,門市請款明細表!$J$3:$J$1981)</f>
        <v>0</v>
      </c>
      <c r="E421" s="431" t="n">
        <f aca="false">SUMIFS(門市請款明細表!$J$3:$J$1981,門市請款明細表!$H$3:$H$1981,$C421,門市請款明細表!$I$3:$I$1981,E$1)</f>
        <v>0</v>
      </c>
      <c r="F421" s="431" t="n">
        <f aca="false">SUMIFS(門市請款明細表!$J$3:$J$1981,門市請款明細表!$H$3:$H$1981,$C421,門市請款明細表!$I$3:$I$1981,F$1)</f>
        <v>0</v>
      </c>
      <c r="G421" s="431" t="n">
        <f aca="false">SUMIFS(門市請款明細表!$J$3:$J$1981,門市請款明細表!$H$3:$H$1981,$C421,門市請款明細表!$I$3:$I$1981,G$1)</f>
        <v>0</v>
      </c>
      <c r="H421" s="431" t="n">
        <f aca="false">SUMIFS(門市請款明細表!$J$3:$J$1981,門市請款明細表!$H$3:$H$1981,$C421,門市請款明細表!$I$3:$I$1981,H$1)</f>
        <v>0</v>
      </c>
      <c r="I421" s="15" t="n">
        <f aca="false">SUM(E421:H421)</f>
        <v>0</v>
      </c>
      <c r="J421" s="0" t="str">
        <f aca="false">IF(D421=I421,"●","✖")</f>
        <v>●</v>
      </c>
    </row>
    <row r="422" customFormat="false" ht="16.5" hidden="false" customHeight="false" outlineLevel="0" collapsed="false">
      <c r="A422" s="431" t="n">
        <v>417</v>
      </c>
      <c r="B422" s="139" t="s">
        <v>4934</v>
      </c>
      <c r="C422" s="417" t="s">
        <v>319</v>
      </c>
      <c r="D422" s="141" t="n">
        <f aca="false">SUMIF(門市請款明細表!$H$3:$H$1981,$C422,門市請款明細表!$J$3:$J$1981)</f>
        <v>0</v>
      </c>
      <c r="E422" s="431" t="n">
        <f aca="false">SUMIFS(門市請款明細表!$J$3:$J$1981,門市請款明細表!$H$3:$H$1981,$C422,門市請款明細表!$I$3:$I$1981,E$1)</f>
        <v>0</v>
      </c>
      <c r="F422" s="431" t="n">
        <f aca="false">SUMIFS(門市請款明細表!$J$3:$J$1981,門市請款明細表!$H$3:$H$1981,$C422,門市請款明細表!$I$3:$I$1981,F$1)</f>
        <v>0</v>
      </c>
      <c r="G422" s="431" t="n">
        <f aca="false">SUMIFS(門市請款明細表!$J$3:$J$1981,門市請款明細表!$H$3:$H$1981,$C422,門市請款明細表!$I$3:$I$1981,G$1)</f>
        <v>0</v>
      </c>
      <c r="H422" s="431" t="n">
        <f aca="false">SUMIFS(門市請款明細表!$J$3:$J$1981,門市請款明細表!$H$3:$H$1981,$C422,門市請款明細表!$I$3:$I$1981,H$1)</f>
        <v>0</v>
      </c>
      <c r="I422" s="15" t="n">
        <f aca="false">SUM(E422:H422)</f>
        <v>0</v>
      </c>
      <c r="J422" s="0" t="str">
        <f aca="false">IF(D422=I422,"●","✖")</f>
        <v>●</v>
      </c>
    </row>
    <row r="423" customFormat="false" ht="16.5" hidden="false" customHeight="false" outlineLevel="0" collapsed="false">
      <c r="A423" s="431" t="n">
        <v>418</v>
      </c>
      <c r="B423" s="139" t="s">
        <v>4934</v>
      </c>
      <c r="C423" s="417" t="s">
        <v>24</v>
      </c>
      <c r="D423" s="141" t="n">
        <f aca="false">SUMIF(門市請款明細表!$H$3:$H$1981,$C423,門市請款明細表!$J$3:$J$1981)</f>
        <v>0</v>
      </c>
      <c r="E423" s="431" t="n">
        <f aca="false">SUMIFS(門市請款明細表!$J$3:$J$1981,門市請款明細表!$H$3:$H$1981,$C423,門市請款明細表!$I$3:$I$1981,E$1)</f>
        <v>0</v>
      </c>
      <c r="F423" s="431" t="n">
        <f aca="false">SUMIFS(門市請款明細表!$J$3:$J$1981,門市請款明細表!$H$3:$H$1981,$C423,門市請款明細表!$I$3:$I$1981,F$1)</f>
        <v>0</v>
      </c>
      <c r="G423" s="431" t="n">
        <f aca="false">SUMIFS(門市請款明細表!$J$3:$J$1981,門市請款明細表!$H$3:$H$1981,$C423,門市請款明細表!$I$3:$I$1981,G$1)</f>
        <v>0</v>
      </c>
      <c r="H423" s="431" t="n">
        <f aca="false">SUMIFS(門市請款明細表!$J$3:$J$1981,門市請款明細表!$H$3:$H$1981,$C423,門市請款明細表!$I$3:$I$1981,H$1)</f>
        <v>0</v>
      </c>
      <c r="I423" s="15" t="n">
        <f aca="false">SUM(E423:H423)</f>
        <v>0</v>
      </c>
      <c r="J423" s="0" t="str">
        <f aca="false">IF(D423=I423,"●","✖")</f>
        <v>●</v>
      </c>
    </row>
    <row r="424" customFormat="false" ht="16.5" hidden="false" customHeight="false" outlineLevel="0" collapsed="false">
      <c r="A424" s="431" t="n">
        <v>419</v>
      </c>
      <c r="B424" s="139" t="s">
        <v>4936</v>
      </c>
      <c r="C424" s="141" t="s">
        <v>4687</v>
      </c>
      <c r="D424" s="141" t="n">
        <f aca="false">SUMIF(門市請款明細表!$H$3:$H$1981,$C424,門市請款明細表!$J$3:$J$1981)</f>
        <v>0</v>
      </c>
      <c r="E424" s="431" t="n">
        <f aca="false">SUMIFS(門市請款明細表!$J$3:$J$1981,門市請款明細表!$H$3:$H$1981,$C424,門市請款明細表!$I$3:$I$1981,E$1)</f>
        <v>0</v>
      </c>
      <c r="F424" s="431" t="n">
        <f aca="false">SUMIFS(門市請款明細表!$J$3:$J$1981,門市請款明細表!$H$3:$H$1981,$C424,門市請款明細表!$I$3:$I$1981,F$1)</f>
        <v>0</v>
      </c>
      <c r="G424" s="431" t="n">
        <f aca="false">SUMIFS(門市請款明細表!$J$3:$J$1981,門市請款明細表!$H$3:$H$1981,$C424,門市請款明細表!$I$3:$I$1981,G$1)</f>
        <v>0</v>
      </c>
      <c r="H424" s="431" t="n">
        <f aca="false">SUMIFS(門市請款明細表!$J$3:$J$1981,門市請款明細表!$H$3:$H$1981,$C424,門市請款明細表!$I$3:$I$1981,H$1)</f>
        <v>0</v>
      </c>
      <c r="I424" s="15" t="n">
        <f aca="false">SUM(E424:H424)</f>
        <v>0</v>
      </c>
      <c r="J424" s="0" t="str">
        <f aca="false">IF(D424=I424,"●","✖")</f>
        <v>●</v>
      </c>
    </row>
    <row r="425" customFormat="false" ht="16.5" hidden="false" customHeight="false" outlineLevel="0" collapsed="false">
      <c r="A425" s="431" t="n">
        <v>420</v>
      </c>
      <c r="B425" s="139" t="s">
        <v>4934</v>
      </c>
      <c r="C425" s="141" t="s">
        <v>3430</v>
      </c>
      <c r="D425" s="141" t="n">
        <f aca="false">SUMIF(門市請款明細表!$H$3:$H$1981,$C425,門市請款明細表!$J$3:$J$1981)</f>
        <v>0</v>
      </c>
      <c r="E425" s="431" t="n">
        <f aca="false">SUMIFS(門市請款明細表!$J$3:$J$1981,門市請款明細表!$H$3:$H$1981,$C425,門市請款明細表!$I$3:$I$1981,E$1)</f>
        <v>0</v>
      </c>
      <c r="F425" s="431" t="n">
        <f aca="false">SUMIFS(門市請款明細表!$J$3:$J$1981,門市請款明細表!$H$3:$H$1981,$C425,門市請款明細表!$I$3:$I$1981,F$1)</f>
        <v>0</v>
      </c>
      <c r="G425" s="431" t="n">
        <f aca="false">SUMIFS(門市請款明細表!$J$3:$J$1981,門市請款明細表!$H$3:$H$1981,$C425,門市請款明細表!$I$3:$I$1981,G$1)</f>
        <v>0</v>
      </c>
      <c r="H425" s="431" t="n">
        <f aca="false">SUMIFS(門市請款明細表!$J$3:$J$1981,門市請款明細表!$H$3:$H$1981,$C425,門市請款明細表!$I$3:$I$1981,H$1)</f>
        <v>0</v>
      </c>
      <c r="I425" s="15" t="n">
        <f aca="false">SUM(E425:H425)</f>
        <v>0</v>
      </c>
      <c r="J425" s="0" t="str">
        <f aca="false">IF(D425=I425,"●","✖")</f>
        <v>●</v>
      </c>
    </row>
    <row r="426" customFormat="false" ht="16.5" hidden="false" customHeight="false" outlineLevel="0" collapsed="false">
      <c r="A426" s="431" t="n">
        <v>421</v>
      </c>
      <c r="B426" s="139" t="s">
        <v>4935</v>
      </c>
      <c r="C426" s="141" t="s">
        <v>4946</v>
      </c>
      <c r="D426" s="141" t="n">
        <f aca="false">SUMIF(門市請款明細表!$H$3:$H$1981,$C426,門市請款明細表!$J$3:$J$1981)</f>
        <v>0</v>
      </c>
      <c r="E426" s="431" t="n">
        <f aca="false">SUMIFS(門市請款明細表!$J$3:$J$1981,門市請款明細表!$H$3:$H$1981,$C426,門市請款明細表!$I$3:$I$1981,E$1)</f>
        <v>0</v>
      </c>
      <c r="F426" s="431" t="n">
        <f aca="false">SUMIFS(門市請款明細表!$J$3:$J$1981,門市請款明細表!$H$3:$H$1981,$C426,門市請款明細表!$I$3:$I$1981,F$1)</f>
        <v>0</v>
      </c>
      <c r="G426" s="431" t="n">
        <f aca="false">SUMIFS(門市請款明細表!$J$3:$J$1981,門市請款明細表!$H$3:$H$1981,$C426,門市請款明細表!$I$3:$I$1981,G$1)</f>
        <v>0</v>
      </c>
      <c r="H426" s="431" t="n">
        <f aca="false">SUMIFS(門市請款明細表!$J$3:$J$1981,門市請款明細表!$H$3:$H$1981,$C426,門市請款明細表!$I$3:$I$1981,H$1)</f>
        <v>0</v>
      </c>
      <c r="I426" s="15" t="n">
        <f aca="false">SUM(E426:H426)</f>
        <v>0</v>
      </c>
      <c r="J426" s="0" t="str">
        <f aca="false">IF(D426=I426,"●","✖")</f>
        <v>●</v>
      </c>
    </row>
    <row r="427" customFormat="false" ht="16.5" hidden="false" customHeight="false" outlineLevel="0" collapsed="false">
      <c r="A427" s="431" t="n">
        <v>422</v>
      </c>
      <c r="B427" s="139" t="s">
        <v>4929</v>
      </c>
      <c r="C427" s="141" t="s">
        <v>4947</v>
      </c>
      <c r="D427" s="141" t="n">
        <f aca="false">SUMIF(門市請款明細表!$H$3:$H$1981,$C427,門市請款明細表!$J$3:$J$1981)</f>
        <v>0</v>
      </c>
      <c r="E427" s="431" t="n">
        <f aca="false">SUMIFS(門市請款明細表!$J$3:$J$1981,門市請款明細表!$H$3:$H$1981,$C427,門市請款明細表!$I$3:$I$1981,E$1)</f>
        <v>0</v>
      </c>
      <c r="F427" s="431" t="n">
        <f aca="false">SUMIFS(門市請款明細表!$J$3:$J$1981,門市請款明細表!$H$3:$H$1981,$C427,門市請款明細表!$I$3:$I$1981,F$1)</f>
        <v>0</v>
      </c>
      <c r="G427" s="431" t="n">
        <f aca="false">SUMIFS(門市請款明細表!$J$3:$J$1981,門市請款明細表!$H$3:$H$1981,$C427,門市請款明細表!$I$3:$I$1981,G$1)</f>
        <v>0</v>
      </c>
      <c r="H427" s="431" t="n">
        <f aca="false">SUMIFS(門市請款明細表!$J$3:$J$1981,門市請款明細表!$H$3:$H$1981,$C427,門市請款明細表!$I$3:$I$1981,H$1)</f>
        <v>0</v>
      </c>
      <c r="I427" s="15" t="n">
        <f aca="false">SUM(E427:H427)</f>
        <v>0</v>
      </c>
      <c r="J427" s="0" t="str">
        <f aca="false">IF(D427=I427,"●","✖")</f>
        <v>●</v>
      </c>
    </row>
    <row r="428" customFormat="false" ht="16.5" hidden="false" customHeight="false" outlineLevel="0" collapsed="false">
      <c r="A428" s="431" t="n">
        <v>423</v>
      </c>
      <c r="B428" s="139" t="s">
        <v>4935</v>
      </c>
      <c r="C428" s="141" t="s">
        <v>4082</v>
      </c>
      <c r="D428" s="141" t="n">
        <f aca="false">SUMIF(門市請款明細表!$H$3:$H$1981,$C428,門市請款明細表!$J$3:$J$1981)</f>
        <v>0</v>
      </c>
      <c r="E428" s="431" t="n">
        <f aca="false">SUMIFS(門市請款明細表!$J$3:$J$1981,門市請款明細表!$H$3:$H$1981,$C428,門市請款明細表!$I$3:$I$1981,E$1)</f>
        <v>0</v>
      </c>
      <c r="F428" s="431" t="n">
        <f aca="false">SUMIFS(門市請款明細表!$J$3:$J$1981,門市請款明細表!$H$3:$H$1981,$C428,門市請款明細表!$I$3:$I$1981,F$1)</f>
        <v>0</v>
      </c>
      <c r="G428" s="431" t="n">
        <f aca="false">SUMIFS(門市請款明細表!$J$3:$J$1981,門市請款明細表!$H$3:$H$1981,$C428,門市請款明細表!$I$3:$I$1981,G$1)</f>
        <v>0</v>
      </c>
      <c r="H428" s="431" t="n">
        <f aca="false">SUMIFS(門市請款明細表!$J$3:$J$1981,門市請款明細表!$H$3:$H$1981,$C428,門市請款明細表!$I$3:$I$1981,H$1)</f>
        <v>0</v>
      </c>
      <c r="I428" s="15" t="n">
        <f aca="false">SUM(E428:H428)</f>
        <v>0</v>
      </c>
      <c r="J428" s="0" t="str">
        <f aca="false">IF(D428=I428,"●","✖")</f>
        <v>●</v>
      </c>
    </row>
    <row r="429" customFormat="false" ht="16.5" hidden="false" customHeight="false" outlineLevel="0" collapsed="false">
      <c r="A429" s="431" t="n">
        <v>424</v>
      </c>
      <c r="B429" s="139" t="s">
        <v>4935</v>
      </c>
      <c r="C429" s="141" t="s">
        <v>4094</v>
      </c>
      <c r="D429" s="141" t="n">
        <f aca="false">SUMIF(門市請款明細表!$H$3:$H$1981,$C429,門市請款明細表!$J$3:$J$1981)</f>
        <v>0</v>
      </c>
      <c r="E429" s="431" t="n">
        <f aca="false">SUMIFS(門市請款明細表!$J$3:$J$1981,門市請款明細表!$H$3:$H$1981,$C429,門市請款明細表!$I$3:$I$1981,E$1)</f>
        <v>0</v>
      </c>
      <c r="F429" s="431" t="n">
        <f aca="false">SUMIFS(門市請款明細表!$J$3:$J$1981,門市請款明細表!$H$3:$H$1981,$C429,門市請款明細表!$I$3:$I$1981,F$1)</f>
        <v>0</v>
      </c>
      <c r="G429" s="431" t="n">
        <f aca="false">SUMIFS(門市請款明細表!$J$3:$J$1981,門市請款明細表!$H$3:$H$1981,$C429,門市請款明細表!$I$3:$I$1981,G$1)</f>
        <v>0</v>
      </c>
      <c r="H429" s="431" t="n">
        <f aca="false">SUMIFS(門市請款明細表!$J$3:$J$1981,門市請款明細表!$H$3:$H$1981,$C429,門市請款明細表!$I$3:$I$1981,H$1)</f>
        <v>0</v>
      </c>
      <c r="I429" s="15" t="n">
        <f aca="false">SUM(E429:H429)</f>
        <v>0</v>
      </c>
      <c r="J429" s="0" t="str">
        <f aca="false">IF(D429=I429,"●","✖")</f>
        <v>●</v>
      </c>
    </row>
    <row r="430" customFormat="false" ht="16.5" hidden="false" customHeight="false" outlineLevel="0" collapsed="false">
      <c r="A430" s="431" t="n">
        <v>425</v>
      </c>
      <c r="B430" s="139" t="s">
        <v>4936</v>
      </c>
      <c r="C430" s="141" t="s">
        <v>4348</v>
      </c>
      <c r="D430" s="141" t="n">
        <f aca="false">SUMIF(門市請款明細表!$H$3:$H$1981,$C430,門市請款明細表!$J$3:$J$1981)</f>
        <v>0</v>
      </c>
      <c r="E430" s="431" t="n">
        <f aca="false">SUMIFS(門市請款明細表!$J$3:$J$1981,門市請款明細表!$H$3:$H$1981,$C430,門市請款明細表!$I$3:$I$1981,E$1)</f>
        <v>0</v>
      </c>
      <c r="F430" s="431" t="n">
        <f aca="false">SUMIFS(門市請款明細表!$J$3:$J$1981,門市請款明細表!$H$3:$H$1981,$C430,門市請款明細表!$I$3:$I$1981,F$1)</f>
        <v>0</v>
      </c>
      <c r="G430" s="431" t="n">
        <f aca="false">SUMIFS(門市請款明細表!$J$3:$J$1981,門市請款明細表!$H$3:$H$1981,$C430,門市請款明細表!$I$3:$I$1981,G$1)</f>
        <v>0</v>
      </c>
      <c r="H430" s="431" t="n">
        <f aca="false">SUMIFS(門市請款明細表!$J$3:$J$1981,門市請款明細表!$H$3:$H$1981,$C430,門市請款明細表!$I$3:$I$1981,H$1)</f>
        <v>0</v>
      </c>
      <c r="I430" s="15" t="n">
        <f aca="false">SUM(E430:H430)</f>
        <v>0</v>
      </c>
      <c r="J430" s="0" t="str">
        <f aca="false">IF(D430=I430,"●","✖")</f>
        <v>●</v>
      </c>
    </row>
    <row r="431" customFormat="false" ht="16.5" hidden="false" customHeight="false" outlineLevel="0" collapsed="false">
      <c r="A431" s="431" t="n">
        <v>426</v>
      </c>
      <c r="B431" s="139" t="s">
        <v>4935</v>
      </c>
      <c r="C431" s="141" t="s">
        <v>398</v>
      </c>
      <c r="D431" s="141" t="n">
        <f aca="false">SUMIF(門市請款明細表!$H$3:$H$1981,$C431,門市請款明細表!$J$3:$J$1981)</f>
        <v>0</v>
      </c>
      <c r="E431" s="431" t="n">
        <f aca="false">SUMIFS(門市請款明細表!$J$3:$J$1981,門市請款明細表!$H$3:$H$1981,$C431,門市請款明細表!$I$3:$I$1981,E$1)</f>
        <v>0</v>
      </c>
      <c r="F431" s="431" t="n">
        <f aca="false">SUMIFS(門市請款明細表!$J$3:$J$1981,門市請款明細表!$H$3:$H$1981,$C431,門市請款明細表!$I$3:$I$1981,F$1)</f>
        <v>0</v>
      </c>
      <c r="G431" s="431" t="n">
        <f aca="false">SUMIFS(門市請款明細表!$J$3:$J$1981,門市請款明細表!$H$3:$H$1981,$C431,門市請款明細表!$I$3:$I$1981,G$1)</f>
        <v>0</v>
      </c>
      <c r="H431" s="431" t="n">
        <f aca="false">SUMIFS(門市請款明細表!$J$3:$J$1981,門市請款明細表!$H$3:$H$1981,$C431,門市請款明細表!$I$3:$I$1981,H$1)</f>
        <v>0</v>
      </c>
      <c r="I431" s="15" t="n">
        <f aca="false">SUM(E431:H431)</f>
        <v>0</v>
      </c>
      <c r="J431" s="0" t="str">
        <f aca="false">IF(D431=I431,"●","✖")</f>
        <v>●</v>
      </c>
    </row>
    <row r="432" customFormat="false" ht="16.5" hidden="false" customHeight="false" outlineLevel="0" collapsed="false">
      <c r="A432" s="429" t="s">
        <v>4924</v>
      </c>
      <c r="B432" s="429"/>
      <c r="C432" s="429"/>
      <c r="D432" s="429"/>
      <c r="E432" s="438" t="n">
        <f aca="false">SUBTOTAL(9,E2:E431)</f>
        <v>0</v>
      </c>
      <c r="F432" s="438" t="n">
        <f aca="false">SUBTOTAL(9,F2:F431)</f>
        <v>0</v>
      </c>
      <c r="G432" s="438" t="n">
        <f aca="false">SUBTOTAL(9,G2:G431)</f>
        <v>0</v>
      </c>
      <c r="H432" s="438" t="n">
        <f aca="false">SUBTOTAL(9,H2:H431)</f>
        <v>0</v>
      </c>
      <c r="I432" s="15" t="n">
        <f aca="false">SUM(E432:H432)</f>
        <v>0</v>
      </c>
      <c r="M432" s="15"/>
    </row>
    <row r="433" customFormat="false" ht="16.5" hidden="false" customHeight="false" outlineLevel="0" collapsed="false">
      <c r="A433" s="429" t="s">
        <v>4948</v>
      </c>
      <c r="B433" s="429"/>
      <c r="C433" s="429"/>
      <c r="D433" s="429"/>
      <c r="E433" s="438" t="n">
        <f aca="false">SUM(E432:H432)</f>
        <v>0</v>
      </c>
      <c r="F433" s="438"/>
      <c r="G433" s="438"/>
      <c r="H433" s="438"/>
      <c r="M433" s="15"/>
    </row>
    <row r="434" customFormat="false" ht="16.5" hidden="false" customHeight="false" outlineLevel="0" collapsed="false">
      <c r="M434" s="15"/>
    </row>
  </sheetData>
  <autoFilter ref="A1:N433"/>
  <mergeCells count="4">
    <mergeCell ref="A187:A191"/>
    <mergeCell ref="A432:D432"/>
    <mergeCell ref="A433:D433"/>
    <mergeCell ref="E433:H4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328125" defaultRowHeight="16.5" zeroHeight="false" outlineLevelRow="0" outlineLevelCol="0"/>
  <sheetData>
    <row r="2" customFormat="false" ht="16.5" hidden="false" customHeight="false" outlineLevel="0" collapsed="false">
      <c r="A2" s="0" t="s">
        <v>4949</v>
      </c>
      <c r="B2" s="0" t="s">
        <v>4950</v>
      </c>
      <c r="C2" s="0" t="s">
        <v>4951</v>
      </c>
      <c r="D2" s="0" t="s">
        <v>373</v>
      </c>
    </row>
    <row r="3" customFormat="false" ht="16.5" hidden="false" customHeight="false" outlineLevel="0" collapsed="false">
      <c r="A3" s="0" t="s">
        <v>4952</v>
      </c>
      <c r="B3" s="0" t="s">
        <v>4953</v>
      </c>
      <c r="C3" s="0" t="s">
        <v>4954</v>
      </c>
      <c r="D3" s="0" t="s">
        <v>4955</v>
      </c>
    </row>
    <row r="4" customFormat="false" ht="16.5" hidden="false" customHeight="false" outlineLevel="0" collapsed="false">
      <c r="A4" s="0" t="s">
        <v>4956</v>
      </c>
      <c r="B4" s="0" t="s">
        <v>296</v>
      </c>
      <c r="C4" s="0" t="s">
        <v>4957</v>
      </c>
      <c r="D4" s="0" t="s">
        <v>4958</v>
      </c>
    </row>
    <row r="5" customFormat="false" ht="16.5" hidden="false" customHeight="false" outlineLevel="0" collapsed="false">
      <c r="A5" s="0" t="s">
        <v>4959</v>
      </c>
      <c r="B5" s="0" t="s">
        <v>135</v>
      </c>
      <c r="C5" s="0" t="s">
        <v>4960</v>
      </c>
      <c r="D5" s="0" t="s">
        <v>4961</v>
      </c>
    </row>
    <row r="6" customFormat="false" ht="16.5" hidden="false" customHeight="false" outlineLevel="0" collapsed="false">
      <c r="A6" s="0" t="s">
        <v>4962</v>
      </c>
      <c r="B6" s="0" t="s">
        <v>284</v>
      </c>
      <c r="C6" s="0" t="s">
        <v>4963</v>
      </c>
      <c r="D6" s="0" t="s">
        <v>4964</v>
      </c>
    </row>
    <row r="7" customFormat="false" ht="16.5" hidden="false" customHeight="false" outlineLevel="0" collapsed="false">
      <c r="A7" s="0" t="s">
        <v>4965</v>
      </c>
      <c r="B7" s="0" t="s">
        <v>4966</v>
      </c>
      <c r="C7" s="0" t="s">
        <v>4967</v>
      </c>
      <c r="D7" s="0" t="s">
        <v>4968</v>
      </c>
    </row>
    <row r="8" customFormat="false" ht="16.5" hidden="false" customHeight="false" outlineLevel="0" collapsed="false">
      <c r="A8" s="0" t="s">
        <v>4969</v>
      </c>
      <c r="B8" s="0" t="s">
        <v>201</v>
      </c>
      <c r="C8" s="0" t="s">
        <v>4970</v>
      </c>
      <c r="D8" s="0" t="s">
        <v>4776</v>
      </c>
    </row>
    <row r="9" customFormat="false" ht="16.5" hidden="false" customHeight="false" outlineLevel="0" collapsed="false">
      <c r="A9" s="0" t="s">
        <v>4971</v>
      </c>
      <c r="B9" s="0" t="s">
        <v>265</v>
      </c>
      <c r="C9" s="0" t="s">
        <v>4972</v>
      </c>
      <c r="D9" s="0" t="s">
        <v>229</v>
      </c>
    </row>
    <row r="10" customFormat="false" ht="16.5" hidden="false" customHeight="false" outlineLevel="0" collapsed="false">
      <c r="A10" s="0" t="s">
        <v>4931</v>
      </c>
      <c r="B10" s="0" t="s">
        <v>4973</v>
      </c>
      <c r="C10" s="0" t="s">
        <v>4974</v>
      </c>
      <c r="D10" s="0" t="s">
        <v>133</v>
      </c>
    </row>
    <row r="11" customFormat="false" ht="16.5" hidden="false" customHeight="false" outlineLevel="0" collapsed="false">
      <c r="A11" s="0" t="s">
        <v>4975</v>
      </c>
      <c r="B11" s="0" t="s">
        <v>4976</v>
      </c>
      <c r="C11" s="0" t="s">
        <v>4977</v>
      </c>
      <c r="D11" s="0" t="s">
        <v>4978</v>
      </c>
    </row>
    <row r="12" customFormat="false" ht="16.5" hidden="false" customHeight="false" outlineLevel="0" collapsed="false">
      <c r="A12" s="0" t="s">
        <v>4979</v>
      </c>
      <c r="B12" s="0" t="s">
        <v>258</v>
      </c>
      <c r="C12" s="0" t="s">
        <v>4980</v>
      </c>
      <c r="D12" s="0" t="s">
        <v>4981</v>
      </c>
    </row>
    <row r="13" customFormat="false" ht="16.5" hidden="false" customHeight="false" outlineLevel="0" collapsed="false">
      <c r="A13" s="0" t="s">
        <v>4982</v>
      </c>
      <c r="B13" s="0" t="s">
        <v>4983</v>
      </c>
      <c r="C13" s="0" t="s">
        <v>4984</v>
      </c>
    </row>
    <row r="14" customFormat="false" ht="16.5" hidden="false" customHeight="false" outlineLevel="0" collapsed="false">
      <c r="A14" s="0" t="s">
        <v>4985</v>
      </c>
      <c r="B14" s="0" t="s">
        <v>240</v>
      </c>
      <c r="C14" s="0" t="s">
        <v>4986</v>
      </c>
      <c r="D14" s="0" t="s">
        <v>4987</v>
      </c>
    </row>
    <row r="16" customFormat="false" ht="16.5" hidden="false" customHeight="false" outlineLevel="0" collapsed="false">
      <c r="A16" s="0" t="s">
        <v>4988</v>
      </c>
      <c r="B16" s="0" t="s">
        <v>4989</v>
      </c>
    </row>
    <row r="17" customFormat="false" ht="16.5" hidden="false" customHeight="false" outlineLevel="0" collapsed="false">
      <c r="A17" s="0" t="n">
        <v>7</v>
      </c>
      <c r="B17" s="0" t="s">
        <v>4990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1328125" defaultRowHeight="16.5" zeroHeight="false" outlineLevelRow="0" outlineLevelCol="0"/>
  <cols>
    <col collapsed="false" customWidth="true" hidden="false" outlineLevel="0" max="2" min="2" style="0" width="19.64"/>
    <col collapsed="false" customWidth="true" hidden="false" outlineLevel="0" max="3" min="3" style="0" width="9.75"/>
    <col collapsed="false" customWidth="true" hidden="false" outlineLevel="0" max="4" min="4" style="0" width="9.25"/>
    <col collapsed="false" customWidth="true" hidden="false" outlineLevel="0" max="6" min="6" style="0" width="20.5"/>
    <col collapsed="false" customWidth="true" hidden="false" outlineLevel="0" max="7" min="7" style="0" width="3.5"/>
  </cols>
  <sheetData>
    <row r="2" customFormat="false" ht="16.5" hidden="false" customHeight="false" outlineLevel="0" collapsed="false">
      <c r="A2" s="429" t="s">
        <v>429</v>
      </c>
      <c r="B2" s="429" t="s">
        <v>4991</v>
      </c>
      <c r="C2" s="429" t="s">
        <v>4992</v>
      </c>
      <c r="D2" s="429" t="s">
        <v>4993</v>
      </c>
      <c r="E2" s="429"/>
      <c r="F2" s="429" t="s">
        <v>451</v>
      </c>
      <c r="G2" s="429"/>
    </row>
    <row r="3" customFormat="false" ht="16.5" hidden="false" customHeight="false" outlineLevel="0" collapsed="false">
      <c r="A3" s="429"/>
      <c r="B3" s="429"/>
      <c r="C3" s="429"/>
      <c r="D3" s="431" t="s">
        <v>4994</v>
      </c>
      <c r="E3" s="431" t="s">
        <v>4995</v>
      </c>
      <c r="F3" s="429"/>
      <c r="G3" s="429"/>
    </row>
    <row r="4" customFormat="false" ht="49.5" hidden="false" customHeight="true" outlineLevel="0" collapsed="false">
      <c r="A4" s="431" t="n">
        <v>1</v>
      </c>
      <c r="B4" s="439" t="s">
        <v>4996</v>
      </c>
      <c r="C4" s="440" t="n">
        <v>1280</v>
      </c>
      <c r="D4" s="441" t="n">
        <v>0.296</v>
      </c>
      <c r="E4" s="441" t="n">
        <v>2.8</v>
      </c>
      <c r="F4" s="442" t="s">
        <v>4997</v>
      </c>
      <c r="G4" s="442"/>
    </row>
    <row r="5" customFormat="false" ht="49.5" hidden="false" customHeight="false" outlineLevel="0" collapsed="false">
      <c r="A5" s="431" t="n">
        <v>2</v>
      </c>
      <c r="B5" s="439" t="s">
        <v>4998</v>
      </c>
      <c r="C5" s="440" t="n">
        <v>304</v>
      </c>
      <c r="D5" s="441"/>
      <c r="E5" s="441"/>
      <c r="F5" s="442"/>
      <c r="G5" s="442"/>
    </row>
    <row r="6" customFormat="false" ht="49.5" hidden="false" customHeight="false" outlineLevel="0" collapsed="false">
      <c r="A6" s="431" t="n">
        <v>3</v>
      </c>
      <c r="B6" s="439" t="s">
        <v>4999</v>
      </c>
      <c r="C6" s="440" t="n">
        <v>376</v>
      </c>
      <c r="D6" s="441"/>
      <c r="E6" s="441"/>
      <c r="F6" s="442"/>
      <c r="G6" s="442"/>
    </row>
    <row r="7" customFormat="false" ht="16.5" hidden="false" customHeight="false" outlineLevel="0" collapsed="false">
      <c r="A7" s="429" t="s">
        <v>5000</v>
      </c>
      <c r="B7" s="429"/>
      <c r="C7" s="429"/>
      <c r="D7" s="429"/>
      <c r="E7" s="443" t="n">
        <v>27069555</v>
      </c>
      <c r="F7" s="443"/>
      <c r="G7" s="428" t="s">
        <v>5001</v>
      </c>
    </row>
    <row r="9" customFormat="false" ht="16.5" hidden="false" customHeight="false" outlineLevel="0" collapsed="false">
      <c r="A9" s="0" t="s">
        <v>5002</v>
      </c>
    </row>
    <row r="11" customFormat="false" ht="16.5" hidden="false" customHeight="false" outlineLevel="0" collapsed="false">
      <c r="A11" s="0" t="s">
        <v>5003</v>
      </c>
    </row>
    <row r="12" customFormat="false" ht="16.5" hidden="false" customHeight="false" outlineLevel="0" collapsed="false">
      <c r="A12" s="0" t="s">
        <v>5004</v>
      </c>
    </row>
    <row r="13" customFormat="false" ht="16.5" hidden="false" customHeight="false" outlineLevel="0" collapsed="false">
      <c r="A13" s="0" t="s">
        <v>5005</v>
      </c>
    </row>
    <row r="15" customFormat="false" ht="16.5" hidden="false" customHeight="false" outlineLevel="0" collapsed="false">
      <c r="A15" s="0" t="s">
        <v>5006</v>
      </c>
    </row>
    <row r="16" customFormat="false" ht="16.5" hidden="false" customHeight="false" outlineLevel="0" collapsed="false">
      <c r="A16" s="0" t="s">
        <v>5007</v>
      </c>
    </row>
    <row r="17" customFormat="false" ht="16.5" hidden="false" customHeight="false" outlineLevel="0" collapsed="false">
      <c r="A17" s="0" t="s">
        <v>5008</v>
      </c>
    </row>
    <row r="18" customFormat="false" ht="16.5" hidden="false" customHeight="false" outlineLevel="0" collapsed="false">
      <c r="A18" s="0" t="s">
        <v>5009</v>
      </c>
    </row>
    <row r="19" customFormat="false" ht="16.5" hidden="false" customHeight="false" outlineLevel="0" collapsed="false">
      <c r="A19" s="0" t="s">
        <v>5010</v>
      </c>
    </row>
    <row r="20" customFormat="false" ht="16.5" hidden="false" customHeight="false" outlineLevel="0" collapsed="false">
      <c r="A20" s="0" t="s">
        <v>5011</v>
      </c>
    </row>
    <row r="21" customFormat="false" ht="16.5" hidden="false" customHeight="false" outlineLevel="0" collapsed="false">
      <c r="A21" s="0" t="s">
        <v>5012</v>
      </c>
    </row>
    <row r="22" customFormat="false" ht="16.5" hidden="false" customHeight="false" outlineLevel="0" collapsed="false">
      <c r="A22" s="0" t="s">
        <v>5013</v>
      </c>
    </row>
    <row r="23" customFormat="false" ht="16.5" hidden="false" customHeight="false" outlineLevel="0" collapsed="false">
      <c r="A23" s="0" t="s">
        <v>5014</v>
      </c>
    </row>
  </sheetData>
  <mergeCells count="10">
    <mergeCell ref="A2:A3"/>
    <mergeCell ref="B2:B3"/>
    <mergeCell ref="C2:C3"/>
    <mergeCell ref="D2:E2"/>
    <mergeCell ref="F2:G3"/>
    <mergeCell ref="D4:D6"/>
    <mergeCell ref="E4:E6"/>
    <mergeCell ref="F4:G6"/>
    <mergeCell ref="A7:D7"/>
    <mergeCell ref="E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4921875" defaultRowHeight="12.8" zeroHeight="false" outlineLevelRow="0" outlineLevelCol="0"/>
  <sheetData>
    <row r="1" customFormat="false" ht="12.8" hidden="false" customHeight="false" outlineLevel="0" collapsed="false">
      <c r="A1" s="0" t="s">
        <v>5015</v>
      </c>
      <c r="B1" s="0" t="s">
        <v>5016</v>
      </c>
      <c r="C1" s="0" t="s">
        <v>0</v>
      </c>
      <c r="D1" s="0" t="s">
        <v>437</v>
      </c>
      <c r="E1" s="0" t="s">
        <v>5017</v>
      </c>
      <c r="F1" s="0" t="s">
        <v>5018</v>
      </c>
      <c r="G1" s="0" t="s">
        <v>435</v>
      </c>
      <c r="H1" s="0" t="s">
        <v>436</v>
      </c>
      <c r="I1" s="0" t="s">
        <v>5019</v>
      </c>
      <c r="J1" s="0" t="s">
        <v>5020</v>
      </c>
      <c r="K1" s="0" t="s">
        <v>5021</v>
      </c>
      <c r="L1" s="0" t="s">
        <v>451</v>
      </c>
    </row>
    <row r="2" customFormat="false" ht="12.8" hidden="false" customHeight="false" outlineLevel="0" collapsed="false">
      <c r="A2" s="0" t="s">
        <v>4915</v>
      </c>
      <c r="B2" s="0" t="s">
        <v>5022</v>
      </c>
      <c r="C2" s="0" t="s">
        <v>296</v>
      </c>
      <c r="D2" s="0" t="s">
        <v>5023</v>
      </c>
      <c r="E2" s="0" t="s">
        <v>5024</v>
      </c>
      <c r="F2" s="0" t="s">
        <v>5024</v>
      </c>
      <c r="G2" s="0" t="s">
        <v>1155</v>
      </c>
      <c r="H2" s="0" t="s">
        <v>1156</v>
      </c>
      <c r="I2" s="0" t="s">
        <v>5025</v>
      </c>
      <c r="J2" s="0" t="s">
        <v>5026</v>
      </c>
      <c r="K2" s="444" t="s">
        <v>5027</v>
      </c>
    </row>
    <row r="3" customFormat="false" ht="12.8" hidden="false" customHeight="false" outlineLevel="0" collapsed="false">
      <c r="A3" s="0" t="s">
        <v>4916</v>
      </c>
      <c r="B3" s="0" t="s">
        <v>5028</v>
      </c>
      <c r="C3" s="0" t="s">
        <v>296</v>
      </c>
      <c r="D3" s="0" t="s">
        <v>5023</v>
      </c>
      <c r="E3" s="0" t="s">
        <v>5024</v>
      </c>
      <c r="F3" s="0" t="s">
        <v>5024</v>
      </c>
      <c r="G3" s="0" t="s">
        <v>1155</v>
      </c>
      <c r="H3" s="0" t="s">
        <v>1156</v>
      </c>
      <c r="I3" s="0" t="s">
        <v>5025</v>
      </c>
      <c r="J3" s="0" t="s">
        <v>5026</v>
      </c>
      <c r="K3" s="444" t="s">
        <v>5027</v>
      </c>
    </row>
    <row r="4" customFormat="false" ht="12.8" hidden="false" customHeight="false" outlineLevel="0" collapsed="false">
      <c r="A4" s="0" t="s">
        <v>4917</v>
      </c>
      <c r="B4" s="0" t="s">
        <v>5029</v>
      </c>
      <c r="C4" s="0" t="s">
        <v>296</v>
      </c>
      <c r="D4" s="0" t="s">
        <v>5023</v>
      </c>
      <c r="E4" s="0" t="s">
        <v>5024</v>
      </c>
      <c r="F4" s="0" t="s">
        <v>5024</v>
      </c>
      <c r="G4" s="0" t="s">
        <v>1155</v>
      </c>
      <c r="H4" s="0" t="s">
        <v>1156</v>
      </c>
      <c r="I4" s="0" t="s">
        <v>5025</v>
      </c>
      <c r="J4" s="0" t="s">
        <v>5026</v>
      </c>
      <c r="K4" s="444" t="s">
        <v>5027</v>
      </c>
    </row>
    <row r="5" customFormat="false" ht="12.8" hidden="false" customHeight="false" outlineLevel="0" collapsed="false">
      <c r="A5" s="0" t="s">
        <v>5030</v>
      </c>
      <c r="B5" s="0" t="s">
        <v>5031</v>
      </c>
      <c r="C5" s="0" t="s">
        <v>296</v>
      </c>
      <c r="D5" s="0" t="s">
        <v>5023</v>
      </c>
      <c r="E5" s="0" t="s">
        <v>5024</v>
      </c>
      <c r="F5" s="0" t="s">
        <v>5024</v>
      </c>
      <c r="G5" s="0" t="s">
        <v>1155</v>
      </c>
      <c r="H5" s="0" t="s">
        <v>1156</v>
      </c>
      <c r="I5" s="0" t="s">
        <v>5025</v>
      </c>
      <c r="J5" s="0" t="s">
        <v>5026</v>
      </c>
      <c r="K5" s="444" t="s">
        <v>5027</v>
      </c>
    </row>
    <row r="6" customFormat="false" ht="12.8" hidden="false" customHeight="false" outlineLevel="0" collapsed="false">
      <c r="A6" s="0" t="s">
        <v>5032</v>
      </c>
      <c r="B6" s="0" t="s">
        <v>5033</v>
      </c>
      <c r="C6" s="0" t="s">
        <v>296</v>
      </c>
      <c r="D6" s="0" t="s">
        <v>5023</v>
      </c>
      <c r="E6" s="0" t="s">
        <v>5024</v>
      </c>
      <c r="F6" s="0" t="s">
        <v>5024</v>
      </c>
      <c r="G6" s="0" t="s">
        <v>1155</v>
      </c>
      <c r="H6" s="0" t="s">
        <v>1156</v>
      </c>
      <c r="I6" s="0" t="s">
        <v>5025</v>
      </c>
      <c r="J6" s="0" t="s">
        <v>5026</v>
      </c>
      <c r="K6" s="444" t="s">
        <v>5027</v>
      </c>
    </row>
    <row r="7" customFormat="false" ht="12.8" hidden="false" customHeight="false" outlineLevel="0" collapsed="false">
      <c r="A7" s="0" t="s">
        <v>5034</v>
      </c>
      <c r="B7" s="0" t="s">
        <v>5035</v>
      </c>
      <c r="C7" s="0" t="s">
        <v>296</v>
      </c>
      <c r="D7" s="0" t="s">
        <v>5023</v>
      </c>
      <c r="E7" s="0" t="s">
        <v>5024</v>
      </c>
      <c r="F7" s="0" t="s">
        <v>5024</v>
      </c>
      <c r="G7" s="0" t="s">
        <v>1155</v>
      </c>
      <c r="H7" s="0" t="s">
        <v>1156</v>
      </c>
      <c r="I7" s="0" t="s">
        <v>5025</v>
      </c>
      <c r="J7" s="0" t="s">
        <v>5026</v>
      </c>
      <c r="K7" s="444" t="s">
        <v>5027</v>
      </c>
    </row>
    <row r="8" customFormat="false" ht="12.8" hidden="false" customHeight="false" outlineLevel="0" collapsed="false">
      <c r="A8" s="0" t="s">
        <v>5036</v>
      </c>
      <c r="B8" s="0" t="s">
        <v>5037</v>
      </c>
      <c r="C8" s="0" t="s">
        <v>296</v>
      </c>
      <c r="D8" s="0" t="s">
        <v>5023</v>
      </c>
      <c r="E8" s="0" t="s">
        <v>5024</v>
      </c>
      <c r="F8" s="0" t="s">
        <v>5024</v>
      </c>
      <c r="G8" s="0" t="s">
        <v>1155</v>
      </c>
      <c r="H8" s="0" t="s">
        <v>1156</v>
      </c>
      <c r="I8" s="0" t="s">
        <v>5025</v>
      </c>
      <c r="J8" s="0" t="s">
        <v>5026</v>
      </c>
      <c r="K8" s="444" t="s">
        <v>5027</v>
      </c>
    </row>
    <row r="9" customFormat="false" ht="12.8" hidden="false" customHeight="false" outlineLevel="0" collapsed="false">
      <c r="A9" s="0" t="s">
        <v>5038</v>
      </c>
      <c r="B9" s="0" t="s">
        <v>5039</v>
      </c>
      <c r="C9" s="0" t="s">
        <v>296</v>
      </c>
      <c r="D9" s="0" t="s">
        <v>5023</v>
      </c>
      <c r="E9" s="0" t="s">
        <v>5024</v>
      </c>
      <c r="F9" s="0" t="s">
        <v>5024</v>
      </c>
      <c r="G9" s="0" t="s">
        <v>1155</v>
      </c>
      <c r="H9" s="0" t="s">
        <v>1156</v>
      </c>
      <c r="I9" s="0" t="s">
        <v>5025</v>
      </c>
      <c r="J9" s="0" t="s">
        <v>5026</v>
      </c>
      <c r="K9" s="444" t="s">
        <v>5027</v>
      </c>
    </row>
    <row r="10" customFormat="false" ht="12.8" hidden="false" customHeight="false" outlineLevel="0" collapsed="false">
      <c r="A10" s="0" t="s">
        <v>5040</v>
      </c>
      <c r="B10" s="0" t="s">
        <v>5041</v>
      </c>
      <c r="C10" s="0" t="s">
        <v>296</v>
      </c>
      <c r="D10" s="0" t="s">
        <v>5023</v>
      </c>
      <c r="E10" s="0" t="s">
        <v>5024</v>
      </c>
      <c r="F10" s="0" t="s">
        <v>5024</v>
      </c>
      <c r="G10" s="0" t="s">
        <v>1155</v>
      </c>
      <c r="H10" s="0" t="s">
        <v>1156</v>
      </c>
      <c r="I10" s="0" t="s">
        <v>5025</v>
      </c>
      <c r="J10" s="0" t="s">
        <v>5026</v>
      </c>
      <c r="K10" s="444" t="s">
        <v>5027</v>
      </c>
    </row>
    <row r="11" customFormat="false" ht="12.8" hidden="false" customHeight="false" outlineLevel="0" collapsed="false">
      <c r="A11" s="0" t="s">
        <v>1779</v>
      </c>
      <c r="B11" s="0" t="s">
        <v>5042</v>
      </c>
      <c r="C11" s="0" t="s">
        <v>296</v>
      </c>
      <c r="D11" s="0" t="s">
        <v>5023</v>
      </c>
      <c r="E11" s="0" t="s">
        <v>5024</v>
      </c>
      <c r="F11" s="0" t="s">
        <v>5024</v>
      </c>
      <c r="G11" s="0" t="s">
        <v>1155</v>
      </c>
      <c r="H11" s="0" t="s">
        <v>1156</v>
      </c>
      <c r="I11" s="0" t="s">
        <v>5025</v>
      </c>
      <c r="J11" s="0" t="s">
        <v>5026</v>
      </c>
      <c r="K11" s="444" t="s">
        <v>5027</v>
      </c>
    </row>
    <row r="12" customFormat="false" ht="12.8" hidden="false" customHeight="false" outlineLevel="0" collapsed="false">
      <c r="A12" s="0" t="s">
        <v>2312</v>
      </c>
      <c r="B12" s="0" t="s">
        <v>5043</v>
      </c>
      <c r="C12" s="0" t="s">
        <v>296</v>
      </c>
      <c r="D12" s="0" t="s">
        <v>5023</v>
      </c>
      <c r="E12" s="0" t="s">
        <v>5024</v>
      </c>
      <c r="F12" s="0" t="s">
        <v>5024</v>
      </c>
      <c r="G12" s="0" t="s">
        <v>1155</v>
      </c>
      <c r="H12" s="0" t="s">
        <v>1156</v>
      </c>
      <c r="I12" s="0" t="s">
        <v>5025</v>
      </c>
      <c r="J12" s="0" t="s">
        <v>5026</v>
      </c>
      <c r="K12" s="444" t="s">
        <v>5027</v>
      </c>
    </row>
    <row r="13" customFormat="false" ht="12.8" hidden="false" customHeight="false" outlineLevel="0" collapsed="false">
      <c r="A13" s="0" t="s">
        <v>2291</v>
      </c>
      <c r="B13" s="0" t="s">
        <v>5044</v>
      </c>
      <c r="C13" s="0" t="s">
        <v>296</v>
      </c>
      <c r="D13" s="0" t="s">
        <v>5023</v>
      </c>
      <c r="E13" s="0" t="s">
        <v>5024</v>
      </c>
      <c r="F13" s="0" t="s">
        <v>5024</v>
      </c>
      <c r="G13" s="0" t="s">
        <v>1155</v>
      </c>
      <c r="H13" s="0" t="s">
        <v>1156</v>
      </c>
      <c r="I13" s="0" t="s">
        <v>5025</v>
      </c>
      <c r="J13" s="0" t="s">
        <v>5026</v>
      </c>
      <c r="K13" s="444" t="s">
        <v>5027</v>
      </c>
    </row>
    <row r="14" customFormat="false" ht="12.8" hidden="false" customHeight="false" outlineLevel="0" collapsed="false">
      <c r="A14" s="0" t="s">
        <v>5045</v>
      </c>
      <c r="B14" s="0" t="s">
        <v>5046</v>
      </c>
      <c r="C14" s="0" t="s">
        <v>296</v>
      </c>
      <c r="D14" s="0" t="s">
        <v>5023</v>
      </c>
      <c r="E14" s="0" t="s">
        <v>5024</v>
      </c>
      <c r="F14" s="0" t="s">
        <v>5024</v>
      </c>
      <c r="G14" s="0" t="s">
        <v>1155</v>
      </c>
      <c r="H14" s="0" t="s">
        <v>1156</v>
      </c>
      <c r="I14" s="0" t="s">
        <v>5025</v>
      </c>
      <c r="J14" s="0" t="s">
        <v>5026</v>
      </c>
      <c r="K14" s="444" t="s">
        <v>5027</v>
      </c>
    </row>
    <row r="15" customFormat="false" ht="12.8" hidden="false" customHeight="false" outlineLevel="0" collapsed="false">
      <c r="A15" s="0" t="s">
        <v>5047</v>
      </c>
      <c r="B15" s="0" t="s">
        <v>5048</v>
      </c>
      <c r="C15" s="0" t="s">
        <v>296</v>
      </c>
      <c r="D15" s="0" t="s">
        <v>5023</v>
      </c>
      <c r="E15" s="0" t="s">
        <v>5024</v>
      </c>
      <c r="F15" s="0" t="s">
        <v>5024</v>
      </c>
      <c r="G15" s="0" t="s">
        <v>1155</v>
      </c>
      <c r="H15" s="0" t="s">
        <v>1156</v>
      </c>
      <c r="I15" s="0" t="s">
        <v>5025</v>
      </c>
      <c r="J15" s="0" t="s">
        <v>5026</v>
      </c>
      <c r="K15" s="444" t="s">
        <v>5027</v>
      </c>
    </row>
    <row r="16" customFormat="false" ht="12.8" hidden="false" customHeight="false" outlineLevel="0" collapsed="false">
      <c r="A16" s="0" t="s">
        <v>5049</v>
      </c>
      <c r="B16" s="0" t="s">
        <v>5050</v>
      </c>
      <c r="C16" s="0" t="s">
        <v>296</v>
      </c>
      <c r="D16" s="0" t="s">
        <v>5023</v>
      </c>
      <c r="E16" s="0" t="s">
        <v>5024</v>
      </c>
      <c r="F16" s="0" t="s">
        <v>5024</v>
      </c>
      <c r="G16" s="0" t="s">
        <v>1155</v>
      </c>
      <c r="H16" s="0" t="s">
        <v>1156</v>
      </c>
      <c r="I16" s="0" t="s">
        <v>5025</v>
      </c>
      <c r="J16" s="0" t="s">
        <v>5026</v>
      </c>
      <c r="K16" s="444" t="s">
        <v>5027</v>
      </c>
    </row>
    <row r="17" customFormat="false" ht="12.8" hidden="false" customHeight="false" outlineLevel="0" collapsed="false">
      <c r="A17" s="0" t="s">
        <v>5051</v>
      </c>
      <c r="B17" s="0" t="s">
        <v>5052</v>
      </c>
      <c r="C17" s="0" t="s">
        <v>296</v>
      </c>
      <c r="D17" s="0" t="s">
        <v>5023</v>
      </c>
      <c r="E17" s="0" t="s">
        <v>5024</v>
      </c>
      <c r="F17" s="0" t="s">
        <v>5024</v>
      </c>
      <c r="G17" s="0" t="s">
        <v>1155</v>
      </c>
      <c r="H17" s="0" t="s">
        <v>1156</v>
      </c>
      <c r="I17" s="0" t="s">
        <v>5025</v>
      </c>
      <c r="J17" s="0" t="s">
        <v>5026</v>
      </c>
      <c r="K17" s="444" t="s">
        <v>5027</v>
      </c>
    </row>
    <row r="18" customFormat="false" ht="12.8" hidden="false" customHeight="false" outlineLevel="0" collapsed="false">
      <c r="A18" s="0" t="s">
        <v>5053</v>
      </c>
      <c r="B18" s="0" t="s">
        <v>5054</v>
      </c>
      <c r="C18" s="0" t="s">
        <v>296</v>
      </c>
      <c r="D18" s="0" t="s">
        <v>5023</v>
      </c>
      <c r="E18" s="0" t="s">
        <v>5024</v>
      </c>
      <c r="F18" s="0" t="s">
        <v>5024</v>
      </c>
      <c r="G18" s="0" t="s">
        <v>1155</v>
      </c>
      <c r="H18" s="0" t="s">
        <v>1156</v>
      </c>
      <c r="I18" s="0" t="s">
        <v>5025</v>
      </c>
      <c r="J18" s="0" t="s">
        <v>5026</v>
      </c>
      <c r="K18" s="444" t="s">
        <v>5027</v>
      </c>
    </row>
    <row r="19" customFormat="false" ht="12.8" hidden="false" customHeight="false" outlineLevel="0" collapsed="false">
      <c r="A19" s="0" t="s">
        <v>5055</v>
      </c>
      <c r="B19" s="0" t="s">
        <v>5056</v>
      </c>
      <c r="C19" s="0" t="s">
        <v>296</v>
      </c>
      <c r="D19" s="0" t="s">
        <v>5057</v>
      </c>
      <c r="E19" s="0" t="s">
        <v>5058</v>
      </c>
      <c r="F19" s="0" t="s">
        <v>5058</v>
      </c>
      <c r="G19" s="0" t="s">
        <v>1155</v>
      </c>
      <c r="H19" s="0" t="s">
        <v>1156</v>
      </c>
      <c r="I19" s="0" t="s">
        <v>5025</v>
      </c>
      <c r="J19" s="0" t="s">
        <v>5026</v>
      </c>
      <c r="K19" s="444" t="s">
        <v>5027</v>
      </c>
    </row>
    <row r="20" customFormat="false" ht="12.8" hidden="false" customHeight="false" outlineLevel="0" collapsed="false">
      <c r="A20" s="0" t="s">
        <v>5059</v>
      </c>
      <c r="B20" s="0" t="s">
        <v>5060</v>
      </c>
      <c r="C20" s="0" t="s">
        <v>296</v>
      </c>
      <c r="D20" s="0" t="s">
        <v>5061</v>
      </c>
      <c r="E20" s="0" t="s">
        <v>5062</v>
      </c>
      <c r="F20" s="0" t="s">
        <v>5062</v>
      </c>
      <c r="G20" s="0" t="s">
        <v>1155</v>
      </c>
      <c r="H20" s="0" t="s">
        <v>1156</v>
      </c>
      <c r="I20" s="0" t="s">
        <v>5025</v>
      </c>
      <c r="J20" s="0" t="s">
        <v>5026</v>
      </c>
      <c r="K20" s="444" t="s">
        <v>5027</v>
      </c>
    </row>
    <row r="21" customFormat="false" ht="12.8" hidden="false" customHeight="false" outlineLevel="0" collapsed="false">
      <c r="A21" s="0" t="s">
        <v>5063</v>
      </c>
      <c r="B21" s="0" t="s">
        <v>5064</v>
      </c>
      <c r="C21" s="0" t="s">
        <v>18</v>
      </c>
      <c r="D21" s="0" t="s">
        <v>5023</v>
      </c>
      <c r="E21" s="0" t="s">
        <v>5024</v>
      </c>
      <c r="F21" s="0" t="s">
        <v>5024</v>
      </c>
      <c r="G21" s="0" t="s">
        <v>1155</v>
      </c>
      <c r="H21" s="0" t="s">
        <v>5065</v>
      </c>
      <c r="I21" s="0" t="s">
        <v>5066</v>
      </c>
      <c r="J21" s="0" t="s">
        <v>5067</v>
      </c>
      <c r="K21" s="444" t="s">
        <v>5068</v>
      </c>
    </row>
    <row r="22" customFormat="false" ht="12.8" hidden="false" customHeight="false" outlineLevel="0" collapsed="false">
      <c r="A22" s="0" t="s">
        <v>5069</v>
      </c>
      <c r="B22" s="0" t="s">
        <v>5070</v>
      </c>
      <c r="C22" s="0" t="s">
        <v>18</v>
      </c>
      <c r="D22" s="0" t="s">
        <v>5023</v>
      </c>
      <c r="E22" s="0" t="s">
        <v>5024</v>
      </c>
      <c r="F22" s="0" t="s">
        <v>5024</v>
      </c>
      <c r="G22" s="0" t="s">
        <v>1155</v>
      </c>
      <c r="H22" s="0" t="s">
        <v>5065</v>
      </c>
      <c r="I22" s="0" t="s">
        <v>5066</v>
      </c>
      <c r="J22" s="0" t="s">
        <v>5067</v>
      </c>
      <c r="K22" s="444" t="s">
        <v>5068</v>
      </c>
    </row>
    <row r="23" customFormat="false" ht="12.8" hidden="false" customHeight="false" outlineLevel="0" collapsed="false">
      <c r="A23" s="0" t="s">
        <v>5071</v>
      </c>
      <c r="B23" s="0" t="s">
        <v>5072</v>
      </c>
      <c r="C23" s="0" t="s">
        <v>18</v>
      </c>
      <c r="D23" s="0" t="s">
        <v>5023</v>
      </c>
      <c r="E23" s="0" t="s">
        <v>5024</v>
      </c>
      <c r="F23" s="0" t="s">
        <v>5024</v>
      </c>
      <c r="G23" s="0" t="s">
        <v>1155</v>
      </c>
      <c r="H23" s="0" t="s">
        <v>5065</v>
      </c>
      <c r="I23" s="0" t="s">
        <v>5066</v>
      </c>
      <c r="J23" s="0" t="s">
        <v>5067</v>
      </c>
      <c r="K23" s="444" t="s">
        <v>5068</v>
      </c>
    </row>
    <row r="24" customFormat="false" ht="12.8" hidden="false" customHeight="false" outlineLevel="0" collapsed="false">
      <c r="A24" s="0" t="s">
        <v>5073</v>
      </c>
      <c r="B24" s="0" t="s">
        <v>5074</v>
      </c>
      <c r="C24" s="0" t="s">
        <v>18</v>
      </c>
      <c r="D24" s="0" t="s">
        <v>5023</v>
      </c>
      <c r="E24" s="0" t="s">
        <v>5024</v>
      </c>
      <c r="F24" s="0" t="s">
        <v>5024</v>
      </c>
      <c r="G24" s="0" t="s">
        <v>1155</v>
      </c>
      <c r="H24" s="0" t="s">
        <v>5065</v>
      </c>
      <c r="I24" s="0" t="s">
        <v>5066</v>
      </c>
      <c r="J24" s="0" t="s">
        <v>5067</v>
      </c>
      <c r="K24" s="444" t="s">
        <v>5068</v>
      </c>
    </row>
    <row r="25" customFormat="false" ht="12.8" hidden="false" customHeight="false" outlineLevel="0" collapsed="false">
      <c r="A25" s="0" t="s">
        <v>5075</v>
      </c>
      <c r="B25" s="0" t="s">
        <v>5076</v>
      </c>
      <c r="C25" s="0" t="s">
        <v>18</v>
      </c>
      <c r="D25" s="0" t="s">
        <v>5023</v>
      </c>
      <c r="E25" s="0" t="s">
        <v>5024</v>
      </c>
      <c r="F25" s="0" t="s">
        <v>5024</v>
      </c>
      <c r="G25" s="0" t="s">
        <v>1155</v>
      </c>
      <c r="H25" s="0" t="s">
        <v>5065</v>
      </c>
      <c r="I25" s="0" t="s">
        <v>5066</v>
      </c>
      <c r="J25" s="0" t="s">
        <v>5067</v>
      </c>
      <c r="K25" s="444" t="s">
        <v>5068</v>
      </c>
    </row>
    <row r="26" customFormat="false" ht="12.8" hidden="false" customHeight="false" outlineLevel="0" collapsed="false">
      <c r="A26" s="0" t="s">
        <v>5077</v>
      </c>
      <c r="B26" s="0" t="s">
        <v>5078</v>
      </c>
      <c r="C26" s="0" t="s">
        <v>18</v>
      </c>
      <c r="D26" s="0" t="s">
        <v>5023</v>
      </c>
      <c r="E26" s="0" t="s">
        <v>5024</v>
      </c>
      <c r="F26" s="0" t="s">
        <v>5024</v>
      </c>
      <c r="G26" s="0" t="s">
        <v>1155</v>
      </c>
      <c r="H26" s="0" t="s">
        <v>5065</v>
      </c>
      <c r="I26" s="0" t="s">
        <v>5066</v>
      </c>
      <c r="J26" s="0" t="s">
        <v>5067</v>
      </c>
      <c r="K26" s="444" t="s">
        <v>5068</v>
      </c>
    </row>
    <row r="27" customFormat="false" ht="12.8" hidden="false" customHeight="false" outlineLevel="0" collapsed="false">
      <c r="A27" s="0" t="s">
        <v>5079</v>
      </c>
      <c r="B27" s="0" t="s">
        <v>5080</v>
      </c>
      <c r="C27" s="0" t="s">
        <v>18</v>
      </c>
      <c r="D27" s="0" t="s">
        <v>5023</v>
      </c>
      <c r="E27" s="0" t="s">
        <v>5024</v>
      </c>
      <c r="F27" s="0" t="s">
        <v>5024</v>
      </c>
      <c r="G27" s="0" t="s">
        <v>1155</v>
      </c>
      <c r="H27" s="0" t="s">
        <v>5065</v>
      </c>
      <c r="I27" s="0" t="s">
        <v>5066</v>
      </c>
      <c r="J27" s="0" t="s">
        <v>5067</v>
      </c>
      <c r="K27" s="444" t="s">
        <v>5068</v>
      </c>
    </row>
    <row r="28" customFormat="false" ht="12.8" hidden="false" customHeight="false" outlineLevel="0" collapsed="false">
      <c r="A28" s="0" t="s">
        <v>5081</v>
      </c>
      <c r="B28" s="0" t="s">
        <v>5082</v>
      </c>
      <c r="C28" s="0" t="s">
        <v>18</v>
      </c>
      <c r="D28" s="0" t="s">
        <v>5023</v>
      </c>
      <c r="E28" s="0" t="s">
        <v>5024</v>
      </c>
      <c r="F28" s="0" t="s">
        <v>5024</v>
      </c>
      <c r="G28" s="0" t="s">
        <v>1155</v>
      </c>
      <c r="H28" s="0" t="s">
        <v>5065</v>
      </c>
      <c r="I28" s="0" t="s">
        <v>5066</v>
      </c>
      <c r="J28" s="0" t="s">
        <v>5067</v>
      </c>
      <c r="K28" s="444" t="s">
        <v>5068</v>
      </c>
    </row>
    <row r="29" customFormat="false" ht="12.8" hidden="false" customHeight="false" outlineLevel="0" collapsed="false">
      <c r="A29" s="0" t="s">
        <v>5083</v>
      </c>
      <c r="B29" s="0" t="s">
        <v>5084</v>
      </c>
      <c r="C29" s="0" t="s">
        <v>18</v>
      </c>
      <c r="D29" s="0" t="s">
        <v>5023</v>
      </c>
      <c r="E29" s="0" t="s">
        <v>5024</v>
      </c>
      <c r="F29" s="0" t="s">
        <v>5024</v>
      </c>
      <c r="G29" s="0" t="s">
        <v>1155</v>
      </c>
      <c r="H29" s="0" t="s">
        <v>5065</v>
      </c>
      <c r="I29" s="0" t="s">
        <v>5066</v>
      </c>
      <c r="J29" s="0" t="s">
        <v>5067</v>
      </c>
      <c r="K29" s="444" t="s">
        <v>5068</v>
      </c>
    </row>
    <row r="30" customFormat="false" ht="12.8" hidden="false" customHeight="false" outlineLevel="0" collapsed="false">
      <c r="A30" s="0" t="s">
        <v>5085</v>
      </c>
      <c r="B30" s="0" t="s">
        <v>5086</v>
      </c>
      <c r="C30" s="0" t="s">
        <v>18</v>
      </c>
      <c r="D30" s="0" t="s">
        <v>5023</v>
      </c>
      <c r="E30" s="0" t="s">
        <v>5024</v>
      </c>
      <c r="F30" s="0" t="s">
        <v>5024</v>
      </c>
      <c r="G30" s="0" t="s">
        <v>1155</v>
      </c>
      <c r="H30" s="0" t="s">
        <v>5065</v>
      </c>
      <c r="I30" s="0" t="s">
        <v>5066</v>
      </c>
      <c r="J30" s="0" t="s">
        <v>5067</v>
      </c>
      <c r="K30" s="444" t="s">
        <v>5068</v>
      </c>
    </row>
    <row r="31" customFormat="false" ht="12.8" hidden="false" customHeight="false" outlineLevel="0" collapsed="false">
      <c r="A31" s="0" t="s">
        <v>5087</v>
      </c>
      <c r="B31" s="0" t="s">
        <v>5088</v>
      </c>
      <c r="C31" s="0" t="s">
        <v>18</v>
      </c>
      <c r="D31" s="0" t="s">
        <v>5023</v>
      </c>
      <c r="E31" s="0" t="s">
        <v>5024</v>
      </c>
      <c r="F31" s="0" t="s">
        <v>5024</v>
      </c>
      <c r="G31" s="0" t="s">
        <v>1155</v>
      </c>
      <c r="H31" s="0" t="s">
        <v>5065</v>
      </c>
      <c r="I31" s="0" t="s">
        <v>5066</v>
      </c>
      <c r="J31" s="0" t="s">
        <v>5067</v>
      </c>
      <c r="K31" s="444" t="s">
        <v>5068</v>
      </c>
    </row>
    <row r="32" customFormat="false" ht="12.8" hidden="false" customHeight="false" outlineLevel="0" collapsed="false">
      <c r="A32" s="0" t="s">
        <v>5089</v>
      </c>
      <c r="B32" s="0" t="s">
        <v>5090</v>
      </c>
      <c r="C32" s="0" t="s">
        <v>18</v>
      </c>
      <c r="D32" s="0" t="s">
        <v>5023</v>
      </c>
      <c r="E32" s="0" t="s">
        <v>5024</v>
      </c>
      <c r="F32" s="0" t="s">
        <v>5024</v>
      </c>
      <c r="G32" s="0" t="s">
        <v>1155</v>
      </c>
      <c r="H32" s="0" t="s">
        <v>5065</v>
      </c>
      <c r="I32" s="0" t="s">
        <v>5066</v>
      </c>
      <c r="J32" s="0" t="s">
        <v>5067</v>
      </c>
      <c r="K32" s="444" t="s">
        <v>5068</v>
      </c>
    </row>
    <row r="33" customFormat="false" ht="12.8" hidden="false" customHeight="false" outlineLevel="0" collapsed="false">
      <c r="A33" s="0" t="s">
        <v>5091</v>
      </c>
      <c r="B33" s="0" t="s">
        <v>5092</v>
      </c>
      <c r="C33" s="0" t="s">
        <v>18</v>
      </c>
      <c r="D33" s="0" t="s">
        <v>5023</v>
      </c>
      <c r="E33" s="0" t="s">
        <v>5024</v>
      </c>
      <c r="F33" s="0" t="s">
        <v>5024</v>
      </c>
      <c r="G33" s="0" t="s">
        <v>1155</v>
      </c>
      <c r="H33" s="0" t="s">
        <v>5065</v>
      </c>
      <c r="I33" s="0" t="s">
        <v>5066</v>
      </c>
      <c r="J33" s="0" t="s">
        <v>5067</v>
      </c>
      <c r="K33" s="444" t="s">
        <v>5068</v>
      </c>
    </row>
    <row r="34" customFormat="false" ht="12.8" hidden="false" customHeight="false" outlineLevel="0" collapsed="false">
      <c r="A34" s="0" t="s">
        <v>5093</v>
      </c>
      <c r="B34" s="0" t="s">
        <v>5094</v>
      </c>
      <c r="C34" s="0" t="s">
        <v>18</v>
      </c>
      <c r="D34" s="0" t="s">
        <v>5023</v>
      </c>
      <c r="E34" s="0" t="s">
        <v>5024</v>
      </c>
      <c r="F34" s="0" t="s">
        <v>5024</v>
      </c>
      <c r="G34" s="0" t="s">
        <v>1155</v>
      </c>
      <c r="H34" s="0" t="s">
        <v>5065</v>
      </c>
      <c r="I34" s="0" t="s">
        <v>5066</v>
      </c>
      <c r="J34" s="0" t="s">
        <v>5067</v>
      </c>
      <c r="K34" s="444" t="s">
        <v>5068</v>
      </c>
    </row>
    <row r="35" customFormat="false" ht="12.8" hidden="false" customHeight="false" outlineLevel="0" collapsed="false">
      <c r="A35" s="0" t="s">
        <v>5095</v>
      </c>
      <c r="B35" s="0" t="s">
        <v>5096</v>
      </c>
      <c r="C35" s="0" t="s">
        <v>18</v>
      </c>
      <c r="D35" s="0" t="s">
        <v>5023</v>
      </c>
      <c r="E35" s="0" t="s">
        <v>5024</v>
      </c>
      <c r="F35" s="0" t="s">
        <v>5024</v>
      </c>
      <c r="G35" s="0" t="s">
        <v>1155</v>
      </c>
      <c r="H35" s="0" t="s">
        <v>5065</v>
      </c>
      <c r="I35" s="0" t="s">
        <v>5066</v>
      </c>
      <c r="J35" s="0" t="s">
        <v>5067</v>
      </c>
      <c r="K35" s="444" t="s">
        <v>5068</v>
      </c>
    </row>
    <row r="36" customFormat="false" ht="12.8" hidden="false" customHeight="false" outlineLevel="0" collapsed="false">
      <c r="A36" s="0" t="s">
        <v>5097</v>
      </c>
      <c r="B36" s="0" t="s">
        <v>5098</v>
      </c>
      <c r="C36" s="0" t="s">
        <v>18</v>
      </c>
      <c r="D36" s="0" t="s">
        <v>5023</v>
      </c>
      <c r="E36" s="0" t="s">
        <v>5024</v>
      </c>
      <c r="F36" s="0" t="s">
        <v>5024</v>
      </c>
      <c r="G36" s="0" t="s">
        <v>1155</v>
      </c>
      <c r="H36" s="0" t="s">
        <v>5065</v>
      </c>
      <c r="I36" s="0" t="s">
        <v>5066</v>
      </c>
      <c r="J36" s="0" t="s">
        <v>5067</v>
      </c>
      <c r="K36" s="444" t="s">
        <v>5068</v>
      </c>
    </row>
    <row r="37" customFormat="false" ht="12.8" hidden="false" customHeight="false" outlineLevel="0" collapsed="false">
      <c r="A37" s="0" t="s">
        <v>5099</v>
      </c>
      <c r="B37" s="0" t="s">
        <v>5100</v>
      </c>
      <c r="C37" s="0" t="s">
        <v>18</v>
      </c>
      <c r="D37" s="0" t="s">
        <v>5023</v>
      </c>
      <c r="E37" s="0" t="s">
        <v>5024</v>
      </c>
      <c r="F37" s="0" t="s">
        <v>5024</v>
      </c>
      <c r="G37" s="0" t="s">
        <v>1155</v>
      </c>
      <c r="H37" s="0" t="s">
        <v>5065</v>
      </c>
      <c r="I37" s="0" t="s">
        <v>5066</v>
      </c>
      <c r="J37" s="0" t="s">
        <v>5067</v>
      </c>
      <c r="K37" s="444" t="s">
        <v>5068</v>
      </c>
    </row>
    <row r="38" customFormat="false" ht="12.8" hidden="false" customHeight="false" outlineLevel="0" collapsed="false">
      <c r="A38" s="0" t="s">
        <v>5101</v>
      </c>
      <c r="B38" s="0" t="s">
        <v>5102</v>
      </c>
      <c r="C38" s="0" t="s">
        <v>18</v>
      </c>
      <c r="D38" s="0" t="s">
        <v>5023</v>
      </c>
      <c r="E38" s="0" t="s">
        <v>5024</v>
      </c>
      <c r="F38" s="0" t="s">
        <v>5024</v>
      </c>
      <c r="G38" s="0" t="s">
        <v>1155</v>
      </c>
      <c r="H38" s="0" t="s">
        <v>5065</v>
      </c>
      <c r="I38" s="0" t="s">
        <v>5066</v>
      </c>
      <c r="J38" s="0" t="s">
        <v>5067</v>
      </c>
      <c r="K38" s="444" t="s">
        <v>5068</v>
      </c>
    </row>
    <row r="39" customFormat="false" ht="12.8" hidden="false" customHeight="false" outlineLevel="0" collapsed="false">
      <c r="A39" s="0" t="s">
        <v>5103</v>
      </c>
      <c r="B39" s="0" t="s">
        <v>5104</v>
      </c>
      <c r="C39" s="0" t="s">
        <v>18</v>
      </c>
      <c r="D39" s="0" t="s">
        <v>5023</v>
      </c>
      <c r="E39" s="0" t="s">
        <v>5024</v>
      </c>
      <c r="F39" s="0" t="s">
        <v>5024</v>
      </c>
      <c r="G39" s="0" t="s">
        <v>1155</v>
      </c>
      <c r="H39" s="0" t="s">
        <v>5065</v>
      </c>
      <c r="I39" s="0" t="s">
        <v>5066</v>
      </c>
      <c r="J39" s="0" t="s">
        <v>5067</v>
      </c>
      <c r="K39" s="444" t="s">
        <v>5068</v>
      </c>
    </row>
    <row r="40" customFormat="false" ht="12.8" hidden="false" customHeight="false" outlineLevel="0" collapsed="false">
      <c r="A40" s="0" t="s">
        <v>5105</v>
      </c>
      <c r="B40" s="0" t="s">
        <v>5106</v>
      </c>
      <c r="C40" s="0" t="s">
        <v>18</v>
      </c>
      <c r="D40" s="0" t="s">
        <v>5057</v>
      </c>
      <c r="E40" s="0" t="s">
        <v>5058</v>
      </c>
      <c r="F40" s="0" t="s">
        <v>5058</v>
      </c>
      <c r="G40" s="0" t="s">
        <v>1155</v>
      </c>
      <c r="H40" s="0" t="s">
        <v>5065</v>
      </c>
      <c r="I40" s="0" t="s">
        <v>5066</v>
      </c>
      <c r="J40" s="0" t="s">
        <v>5067</v>
      </c>
      <c r="K40" s="444" t="s">
        <v>5068</v>
      </c>
    </row>
    <row r="41" customFormat="false" ht="12.8" hidden="false" customHeight="false" outlineLevel="0" collapsed="false">
      <c r="A41" s="0" t="s">
        <v>5107</v>
      </c>
      <c r="B41" s="0" t="s">
        <v>5108</v>
      </c>
      <c r="C41" s="0" t="s">
        <v>18</v>
      </c>
      <c r="D41" s="0" t="s">
        <v>5061</v>
      </c>
      <c r="E41" s="0" t="s">
        <v>5062</v>
      </c>
      <c r="F41" s="0" t="s">
        <v>5062</v>
      </c>
      <c r="G41" s="0" t="s">
        <v>1155</v>
      </c>
      <c r="H41" s="0" t="s">
        <v>5065</v>
      </c>
      <c r="I41" s="0" t="s">
        <v>5066</v>
      </c>
      <c r="J41" s="0" t="s">
        <v>5067</v>
      </c>
      <c r="K41" s="444" t="s">
        <v>5068</v>
      </c>
    </row>
    <row r="42" customFormat="false" ht="12.8" hidden="false" customHeight="false" outlineLevel="0" collapsed="false">
      <c r="A42" s="0" t="s">
        <v>5109</v>
      </c>
      <c r="B42" s="0" t="s">
        <v>5110</v>
      </c>
      <c r="C42" s="0" t="s">
        <v>124</v>
      </c>
      <c r="D42" s="0" t="s">
        <v>5061</v>
      </c>
      <c r="E42" s="0" t="s">
        <v>5062</v>
      </c>
      <c r="F42" s="0" t="s">
        <v>5062</v>
      </c>
      <c r="G42" s="0" t="s">
        <v>458</v>
      </c>
      <c r="H42" s="0" t="s">
        <v>781</v>
      </c>
      <c r="I42" s="0" t="s">
        <v>5111</v>
      </c>
      <c r="J42" s="0" t="s">
        <v>5112</v>
      </c>
      <c r="K42" s="0" t="s">
        <v>5113</v>
      </c>
    </row>
    <row r="43" customFormat="false" ht="12.8" hidden="false" customHeight="false" outlineLevel="0" collapsed="false">
      <c r="A43" s="0" t="s">
        <v>5114</v>
      </c>
      <c r="B43" s="0" t="s">
        <v>5115</v>
      </c>
      <c r="C43" s="0" t="s">
        <v>124</v>
      </c>
      <c r="D43" s="0" t="s">
        <v>5057</v>
      </c>
      <c r="E43" s="0" t="s">
        <v>5058</v>
      </c>
      <c r="F43" s="0" t="s">
        <v>5058</v>
      </c>
      <c r="G43" s="0" t="s">
        <v>458</v>
      </c>
      <c r="H43" s="0" t="s">
        <v>781</v>
      </c>
      <c r="I43" s="0" t="s">
        <v>5111</v>
      </c>
      <c r="J43" s="0" t="s">
        <v>5112</v>
      </c>
      <c r="K43" s="0" t="s">
        <v>5113</v>
      </c>
    </row>
    <row r="44" customFormat="false" ht="12.8" hidden="false" customHeight="false" outlineLevel="0" collapsed="false">
      <c r="A44" s="0" t="s">
        <v>5116</v>
      </c>
      <c r="B44" s="0" t="s">
        <v>5117</v>
      </c>
      <c r="C44" s="0" t="s">
        <v>124</v>
      </c>
      <c r="D44" s="0" t="s">
        <v>5023</v>
      </c>
      <c r="E44" s="0" t="s">
        <v>5024</v>
      </c>
      <c r="F44" s="0" t="s">
        <v>5024</v>
      </c>
      <c r="G44" s="0" t="s">
        <v>458</v>
      </c>
      <c r="H44" s="0" t="s">
        <v>781</v>
      </c>
      <c r="I44" s="0" t="s">
        <v>5111</v>
      </c>
      <c r="J44" s="0" t="s">
        <v>5112</v>
      </c>
      <c r="K44" s="0" t="s">
        <v>5113</v>
      </c>
    </row>
    <row r="45" customFormat="false" ht="12.8" hidden="false" customHeight="false" outlineLevel="0" collapsed="false">
      <c r="A45" s="0" t="s">
        <v>5118</v>
      </c>
      <c r="B45" s="0" t="s">
        <v>5119</v>
      </c>
      <c r="C45" s="0" t="s">
        <v>124</v>
      </c>
      <c r="D45" s="0" t="s">
        <v>5023</v>
      </c>
      <c r="E45" s="0" t="s">
        <v>5024</v>
      </c>
      <c r="F45" s="0" t="s">
        <v>5024</v>
      </c>
      <c r="G45" s="0" t="s">
        <v>458</v>
      </c>
      <c r="H45" s="0" t="s">
        <v>781</v>
      </c>
      <c r="I45" s="0" t="s">
        <v>5111</v>
      </c>
      <c r="J45" s="0" t="s">
        <v>5112</v>
      </c>
      <c r="K45" s="0" t="s">
        <v>5113</v>
      </c>
    </row>
    <row r="46" customFormat="false" ht="12.8" hidden="false" customHeight="false" outlineLevel="0" collapsed="false">
      <c r="A46" s="0" t="s">
        <v>5120</v>
      </c>
      <c r="B46" s="0" t="s">
        <v>5121</v>
      </c>
      <c r="C46" s="0" t="s">
        <v>124</v>
      </c>
      <c r="D46" s="0" t="s">
        <v>5023</v>
      </c>
      <c r="E46" s="0" t="s">
        <v>5024</v>
      </c>
      <c r="F46" s="0" t="s">
        <v>5024</v>
      </c>
      <c r="G46" s="0" t="s">
        <v>458</v>
      </c>
      <c r="H46" s="0" t="s">
        <v>781</v>
      </c>
      <c r="I46" s="0" t="s">
        <v>5111</v>
      </c>
      <c r="J46" s="0" t="s">
        <v>5112</v>
      </c>
      <c r="K46" s="0" t="s">
        <v>5113</v>
      </c>
    </row>
    <row r="47" customFormat="false" ht="12.8" hidden="false" customHeight="false" outlineLevel="0" collapsed="false">
      <c r="A47" s="0" t="s">
        <v>5122</v>
      </c>
      <c r="B47" s="0" t="s">
        <v>5123</v>
      </c>
      <c r="C47" s="0" t="s">
        <v>124</v>
      </c>
      <c r="D47" s="0" t="s">
        <v>5023</v>
      </c>
      <c r="E47" s="0" t="s">
        <v>5024</v>
      </c>
      <c r="F47" s="0" t="s">
        <v>5024</v>
      </c>
      <c r="G47" s="0" t="s">
        <v>458</v>
      </c>
      <c r="H47" s="0" t="s">
        <v>781</v>
      </c>
      <c r="I47" s="0" t="s">
        <v>5111</v>
      </c>
      <c r="J47" s="0" t="s">
        <v>5112</v>
      </c>
      <c r="K47" s="0" t="s">
        <v>5113</v>
      </c>
    </row>
    <row r="48" customFormat="false" ht="12.8" hidden="false" customHeight="false" outlineLevel="0" collapsed="false">
      <c r="A48" s="0" t="s">
        <v>5124</v>
      </c>
      <c r="B48" s="0" t="s">
        <v>5125</v>
      </c>
      <c r="C48" s="0" t="s">
        <v>124</v>
      </c>
      <c r="D48" s="0" t="s">
        <v>5023</v>
      </c>
      <c r="E48" s="0" t="s">
        <v>5024</v>
      </c>
      <c r="F48" s="0" t="s">
        <v>5024</v>
      </c>
      <c r="G48" s="0" t="s">
        <v>458</v>
      </c>
      <c r="H48" s="0" t="s">
        <v>781</v>
      </c>
      <c r="I48" s="0" t="s">
        <v>5111</v>
      </c>
      <c r="J48" s="0" t="s">
        <v>5112</v>
      </c>
      <c r="K48" s="0" t="s">
        <v>5113</v>
      </c>
    </row>
    <row r="49" customFormat="false" ht="12.8" hidden="false" customHeight="false" outlineLevel="0" collapsed="false">
      <c r="A49" s="0" t="s">
        <v>5126</v>
      </c>
      <c r="B49" s="0" t="s">
        <v>5127</v>
      </c>
      <c r="C49" s="0" t="s">
        <v>124</v>
      </c>
      <c r="D49" s="0" t="s">
        <v>5023</v>
      </c>
      <c r="E49" s="0" t="s">
        <v>5024</v>
      </c>
      <c r="F49" s="0" t="s">
        <v>5024</v>
      </c>
      <c r="G49" s="0" t="s">
        <v>458</v>
      </c>
      <c r="H49" s="0" t="s">
        <v>781</v>
      </c>
      <c r="I49" s="0" t="s">
        <v>5111</v>
      </c>
      <c r="J49" s="0" t="s">
        <v>5112</v>
      </c>
      <c r="K49" s="0" t="s">
        <v>5113</v>
      </c>
    </row>
    <row r="50" customFormat="false" ht="12.8" hidden="false" customHeight="false" outlineLevel="0" collapsed="false">
      <c r="A50" s="0" t="s">
        <v>5128</v>
      </c>
      <c r="B50" s="0" t="s">
        <v>5129</v>
      </c>
      <c r="C50" s="0" t="s">
        <v>124</v>
      </c>
      <c r="D50" s="0" t="s">
        <v>5023</v>
      </c>
      <c r="E50" s="0" t="s">
        <v>5024</v>
      </c>
      <c r="F50" s="0" t="s">
        <v>5024</v>
      </c>
      <c r="G50" s="0" t="s">
        <v>458</v>
      </c>
      <c r="H50" s="0" t="s">
        <v>781</v>
      </c>
      <c r="I50" s="0" t="s">
        <v>5111</v>
      </c>
      <c r="J50" s="0" t="s">
        <v>5112</v>
      </c>
      <c r="K50" s="0" t="s">
        <v>5113</v>
      </c>
    </row>
    <row r="51" customFormat="false" ht="12.8" hidden="false" customHeight="false" outlineLevel="0" collapsed="false">
      <c r="A51" s="0" t="s">
        <v>5130</v>
      </c>
      <c r="B51" s="0" t="s">
        <v>5131</v>
      </c>
      <c r="C51" s="0" t="s">
        <v>124</v>
      </c>
      <c r="D51" s="0" t="s">
        <v>5023</v>
      </c>
      <c r="E51" s="0" t="s">
        <v>5024</v>
      </c>
      <c r="F51" s="0" t="s">
        <v>5024</v>
      </c>
      <c r="G51" s="0" t="s">
        <v>458</v>
      </c>
      <c r="H51" s="0" t="s">
        <v>781</v>
      </c>
      <c r="I51" s="0" t="s">
        <v>5111</v>
      </c>
      <c r="J51" s="0" t="s">
        <v>5112</v>
      </c>
      <c r="K51" s="0" t="s">
        <v>5113</v>
      </c>
    </row>
    <row r="52" customFormat="false" ht="12.8" hidden="false" customHeight="false" outlineLevel="0" collapsed="false">
      <c r="A52" s="0" t="s">
        <v>5132</v>
      </c>
      <c r="B52" s="0" t="s">
        <v>5133</v>
      </c>
      <c r="C52" s="0" t="s">
        <v>124</v>
      </c>
      <c r="D52" s="0" t="s">
        <v>5023</v>
      </c>
      <c r="E52" s="0" t="s">
        <v>5024</v>
      </c>
      <c r="F52" s="0" t="s">
        <v>5024</v>
      </c>
      <c r="G52" s="0" t="s">
        <v>458</v>
      </c>
      <c r="H52" s="0" t="s">
        <v>781</v>
      </c>
      <c r="I52" s="0" t="s">
        <v>5111</v>
      </c>
      <c r="J52" s="0" t="s">
        <v>5112</v>
      </c>
      <c r="K52" s="0" t="s">
        <v>5113</v>
      </c>
    </row>
    <row r="53" customFormat="false" ht="12.8" hidden="false" customHeight="false" outlineLevel="0" collapsed="false">
      <c r="A53" s="0" t="s">
        <v>5134</v>
      </c>
      <c r="B53" s="0" t="s">
        <v>5135</v>
      </c>
      <c r="C53" s="0" t="s">
        <v>220</v>
      </c>
      <c r="D53" s="0" t="s">
        <v>5023</v>
      </c>
      <c r="E53" s="0" t="s">
        <v>5024</v>
      </c>
      <c r="F53" s="0" t="s">
        <v>5024</v>
      </c>
      <c r="G53" s="0" t="s">
        <v>1883</v>
      </c>
      <c r="H53" s="0" t="s">
        <v>2233</v>
      </c>
      <c r="I53" s="0" t="s">
        <v>5136</v>
      </c>
      <c r="J53" s="0" t="s">
        <v>5137</v>
      </c>
      <c r="K53" s="0" t="s">
        <v>5113</v>
      </c>
    </row>
    <row r="54" customFormat="false" ht="12.8" hidden="false" customHeight="false" outlineLevel="0" collapsed="false">
      <c r="A54" s="0" t="s">
        <v>5138</v>
      </c>
      <c r="B54" s="0" t="s">
        <v>5139</v>
      </c>
      <c r="C54" s="0" t="s">
        <v>220</v>
      </c>
      <c r="D54" s="0" t="s">
        <v>5023</v>
      </c>
      <c r="E54" s="0" t="s">
        <v>5024</v>
      </c>
      <c r="F54" s="0" t="s">
        <v>5024</v>
      </c>
      <c r="G54" s="0" t="s">
        <v>1883</v>
      </c>
      <c r="H54" s="0" t="s">
        <v>2233</v>
      </c>
      <c r="I54" s="0" t="s">
        <v>5136</v>
      </c>
      <c r="J54" s="0" t="s">
        <v>5137</v>
      </c>
      <c r="K54" s="0" t="s">
        <v>5113</v>
      </c>
    </row>
    <row r="55" customFormat="false" ht="12.8" hidden="false" customHeight="false" outlineLevel="0" collapsed="false">
      <c r="A55" s="0" t="s">
        <v>5140</v>
      </c>
      <c r="B55" s="0" t="s">
        <v>5141</v>
      </c>
      <c r="C55" s="0" t="s">
        <v>220</v>
      </c>
      <c r="D55" s="0" t="s">
        <v>5023</v>
      </c>
      <c r="E55" s="0" t="s">
        <v>5024</v>
      </c>
      <c r="F55" s="0" t="s">
        <v>5024</v>
      </c>
      <c r="G55" s="0" t="s">
        <v>1883</v>
      </c>
      <c r="H55" s="0" t="s">
        <v>2233</v>
      </c>
      <c r="I55" s="0" t="s">
        <v>5136</v>
      </c>
      <c r="J55" s="0" t="s">
        <v>5137</v>
      </c>
      <c r="K55" s="0" t="s">
        <v>5113</v>
      </c>
    </row>
    <row r="56" customFormat="false" ht="12.8" hidden="false" customHeight="false" outlineLevel="0" collapsed="false">
      <c r="A56" s="0" t="s">
        <v>5142</v>
      </c>
      <c r="B56" s="0" t="s">
        <v>5143</v>
      </c>
      <c r="C56" s="0" t="s">
        <v>220</v>
      </c>
      <c r="D56" s="0" t="s">
        <v>5023</v>
      </c>
      <c r="E56" s="0" t="s">
        <v>5024</v>
      </c>
      <c r="F56" s="0" t="s">
        <v>5024</v>
      </c>
      <c r="G56" s="0" t="s">
        <v>1883</v>
      </c>
      <c r="H56" s="0" t="s">
        <v>2233</v>
      </c>
      <c r="I56" s="0" t="s">
        <v>5136</v>
      </c>
      <c r="J56" s="0" t="s">
        <v>5137</v>
      </c>
      <c r="K56" s="0" t="s">
        <v>5113</v>
      </c>
    </row>
    <row r="57" customFormat="false" ht="12.8" hidden="false" customHeight="false" outlineLevel="0" collapsed="false">
      <c r="A57" s="0" t="s">
        <v>5144</v>
      </c>
      <c r="B57" s="0" t="s">
        <v>5145</v>
      </c>
      <c r="C57" s="0" t="s">
        <v>220</v>
      </c>
      <c r="D57" s="0" t="s">
        <v>5023</v>
      </c>
      <c r="E57" s="0" t="s">
        <v>5024</v>
      </c>
      <c r="F57" s="0" t="s">
        <v>5024</v>
      </c>
      <c r="G57" s="0" t="s">
        <v>1883</v>
      </c>
      <c r="H57" s="0" t="s">
        <v>2233</v>
      </c>
      <c r="I57" s="0" t="s">
        <v>5136</v>
      </c>
      <c r="J57" s="0" t="s">
        <v>5137</v>
      </c>
      <c r="K57" s="0" t="s">
        <v>5113</v>
      </c>
    </row>
    <row r="58" customFormat="false" ht="12.8" hidden="false" customHeight="false" outlineLevel="0" collapsed="false">
      <c r="A58" s="0" t="s">
        <v>5146</v>
      </c>
      <c r="B58" s="0" t="s">
        <v>5147</v>
      </c>
      <c r="C58" s="0" t="s">
        <v>220</v>
      </c>
      <c r="D58" s="0" t="s">
        <v>5023</v>
      </c>
      <c r="E58" s="0" t="s">
        <v>5024</v>
      </c>
      <c r="F58" s="0" t="s">
        <v>5024</v>
      </c>
      <c r="G58" s="0" t="s">
        <v>1883</v>
      </c>
      <c r="H58" s="0" t="s">
        <v>2233</v>
      </c>
      <c r="I58" s="0" t="s">
        <v>5136</v>
      </c>
      <c r="J58" s="0" t="s">
        <v>5137</v>
      </c>
      <c r="K58" s="0" t="s">
        <v>5113</v>
      </c>
    </row>
    <row r="59" customFormat="false" ht="12.8" hidden="false" customHeight="false" outlineLevel="0" collapsed="false">
      <c r="A59" s="0" t="s">
        <v>5148</v>
      </c>
      <c r="B59" s="0" t="s">
        <v>5149</v>
      </c>
      <c r="C59" s="0" t="s">
        <v>220</v>
      </c>
      <c r="D59" s="0" t="s">
        <v>5023</v>
      </c>
      <c r="E59" s="0" t="s">
        <v>5024</v>
      </c>
      <c r="F59" s="0" t="s">
        <v>5024</v>
      </c>
      <c r="G59" s="0" t="s">
        <v>1883</v>
      </c>
      <c r="H59" s="0" t="s">
        <v>2233</v>
      </c>
      <c r="I59" s="0" t="s">
        <v>5136</v>
      </c>
      <c r="J59" s="0" t="s">
        <v>5137</v>
      </c>
      <c r="K59" s="0" t="s">
        <v>5113</v>
      </c>
    </row>
    <row r="60" customFormat="false" ht="12.8" hidden="false" customHeight="false" outlineLevel="0" collapsed="false">
      <c r="A60" s="0" t="s">
        <v>5150</v>
      </c>
      <c r="B60" s="0" t="s">
        <v>5151</v>
      </c>
      <c r="C60" s="0" t="s">
        <v>220</v>
      </c>
      <c r="D60" s="0" t="s">
        <v>5023</v>
      </c>
      <c r="E60" s="0" t="s">
        <v>5024</v>
      </c>
      <c r="F60" s="0" t="s">
        <v>5024</v>
      </c>
      <c r="G60" s="0" t="s">
        <v>1883</v>
      </c>
      <c r="H60" s="0" t="s">
        <v>2233</v>
      </c>
      <c r="I60" s="0" t="s">
        <v>5136</v>
      </c>
      <c r="J60" s="0" t="s">
        <v>5137</v>
      </c>
      <c r="K60" s="0" t="s">
        <v>5113</v>
      </c>
    </row>
    <row r="61" customFormat="false" ht="12.8" hidden="false" customHeight="false" outlineLevel="0" collapsed="false">
      <c r="A61" s="0" t="s">
        <v>5152</v>
      </c>
      <c r="B61" s="0" t="s">
        <v>5153</v>
      </c>
      <c r="C61" s="0" t="s">
        <v>220</v>
      </c>
      <c r="D61" s="0" t="s">
        <v>5023</v>
      </c>
      <c r="E61" s="0" t="s">
        <v>5024</v>
      </c>
      <c r="F61" s="0" t="s">
        <v>5024</v>
      </c>
      <c r="G61" s="0" t="s">
        <v>1883</v>
      </c>
      <c r="H61" s="0" t="s">
        <v>2233</v>
      </c>
      <c r="I61" s="0" t="s">
        <v>5136</v>
      </c>
      <c r="J61" s="0" t="s">
        <v>5137</v>
      </c>
      <c r="K61" s="0" t="s">
        <v>5113</v>
      </c>
    </row>
    <row r="62" customFormat="false" ht="12.8" hidden="false" customHeight="false" outlineLevel="0" collapsed="false">
      <c r="A62" s="0" t="s">
        <v>5154</v>
      </c>
      <c r="B62" s="0" t="s">
        <v>5155</v>
      </c>
      <c r="C62" s="0" t="s">
        <v>220</v>
      </c>
      <c r="D62" s="0" t="s">
        <v>5023</v>
      </c>
      <c r="E62" s="0" t="s">
        <v>5024</v>
      </c>
      <c r="F62" s="0" t="s">
        <v>5024</v>
      </c>
      <c r="G62" s="0" t="s">
        <v>1883</v>
      </c>
      <c r="H62" s="0" t="s">
        <v>2233</v>
      </c>
      <c r="I62" s="0" t="s">
        <v>5136</v>
      </c>
      <c r="J62" s="0" t="s">
        <v>5137</v>
      </c>
      <c r="K62" s="0" t="s">
        <v>5113</v>
      </c>
    </row>
    <row r="63" customFormat="false" ht="12.8" hidden="false" customHeight="false" outlineLevel="0" collapsed="false">
      <c r="A63" s="0" t="s">
        <v>5156</v>
      </c>
      <c r="B63" s="0" t="s">
        <v>5157</v>
      </c>
      <c r="C63" s="0" t="s">
        <v>220</v>
      </c>
      <c r="D63" s="0" t="s">
        <v>5023</v>
      </c>
      <c r="E63" s="0" t="s">
        <v>5024</v>
      </c>
      <c r="F63" s="0" t="s">
        <v>5024</v>
      </c>
      <c r="G63" s="0" t="s">
        <v>1883</v>
      </c>
      <c r="H63" s="0" t="s">
        <v>2233</v>
      </c>
      <c r="I63" s="0" t="s">
        <v>5136</v>
      </c>
      <c r="J63" s="0" t="s">
        <v>5137</v>
      </c>
      <c r="K63" s="0" t="s">
        <v>5113</v>
      </c>
    </row>
    <row r="64" customFormat="false" ht="12.8" hidden="false" customHeight="false" outlineLevel="0" collapsed="false">
      <c r="A64" s="0" t="s">
        <v>5158</v>
      </c>
      <c r="B64" s="0" t="s">
        <v>5159</v>
      </c>
      <c r="C64" s="0" t="s">
        <v>220</v>
      </c>
      <c r="D64" s="0" t="s">
        <v>5023</v>
      </c>
      <c r="E64" s="0" t="s">
        <v>5024</v>
      </c>
      <c r="F64" s="0" t="s">
        <v>5024</v>
      </c>
      <c r="G64" s="0" t="s">
        <v>1883</v>
      </c>
      <c r="H64" s="0" t="s">
        <v>2233</v>
      </c>
      <c r="I64" s="0" t="s">
        <v>5136</v>
      </c>
      <c r="J64" s="0" t="s">
        <v>5137</v>
      </c>
      <c r="K64" s="0" t="s">
        <v>5113</v>
      </c>
    </row>
    <row r="65" customFormat="false" ht="12.8" hidden="false" customHeight="false" outlineLevel="0" collapsed="false">
      <c r="A65" s="0" t="s">
        <v>5160</v>
      </c>
      <c r="B65" s="0" t="s">
        <v>5161</v>
      </c>
      <c r="C65" s="0" t="s">
        <v>220</v>
      </c>
      <c r="D65" s="0" t="s">
        <v>5023</v>
      </c>
      <c r="E65" s="0" t="s">
        <v>5024</v>
      </c>
      <c r="F65" s="0" t="s">
        <v>5024</v>
      </c>
      <c r="G65" s="0" t="s">
        <v>1883</v>
      </c>
      <c r="H65" s="0" t="s">
        <v>2233</v>
      </c>
      <c r="I65" s="0" t="s">
        <v>5136</v>
      </c>
      <c r="J65" s="0" t="s">
        <v>5137</v>
      </c>
      <c r="K65" s="0" t="s">
        <v>5113</v>
      </c>
    </row>
    <row r="66" customFormat="false" ht="12.8" hidden="false" customHeight="false" outlineLevel="0" collapsed="false">
      <c r="A66" s="0" t="s">
        <v>5162</v>
      </c>
      <c r="B66" s="0" t="s">
        <v>5163</v>
      </c>
      <c r="C66" s="0" t="s">
        <v>220</v>
      </c>
      <c r="D66" s="0" t="s">
        <v>5023</v>
      </c>
      <c r="E66" s="0" t="s">
        <v>5024</v>
      </c>
      <c r="F66" s="0" t="s">
        <v>5024</v>
      </c>
      <c r="G66" s="0" t="s">
        <v>1883</v>
      </c>
      <c r="H66" s="0" t="s">
        <v>2233</v>
      </c>
      <c r="I66" s="0" t="s">
        <v>5136</v>
      </c>
      <c r="J66" s="0" t="s">
        <v>5137</v>
      </c>
      <c r="K66" s="0" t="s">
        <v>5113</v>
      </c>
    </row>
    <row r="67" customFormat="false" ht="12.8" hidden="false" customHeight="false" outlineLevel="0" collapsed="false">
      <c r="A67" s="0" t="s">
        <v>5164</v>
      </c>
      <c r="B67" s="0" t="s">
        <v>5165</v>
      </c>
      <c r="C67" s="0" t="s">
        <v>220</v>
      </c>
      <c r="D67" s="0" t="s">
        <v>5023</v>
      </c>
      <c r="E67" s="0" t="s">
        <v>5024</v>
      </c>
      <c r="F67" s="0" t="s">
        <v>5024</v>
      </c>
      <c r="G67" s="0" t="s">
        <v>1883</v>
      </c>
      <c r="H67" s="0" t="s">
        <v>2233</v>
      </c>
      <c r="I67" s="0" t="s">
        <v>5136</v>
      </c>
      <c r="J67" s="0" t="s">
        <v>5137</v>
      </c>
      <c r="K67" s="0" t="s">
        <v>5113</v>
      </c>
    </row>
    <row r="68" customFormat="false" ht="12.8" hidden="false" customHeight="false" outlineLevel="0" collapsed="false">
      <c r="A68" s="0" t="s">
        <v>5166</v>
      </c>
      <c r="B68" s="0" t="s">
        <v>5167</v>
      </c>
      <c r="C68" s="0" t="s">
        <v>220</v>
      </c>
      <c r="D68" s="0" t="s">
        <v>5023</v>
      </c>
      <c r="E68" s="0" t="s">
        <v>5024</v>
      </c>
      <c r="F68" s="0" t="s">
        <v>5024</v>
      </c>
      <c r="G68" s="0" t="s">
        <v>1883</v>
      </c>
      <c r="H68" s="0" t="s">
        <v>2233</v>
      </c>
      <c r="I68" s="0" t="s">
        <v>5136</v>
      </c>
      <c r="J68" s="0" t="s">
        <v>5137</v>
      </c>
      <c r="K68" s="0" t="s">
        <v>5113</v>
      </c>
    </row>
    <row r="69" customFormat="false" ht="12.8" hidden="false" customHeight="false" outlineLevel="0" collapsed="false">
      <c r="A69" s="0" t="s">
        <v>5168</v>
      </c>
      <c r="B69" s="0" t="s">
        <v>5169</v>
      </c>
      <c r="C69" s="0" t="s">
        <v>220</v>
      </c>
      <c r="D69" s="0" t="s">
        <v>5061</v>
      </c>
      <c r="E69" s="0" t="s">
        <v>5062</v>
      </c>
      <c r="F69" s="0" t="s">
        <v>5062</v>
      </c>
      <c r="G69" s="0" t="s">
        <v>1883</v>
      </c>
      <c r="H69" s="0" t="s">
        <v>2233</v>
      </c>
      <c r="I69" s="0" t="s">
        <v>5136</v>
      </c>
      <c r="J69" s="0" t="s">
        <v>5137</v>
      </c>
      <c r="K69" s="0" t="s">
        <v>5113</v>
      </c>
    </row>
    <row r="70" customFormat="false" ht="12.8" hidden="false" customHeight="false" outlineLevel="0" collapsed="false">
      <c r="A70" s="0" t="s">
        <v>5170</v>
      </c>
      <c r="B70" s="0" t="s">
        <v>5171</v>
      </c>
      <c r="C70" s="0" t="s">
        <v>220</v>
      </c>
      <c r="D70" s="0" t="s">
        <v>5057</v>
      </c>
      <c r="E70" s="0" t="s">
        <v>5058</v>
      </c>
      <c r="F70" s="0" t="s">
        <v>5058</v>
      </c>
      <c r="G70" s="0" t="s">
        <v>1883</v>
      </c>
      <c r="H70" s="0" t="s">
        <v>2233</v>
      </c>
      <c r="I70" s="0" t="s">
        <v>5136</v>
      </c>
      <c r="J70" s="0" t="s">
        <v>5137</v>
      </c>
      <c r="K70" s="0" t="s">
        <v>5113</v>
      </c>
    </row>
    <row r="71" customFormat="false" ht="12.8" hidden="false" customHeight="false" outlineLevel="0" collapsed="false">
      <c r="A71" s="0" t="s">
        <v>5172</v>
      </c>
      <c r="B71" s="0" t="s">
        <v>5173</v>
      </c>
      <c r="C71" s="0" t="s">
        <v>220</v>
      </c>
      <c r="D71" s="0" t="s">
        <v>5174</v>
      </c>
      <c r="E71" s="0" t="s">
        <v>5058</v>
      </c>
      <c r="F71" s="0" t="s">
        <v>5175</v>
      </c>
      <c r="G71" s="0" t="s">
        <v>1883</v>
      </c>
      <c r="H71" s="0" t="s">
        <v>2233</v>
      </c>
      <c r="I71" s="0" t="s">
        <v>5136</v>
      </c>
      <c r="J71" s="0" t="s">
        <v>5137</v>
      </c>
      <c r="K71" s="0" t="s">
        <v>5113</v>
      </c>
    </row>
    <row r="72" customFormat="false" ht="12.8" hidden="false" customHeight="false" outlineLevel="0" collapsed="false">
      <c r="A72" s="0" t="s">
        <v>5176</v>
      </c>
      <c r="B72" s="0" t="s">
        <v>5177</v>
      </c>
      <c r="C72" s="0" t="s">
        <v>123</v>
      </c>
      <c r="D72" s="0" t="s">
        <v>5023</v>
      </c>
      <c r="E72" s="0" t="s">
        <v>5024</v>
      </c>
      <c r="F72" s="0" t="s">
        <v>5024</v>
      </c>
      <c r="G72" s="0" t="s">
        <v>458</v>
      </c>
      <c r="H72" s="0" t="s">
        <v>459</v>
      </c>
      <c r="I72" s="0" t="s">
        <v>5178</v>
      </c>
      <c r="J72" s="0" t="s">
        <v>5179</v>
      </c>
      <c r="K72" s="444" t="s">
        <v>5180</v>
      </c>
    </row>
    <row r="73" customFormat="false" ht="12.8" hidden="false" customHeight="false" outlineLevel="0" collapsed="false">
      <c r="A73" s="0" t="s">
        <v>5181</v>
      </c>
      <c r="B73" s="0" t="s">
        <v>5182</v>
      </c>
      <c r="C73" s="0" t="s">
        <v>123</v>
      </c>
      <c r="D73" s="0" t="s">
        <v>5023</v>
      </c>
      <c r="E73" s="0" t="s">
        <v>5024</v>
      </c>
      <c r="F73" s="0" t="s">
        <v>5024</v>
      </c>
      <c r="G73" s="0" t="s">
        <v>458</v>
      </c>
      <c r="H73" s="0" t="s">
        <v>459</v>
      </c>
      <c r="I73" s="0" t="s">
        <v>5178</v>
      </c>
      <c r="J73" s="0" t="s">
        <v>5179</v>
      </c>
      <c r="K73" s="444" t="s">
        <v>5180</v>
      </c>
    </row>
    <row r="74" customFormat="false" ht="12.8" hidden="false" customHeight="false" outlineLevel="0" collapsed="false">
      <c r="A74" s="0" t="s">
        <v>5183</v>
      </c>
      <c r="B74" s="0" t="s">
        <v>5184</v>
      </c>
      <c r="C74" s="0" t="s">
        <v>123</v>
      </c>
      <c r="D74" s="0" t="s">
        <v>5023</v>
      </c>
      <c r="E74" s="0" t="s">
        <v>5024</v>
      </c>
      <c r="F74" s="0" t="s">
        <v>5024</v>
      </c>
      <c r="G74" s="0" t="s">
        <v>458</v>
      </c>
      <c r="H74" s="0" t="s">
        <v>459</v>
      </c>
      <c r="I74" s="0" t="s">
        <v>5178</v>
      </c>
      <c r="J74" s="0" t="s">
        <v>5179</v>
      </c>
      <c r="K74" s="444" t="s">
        <v>5180</v>
      </c>
    </row>
    <row r="75" customFormat="false" ht="12.8" hidden="false" customHeight="false" outlineLevel="0" collapsed="false">
      <c r="A75" s="0" t="s">
        <v>5185</v>
      </c>
      <c r="B75" s="0" t="s">
        <v>5186</v>
      </c>
      <c r="C75" s="0" t="s">
        <v>123</v>
      </c>
      <c r="D75" s="0" t="s">
        <v>5023</v>
      </c>
      <c r="E75" s="0" t="s">
        <v>5024</v>
      </c>
      <c r="F75" s="0" t="s">
        <v>5024</v>
      </c>
      <c r="G75" s="0" t="s">
        <v>458</v>
      </c>
      <c r="H75" s="0" t="s">
        <v>459</v>
      </c>
      <c r="I75" s="0" t="s">
        <v>5178</v>
      </c>
      <c r="J75" s="0" t="s">
        <v>5179</v>
      </c>
      <c r="K75" s="444" t="s">
        <v>5180</v>
      </c>
    </row>
    <row r="76" customFormat="false" ht="12.8" hidden="false" customHeight="false" outlineLevel="0" collapsed="false">
      <c r="A76" s="0" t="s">
        <v>5187</v>
      </c>
      <c r="B76" s="0" t="s">
        <v>5188</v>
      </c>
      <c r="C76" s="0" t="s">
        <v>123</v>
      </c>
      <c r="D76" s="0" t="s">
        <v>5023</v>
      </c>
      <c r="E76" s="0" t="s">
        <v>5024</v>
      </c>
      <c r="F76" s="0" t="s">
        <v>5024</v>
      </c>
      <c r="G76" s="0" t="s">
        <v>458</v>
      </c>
      <c r="H76" s="0" t="s">
        <v>459</v>
      </c>
      <c r="I76" s="0" t="s">
        <v>5178</v>
      </c>
      <c r="J76" s="0" t="s">
        <v>5179</v>
      </c>
      <c r="K76" s="444" t="s">
        <v>5180</v>
      </c>
    </row>
    <row r="77" customFormat="false" ht="12.8" hidden="false" customHeight="false" outlineLevel="0" collapsed="false">
      <c r="A77" s="0" t="s">
        <v>5189</v>
      </c>
      <c r="B77" s="0" t="s">
        <v>5190</v>
      </c>
      <c r="C77" s="0" t="s">
        <v>123</v>
      </c>
      <c r="D77" s="0" t="s">
        <v>5023</v>
      </c>
      <c r="E77" s="0" t="s">
        <v>5024</v>
      </c>
      <c r="F77" s="0" t="s">
        <v>5024</v>
      </c>
      <c r="G77" s="0" t="s">
        <v>458</v>
      </c>
      <c r="H77" s="0" t="s">
        <v>459</v>
      </c>
      <c r="I77" s="0" t="s">
        <v>5178</v>
      </c>
      <c r="J77" s="0" t="s">
        <v>5179</v>
      </c>
      <c r="K77" s="444" t="s">
        <v>5180</v>
      </c>
    </row>
    <row r="78" customFormat="false" ht="12.8" hidden="false" customHeight="false" outlineLevel="0" collapsed="false">
      <c r="A78" s="0" t="s">
        <v>5191</v>
      </c>
      <c r="B78" s="0" t="s">
        <v>5192</v>
      </c>
      <c r="C78" s="0" t="s">
        <v>123</v>
      </c>
      <c r="D78" s="0" t="s">
        <v>5023</v>
      </c>
      <c r="E78" s="0" t="s">
        <v>5024</v>
      </c>
      <c r="F78" s="0" t="s">
        <v>5024</v>
      </c>
      <c r="G78" s="0" t="s">
        <v>458</v>
      </c>
      <c r="H78" s="0" t="s">
        <v>459</v>
      </c>
      <c r="I78" s="0" t="s">
        <v>5178</v>
      </c>
      <c r="J78" s="0" t="s">
        <v>5179</v>
      </c>
      <c r="K78" s="444" t="s">
        <v>5180</v>
      </c>
    </row>
    <row r="79" customFormat="false" ht="12.8" hidden="false" customHeight="false" outlineLevel="0" collapsed="false">
      <c r="A79" s="0" t="s">
        <v>5193</v>
      </c>
      <c r="B79" s="0" t="s">
        <v>5194</v>
      </c>
      <c r="C79" s="0" t="s">
        <v>123</v>
      </c>
      <c r="D79" s="0" t="s">
        <v>5023</v>
      </c>
      <c r="E79" s="0" t="s">
        <v>5024</v>
      </c>
      <c r="F79" s="0" t="s">
        <v>5024</v>
      </c>
      <c r="G79" s="0" t="s">
        <v>458</v>
      </c>
      <c r="H79" s="0" t="s">
        <v>459</v>
      </c>
      <c r="I79" s="0" t="s">
        <v>5178</v>
      </c>
      <c r="J79" s="0" t="s">
        <v>5179</v>
      </c>
      <c r="K79" s="444" t="s">
        <v>5180</v>
      </c>
    </row>
    <row r="80" customFormat="false" ht="12.8" hidden="false" customHeight="false" outlineLevel="0" collapsed="false">
      <c r="A80" s="0" t="s">
        <v>5195</v>
      </c>
      <c r="B80" s="0" t="s">
        <v>5196</v>
      </c>
      <c r="C80" s="0" t="s">
        <v>123</v>
      </c>
      <c r="D80" s="0" t="s">
        <v>5023</v>
      </c>
      <c r="E80" s="0" t="s">
        <v>5024</v>
      </c>
      <c r="F80" s="0" t="s">
        <v>5024</v>
      </c>
      <c r="G80" s="0" t="s">
        <v>458</v>
      </c>
      <c r="H80" s="0" t="s">
        <v>459</v>
      </c>
      <c r="I80" s="0" t="s">
        <v>5178</v>
      </c>
      <c r="J80" s="0" t="s">
        <v>5179</v>
      </c>
      <c r="K80" s="444" t="s">
        <v>5180</v>
      </c>
    </row>
    <row r="81" customFormat="false" ht="12.8" hidden="false" customHeight="false" outlineLevel="0" collapsed="false">
      <c r="A81" s="0" t="s">
        <v>5197</v>
      </c>
      <c r="B81" s="0" t="s">
        <v>5198</v>
      </c>
      <c r="C81" s="0" t="s">
        <v>123</v>
      </c>
      <c r="D81" s="0" t="s">
        <v>5023</v>
      </c>
      <c r="E81" s="0" t="s">
        <v>5024</v>
      </c>
      <c r="F81" s="0" t="s">
        <v>5024</v>
      </c>
      <c r="G81" s="0" t="s">
        <v>458</v>
      </c>
      <c r="H81" s="0" t="s">
        <v>459</v>
      </c>
      <c r="I81" s="0" t="s">
        <v>5178</v>
      </c>
      <c r="J81" s="0" t="s">
        <v>5179</v>
      </c>
      <c r="K81" s="444" t="s">
        <v>5180</v>
      </c>
    </row>
    <row r="82" customFormat="false" ht="12.8" hidden="false" customHeight="false" outlineLevel="0" collapsed="false">
      <c r="A82" s="0" t="s">
        <v>5199</v>
      </c>
      <c r="B82" s="0" t="s">
        <v>5200</v>
      </c>
      <c r="C82" s="0" t="s">
        <v>123</v>
      </c>
      <c r="D82" s="0" t="s">
        <v>5023</v>
      </c>
      <c r="E82" s="0" t="s">
        <v>5024</v>
      </c>
      <c r="F82" s="0" t="s">
        <v>5024</v>
      </c>
      <c r="G82" s="0" t="s">
        <v>458</v>
      </c>
      <c r="H82" s="0" t="s">
        <v>459</v>
      </c>
      <c r="I82" s="0" t="s">
        <v>5178</v>
      </c>
      <c r="J82" s="0" t="s">
        <v>5179</v>
      </c>
      <c r="K82" s="444" t="s">
        <v>5180</v>
      </c>
    </row>
    <row r="83" customFormat="false" ht="12.8" hidden="false" customHeight="false" outlineLevel="0" collapsed="false">
      <c r="A83" s="0" t="s">
        <v>5201</v>
      </c>
      <c r="B83" s="0" t="s">
        <v>5202</v>
      </c>
      <c r="C83" s="0" t="s">
        <v>123</v>
      </c>
      <c r="D83" s="0" t="s">
        <v>5023</v>
      </c>
      <c r="E83" s="0" t="s">
        <v>5024</v>
      </c>
      <c r="F83" s="0" t="s">
        <v>5024</v>
      </c>
      <c r="G83" s="0" t="s">
        <v>458</v>
      </c>
      <c r="H83" s="0" t="s">
        <v>459</v>
      </c>
      <c r="I83" s="0" t="s">
        <v>5178</v>
      </c>
      <c r="J83" s="0" t="s">
        <v>5179</v>
      </c>
      <c r="K83" s="444" t="s">
        <v>5180</v>
      </c>
    </row>
    <row r="84" customFormat="false" ht="12.8" hidden="false" customHeight="false" outlineLevel="0" collapsed="false">
      <c r="A84" s="0" t="s">
        <v>5203</v>
      </c>
      <c r="B84" s="0" t="s">
        <v>5204</v>
      </c>
      <c r="C84" s="0" t="s">
        <v>123</v>
      </c>
      <c r="D84" s="0" t="s">
        <v>5057</v>
      </c>
      <c r="E84" s="0" t="s">
        <v>5058</v>
      </c>
      <c r="F84" s="0" t="s">
        <v>5058</v>
      </c>
      <c r="G84" s="0" t="s">
        <v>458</v>
      </c>
      <c r="H84" s="0" t="s">
        <v>459</v>
      </c>
      <c r="I84" s="0" t="s">
        <v>5178</v>
      </c>
      <c r="J84" s="0" t="s">
        <v>5179</v>
      </c>
      <c r="K84" s="444" t="s">
        <v>5180</v>
      </c>
    </row>
    <row r="85" customFormat="false" ht="12.8" hidden="false" customHeight="false" outlineLevel="0" collapsed="false">
      <c r="A85" s="0" t="s">
        <v>5205</v>
      </c>
      <c r="B85" s="0" t="s">
        <v>5206</v>
      </c>
      <c r="C85" s="0" t="s">
        <v>123</v>
      </c>
      <c r="D85" s="0" t="s">
        <v>5023</v>
      </c>
      <c r="E85" s="0" t="s">
        <v>5024</v>
      </c>
      <c r="F85" s="0" t="s">
        <v>5024</v>
      </c>
      <c r="G85" s="0" t="s">
        <v>458</v>
      </c>
      <c r="H85" s="0" t="s">
        <v>459</v>
      </c>
      <c r="I85" s="0" t="s">
        <v>5178</v>
      </c>
      <c r="J85" s="0" t="s">
        <v>5179</v>
      </c>
      <c r="K85" s="444" t="s">
        <v>5180</v>
      </c>
    </row>
    <row r="86" customFormat="false" ht="12.8" hidden="false" customHeight="false" outlineLevel="0" collapsed="false">
      <c r="A86" s="0" t="s">
        <v>5207</v>
      </c>
      <c r="B86" s="0" t="s">
        <v>5208</v>
      </c>
      <c r="C86" s="0" t="s">
        <v>123</v>
      </c>
      <c r="D86" s="0" t="s">
        <v>5023</v>
      </c>
      <c r="E86" s="0" t="s">
        <v>5024</v>
      </c>
      <c r="F86" s="0" t="s">
        <v>5024</v>
      </c>
      <c r="G86" s="0" t="s">
        <v>458</v>
      </c>
      <c r="H86" s="0" t="s">
        <v>459</v>
      </c>
      <c r="I86" s="0" t="s">
        <v>5178</v>
      </c>
      <c r="J86" s="0" t="s">
        <v>5179</v>
      </c>
      <c r="K86" s="444" t="s">
        <v>5180</v>
      </c>
    </row>
    <row r="87" customFormat="false" ht="12.8" hidden="false" customHeight="false" outlineLevel="0" collapsed="false">
      <c r="A87" s="0" t="s">
        <v>5209</v>
      </c>
      <c r="B87" s="0" t="s">
        <v>5210</v>
      </c>
      <c r="C87" s="0" t="s">
        <v>123</v>
      </c>
      <c r="D87" s="0" t="s">
        <v>5061</v>
      </c>
      <c r="E87" s="0" t="s">
        <v>5062</v>
      </c>
      <c r="F87" s="0" t="s">
        <v>5062</v>
      </c>
      <c r="G87" s="0" t="s">
        <v>458</v>
      </c>
      <c r="H87" s="0" t="s">
        <v>459</v>
      </c>
      <c r="I87" s="0" t="s">
        <v>5178</v>
      </c>
      <c r="J87" s="0" t="s">
        <v>5179</v>
      </c>
      <c r="K87" s="444" t="s">
        <v>5180</v>
      </c>
    </row>
    <row r="88" customFormat="false" ht="12.8" hidden="false" customHeight="false" outlineLevel="0" collapsed="false">
      <c r="A88" s="0" t="s">
        <v>5211</v>
      </c>
      <c r="B88" s="0" t="s">
        <v>5212</v>
      </c>
      <c r="C88" s="0" t="s">
        <v>123</v>
      </c>
      <c r="D88" s="0" t="s">
        <v>5023</v>
      </c>
      <c r="E88" s="0" t="s">
        <v>5024</v>
      </c>
      <c r="F88" s="0" t="s">
        <v>5024</v>
      </c>
      <c r="G88" s="0" t="s">
        <v>458</v>
      </c>
      <c r="H88" s="0" t="s">
        <v>459</v>
      </c>
      <c r="I88" s="0" t="s">
        <v>5178</v>
      </c>
      <c r="J88" s="0" t="s">
        <v>5179</v>
      </c>
      <c r="K88" s="444" t="s">
        <v>5180</v>
      </c>
    </row>
    <row r="89" customFormat="false" ht="12.8" hidden="false" customHeight="false" outlineLevel="0" collapsed="false">
      <c r="A89" s="0" t="s">
        <v>5213</v>
      </c>
      <c r="B89" s="0" t="s">
        <v>5214</v>
      </c>
      <c r="C89" s="0" t="s">
        <v>123</v>
      </c>
      <c r="D89" s="0" t="s">
        <v>5057</v>
      </c>
      <c r="E89" s="0" t="s">
        <v>5058</v>
      </c>
      <c r="F89" s="0" t="s">
        <v>5058</v>
      </c>
      <c r="G89" s="0" t="s">
        <v>458</v>
      </c>
      <c r="H89" s="0" t="s">
        <v>459</v>
      </c>
      <c r="I89" s="0" t="s">
        <v>5178</v>
      </c>
      <c r="J89" s="0" t="s">
        <v>5179</v>
      </c>
      <c r="K89" s="444" t="s">
        <v>5180</v>
      </c>
    </row>
    <row r="90" customFormat="false" ht="12.8" hidden="false" customHeight="false" outlineLevel="0" collapsed="false">
      <c r="A90" s="0" t="s">
        <v>5215</v>
      </c>
      <c r="B90" s="0" t="s">
        <v>5216</v>
      </c>
      <c r="C90" s="0" t="s">
        <v>235</v>
      </c>
      <c r="D90" s="0" t="s">
        <v>5061</v>
      </c>
      <c r="E90" s="0" t="s">
        <v>5062</v>
      </c>
      <c r="F90" s="0" t="s">
        <v>5062</v>
      </c>
      <c r="G90" s="0" t="s">
        <v>458</v>
      </c>
      <c r="H90" s="0" t="s">
        <v>902</v>
      </c>
      <c r="I90" s="0" t="s">
        <v>5217</v>
      </c>
      <c r="J90" s="0" t="s">
        <v>5218</v>
      </c>
      <c r="K90" s="444" t="s">
        <v>5219</v>
      </c>
    </row>
    <row r="91" customFormat="false" ht="12.8" hidden="false" customHeight="false" outlineLevel="0" collapsed="false">
      <c r="A91" s="0" t="s">
        <v>5220</v>
      </c>
      <c r="B91" s="0" t="s">
        <v>5221</v>
      </c>
      <c r="C91" s="0" t="s">
        <v>235</v>
      </c>
      <c r="D91" s="0" t="s">
        <v>5057</v>
      </c>
      <c r="E91" s="0" t="s">
        <v>5058</v>
      </c>
      <c r="F91" s="0" t="s">
        <v>5058</v>
      </c>
      <c r="G91" s="0" t="s">
        <v>458</v>
      </c>
      <c r="H91" s="0" t="s">
        <v>902</v>
      </c>
      <c r="I91" s="0" t="s">
        <v>5217</v>
      </c>
      <c r="J91" s="0" t="s">
        <v>5218</v>
      </c>
      <c r="K91" s="444" t="s">
        <v>5219</v>
      </c>
    </row>
    <row r="92" customFormat="false" ht="12.8" hidden="false" customHeight="false" outlineLevel="0" collapsed="false">
      <c r="A92" s="0" t="s">
        <v>5222</v>
      </c>
      <c r="B92" s="0" t="s">
        <v>5223</v>
      </c>
      <c r="C92" s="0" t="s">
        <v>235</v>
      </c>
      <c r="D92" s="0" t="s">
        <v>5023</v>
      </c>
      <c r="E92" s="0" t="s">
        <v>5024</v>
      </c>
      <c r="F92" s="0" t="s">
        <v>5024</v>
      </c>
      <c r="G92" s="0" t="s">
        <v>458</v>
      </c>
      <c r="H92" s="0" t="s">
        <v>902</v>
      </c>
      <c r="I92" s="0" t="s">
        <v>5217</v>
      </c>
      <c r="J92" s="0" t="s">
        <v>5218</v>
      </c>
      <c r="K92" s="444" t="s">
        <v>5219</v>
      </c>
    </row>
    <row r="93" customFormat="false" ht="12.8" hidden="false" customHeight="false" outlineLevel="0" collapsed="false">
      <c r="A93" s="0" t="s">
        <v>5224</v>
      </c>
      <c r="B93" s="0" t="s">
        <v>5225</v>
      </c>
      <c r="C93" s="0" t="s">
        <v>235</v>
      </c>
      <c r="D93" s="0" t="s">
        <v>5023</v>
      </c>
      <c r="E93" s="0" t="s">
        <v>5024</v>
      </c>
      <c r="F93" s="0" t="s">
        <v>5024</v>
      </c>
      <c r="G93" s="0" t="s">
        <v>458</v>
      </c>
      <c r="H93" s="0" t="s">
        <v>902</v>
      </c>
      <c r="I93" s="0" t="s">
        <v>5217</v>
      </c>
      <c r="J93" s="0" t="s">
        <v>5218</v>
      </c>
      <c r="K93" s="444" t="s">
        <v>5219</v>
      </c>
    </row>
    <row r="94" customFormat="false" ht="12.8" hidden="false" customHeight="false" outlineLevel="0" collapsed="false">
      <c r="A94" s="0" t="s">
        <v>5226</v>
      </c>
      <c r="B94" s="0" t="s">
        <v>5227</v>
      </c>
      <c r="C94" s="0" t="s">
        <v>235</v>
      </c>
      <c r="D94" s="0" t="s">
        <v>5023</v>
      </c>
      <c r="E94" s="0" t="s">
        <v>5024</v>
      </c>
      <c r="F94" s="0" t="s">
        <v>5024</v>
      </c>
      <c r="G94" s="0" t="s">
        <v>458</v>
      </c>
      <c r="H94" s="0" t="s">
        <v>902</v>
      </c>
      <c r="I94" s="0" t="s">
        <v>5217</v>
      </c>
      <c r="J94" s="0" t="s">
        <v>5218</v>
      </c>
      <c r="K94" s="444" t="s">
        <v>5219</v>
      </c>
    </row>
    <row r="95" customFormat="false" ht="12.8" hidden="false" customHeight="false" outlineLevel="0" collapsed="false">
      <c r="A95" s="0" t="s">
        <v>5228</v>
      </c>
      <c r="B95" s="0" t="s">
        <v>5229</v>
      </c>
      <c r="C95" s="0" t="s">
        <v>235</v>
      </c>
      <c r="D95" s="0" t="s">
        <v>5023</v>
      </c>
      <c r="E95" s="0" t="s">
        <v>5024</v>
      </c>
      <c r="F95" s="0" t="s">
        <v>5024</v>
      </c>
      <c r="G95" s="0" t="s">
        <v>458</v>
      </c>
      <c r="H95" s="0" t="s">
        <v>902</v>
      </c>
      <c r="I95" s="0" t="s">
        <v>5217</v>
      </c>
      <c r="J95" s="0" t="s">
        <v>5218</v>
      </c>
      <c r="K95" s="444" t="s">
        <v>5219</v>
      </c>
    </row>
    <row r="96" customFormat="false" ht="12.8" hidden="false" customHeight="false" outlineLevel="0" collapsed="false">
      <c r="A96" s="0" t="s">
        <v>5230</v>
      </c>
      <c r="B96" s="0" t="s">
        <v>5231</v>
      </c>
      <c r="C96" s="0" t="s">
        <v>235</v>
      </c>
      <c r="D96" s="0" t="s">
        <v>5023</v>
      </c>
      <c r="E96" s="0" t="s">
        <v>5024</v>
      </c>
      <c r="F96" s="0" t="s">
        <v>5024</v>
      </c>
      <c r="G96" s="0" t="s">
        <v>458</v>
      </c>
      <c r="H96" s="0" t="s">
        <v>902</v>
      </c>
      <c r="I96" s="0" t="s">
        <v>5217</v>
      </c>
      <c r="J96" s="0" t="s">
        <v>5218</v>
      </c>
      <c r="K96" s="444" t="s">
        <v>5219</v>
      </c>
    </row>
    <row r="97" customFormat="false" ht="12.8" hidden="false" customHeight="false" outlineLevel="0" collapsed="false">
      <c r="A97" s="0" t="s">
        <v>5232</v>
      </c>
      <c r="B97" s="0" t="s">
        <v>5233</v>
      </c>
      <c r="C97" s="0" t="s">
        <v>235</v>
      </c>
      <c r="D97" s="0" t="s">
        <v>5023</v>
      </c>
      <c r="E97" s="0" t="s">
        <v>5024</v>
      </c>
      <c r="F97" s="0" t="s">
        <v>5024</v>
      </c>
      <c r="G97" s="0" t="s">
        <v>458</v>
      </c>
      <c r="H97" s="0" t="s">
        <v>902</v>
      </c>
      <c r="I97" s="0" t="s">
        <v>5217</v>
      </c>
      <c r="J97" s="0" t="s">
        <v>5218</v>
      </c>
      <c r="K97" s="444" t="s">
        <v>5219</v>
      </c>
    </row>
    <row r="98" customFormat="false" ht="12.8" hidden="false" customHeight="false" outlineLevel="0" collapsed="false">
      <c r="A98" s="0" t="s">
        <v>5234</v>
      </c>
      <c r="B98" s="0" t="s">
        <v>5235</v>
      </c>
      <c r="C98" s="0" t="s">
        <v>235</v>
      </c>
      <c r="D98" s="0" t="s">
        <v>5023</v>
      </c>
      <c r="E98" s="0" t="s">
        <v>5024</v>
      </c>
      <c r="F98" s="0" t="s">
        <v>5024</v>
      </c>
      <c r="G98" s="0" t="s">
        <v>458</v>
      </c>
      <c r="H98" s="0" t="s">
        <v>902</v>
      </c>
      <c r="I98" s="0" t="s">
        <v>5217</v>
      </c>
      <c r="J98" s="0" t="s">
        <v>5218</v>
      </c>
      <c r="K98" s="444" t="s">
        <v>5219</v>
      </c>
    </row>
    <row r="99" customFormat="false" ht="12.8" hidden="false" customHeight="false" outlineLevel="0" collapsed="false">
      <c r="A99" s="0" t="s">
        <v>5236</v>
      </c>
      <c r="B99" s="0" t="s">
        <v>5237</v>
      </c>
      <c r="C99" s="0" t="s">
        <v>235</v>
      </c>
      <c r="D99" s="0" t="s">
        <v>5023</v>
      </c>
      <c r="E99" s="0" t="s">
        <v>5024</v>
      </c>
      <c r="F99" s="0" t="s">
        <v>5024</v>
      </c>
      <c r="G99" s="0" t="s">
        <v>458</v>
      </c>
      <c r="H99" s="0" t="s">
        <v>902</v>
      </c>
      <c r="I99" s="0" t="s">
        <v>5217</v>
      </c>
      <c r="J99" s="0" t="s">
        <v>5218</v>
      </c>
      <c r="K99" s="444" t="s">
        <v>5219</v>
      </c>
    </row>
    <row r="100" customFormat="false" ht="12.8" hidden="false" customHeight="false" outlineLevel="0" collapsed="false">
      <c r="A100" s="0" t="s">
        <v>5238</v>
      </c>
      <c r="B100" s="0" t="s">
        <v>5239</v>
      </c>
      <c r="C100" s="0" t="s">
        <v>235</v>
      </c>
      <c r="D100" s="0" t="s">
        <v>5023</v>
      </c>
      <c r="E100" s="0" t="s">
        <v>5024</v>
      </c>
      <c r="F100" s="0" t="s">
        <v>5024</v>
      </c>
      <c r="G100" s="0" t="s">
        <v>458</v>
      </c>
      <c r="H100" s="0" t="s">
        <v>902</v>
      </c>
      <c r="I100" s="0" t="s">
        <v>5217</v>
      </c>
      <c r="J100" s="0" t="s">
        <v>5218</v>
      </c>
      <c r="K100" s="444" t="s">
        <v>5219</v>
      </c>
    </row>
    <row r="101" customFormat="false" ht="12.8" hidden="false" customHeight="false" outlineLevel="0" collapsed="false">
      <c r="A101" s="0" t="s">
        <v>5240</v>
      </c>
      <c r="B101" s="0" t="s">
        <v>5241</v>
      </c>
      <c r="C101" s="0" t="s">
        <v>235</v>
      </c>
      <c r="D101" s="0" t="s">
        <v>5023</v>
      </c>
      <c r="E101" s="0" t="s">
        <v>5024</v>
      </c>
      <c r="F101" s="0" t="s">
        <v>5024</v>
      </c>
      <c r="G101" s="0" t="s">
        <v>458</v>
      </c>
      <c r="H101" s="0" t="s">
        <v>902</v>
      </c>
      <c r="I101" s="0" t="s">
        <v>5217</v>
      </c>
      <c r="J101" s="0" t="s">
        <v>5218</v>
      </c>
      <c r="K101" s="444" t="s">
        <v>5219</v>
      </c>
    </row>
    <row r="102" customFormat="false" ht="12.8" hidden="false" customHeight="false" outlineLevel="0" collapsed="false">
      <c r="A102" s="0" t="s">
        <v>5242</v>
      </c>
      <c r="B102" s="0" t="s">
        <v>5243</v>
      </c>
      <c r="C102" s="0" t="s">
        <v>235</v>
      </c>
      <c r="D102" s="0" t="s">
        <v>5023</v>
      </c>
      <c r="E102" s="0" t="s">
        <v>5024</v>
      </c>
      <c r="F102" s="0" t="s">
        <v>5024</v>
      </c>
      <c r="G102" s="0" t="s">
        <v>458</v>
      </c>
      <c r="H102" s="0" t="s">
        <v>902</v>
      </c>
      <c r="I102" s="0" t="s">
        <v>5217</v>
      </c>
      <c r="J102" s="0" t="s">
        <v>5218</v>
      </c>
      <c r="K102" s="444" t="s">
        <v>5219</v>
      </c>
    </row>
    <row r="103" customFormat="false" ht="12.8" hidden="false" customHeight="false" outlineLevel="0" collapsed="false">
      <c r="A103" s="0" t="s">
        <v>5244</v>
      </c>
      <c r="B103" s="0" t="s">
        <v>5245</v>
      </c>
      <c r="C103" s="0" t="s">
        <v>235</v>
      </c>
      <c r="D103" s="0" t="s">
        <v>5023</v>
      </c>
      <c r="E103" s="0" t="s">
        <v>5024</v>
      </c>
      <c r="F103" s="0" t="s">
        <v>5024</v>
      </c>
      <c r="G103" s="0" t="s">
        <v>458</v>
      </c>
      <c r="H103" s="0" t="s">
        <v>902</v>
      </c>
      <c r="I103" s="0" t="s">
        <v>5217</v>
      </c>
      <c r="J103" s="0" t="s">
        <v>5218</v>
      </c>
      <c r="K103" s="444" t="s">
        <v>5219</v>
      </c>
    </row>
    <row r="104" customFormat="false" ht="12.8" hidden="false" customHeight="false" outlineLevel="0" collapsed="false">
      <c r="A104" s="0" t="s">
        <v>5246</v>
      </c>
      <c r="B104" s="0" t="s">
        <v>5247</v>
      </c>
      <c r="C104" s="0" t="s">
        <v>235</v>
      </c>
      <c r="D104" s="0" t="s">
        <v>5023</v>
      </c>
      <c r="E104" s="0" t="s">
        <v>5024</v>
      </c>
      <c r="F104" s="0" t="s">
        <v>5024</v>
      </c>
      <c r="G104" s="0" t="s">
        <v>458</v>
      </c>
      <c r="H104" s="0" t="s">
        <v>902</v>
      </c>
      <c r="I104" s="0" t="s">
        <v>5217</v>
      </c>
      <c r="J104" s="0" t="s">
        <v>5218</v>
      </c>
      <c r="K104" s="444" t="s">
        <v>5219</v>
      </c>
    </row>
    <row r="105" customFormat="false" ht="12.8" hidden="false" customHeight="false" outlineLevel="0" collapsed="false">
      <c r="A105" s="0" t="s">
        <v>5248</v>
      </c>
      <c r="B105" s="0" t="s">
        <v>5249</v>
      </c>
      <c r="C105" s="0" t="s">
        <v>235</v>
      </c>
      <c r="D105" s="0" t="s">
        <v>5023</v>
      </c>
      <c r="E105" s="0" t="s">
        <v>5024</v>
      </c>
      <c r="F105" s="0" t="s">
        <v>5024</v>
      </c>
      <c r="G105" s="0" t="s">
        <v>458</v>
      </c>
      <c r="H105" s="0" t="s">
        <v>902</v>
      </c>
      <c r="I105" s="0" t="s">
        <v>5217</v>
      </c>
      <c r="J105" s="0" t="s">
        <v>5218</v>
      </c>
      <c r="K105" s="444" t="s">
        <v>5219</v>
      </c>
    </row>
    <row r="106" customFormat="false" ht="12.8" hidden="false" customHeight="false" outlineLevel="0" collapsed="false">
      <c r="A106" s="0" t="s">
        <v>5250</v>
      </c>
      <c r="B106" s="0" t="s">
        <v>5251</v>
      </c>
      <c r="C106" s="0" t="s">
        <v>235</v>
      </c>
      <c r="D106" s="0" t="s">
        <v>5023</v>
      </c>
      <c r="E106" s="0" t="s">
        <v>5024</v>
      </c>
      <c r="F106" s="0" t="s">
        <v>5024</v>
      </c>
      <c r="G106" s="0" t="s">
        <v>458</v>
      </c>
      <c r="H106" s="0" t="s">
        <v>902</v>
      </c>
      <c r="I106" s="0" t="s">
        <v>5217</v>
      </c>
      <c r="J106" s="0" t="s">
        <v>5218</v>
      </c>
      <c r="K106" s="444" t="s">
        <v>5219</v>
      </c>
    </row>
    <row r="107" customFormat="false" ht="12.8" hidden="false" customHeight="false" outlineLevel="0" collapsed="false">
      <c r="A107" s="0" t="s">
        <v>5252</v>
      </c>
      <c r="B107" s="0" t="s">
        <v>5253</v>
      </c>
      <c r="C107" s="0" t="s">
        <v>235</v>
      </c>
      <c r="D107" s="0" t="s">
        <v>5023</v>
      </c>
      <c r="E107" s="0" t="s">
        <v>5024</v>
      </c>
      <c r="F107" s="0" t="s">
        <v>5024</v>
      </c>
      <c r="G107" s="0" t="s">
        <v>458</v>
      </c>
      <c r="H107" s="0" t="s">
        <v>902</v>
      </c>
      <c r="I107" s="0" t="s">
        <v>5217</v>
      </c>
      <c r="J107" s="0" t="s">
        <v>5218</v>
      </c>
      <c r="K107" s="444" t="s">
        <v>5219</v>
      </c>
    </row>
    <row r="108" customFormat="false" ht="12.8" hidden="false" customHeight="false" outlineLevel="0" collapsed="false">
      <c r="A108" s="0" t="s">
        <v>5254</v>
      </c>
      <c r="B108" s="0" t="s">
        <v>5255</v>
      </c>
      <c r="C108" s="0" t="s">
        <v>235</v>
      </c>
      <c r="D108" s="0" t="s">
        <v>5023</v>
      </c>
      <c r="E108" s="0" t="s">
        <v>5024</v>
      </c>
      <c r="F108" s="0" t="s">
        <v>5024</v>
      </c>
      <c r="G108" s="0" t="s">
        <v>458</v>
      </c>
      <c r="H108" s="0" t="s">
        <v>902</v>
      </c>
      <c r="I108" s="0" t="s">
        <v>5217</v>
      </c>
      <c r="J108" s="0" t="s">
        <v>5218</v>
      </c>
      <c r="K108" s="444" t="s">
        <v>5219</v>
      </c>
    </row>
    <row r="109" customFormat="false" ht="12.8" hidden="false" customHeight="false" outlineLevel="0" collapsed="false">
      <c r="A109" s="0" t="s">
        <v>5256</v>
      </c>
      <c r="B109" s="0" t="s">
        <v>5257</v>
      </c>
      <c r="C109" s="0" t="s">
        <v>36</v>
      </c>
      <c r="D109" s="0" t="s">
        <v>5061</v>
      </c>
      <c r="E109" s="0" t="s">
        <v>5062</v>
      </c>
      <c r="F109" s="0" t="s">
        <v>5062</v>
      </c>
      <c r="G109" s="0" t="s">
        <v>458</v>
      </c>
      <c r="H109" s="0" t="s">
        <v>643</v>
      </c>
      <c r="I109" s="0" t="s">
        <v>5258</v>
      </c>
      <c r="J109" s="0" t="s">
        <v>5259</v>
      </c>
      <c r="K109" s="0" t="s">
        <v>5260</v>
      </c>
    </row>
    <row r="110" customFormat="false" ht="12.8" hidden="false" customHeight="false" outlineLevel="0" collapsed="false">
      <c r="A110" s="0" t="s">
        <v>5261</v>
      </c>
      <c r="B110" s="0" t="s">
        <v>5262</v>
      </c>
      <c r="C110" s="0" t="s">
        <v>36</v>
      </c>
      <c r="D110" s="0" t="s">
        <v>5057</v>
      </c>
      <c r="E110" s="0" t="s">
        <v>5058</v>
      </c>
      <c r="F110" s="0" t="s">
        <v>5058</v>
      </c>
      <c r="G110" s="0" t="s">
        <v>458</v>
      </c>
      <c r="H110" s="0" t="s">
        <v>643</v>
      </c>
      <c r="I110" s="0" t="s">
        <v>5258</v>
      </c>
      <c r="J110" s="0" t="s">
        <v>5259</v>
      </c>
      <c r="K110" s="0" t="s">
        <v>5260</v>
      </c>
    </row>
    <row r="111" customFormat="false" ht="12.8" hidden="false" customHeight="false" outlineLevel="0" collapsed="false">
      <c r="A111" s="0" t="s">
        <v>5263</v>
      </c>
      <c r="B111" s="0" t="s">
        <v>5264</v>
      </c>
      <c r="C111" s="0" t="s">
        <v>36</v>
      </c>
      <c r="D111" s="0" t="s">
        <v>5023</v>
      </c>
      <c r="E111" s="0" t="s">
        <v>5024</v>
      </c>
      <c r="F111" s="0" t="s">
        <v>5024</v>
      </c>
      <c r="G111" s="0" t="s">
        <v>458</v>
      </c>
      <c r="H111" s="0" t="s">
        <v>643</v>
      </c>
      <c r="I111" s="0" t="s">
        <v>5258</v>
      </c>
      <c r="J111" s="0" t="s">
        <v>5259</v>
      </c>
      <c r="K111" s="0" t="s">
        <v>5260</v>
      </c>
    </row>
    <row r="112" customFormat="false" ht="12.8" hidden="false" customHeight="false" outlineLevel="0" collapsed="false">
      <c r="A112" s="0" t="s">
        <v>5265</v>
      </c>
      <c r="B112" s="0" t="s">
        <v>5266</v>
      </c>
      <c r="C112" s="0" t="s">
        <v>36</v>
      </c>
      <c r="D112" s="0" t="s">
        <v>5023</v>
      </c>
      <c r="E112" s="0" t="s">
        <v>5024</v>
      </c>
      <c r="F112" s="0" t="s">
        <v>5024</v>
      </c>
      <c r="G112" s="0" t="s">
        <v>458</v>
      </c>
      <c r="H112" s="0" t="s">
        <v>643</v>
      </c>
      <c r="I112" s="0" t="s">
        <v>5258</v>
      </c>
      <c r="J112" s="0" t="s">
        <v>5259</v>
      </c>
      <c r="K112" s="0" t="s">
        <v>5260</v>
      </c>
    </row>
    <row r="113" customFormat="false" ht="12.8" hidden="false" customHeight="false" outlineLevel="0" collapsed="false">
      <c r="A113" s="0" t="s">
        <v>5267</v>
      </c>
      <c r="B113" s="0" t="s">
        <v>5268</v>
      </c>
      <c r="C113" s="0" t="s">
        <v>36</v>
      </c>
      <c r="D113" s="0" t="s">
        <v>5023</v>
      </c>
      <c r="E113" s="0" t="s">
        <v>5024</v>
      </c>
      <c r="F113" s="0" t="s">
        <v>5024</v>
      </c>
      <c r="G113" s="0" t="s">
        <v>458</v>
      </c>
      <c r="H113" s="0" t="s">
        <v>643</v>
      </c>
      <c r="I113" s="0" t="s">
        <v>5258</v>
      </c>
      <c r="J113" s="0" t="s">
        <v>5259</v>
      </c>
      <c r="K113" s="0" t="s">
        <v>5260</v>
      </c>
    </row>
    <row r="114" customFormat="false" ht="12.8" hidden="false" customHeight="false" outlineLevel="0" collapsed="false">
      <c r="A114" s="0" t="s">
        <v>5269</v>
      </c>
      <c r="B114" s="0" t="s">
        <v>5270</v>
      </c>
      <c r="C114" s="0" t="s">
        <v>36</v>
      </c>
      <c r="D114" s="0" t="s">
        <v>5023</v>
      </c>
      <c r="E114" s="0" t="s">
        <v>5024</v>
      </c>
      <c r="F114" s="0" t="s">
        <v>5024</v>
      </c>
      <c r="G114" s="0" t="s">
        <v>458</v>
      </c>
      <c r="H114" s="0" t="s">
        <v>643</v>
      </c>
      <c r="I114" s="0" t="s">
        <v>5258</v>
      </c>
      <c r="J114" s="0" t="s">
        <v>5259</v>
      </c>
      <c r="K114" s="0" t="s">
        <v>5260</v>
      </c>
    </row>
    <row r="115" customFormat="false" ht="12.8" hidden="false" customHeight="false" outlineLevel="0" collapsed="false">
      <c r="A115" s="0" t="s">
        <v>5271</v>
      </c>
      <c r="B115" s="0" t="s">
        <v>5272</v>
      </c>
      <c r="C115" s="0" t="s">
        <v>117</v>
      </c>
      <c r="D115" s="0" t="s">
        <v>5061</v>
      </c>
      <c r="E115" s="0" t="s">
        <v>5062</v>
      </c>
      <c r="F115" s="0" t="s">
        <v>5062</v>
      </c>
      <c r="G115" s="0" t="s">
        <v>458</v>
      </c>
      <c r="H115" s="0" t="s">
        <v>459</v>
      </c>
      <c r="I115" s="0" t="s">
        <v>5273</v>
      </c>
      <c r="J115" s="0" t="s">
        <v>5274</v>
      </c>
      <c r="K115" s="0" t="s">
        <v>5260</v>
      </c>
    </row>
    <row r="116" customFormat="false" ht="12.8" hidden="false" customHeight="false" outlineLevel="0" collapsed="false">
      <c r="A116" s="0" t="s">
        <v>5275</v>
      </c>
      <c r="B116" s="0" t="s">
        <v>5276</v>
      </c>
      <c r="C116" s="0" t="s">
        <v>117</v>
      </c>
      <c r="D116" s="0" t="s">
        <v>5023</v>
      </c>
      <c r="E116" s="0" t="s">
        <v>5024</v>
      </c>
      <c r="F116" s="0" t="s">
        <v>5024</v>
      </c>
      <c r="G116" s="0" t="s">
        <v>458</v>
      </c>
      <c r="H116" s="0" t="s">
        <v>459</v>
      </c>
      <c r="I116" s="0" t="s">
        <v>5273</v>
      </c>
      <c r="J116" s="0" t="s">
        <v>5274</v>
      </c>
      <c r="K116" s="0" t="s">
        <v>5260</v>
      </c>
    </row>
    <row r="117" customFormat="false" ht="12.8" hidden="false" customHeight="false" outlineLevel="0" collapsed="false">
      <c r="A117" s="0" t="s">
        <v>5277</v>
      </c>
      <c r="B117" s="0" t="s">
        <v>5278</v>
      </c>
      <c r="C117" s="0" t="s">
        <v>117</v>
      </c>
      <c r="D117" s="0" t="s">
        <v>5023</v>
      </c>
      <c r="E117" s="0" t="s">
        <v>5024</v>
      </c>
      <c r="F117" s="0" t="s">
        <v>5024</v>
      </c>
      <c r="G117" s="0" t="s">
        <v>458</v>
      </c>
      <c r="H117" s="0" t="s">
        <v>459</v>
      </c>
      <c r="I117" s="0" t="s">
        <v>5273</v>
      </c>
      <c r="J117" s="0" t="s">
        <v>5274</v>
      </c>
      <c r="K117" s="0" t="s">
        <v>5260</v>
      </c>
    </row>
    <row r="118" customFormat="false" ht="12.8" hidden="false" customHeight="false" outlineLevel="0" collapsed="false">
      <c r="A118" s="0" t="s">
        <v>5279</v>
      </c>
      <c r="B118" s="0" t="s">
        <v>5280</v>
      </c>
      <c r="C118" s="0" t="s">
        <v>117</v>
      </c>
      <c r="D118" s="0" t="s">
        <v>5023</v>
      </c>
      <c r="E118" s="0" t="s">
        <v>5024</v>
      </c>
      <c r="F118" s="0" t="s">
        <v>5024</v>
      </c>
      <c r="G118" s="0" t="s">
        <v>458</v>
      </c>
      <c r="H118" s="0" t="s">
        <v>459</v>
      </c>
      <c r="I118" s="0" t="s">
        <v>5273</v>
      </c>
      <c r="J118" s="0" t="s">
        <v>5274</v>
      </c>
      <c r="K118" s="0" t="s">
        <v>5260</v>
      </c>
    </row>
    <row r="119" customFormat="false" ht="12.8" hidden="false" customHeight="false" outlineLevel="0" collapsed="false">
      <c r="A119" s="0" t="s">
        <v>5281</v>
      </c>
      <c r="B119" s="0" t="s">
        <v>5282</v>
      </c>
      <c r="C119" s="0" t="s">
        <v>117</v>
      </c>
      <c r="D119" s="0" t="s">
        <v>5023</v>
      </c>
      <c r="E119" s="0" t="s">
        <v>5024</v>
      </c>
      <c r="F119" s="0" t="s">
        <v>5024</v>
      </c>
      <c r="G119" s="0" t="s">
        <v>458</v>
      </c>
      <c r="H119" s="0" t="s">
        <v>459</v>
      </c>
      <c r="I119" s="0" t="s">
        <v>5273</v>
      </c>
      <c r="J119" s="0" t="s">
        <v>5274</v>
      </c>
      <c r="K119" s="0" t="s">
        <v>5260</v>
      </c>
    </row>
    <row r="120" customFormat="false" ht="12.8" hidden="false" customHeight="false" outlineLevel="0" collapsed="false">
      <c r="A120" s="0" t="s">
        <v>5283</v>
      </c>
      <c r="B120" s="0" t="s">
        <v>5284</v>
      </c>
      <c r="C120" s="0" t="s">
        <v>117</v>
      </c>
      <c r="D120" s="0" t="s">
        <v>5023</v>
      </c>
      <c r="E120" s="0" t="s">
        <v>5024</v>
      </c>
      <c r="F120" s="0" t="s">
        <v>5024</v>
      </c>
      <c r="G120" s="0" t="s">
        <v>458</v>
      </c>
      <c r="H120" s="0" t="s">
        <v>459</v>
      </c>
      <c r="I120" s="0" t="s">
        <v>5273</v>
      </c>
      <c r="J120" s="0" t="s">
        <v>5274</v>
      </c>
      <c r="K120" s="0" t="s">
        <v>5260</v>
      </c>
    </row>
    <row r="121" customFormat="false" ht="12.8" hidden="false" customHeight="false" outlineLevel="0" collapsed="false">
      <c r="A121" s="0" t="s">
        <v>5285</v>
      </c>
      <c r="B121" s="0" t="s">
        <v>5286</v>
      </c>
      <c r="C121" s="0" t="s">
        <v>117</v>
      </c>
      <c r="D121" s="0" t="s">
        <v>5057</v>
      </c>
      <c r="E121" s="0" t="s">
        <v>5058</v>
      </c>
      <c r="F121" s="0" t="s">
        <v>5058</v>
      </c>
      <c r="G121" s="0" t="s">
        <v>458</v>
      </c>
      <c r="H121" s="0" t="s">
        <v>459</v>
      </c>
      <c r="I121" s="0" t="s">
        <v>5273</v>
      </c>
      <c r="J121" s="0" t="s">
        <v>5274</v>
      </c>
      <c r="K121" s="0" t="s">
        <v>5260</v>
      </c>
    </row>
    <row r="122" customFormat="false" ht="12.8" hidden="false" customHeight="false" outlineLevel="0" collapsed="false">
      <c r="A122" s="0" t="s">
        <v>5287</v>
      </c>
      <c r="B122" s="0" t="s">
        <v>5288</v>
      </c>
      <c r="C122" s="0" t="s">
        <v>118</v>
      </c>
      <c r="D122" s="0" t="s">
        <v>5057</v>
      </c>
      <c r="E122" s="0" t="s">
        <v>5058</v>
      </c>
      <c r="F122" s="0" t="s">
        <v>5058</v>
      </c>
      <c r="G122" s="0" t="s">
        <v>458</v>
      </c>
      <c r="H122" s="0" t="s">
        <v>459</v>
      </c>
      <c r="I122" s="0" t="s">
        <v>5289</v>
      </c>
      <c r="J122" s="0" t="s">
        <v>5290</v>
      </c>
      <c r="K122" s="0" t="s">
        <v>5291</v>
      </c>
    </row>
    <row r="123" customFormat="false" ht="12.8" hidden="false" customHeight="false" outlineLevel="0" collapsed="false">
      <c r="A123" s="0" t="s">
        <v>5292</v>
      </c>
      <c r="B123" s="0" t="s">
        <v>5293</v>
      </c>
      <c r="C123" s="0" t="s">
        <v>118</v>
      </c>
      <c r="D123" s="0" t="s">
        <v>5061</v>
      </c>
      <c r="E123" s="0" t="s">
        <v>5062</v>
      </c>
      <c r="F123" s="0" t="s">
        <v>5062</v>
      </c>
      <c r="G123" s="0" t="s">
        <v>458</v>
      </c>
      <c r="H123" s="0" t="s">
        <v>459</v>
      </c>
      <c r="I123" s="0" t="s">
        <v>5289</v>
      </c>
      <c r="J123" s="0" t="s">
        <v>5290</v>
      </c>
      <c r="K123" s="0" t="s">
        <v>5291</v>
      </c>
    </row>
    <row r="124" customFormat="false" ht="12.8" hidden="false" customHeight="false" outlineLevel="0" collapsed="false">
      <c r="A124" s="0" t="s">
        <v>5294</v>
      </c>
      <c r="B124" s="0" t="s">
        <v>5295</v>
      </c>
      <c r="C124" s="0" t="s">
        <v>118</v>
      </c>
      <c r="D124" s="0" t="s">
        <v>5023</v>
      </c>
      <c r="E124" s="0" t="s">
        <v>5024</v>
      </c>
      <c r="F124" s="0" t="s">
        <v>5024</v>
      </c>
      <c r="G124" s="0" t="s">
        <v>458</v>
      </c>
      <c r="H124" s="0" t="s">
        <v>459</v>
      </c>
      <c r="I124" s="0" t="s">
        <v>5289</v>
      </c>
      <c r="J124" s="0" t="s">
        <v>5290</v>
      </c>
      <c r="K124" s="0" t="s">
        <v>5291</v>
      </c>
    </row>
    <row r="125" customFormat="false" ht="12.8" hidden="false" customHeight="false" outlineLevel="0" collapsed="false">
      <c r="A125" s="0" t="s">
        <v>5296</v>
      </c>
      <c r="B125" s="0" t="s">
        <v>5297</v>
      </c>
      <c r="C125" s="0" t="s">
        <v>118</v>
      </c>
      <c r="D125" s="0" t="s">
        <v>5023</v>
      </c>
      <c r="E125" s="0" t="s">
        <v>5024</v>
      </c>
      <c r="F125" s="0" t="s">
        <v>5024</v>
      </c>
      <c r="G125" s="0" t="s">
        <v>458</v>
      </c>
      <c r="H125" s="0" t="s">
        <v>459</v>
      </c>
      <c r="I125" s="0" t="s">
        <v>5289</v>
      </c>
      <c r="J125" s="0" t="s">
        <v>5290</v>
      </c>
      <c r="K125" s="0" t="s">
        <v>5291</v>
      </c>
    </row>
    <row r="126" customFormat="false" ht="12.8" hidden="false" customHeight="false" outlineLevel="0" collapsed="false">
      <c r="A126" s="0" t="s">
        <v>5298</v>
      </c>
      <c r="B126" s="0" t="s">
        <v>5299</v>
      </c>
      <c r="C126" s="0" t="s">
        <v>118</v>
      </c>
      <c r="D126" s="0" t="s">
        <v>5023</v>
      </c>
      <c r="E126" s="0" t="s">
        <v>5024</v>
      </c>
      <c r="F126" s="0" t="s">
        <v>5024</v>
      </c>
      <c r="G126" s="0" t="s">
        <v>458</v>
      </c>
      <c r="H126" s="0" t="s">
        <v>459</v>
      </c>
      <c r="I126" s="0" t="s">
        <v>5289</v>
      </c>
      <c r="J126" s="0" t="s">
        <v>5290</v>
      </c>
      <c r="K126" s="0" t="s">
        <v>5291</v>
      </c>
    </row>
    <row r="127" customFormat="false" ht="12.8" hidden="false" customHeight="false" outlineLevel="0" collapsed="false">
      <c r="A127" s="0" t="s">
        <v>5300</v>
      </c>
      <c r="B127" s="0" t="s">
        <v>5301</v>
      </c>
      <c r="C127" s="0" t="s">
        <v>128</v>
      </c>
      <c r="D127" s="0" t="s">
        <v>5061</v>
      </c>
      <c r="E127" s="0" t="s">
        <v>5062</v>
      </c>
      <c r="F127" s="0" t="s">
        <v>5062</v>
      </c>
      <c r="G127" s="0" t="s">
        <v>458</v>
      </c>
      <c r="H127" s="0" t="s">
        <v>459</v>
      </c>
      <c r="I127" s="0" t="s">
        <v>5302</v>
      </c>
      <c r="J127" s="0" t="s">
        <v>5303</v>
      </c>
      <c r="K127" s="0" t="s">
        <v>5291</v>
      </c>
    </row>
    <row r="128" customFormat="false" ht="12.8" hidden="false" customHeight="false" outlineLevel="0" collapsed="false">
      <c r="A128" s="0" t="s">
        <v>5304</v>
      </c>
      <c r="B128" s="0" t="s">
        <v>5305</v>
      </c>
      <c r="C128" s="0" t="s">
        <v>128</v>
      </c>
      <c r="D128" s="0" t="s">
        <v>5057</v>
      </c>
      <c r="E128" s="0" t="s">
        <v>5058</v>
      </c>
      <c r="F128" s="0" t="s">
        <v>5058</v>
      </c>
      <c r="G128" s="0" t="s">
        <v>458</v>
      </c>
      <c r="H128" s="0" t="s">
        <v>459</v>
      </c>
      <c r="I128" s="0" t="s">
        <v>5302</v>
      </c>
      <c r="J128" s="0" t="s">
        <v>5303</v>
      </c>
      <c r="K128" s="0" t="s">
        <v>5291</v>
      </c>
    </row>
    <row r="129" customFormat="false" ht="12.8" hidden="false" customHeight="false" outlineLevel="0" collapsed="false">
      <c r="A129" s="0" t="s">
        <v>5306</v>
      </c>
      <c r="B129" s="0" t="s">
        <v>5307</v>
      </c>
      <c r="C129" s="0" t="s">
        <v>128</v>
      </c>
      <c r="D129" s="0" t="s">
        <v>5023</v>
      </c>
      <c r="E129" s="0" t="s">
        <v>5024</v>
      </c>
      <c r="F129" s="0" t="s">
        <v>5024</v>
      </c>
      <c r="G129" s="0" t="s">
        <v>458</v>
      </c>
      <c r="H129" s="0" t="s">
        <v>459</v>
      </c>
      <c r="I129" s="0" t="s">
        <v>5302</v>
      </c>
      <c r="J129" s="0" t="s">
        <v>5303</v>
      </c>
      <c r="K129" s="0" t="s">
        <v>5291</v>
      </c>
    </row>
    <row r="130" customFormat="false" ht="12.8" hidden="false" customHeight="false" outlineLevel="0" collapsed="false">
      <c r="A130" s="0" t="s">
        <v>5308</v>
      </c>
      <c r="B130" s="0" t="s">
        <v>5309</v>
      </c>
      <c r="C130" s="0" t="s">
        <v>128</v>
      </c>
      <c r="D130" s="0" t="s">
        <v>5023</v>
      </c>
      <c r="E130" s="0" t="s">
        <v>5024</v>
      </c>
      <c r="F130" s="0" t="s">
        <v>5024</v>
      </c>
      <c r="G130" s="0" t="s">
        <v>458</v>
      </c>
      <c r="H130" s="0" t="s">
        <v>459</v>
      </c>
      <c r="I130" s="0" t="s">
        <v>5302</v>
      </c>
      <c r="J130" s="0" t="s">
        <v>5303</v>
      </c>
      <c r="K130" s="0" t="s">
        <v>5291</v>
      </c>
    </row>
    <row r="131" customFormat="false" ht="12.8" hidden="false" customHeight="false" outlineLevel="0" collapsed="false">
      <c r="A131" s="0" t="s">
        <v>5310</v>
      </c>
      <c r="B131" s="0" t="s">
        <v>5311</v>
      </c>
      <c r="C131" s="0" t="s">
        <v>128</v>
      </c>
      <c r="D131" s="0" t="s">
        <v>5023</v>
      </c>
      <c r="E131" s="0" t="s">
        <v>5024</v>
      </c>
      <c r="F131" s="0" t="s">
        <v>5024</v>
      </c>
      <c r="G131" s="0" t="s">
        <v>458</v>
      </c>
      <c r="H131" s="0" t="s">
        <v>459</v>
      </c>
      <c r="I131" s="0" t="s">
        <v>5302</v>
      </c>
      <c r="J131" s="0" t="s">
        <v>5303</v>
      </c>
      <c r="K131" s="0" t="s">
        <v>5291</v>
      </c>
    </row>
    <row r="132" customFormat="false" ht="12.8" hidden="false" customHeight="false" outlineLevel="0" collapsed="false">
      <c r="A132" s="0" t="s">
        <v>5312</v>
      </c>
      <c r="B132" s="0" t="s">
        <v>5313</v>
      </c>
      <c r="C132" s="0" t="s">
        <v>325</v>
      </c>
      <c r="D132" s="0" t="s">
        <v>5023</v>
      </c>
      <c r="E132" s="0" t="s">
        <v>5024</v>
      </c>
      <c r="F132" s="0" t="s">
        <v>5024</v>
      </c>
      <c r="G132" s="0" t="s">
        <v>458</v>
      </c>
      <c r="H132" s="0" t="s">
        <v>459</v>
      </c>
      <c r="I132" s="0" t="s">
        <v>5314</v>
      </c>
      <c r="J132" s="0" t="s">
        <v>5315</v>
      </c>
      <c r="K132" s="0" t="s">
        <v>5291</v>
      </c>
    </row>
    <row r="133" customFormat="false" ht="12.8" hidden="false" customHeight="false" outlineLevel="0" collapsed="false">
      <c r="A133" s="0" t="s">
        <v>5316</v>
      </c>
      <c r="B133" s="0" t="s">
        <v>5317</v>
      </c>
      <c r="C133" s="0" t="s">
        <v>325</v>
      </c>
      <c r="D133" s="0" t="s">
        <v>5023</v>
      </c>
      <c r="E133" s="0" t="s">
        <v>5024</v>
      </c>
      <c r="F133" s="0" t="s">
        <v>5024</v>
      </c>
      <c r="G133" s="0" t="s">
        <v>458</v>
      </c>
      <c r="H133" s="0" t="s">
        <v>459</v>
      </c>
      <c r="I133" s="0" t="s">
        <v>5314</v>
      </c>
      <c r="J133" s="0" t="s">
        <v>5315</v>
      </c>
      <c r="K133" s="0" t="s">
        <v>5291</v>
      </c>
    </row>
    <row r="134" customFormat="false" ht="12.8" hidden="false" customHeight="false" outlineLevel="0" collapsed="false">
      <c r="A134" s="0" t="s">
        <v>5318</v>
      </c>
      <c r="B134" s="0" t="s">
        <v>5319</v>
      </c>
      <c r="C134" s="0" t="s">
        <v>325</v>
      </c>
      <c r="D134" s="0" t="s">
        <v>5023</v>
      </c>
      <c r="E134" s="0" t="s">
        <v>5024</v>
      </c>
      <c r="F134" s="0" t="s">
        <v>5024</v>
      </c>
      <c r="G134" s="0" t="s">
        <v>458</v>
      </c>
      <c r="H134" s="0" t="s">
        <v>459</v>
      </c>
      <c r="I134" s="0" t="s">
        <v>5314</v>
      </c>
      <c r="J134" s="0" t="s">
        <v>5315</v>
      </c>
      <c r="K134" s="0" t="s">
        <v>5291</v>
      </c>
    </row>
    <row r="135" customFormat="false" ht="12.8" hidden="false" customHeight="false" outlineLevel="0" collapsed="false">
      <c r="A135" s="0" t="s">
        <v>5320</v>
      </c>
      <c r="B135" s="0" t="s">
        <v>5321</v>
      </c>
      <c r="C135" s="0" t="s">
        <v>325</v>
      </c>
      <c r="D135" s="0" t="s">
        <v>5057</v>
      </c>
      <c r="E135" s="0" t="s">
        <v>5058</v>
      </c>
      <c r="F135" s="0" t="s">
        <v>5058</v>
      </c>
      <c r="G135" s="0" t="s">
        <v>458</v>
      </c>
      <c r="H135" s="0" t="s">
        <v>459</v>
      </c>
      <c r="I135" s="0" t="s">
        <v>5314</v>
      </c>
      <c r="J135" s="0" t="s">
        <v>5315</v>
      </c>
      <c r="K135" s="0" t="s">
        <v>5291</v>
      </c>
    </row>
    <row r="136" customFormat="false" ht="12.8" hidden="false" customHeight="false" outlineLevel="0" collapsed="false">
      <c r="A136" s="0" t="s">
        <v>5322</v>
      </c>
      <c r="B136" s="0" t="s">
        <v>5323</v>
      </c>
      <c r="C136" s="0" t="s">
        <v>325</v>
      </c>
      <c r="D136" s="0" t="s">
        <v>5061</v>
      </c>
      <c r="E136" s="0" t="s">
        <v>5062</v>
      </c>
      <c r="F136" s="0" t="s">
        <v>5062</v>
      </c>
      <c r="G136" s="0" t="s">
        <v>458</v>
      </c>
      <c r="H136" s="0" t="s">
        <v>459</v>
      </c>
      <c r="I136" s="0" t="s">
        <v>5314</v>
      </c>
      <c r="J136" s="0" t="s">
        <v>5315</v>
      </c>
      <c r="K136" s="0" t="s">
        <v>5291</v>
      </c>
    </row>
    <row r="137" customFormat="false" ht="12.8" hidden="false" customHeight="false" outlineLevel="0" collapsed="false">
      <c r="A137" s="0" t="s">
        <v>5324</v>
      </c>
      <c r="B137" s="0" t="s">
        <v>5325</v>
      </c>
      <c r="C137" s="0" t="s">
        <v>325</v>
      </c>
      <c r="D137" s="0" t="s">
        <v>5023</v>
      </c>
      <c r="E137" s="0" t="s">
        <v>5024</v>
      </c>
      <c r="F137" s="0" t="s">
        <v>5024</v>
      </c>
      <c r="G137" s="0" t="s">
        <v>458</v>
      </c>
      <c r="H137" s="0" t="s">
        <v>459</v>
      </c>
      <c r="I137" s="0" t="s">
        <v>5314</v>
      </c>
      <c r="J137" s="0" t="s">
        <v>5315</v>
      </c>
      <c r="K137" s="0" t="s">
        <v>5291</v>
      </c>
    </row>
    <row r="138" customFormat="false" ht="12.8" hidden="false" customHeight="false" outlineLevel="0" collapsed="false">
      <c r="A138" s="0" t="s">
        <v>5326</v>
      </c>
      <c r="B138" s="0" t="s">
        <v>5327</v>
      </c>
      <c r="C138" s="0" t="s">
        <v>344</v>
      </c>
      <c r="D138" s="0" t="s">
        <v>5023</v>
      </c>
      <c r="E138" s="0" t="s">
        <v>5024</v>
      </c>
      <c r="F138" s="0" t="s">
        <v>5024</v>
      </c>
      <c r="G138" s="0" t="s">
        <v>458</v>
      </c>
      <c r="H138" s="0" t="s">
        <v>643</v>
      </c>
      <c r="I138" s="0" t="s">
        <v>5328</v>
      </c>
      <c r="J138" s="0" t="s">
        <v>5329</v>
      </c>
      <c r="K138" s="444" t="s">
        <v>5330</v>
      </c>
    </row>
    <row r="139" customFormat="false" ht="12.8" hidden="false" customHeight="false" outlineLevel="0" collapsed="false">
      <c r="A139" s="0" t="s">
        <v>5331</v>
      </c>
      <c r="B139" s="0" t="s">
        <v>5332</v>
      </c>
      <c r="C139" s="0" t="s">
        <v>344</v>
      </c>
      <c r="D139" s="0" t="s">
        <v>5023</v>
      </c>
      <c r="E139" s="0" t="s">
        <v>5024</v>
      </c>
      <c r="F139" s="0" t="s">
        <v>5024</v>
      </c>
      <c r="G139" s="0" t="s">
        <v>458</v>
      </c>
      <c r="H139" s="0" t="s">
        <v>643</v>
      </c>
      <c r="I139" s="0" t="s">
        <v>5328</v>
      </c>
      <c r="J139" s="0" t="s">
        <v>5329</v>
      </c>
      <c r="K139" s="444" t="s">
        <v>5330</v>
      </c>
    </row>
    <row r="140" customFormat="false" ht="12.8" hidden="false" customHeight="false" outlineLevel="0" collapsed="false">
      <c r="A140" s="0" t="s">
        <v>5333</v>
      </c>
      <c r="B140" s="0" t="s">
        <v>5334</v>
      </c>
      <c r="C140" s="0" t="s">
        <v>344</v>
      </c>
      <c r="D140" s="0" t="s">
        <v>5023</v>
      </c>
      <c r="E140" s="0" t="s">
        <v>5024</v>
      </c>
      <c r="F140" s="0" t="s">
        <v>5024</v>
      </c>
      <c r="G140" s="0" t="s">
        <v>458</v>
      </c>
      <c r="H140" s="0" t="s">
        <v>643</v>
      </c>
      <c r="I140" s="0" t="s">
        <v>5328</v>
      </c>
      <c r="J140" s="0" t="s">
        <v>5329</v>
      </c>
      <c r="K140" s="444" t="s">
        <v>5330</v>
      </c>
    </row>
    <row r="141" customFormat="false" ht="12.8" hidden="false" customHeight="false" outlineLevel="0" collapsed="false">
      <c r="A141" s="0" t="s">
        <v>5335</v>
      </c>
      <c r="B141" s="0" t="s">
        <v>5336</v>
      </c>
      <c r="C141" s="0" t="s">
        <v>344</v>
      </c>
      <c r="D141" s="0" t="s">
        <v>5023</v>
      </c>
      <c r="E141" s="0" t="s">
        <v>5024</v>
      </c>
      <c r="F141" s="0" t="s">
        <v>5024</v>
      </c>
      <c r="G141" s="0" t="s">
        <v>458</v>
      </c>
      <c r="H141" s="0" t="s">
        <v>643</v>
      </c>
      <c r="I141" s="0" t="s">
        <v>5328</v>
      </c>
      <c r="J141" s="0" t="s">
        <v>5329</v>
      </c>
      <c r="K141" s="444" t="s">
        <v>5330</v>
      </c>
    </row>
    <row r="142" customFormat="false" ht="12.8" hidden="false" customHeight="false" outlineLevel="0" collapsed="false">
      <c r="A142" s="0" t="s">
        <v>5337</v>
      </c>
      <c r="B142" s="0" t="s">
        <v>5338</v>
      </c>
      <c r="C142" s="0" t="s">
        <v>344</v>
      </c>
      <c r="D142" s="0" t="s">
        <v>5023</v>
      </c>
      <c r="E142" s="0" t="s">
        <v>5024</v>
      </c>
      <c r="F142" s="0" t="s">
        <v>5024</v>
      </c>
      <c r="G142" s="0" t="s">
        <v>458</v>
      </c>
      <c r="H142" s="0" t="s">
        <v>643</v>
      </c>
      <c r="I142" s="0" t="s">
        <v>5328</v>
      </c>
      <c r="J142" s="0" t="s">
        <v>5329</v>
      </c>
      <c r="K142" s="444" t="s">
        <v>5330</v>
      </c>
    </row>
    <row r="143" customFormat="false" ht="12.8" hidden="false" customHeight="false" outlineLevel="0" collapsed="false">
      <c r="A143" s="0" t="s">
        <v>5339</v>
      </c>
      <c r="B143" s="0" t="s">
        <v>5340</v>
      </c>
      <c r="C143" s="0" t="s">
        <v>344</v>
      </c>
      <c r="D143" s="0" t="s">
        <v>5023</v>
      </c>
      <c r="E143" s="0" t="s">
        <v>5024</v>
      </c>
      <c r="F143" s="0" t="s">
        <v>5024</v>
      </c>
      <c r="G143" s="0" t="s">
        <v>458</v>
      </c>
      <c r="H143" s="0" t="s">
        <v>643</v>
      </c>
      <c r="I143" s="0" t="s">
        <v>5328</v>
      </c>
      <c r="J143" s="0" t="s">
        <v>5329</v>
      </c>
      <c r="K143" s="444" t="s">
        <v>5330</v>
      </c>
    </row>
    <row r="144" customFormat="false" ht="12.8" hidden="false" customHeight="false" outlineLevel="0" collapsed="false">
      <c r="A144" s="0" t="s">
        <v>5341</v>
      </c>
      <c r="B144" s="0" t="s">
        <v>5342</v>
      </c>
      <c r="C144" s="0" t="s">
        <v>344</v>
      </c>
      <c r="D144" s="0" t="s">
        <v>5023</v>
      </c>
      <c r="E144" s="0" t="s">
        <v>5024</v>
      </c>
      <c r="F144" s="0" t="s">
        <v>5024</v>
      </c>
      <c r="G144" s="0" t="s">
        <v>458</v>
      </c>
      <c r="H144" s="0" t="s">
        <v>643</v>
      </c>
      <c r="I144" s="0" t="s">
        <v>5328</v>
      </c>
      <c r="J144" s="0" t="s">
        <v>5329</v>
      </c>
      <c r="K144" s="444" t="s">
        <v>5330</v>
      </c>
    </row>
    <row r="145" customFormat="false" ht="12.8" hidden="false" customHeight="false" outlineLevel="0" collapsed="false">
      <c r="A145" s="0" t="s">
        <v>5343</v>
      </c>
      <c r="B145" s="0" t="s">
        <v>5344</v>
      </c>
      <c r="C145" s="0" t="s">
        <v>344</v>
      </c>
      <c r="D145" s="0" t="s">
        <v>5057</v>
      </c>
      <c r="E145" s="0" t="s">
        <v>5058</v>
      </c>
      <c r="F145" s="0" t="s">
        <v>5058</v>
      </c>
      <c r="G145" s="0" t="s">
        <v>458</v>
      </c>
      <c r="H145" s="0" t="s">
        <v>643</v>
      </c>
      <c r="I145" s="0" t="s">
        <v>5328</v>
      </c>
      <c r="J145" s="0" t="s">
        <v>5329</v>
      </c>
      <c r="K145" s="444" t="s">
        <v>5330</v>
      </c>
    </row>
    <row r="146" customFormat="false" ht="12.8" hidden="false" customHeight="false" outlineLevel="0" collapsed="false">
      <c r="A146" s="0" t="s">
        <v>5345</v>
      </c>
      <c r="B146" s="0" t="s">
        <v>5346</v>
      </c>
      <c r="C146" s="0" t="s">
        <v>344</v>
      </c>
      <c r="D146" s="0" t="s">
        <v>5061</v>
      </c>
      <c r="E146" s="0" t="s">
        <v>5062</v>
      </c>
      <c r="F146" s="0" t="s">
        <v>5062</v>
      </c>
      <c r="G146" s="0" t="s">
        <v>458</v>
      </c>
      <c r="H146" s="0" t="s">
        <v>643</v>
      </c>
      <c r="I146" s="0" t="s">
        <v>5328</v>
      </c>
      <c r="J146" s="0" t="s">
        <v>5329</v>
      </c>
      <c r="K146" s="444" t="s">
        <v>5330</v>
      </c>
    </row>
    <row r="147" customFormat="false" ht="12.8" hidden="false" customHeight="false" outlineLevel="0" collapsed="false">
      <c r="A147" s="0" t="s">
        <v>5347</v>
      </c>
      <c r="B147" s="0" t="s">
        <v>5348</v>
      </c>
      <c r="C147" s="0" t="s">
        <v>344</v>
      </c>
      <c r="D147" s="0" t="s">
        <v>5023</v>
      </c>
      <c r="E147" s="0" t="s">
        <v>5024</v>
      </c>
      <c r="F147" s="0" t="s">
        <v>5024</v>
      </c>
      <c r="G147" s="0" t="s">
        <v>458</v>
      </c>
      <c r="H147" s="0" t="s">
        <v>643</v>
      </c>
      <c r="I147" s="0" t="s">
        <v>5328</v>
      </c>
      <c r="J147" s="0" t="s">
        <v>5329</v>
      </c>
      <c r="K147" s="444" t="s">
        <v>5330</v>
      </c>
    </row>
    <row r="148" customFormat="false" ht="12.8" hidden="false" customHeight="false" outlineLevel="0" collapsed="false">
      <c r="A148" s="0" t="s">
        <v>5349</v>
      </c>
      <c r="B148" s="0" t="s">
        <v>5350</v>
      </c>
      <c r="C148" s="0" t="s">
        <v>344</v>
      </c>
      <c r="D148" s="0" t="s">
        <v>5023</v>
      </c>
      <c r="E148" s="0" t="s">
        <v>5024</v>
      </c>
      <c r="F148" s="0" t="s">
        <v>5024</v>
      </c>
      <c r="G148" s="0" t="s">
        <v>458</v>
      </c>
      <c r="H148" s="0" t="s">
        <v>643</v>
      </c>
      <c r="I148" s="0" t="s">
        <v>5328</v>
      </c>
      <c r="J148" s="0" t="s">
        <v>5329</v>
      </c>
      <c r="K148" s="444" t="s">
        <v>5330</v>
      </c>
    </row>
    <row r="149" customFormat="false" ht="12.8" hidden="false" customHeight="false" outlineLevel="0" collapsed="false">
      <c r="A149" s="0" t="s">
        <v>5351</v>
      </c>
      <c r="B149" s="0" t="s">
        <v>5352</v>
      </c>
      <c r="C149" s="0" t="s">
        <v>344</v>
      </c>
      <c r="D149" s="0" t="s">
        <v>5023</v>
      </c>
      <c r="E149" s="0" t="s">
        <v>5024</v>
      </c>
      <c r="F149" s="0" t="s">
        <v>5024</v>
      </c>
      <c r="G149" s="0" t="s">
        <v>458</v>
      </c>
      <c r="H149" s="0" t="s">
        <v>643</v>
      </c>
      <c r="I149" s="0" t="s">
        <v>5328</v>
      </c>
      <c r="J149" s="0" t="s">
        <v>5329</v>
      </c>
      <c r="K149" s="444" t="s">
        <v>5330</v>
      </c>
    </row>
    <row r="150" customFormat="false" ht="12.8" hidden="false" customHeight="false" outlineLevel="0" collapsed="false">
      <c r="A150" s="0" t="s">
        <v>5353</v>
      </c>
      <c r="B150" s="0" t="s">
        <v>5354</v>
      </c>
      <c r="C150" s="0" t="s">
        <v>344</v>
      </c>
      <c r="D150" s="0" t="s">
        <v>5023</v>
      </c>
      <c r="E150" s="0" t="s">
        <v>5024</v>
      </c>
      <c r="F150" s="0" t="s">
        <v>5024</v>
      </c>
      <c r="G150" s="0" t="s">
        <v>458</v>
      </c>
      <c r="H150" s="0" t="s">
        <v>643</v>
      </c>
      <c r="I150" s="0" t="s">
        <v>5328</v>
      </c>
      <c r="J150" s="0" t="s">
        <v>5329</v>
      </c>
      <c r="K150" s="444" t="s">
        <v>5330</v>
      </c>
    </row>
    <row r="151" customFormat="false" ht="12.8" hidden="false" customHeight="false" outlineLevel="0" collapsed="false">
      <c r="A151" s="0" t="s">
        <v>5355</v>
      </c>
      <c r="B151" s="0" t="s">
        <v>5356</v>
      </c>
      <c r="C151" s="0" t="s">
        <v>344</v>
      </c>
      <c r="D151" s="0" t="s">
        <v>5023</v>
      </c>
      <c r="E151" s="0" t="s">
        <v>5024</v>
      </c>
      <c r="F151" s="0" t="s">
        <v>5024</v>
      </c>
      <c r="G151" s="0" t="s">
        <v>458</v>
      </c>
      <c r="H151" s="0" t="s">
        <v>643</v>
      </c>
      <c r="I151" s="0" t="s">
        <v>5328</v>
      </c>
      <c r="J151" s="0" t="s">
        <v>5329</v>
      </c>
      <c r="K151" s="444" t="s">
        <v>5330</v>
      </c>
    </row>
    <row r="152" customFormat="false" ht="12.8" hidden="false" customHeight="false" outlineLevel="0" collapsed="false">
      <c r="A152" s="0" t="s">
        <v>5357</v>
      </c>
      <c r="B152" s="0" t="s">
        <v>5358</v>
      </c>
      <c r="C152" s="0" t="s">
        <v>31</v>
      </c>
      <c r="D152" s="0" t="s">
        <v>5061</v>
      </c>
      <c r="E152" s="0" t="s">
        <v>5062</v>
      </c>
      <c r="F152" s="0" t="s">
        <v>5062</v>
      </c>
      <c r="G152" s="0" t="s">
        <v>458</v>
      </c>
      <c r="H152" s="0" t="s">
        <v>643</v>
      </c>
      <c r="I152" s="0" t="s">
        <v>5359</v>
      </c>
      <c r="J152" s="0" t="s">
        <v>5360</v>
      </c>
      <c r="K152" s="444" t="s">
        <v>5361</v>
      </c>
    </row>
    <row r="153" customFormat="false" ht="12.8" hidden="false" customHeight="false" outlineLevel="0" collapsed="false">
      <c r="A153" s="0" t="s">
        <v>5362</v>
      </c>
      <c r="B153" s="0" t="s">
        <v>5363</v>
      </c>
      <c r="C153" s="0" t="s">
        <v>31</v>
      </c>
      <c r="D153" s="0" t="s">
        <v>5023</v>
      </c>
      <c r="E153" s="0" t="s">
        <v>5024</v>
      </c>
      <c r="F153" s="0" t="s">
        <v>5024</v>
      </c>
      <c r="G153" s="0" t="s">
        <v>458</v>
      </c>
      <c r="H153" s="0" t="s">
        <v>643</v>
      </c>
      <c r="I153" s="0" t="s">
        <v>5359</v>
      </c>
      <c r="J153" s="0" t="s">
        <v>5360</v>
      </c>
      <c r="K153" s="444" t="s">
        <v>5361</v>
      </c>
    </row>
    <row r="154" customFormat="false" ht="12.8" hidden="false" customHeight="false" outlineLevel="0" collapsed="false">
      <c r="A154" s="0" t="s">
        <v>5364</v>
      </c>
      <c r="B154" s="0" t="s">
        <v>5365</v>
      </c>
      <c r="C154" s="0" t="s">
        <v>31</v>
      </c>
      <c r="D154" s="0" t="s">
        <v>5023</v>
      </c>
      <c r="E154" s="0" t="s">
        <v>5024</v>
      </c>
      <c r="F154" s="0" t="s">
        <v>5024</v>
      </c>
      <c r="G154" s="0" t="s">
        <v>458</v>
      </c>
      <c r="H154" s="0" t="s">
        <v>643</v>
      </c>
      <c r="I154" s="0" t="s">
        <v>5359</v>
      </c>
      <c r="J154" s="0" t="s">
        <v>5360</v>
      </c>
      <c r="K154" s="444" t="s">
        <v>5361</v>
      </c>
    </row>
    <row r="155" customFormat="false" ht="12.8" hidden="false" customHeight="false" outlineLevel="0" collapsed="false">
      <c r="A155" s="0" t="s">
        <v>5366</v>
      </c>
      <c r="B155" s="0" t="s">
        <v>5367</v>
      </c>
      <c r="C155" s="0" t="s">
        <v>31</v>
      </c>
      <c r="D155" s="0" t="s">
        <v>5023</v>
      </c>
      <c r="E155" s="0" t="s">
        <v>5024</v>
      </c>
      <c r="F155" s="0" t="s">
        <v>5024</v>
      </c>
      <c r="G155" s="0" t="s">
        <v>458</v>
      </c>
      <c r="H155" s="0" t="s">
        <v>643</v>
      </c>
      <c r="I155" s="0" t="s">
        <v>5359</v>
      </c>
      <c r="J155" s="0" t="s">
        <v>5360</v>
      </c>
      <c r="K155" s="444" t="s">
        <v>5361</v>
      </c>
    </row>
    <row r="156" customFormat="false" ht="12.8" hidden="false" customHeight="false" outlineLevel="0" collapsed="false">
      <c r="A156" s="0" t="s">
        <v>5368</v>
      </c>
      <c r="B156" s="0" t="s">
        <v>5369</v>
      </c>
      <c r="C156" s="0" t="s">
        <v>31</v>
      </c>
      <c r="D156" s="0" t="s">
        <v>5023</v>
      </c>
      <c r="E156" s="0" t="s">
        <v>5024</v>
      </c>
      <c r="F156" s="0" t="s">
        <v>5024</v>
      </c>
      <c r="G156" s="0" t="s">
        <v>458</v>
      </c>
      <c r="H156" s="0" t="s">
        <v>643</v>
      </c>
      <c r="I156" s="0" t="s">
        <v>5359</v>
      </c>
      <c r="J156" s="0" t="s">
        <v>5360</v>
      </c>
      <c r="K156" s="444" t="s">
        <v>5361</v>
      </c>
    </row>
    <row r="157" customFormat="false" ht="12.8" hidden="false" customHeight="false" outlineLevel="0" collapsed="false">
      <c r="A157" s="0" t="s">
        <v>5370</v>
      </c>
      <c r="B157" s="0" t="s">
        <v>5371</v>
      </c>
      <c r="C157" s="0" t="s">
        <v>31</v>
      </c>
      <c r="D157" s="0" t="s">
        <v>5023</v>
      </c>
      <c r="E157" s="0" t="s">
        <v>5024</v>
      </c>
      <c r="F157" s="0" t="s">
        <v>5024</v>
      </c>
      <c r="G157" s="0" t="s">
        <v>458</v>
      </c>
      <c r="H157" s="0" t="s">
        <v>643</v>
      </c>
      <c r="I157" s="0" t="s">
        <v>5359</v>
      </c>
      <c r="J157" s="0" t="s">
        <v>5360</v>
      </c>
      <c r="K157" s="444" t="s">
        <v>5361</v>
      </c>
    </row>
    <row r="158" customFormat="false" ht="12.8" hidden="false" customHeight="false" outlineLevel="0" collapsed="false">
      <c r="A158" s="0" t="s">
        <v>5372</v>
      </c>
      <c r="B158" s="0" t="s">
        <v>5373</v>
      </c>
      <c r="C158" s="0" t="s">
        <v>31</v>
      </c>
      <c r="D158" s="0" t="s">
        <v>5057</v>
      </c>
      <c r="E158" s="0" t="s">
        <v>5058</v>
      </c>
      <c r="F158" s="0" t="s">
        <v>5058</v>
      </c>
      <c r="G158" s="0" t="s">
        <v>458</v>
      </c>
      <c r="H158" s="0" t="s">
        <v>643</v>
      </c>
      <c r="I158" s="0" t="s">
        <v>5359</v>
      </c>
      <c r="J158" s="0" t="s">
        <v>5360</v>
      </c>
      <c r="K158" s="444" t="s">
        <v>5361</v>
      </c>
    </row>
    <row r="159" customFormat="false" ht="12.8" hidden="false" customHeight="false" outlineLevel="0" collapsed="false">
      <c r="A159" s="0" t="s">
        <v>5374</v>
      </c>
      <c r="B159" s="0" t="s">
        <v>5375</v>
      </c>
      <c r="C159" s="0" t="s">
        <v>31</v>
      </c>
      <c r="D159" s="0" t="s">
        <v>5023</v>
      </c>
      <c r="E159" s="0" t="s">
        <v>5024</v>
      </c>
      <c r="F159" s="0" t="s">
        <v>5024</v>
      </c>
      <c r="G159" s="0" t="s">
        <v>458</v>
      </c>
      <c r="H159" s="0" t="s">
        <v>643</v>
      </c>
      <c r="I159" s="0" t="s">
        <v>5359</v>
      </c>
      <c r="J159" s="0" t="s">
        <v>5360</v>
      </c>
      <c r="K159" s="444" t="s">
        <v>5361</v>
      </c>
    </row>
    <row r="160" customFormat="false" ht="12.8" hidden="false" customHeight="false" outlineLevel="0" collapsed="false">
      <c r="A160" s="0" t="s">
        <v>5376</v>
      </c>
      <c r="B160" s="0" t="s">
        <v>5377</v>
      </c>
      <c r="C160" s="0" t="s">
        <v>31</v>
      </c>
      <c r="D160" s="0" t="s">
        <v>5023</v>
      </c>
      <c r="E160" s="0" t="s">
        <v>5024</v>
      </c>
      <c r="F160" s="0" t="s">
        <v>5024</v>
      </c>
      <c r="G160" s="0" t="s">
        <v>458</v>
      </c>
      <c r="H160" s="0" t="s">
        <v>643</v>
      </c>
      <c r="I160" s="0" t="s">
        <v>5359</v>
      </c>
      <c r="J160" s="0" t="s">
        <v>5360</v>
      </c>
      <c r="K160" s="444" t="s">
        <v>5361</v>
      </c>
    </row>
    <row r="161" customFormat="false" ht="12.8" hidden="false" customHeight="false" outlineLevel="0" collapsed="false">
      <c r="A161" s="0" t="s">
        <v>5378</v>
      </c>
      <c r="B161" s="0" t="s">
        <v>5379</v>
      </c>
      <c r="C161" s="0" t="s">
        <v>31</v>
      </c>
      <c r="D161" s="0" t="s">
        <v>5023</v>
      </c>
      <c r="E161" s="0" t="s">
        <v>5024</v>
      </c>
      <c r="F161" s="0" t="s">
        <v>5024</v>
      </c>
      <c r="G161" s="0" t="s">
        <v>458</v>
      </c>
      <c r="H161" s="0" t="s">
        <v>643</v>
      </c>
      <c r="I161" s="0" t="s">
        <v>5359</v>
      </c>
      <c r="J161" s="0" t="s">
        <v>5360</v>
      </c>
      <c r="K161" s="444" t="s">
        <v>5361</v>
      </c>
    </row>
    <row r="162" customFormat="false" ht="12.8" hidden="false" customHeight="false" outlineLevel="0" collapsed="false">
      <c r="A162" s="0" t="s">
        <v>5380</v>
      </c>
      <c r="B162" s="0" t="s">
        <v>5381</v>
      </c>
      <c r="C162" s="0" t="s">
        <v>31</v>
      </c>
      <c r="D162" s="0" t="s">
        <v>5057</v>
      </c>
      <c r="E162" s="0" t="s">
        <v>5058</v>
      </c>
      <c r="F162" s="0" t="s">
        <v>5058</v>
      </c>
      <c r="G162" s="0" t="s">
        <v>458</v>
      </c>
      <c r="H162" s="0" t="s">
        <v>643</v>
      </c>
      <c r="I162" s="0" t="s">
        <v>5359</v>
      </c>
      <c r="J162" s="0" t="s">
        <v>5360</v>
      </c>
      <c r="K162" s="444" t="s">
        <v>5361</v>
      </c>
    </row>
    <row r="163" customFormat="false" ht="12.8" hidden="false" customHeight="false" outlineLevel="0" collapsed="false">
      <c r="A163" s="0" t="s">
        <v>5382</v>
      </c>
      <c r="B163" s="0" t="s">
        <v>5383</v>
      </c>
      <c r="C163" s="0" t="s">
        <v>115</v>
      </c>
      <c r="D163" s="0" t="s">
        <v>5061</v>
      </c>
      <c r="E163" s="0" t="s">
        <v>5062</v>
      </c>
      <c r="F163" s="0" t="s">
        <v>5062</v>
      </c>
      <c r="G163" s="0" t="s">
        <v>458</v>
      </c>
      <c r="H163" s="0" t="s">
        <v>459</v>
      </c>
      <c r="I163" s="0" t="s">
        <v>5384</v>
      </c>
      <c r="J163" s="0" t="s">
        <v>5385</v>
      </c>
      <c r="K163" s="444" t="s">
        <v>5386</v>
      </c>
    </row>
    <row r="164" customFormat="false" ht="12.8" hidden="false" customHeight="false" outlineLevel="0" collapsed="false">
      <c r="A164" s="0" t="s">
        <v>5387</v>
      </c>
      <c r="B164" s="0" t="s">
        <v>5388</v>
      </c>
      <c r="C164" s="0" t="s">
        <v>115</v>
      </c>
      <c r="D164" s="0" t="s">
        <v>5023</v>
      </c>
      <c r="E164" s="0" t="s">
        <v>5024</v>
      </c>
      <c r="F164" s="0" t="s">
        <v>5024</v>
      </c>
      <c r="G164" s="0" t="s">
        <v>458</v>
      </c>
      <c r="H164" s="0" t="s">
        <v>459</v>
      </c>
      <c r="I164" s="0" t="s">
        <v>5384</v>
      </c>
      <c r="J164" s="0" t="s">
        <v>5385</v>
      </c>
      <c r="K164" s="444" t="s">
        <v>5386</v>
      </c>
    </row>
    <row r="165" customFormat="false" ht="12.8" hidden="false" customHeight="false" outlineLevel="0" collapsed="false">
      <c r="A165" s="0" t="s">
        <v>5389</v>
      </c>
      <c r="B165" s="0" t="s">
        <v>5390</v>
      </c>
      <c r="C165" s="0" t="s">
        <v>115</v>
      </c>
      <c r="D165" s="0" t="s">
        <v>5023</v>
      </c>
      <c r="E165" s="0" t="s">
        <v>5024</v>
      </c>
      <c r="F165" s="0" t="s">
        <v>5024</v>
      </c>
      <c r="G165" s="0" t="s">
        <v>458</v>
      </c>
      <c r="H165" s="0" t="s">
        <v>459</v>
      </c>
      <c r="I165" s="0" t="s">
        <v>5384</v>
      </c>
      <c r="J165" s="0" t="s">
        <v>5385</v>
      </c>
      <c r="K165" s="444" t="s">
        <v>5386</v>
      </c>
    </row>
    <row r="166" customFormat="false" ht="12.8" hidden="false" customHeight="false" outlineLevel="0" collapsed="false">
      <c r="A166" s="0" t="s">
        <v>5391</v>
      </c>
      <c r="B166" s="0" t="s">
        <v>5392</v>
      </c>
      <c r="C166" s="0" t="s">
        <v>115</v>
      </c>
      <c r="D166" s="0" t="s">
        <v>5057</v>
      </c>
      <c r="E166" s="0" t="s">
        <v>5058</v>
      </c>
      <c r="F166" s="0" t="s">
        <v>5058</v>
      </c>
      <c r="G166" s="0" t="s">
        <v>458</v>
      </c>
      <c r="H166" s="0" t="s">
        <v>459</v>
      </c>
      <c r="I166" s="0" t="s">
        <v>5384</v>
      </c>
      <c r="J166" s="0" t="s">
        <v>5385</v>
      </c>
      <c r="K166" s="444" t="s">
        <v>5386</v>
      </c>
    </row>
    <row r="167" customFormat="false" ht="12.8" hidden="false" customHeight="false" outlineLevel="0" collapsed="false">
      <c r="A167" s="0" t="s">
        <v>5393</v>
      </c>
      <c r="B167" s="0" t="s">
        <v>5394</v>
      </c>
      <c r="C167" s="0" t="s">
        <v>115</v>
      </c>
      <c r="D167" s="0" t="s">
        <v>5023</v>
      </c>
      <c r="E167" s="0" t="s">
        <v>5024</v>
      </c>
      <c r="F167" s="0" t="s">
        <v>5024</v>
      </c>
      <c r="G167" s="0" t="s">
        <v>458</v>
      </c>
      <c r="H167" s="0" t="s">
        <v>459</v>
      </c>
      <c r="I167" s="0" t="s">
        <v>5384</v>
      </c>
      <c r="J167" s="0" t="s">
        <v>5385</v>
      </c>
      <c r="K167" s="444" t="s">
        <v>5386</v>
      </c>
    </row>
    <row r="168" customFormat="false" ht="12.8" hidden="false" customHeight="false" outlineLevel="0" collapsed="false">
      <c r="A168" s="0" t="s">
        <v>5395</v>
      </c>
      <c r="B168" s="0" t="s">
        <v>5396</v>
      </c>
      <c r="C168" s="0" t="s">
        <v>115</v>
      </c>
      <c r="D168" s="0" t="s">
        <v>5023</v>
      </c>
      <c r="E168" s="0" t="s">
        <v>5024</v>
      </c>
      <c r="F168" s="0" t="s">
        <v>5024</v>
      </c>
      <c r="G168" s="0" t="s">
        <v>458</v>
      </c>
      <c r="H168" s="0" t="s">
        <v>459</v>
      </c>
      <c r="I168" s="0" t="s">
        <v>5384</v>
      </c>
      <c r="J168" s="0" t="s">
        <v>5385</v>
      </c>
      <c r="K168" s="444" t="s">
        <v>5386</v>
      </c>
    </row>
    <row r="169" customFormat="false" ht="12.8" hidden="false" customHeight="false" outlineLevel="0" collapsed="false">
      <c r="A169" s="0" t="s">
        <v>5397</v>
      </c>
      <c r="B169" s="0" t="s">
        <v>5398</v>
      </c>
      <c r="C169" s="0" t="s">
        <v>115</v>
      </c>
      <c r="D169" s="0" t="s">
        <v>5023</v>
      </c>
      <c r="E169" s="0" t="s">
        <v>5024</v>
      </c>
      <c r="F169" s="0" t="s">
        <v>5024</v>
      </c>
      <c r="G169" s="0" t="s">
        <v>458</v>
      </c>
      <c r="H169" s="0" t="s">
        <v>459</v>
      </c>
      <c r="I169" s="0" t="s">
        <v>5384</v>
      </c>
      <c r="J169" s="0" t="s">
        <v>5385</v>
      </c>
      <c r="K169" s="444" t="s">
        <v>5386</v>
      </c>
    </row>
    <row r="170" customFormat="false" ht="12.8" hidden="false" customHeight="false" outlineLevel="0" collapsed="false">
      <c r="A170" s="0" t="s">
        <v>5399</v>
      </c>
      <c r="B170" s="0" t="s">
        <v>5400</v>
      </c>
      <c r="C170" s="0" t="s">
        <v>116</v>
      </c>
      <c r="D170" s="0" t="s">
        <v>5061</v>
      </c>
      <c r="E170" s="0" t="s">
        <v>5062</v>
      </c>
      <c r="F170" s="0" t="s">
        <v>5062</v>
      </c>
      <c r="G170" s="0" t="s">
        <v>458</v>
      </c>
      <c r="H170" s="0" t="s">
        <v>643</v>
      </c>
      <c r="I170" s="0" t="s">
        <v>5401</v>
      </c>
      <c r="J170" s="0" t="s">
        <v>5402</v>
      </c>
      <c r="K170" s="0" t="s">
        <v>5260</v>
      </c>
    </row>
    <row r="171" customFormat="false" ht="12.8" hidden="false" customHeight="false" outlineLevel="0" collapsed="false">
      <c r="A171" s="0" t="s">
        <v>5403</v>
      </c>
      <c r="B171" s="0" t="s">
        <v>5404</v>
      </c>
      <c r="C171" s="0" t="s">
        <v>116</v>
      </c>
      <c r="D171" s="0" t="s">
        <v>5057</v>
      </c>
      <c r="E171" s="0" t="s">
        <v>5058</v>
      </c>
      <c r="F171" s="0" t="s">
        <v>5058</v>
      </c>
      <c r="G171" s="0" t="s">
        <v>458</v>
      </c>
      <c r="H171" s="0" t="s">
        <v>643</v>
      </c>
      <c r="I171" s="0" t="s">
        <v>5401</v>
      </c>
      <c r="J171" s="0" t="s">
        <v>5402</v>
      </c>
      <c r="K171" s="0" t="s">
        <v>5260</v>
      </c>
      <c r="L171" s="0" t="s">
        <v>5405</v>
      </c>
    </row>
    <row r="172" customFormat="false" ht="12.8" hidden="false" customHeight="false" outlineLevel="0" collapsed="false">
      <c r="A172" s="0" t="s">
        <v>5406</v>
      </c>
      <c r="B172" s="0" t="s">
        <v>5407</v>
      </c>
      <c r="C172" s="0" t="s">
        <v>116</v>
      </c>
      <c r="D172" s="0" t="s">
        <v>5023</v>
      </c>
      <c r="E172" s="0" t="s">
        <v>5024</v>
      </c>
      <c r="F172" s="0" t="s">
        <v>5024</v>
      </c>
      <c r="G172" s="0" t="s">
        <v>458</v>
      </c>
      <c r="H172" s="0" t="s">
        <v>643</v>
      </c>
      <c r="I172" s="0" t="s">
        <v>5401</v>
      </c>
      <c r="J172" s="0" t="s">
        <v>5402</v>
      </c>
      <c r="K172" s="0" t="s">
        <v>5260</v>
      </c>
      <c r="L172" s="0" t="s">
        <v>5405</v>
      </c>
    </row>
    <row r="173" customFormat="false" ht="12.8" hidden="false" customHeight="false" outlineLevel="0" collapsed="false">
      <c r="A173" s="0" t="s">
        <v>5408</v>
      </c>
      <c r="B173" s="0" t="s">
        <v>5409</v>
      </c>
      <c r="C173" s="0" t="s">
        <v>116</v>
      </c>
      <c r="D173" s="0" t="s">
        <v>5023</v>
      </c>
      <c r="E173" s="0" t="s">
        <v>5024</v>
      </c>
      <c r="F173" s="0" t="s">
        <v>5024</v>
      </c>
      <c r="G173" s="0" t="s">
        <v>458</v>
      </c>
      <c r="H173" s="0" t="s">
        <v>643</v>
      </c>
      <c r="I173" s="0" t="s">
        <v>5401</v>
      </c>
      <c r="J173" s="0" t="s">
        <v>5402</v>
      </c>
      <c r="K173" s="0" t="s">
        <v>5260</v>
      </c>
    </row>
    <row r="174" customFormat="false" ht="12.8" hidden="false" customHeight="false" outlineLevel="0" collapsed="false">
      <c r="A174" s="0" t="s">
        <v>5410</v>
      </c>
      <c r="B174" s="0" t="s">
        <v>5411</v>
      </c>
      <c r="C174" s="0" t="s">
        <v>116</v>
      </c>
      <c r="D174" s="0" t="s">
        <v>5023</v>
      </c>
      <c r="E174" s="0" t="s">
        <v>5024</v>
      </c>
      <c r="F174" s="0" t="s">
        <v>5024</v>
      </c>
      <c r="G174" s="0" t="s">
        <v>458</v>
      </c>
      <c r="H174" s="0" t="s">
        <v>643</v>
      </c>
      <c r="I174" s="0" t="s">
        <v>5401</v>
      </c>
      <c r="J174" s="0" t="s">
        <v>5402</v>
      </c>
      <c r="K174" s="0" t="s">
        <v>5260</v>
      </c>
    </row>
    <row r="175" customFormat="false" ht="12.8" hidden="false" customHeight="false" outlineLevel="0" collapsed="false">
      <c r="A175" s="0" t="s">
        <v>5412</v>
      </c>
      <c r="B175" s="0" t="s">
        <v>5413</v>
      </c>
      <c r="C175" s="0" t="s">
        <v>116</v>
      </c>
      <c r="D175" s="0" t="s">
        <v>5023</v>
      </c>
      <c r="E175" s="0" t="s">
        <v>5024</v>
      </c>
      <c r="F175" s="0" t="s">
        <v>5024</v>
      </c>
      <c r="G175" s="0" t="s">
        <v>458</v>
      </c>
      <c r="H175" s="0" t="s">
        <v>643</v>
      </c>
      <c r="I175" s="0" t="s">
        <v>5401</v>
      </c>
      <c r="J175" s="0" t="s">
        <v>5402</v>
      </c>
      <c r="K175" s="0" t="s">
        <v>5260</v>
      </c>
    </row>
    <row r="176" customFormat="false" ht="12.8" hidden="false" customHeight="false" outlineLevel="0" collapsed="false">
      <c r="A176" s="0" t="s">
        <v>5414</v>
      </c>
      <c r="B176" s="0" t="s">
        <v>5415</v>
      </c>
      <c r="C176" s="0" t="s">
        <v>127</v>
      </c>
      <c r="D176" s="0" t="s">
        <v>5023</v>
      </c>
      <c r="E176" s="0" t="s">
        <v>5024</v>
      </c>
      <c r="F176" s="0" t="s">
        <v>5024</v>
      </c>
      <c r="G176" s="0" t="s">
        <v>458</v>
      </c>
      <c r="H176" s="0" t="s">
        <v>459</v>
      </c>
      <c r="I176" s="0" t="s">
        <v>5416</v>
      </c>
      <c r="J176" s="0" t="s">
        <v>5417</v>
      </c>
      <c r="K176" s="0" t="s">
        <v>5418</v>
      </c>
    </row>
    <row r="177" customFormat="false" ht="12.8" hidden="false" customHeight="false" outlineLevel="0" collapsed="false">
      <c r="A177" s="0" t="s">
        <v>5419</v>
      </c>
      <c r="B177" s="0" t="s">
        <v>5420</v>
      </c>
      <c r="C177" s="0" t="s">
        <v>127</v>
      </c>
      <c r="D177" s="0" t="s">
        <v>5023</v>
      </c>
      <c r="E177" s="0" t="s">
        <v>5024</v>
      </c>
      <c r="F177" s="0" t="s">
        <v>5024</v>
      </c>
      <c r="G177" s="0" t="s">
        <v>458</v>
      </c>
      <c r="H177" s="0" t="s">
        <v>459</v>
      </c>
      <c r="I177" s="0" t="s">
        <v>5416</v>
      </c>
      <c r="J177" s="0" t="s">
        <v>5417</v>
      </c>
      <c r="K177" s="0" t="s">
        <v>5418</v>
      </c>
    </row>
    <row r="178" customFormat="false" ht="12.8" hidden="false" customHeight="false" outlineLevel="0" collapsed="false">
      <c r="A178" s="0" t="s">
        <v>5421</v>
      </c>
      <c r="B178" s="0" t="s">
        <v>5422</v>
      </c>
      <c r="C178" s="0" t="s">
        <v>127</v>
      </c>
      <c r="D178" s="0" t="s">
        <v>5023</v>
      </c>
      <c r="E178" s="0" t="s">
        <v>5024</v>
      </c>
      <c r="F178" s="0" t="s">
        <v>5024</v>
      </c>
      <c r="G178" s="0" t="s">
        <v>458</v>
      </c>
      <c r="H178" s="0" t="s">
        <v>459</v>
      </c>
      <c r="I178" s="0" t="s">
        <v>5416</v>
      </c>
      <c r="J178" s="0" t="s">
        <v>5417</v>
      </c>
      <c r="K178" s="0" t="s">
        <v>5418</v>
      </c>
    </row>
    <row r="179" customFormat="false" ht="12.8" hidden="false" customHeight="false" outlineLevel="0" collapsed="false">
      <c r="A179" s="0" t="s">
        <v>5423</v>
      </c>
      <c r="B179" s="0" t="s">
        <v>5424</v>
      </c>
      <c r="C179" s="0" t="s">
        <v>127</v>
      </c>
      <c r="D179" s="0" t="s">
        <v>5023</v>
      </c>
      <c r="E179" s="0" t="s">
        <v>5024</v>
      </c>
      <c r="F179" s="0" t="s">
        <v>5024</v>
      </c>
      <c r="G179" s="0" t="s">
        <v>458</v>
      </c>
      <c r="H179" s="0" t="s">
        <v>459</v>
      </c>
      <c r="I179" s="0" t="s">
        <v>5416</v>
      </c>
      <c r="J179" s="0" t="s">
        <v>5417</v>
      </c>
      <c r="K179" s="0" t="s">
        <v>5418</v>
      </c>
    </row>
    <row r="180" customFormat="false" ht="12.8" hidden="false" customHeight="false" outlineLevel="0" collapsed="false">
      <c r="A180" s="0" t="s">
        <v>5425</v>
      </c>
      <c r="B180" s="0" t="s">
        <v>5426</v>
      </c>
      <c r="C180" s="0" t="s">
        <v>127</v>
      </c>
      <c r="D180" s="0" t="s">
        <v>5023</v>
      </c>
      <c r="E180" s="0" t="s">
        <v>5024</v>
      </c>
      <c r="F180" s="0" t="s">
        <v>5024</v>
      </c>
      <c r="G180" s="0" t="s">
        <v>458</v>
      </c>
      <c r="H180" s="0" t="s">
        <v>459</v>
      </c>
      <c r="I180" s="0" t="s">
        <v>5416</v>
      </c>
      <c r="J180" s="0" t="s">
        <v>5417</v>
      </c>
      <c r="K180" s="0" t="s">
        <v>5418</v>
      </c>
    </row>
    <row r="181" customFormat="false" ht="12.8" hidden="false" customHeight="false" outlineLevel="0" collapsed="false">
      <c r="A181" s="0" t="s">
        <v>5427</v>
      </c>
      <c r="B181" s="0" t="s">
        <v>5428</v>
      </c>
      <c r="C181" s="0" t="s">
        <v>127</v>
      </c>
      <c r="D181" s="0" t="s">
        <v>5023</v>
      </c>
      <c r="E181" s="0" t="s">
        <v>5024</v>
      </c>
      <c r="F181" s="0" t="s">
        <v>5024</v>
      </c>
      <c r="G181" s="0" t="s">
        <v>458</v>
      </c>
      <c r="H181" s="0" t="s">
        <v>459</v>
      </c>
      <c r="I181" s="0" t="s">
        <v>5416</v>
      </c>
      <c r="J181" s="0" t="s">
        <v>5417</v>
      </c>
      <c r="K181" s="0" t="s">
        <v>5418</v>
      </c>
    </row>
    <row r="182" customFormat="false" ht="12.8" hidden="false" customHeight="false" outlineLevel="0" collapsed="false">
      <c r="A182" s="0" t="s">
        <v>5429</v>
      </c>
      <c r="B182" s="0" t="s">
        <v>5430</v>
      </c>
      <c r="C182" s="0" t="s">
        <v>127</v>
      </c>
      <c r="D182" s="0" t="s">
        <v>5023</v>
      </c>
      <c r="E182" s="0" t="s">
        <v>5024</v>
      </c>
      <c r="F182" s="0" t="s">
        <v>5024</v>
      </c>
      <c r="G182" s="0" t="s">
        <v>458</v>
      </c>
      <c r="H182" s="0" t="s">
        <v>459</v>
      </c>
      <c r="I182" s="0" t="s">
        <v>5416</v>
      </c>
      <c r="J182" s="0" t="s">
        <v>5417</v>
      </c>
      <c r="K182" s="0" t="s">
        <v>5418</v>
      </c>
    </row>
    <row r="183" customFormat="false" ht="12.8" hidden="false" customHeight="false" outlineLevel="0" collapsed="false">
      <c r="A183" s="0" t="s">
        <v>5431</v>
      </c>
      <c r="B183" s="0" t="s">
        <v>5432</v>
      </c>
      <c r="C183" s="0" t="s">
        <v>127</v>
      </c>
      <c r="D183" s="0" t="s">
        <v>5023</v>
      </c>
      <c r="E183" s="0" t="s">
        <v>5024</v>
      </c>
      <c r="F183" s="0" t="s">
        <v>5024</v>
      </c>
      <c r="G183" s="0" t="s">
        <v>458</v>
      </c>
      <c r="H183" s="0" t="s">
        <v>459</v>
      </c>
      <c r="I183" s="0" t="s">
        <v>5416</v>
      </c>
      <c r="J183" s="0" t="s">
        <v>5417</v>
      </c>
      <c r="K183" s="0" t="s">
        <v>5418</v>
      </c>
    </row>
    <row r="184" customFormat="false" ht="12.8" hidden="false" customHeight="false" outlineLevel="0" collapsed="false">
      <c r="A184" s="0" t="s">
        <v>5433</v>
      </c>
      <c r="B184" s="0" t="s">
        <v>5434</v>
      </c>
      <c r="C184" s="0" t="s">
        <v>127</v>
      </c>
      <c r="D184" s="0" t="s">
        <v>5023</v>
      </c>
      <c r="E184" s="0" t="s">
        <v>5024</v>
      </c>
      <c r="F184" s="0" t="s">
        <v>5024</v>
      </c>
      <c r="G184" s="0" t="s">
        <v>458</v>
      </c>
      <c r="H184" s="0" t="s">
        <v>459</v>
      </c>
      <c r="I184" s="0" t="s">
        <v>5416</v>
      </c>
      <c r="J184" s="0" t="s">
        <v>5417</v>
      </c>
      <c r="K184" s="0" t="s">
        <v>5418</v>
      </c>
    </row>
    <row r="185" customFormat="false" ht="12.8" hidden="false" customHeight="false" outlineLevel="0" collapsed="false">
      <c r="A185" s="0" t="s">
        <v>5435</v>
      </c>
      <c r="B185" s="0" t="s">
        <v>5436</v>
      </c>
      <c r="C185" s="0" t="s">
        <v>127</v>
      </c>
      <c r="D185" s="0" t="s">
        <v>5023</v>
      </c>
      <c r="E185" s="0" t="s">
        <v>5024</v>
      </c>
      <c r="F185" s="0" t="s">
        <v>5024</v>
      </c>
      <c r="G185" s="0" t="s">
        <v>458</v>
      </c>
      <c r="H185" s="0" t="s">
        <v>459</v>
      </c>
      <c r="I185" s="0" t="s">
        <v>5416</v>
      </c>
      <c r="J185" s="0" t="s">
        <v>5417</v>
      </c>
      <c r="K185" s="0" t="s">
        <v>5418</v>
      </c>
    </row>
    <row r="186" customFormat="false" ht="12.8" hidden="false" customHeight="false" outlineLevel="0" collapsed="false">
      <c r="A186" s="0" t="s">
        <v>5437</v>
      </c>
      <c r="B186" s="0" t="s">
        <v>5438</v>
      </c>
      <c r="C186" s="0" t="s">
        <v>127</v>
      </c>
      <c r="D186" s="0" t="s">
        <v>5023</v>
      </c>
      <c r="E186" s="0" t="s">
        <v>5024</v>
      </c>
      <c r="F186" s="0" t="s">
        <v>5024</v>
      </c>
      <c r="G186" s="0" t="s">
        <v>458</v>
      </c>
      <c r="H186" s="0" t="s">
        <v>459</v>
      </c>
      <c r="I186" s="0" t="s">
        <v>5416</v>
      </c>
      <c r="J186" s="0" t="s">
        <v>5417</v>
      </c>
      <c r="K186" s="0" t="s">
        <v>5418</v>
      </c>
    </row>
    <row r="187" customFormat="false" ht="12.8" hidden="false" customHeight="false" outlineLevel="0" collapsed="false">
      <c r="A187" s="0" t="s">
        <v>5439</v>
      </c>
      <c r="B187" s="0" t="s">
        <v>5440</v>
      </c>
      <c r="C187" s="0" t="s">
        <v>127</v>
      </c>
      <c r="D187" s="0" t="s">
        <v>5023</v>
      </c>
      <c r="E187" s="0" t="s">
        <v>5024</v>
      </c>
      <c r="F187" s="0" t="s">
        <v>5024</v>
      </c>
      <c r="G187" s="0" t="s">
        <v>458</v>
      </c>
      <c r="H187" s="0" t="s">
        <v>459</v>
      </c>
      <c r="I187" s="0" t="s">
        <v>5416</v>
      </c>
      <c r="J187" s="0" t="s">
        <v>5417</v>
      </c>
      <c r="K187" s="0" t="s">
        <v>5418</v>
      </c>
    </row>
    <row r="188" customFormat="false" ht="12.8" hidden="false" customHeight="false" outlineLevel="0" collapsed="false">
      <c r="A188" s="0" t="s">
        <v>5441</v>
      </c>
      <c r="B188" s="0" t="s">
        <v>5442</v>
      </c>
      <c r="C188" s="0" t="s">
        <v>127</v>
      </c>
      <c r="D188" s="0" t="s">
        <v>5023</v>
      </c>
      <c r="E188" s="0" t="s">
        <v>5024</v>
      </c>
      <c r="F188" s="0" t="s">
        <v>5024</v>
      </c>
      <c r="G188" s="0" t="s">
        <v>458</v>
      </c>
      <c r="H188" s="0" t="s">
        <v>459</v>
      </c>
      <c r="I188" s="0" t="s">
        <v>5416</v>
      </c>
      <c r="J188" s="0" t="s">
        <v>5417</v>
      </c>
      <c r="K188" s="0" t="s">
        <v>5418</v>
      </c>
    </row>
    <row r="189" customFormat="false" ht="12.8" hidden="false" customHeight="false" outlineLevel="0" collapsed="false">
      <c r="A189" s="0" t="s">
        <v>5443</v>
      </c>
      <c r="B189" s="0" t="s">
        <v>5444</v>
      </c>
      <c r="C189" s="0" t="s">
        <v>127</v>
      </c>
      <c r="D189" s="0" t="s">
        <v>5023</v>
      </c>
      <c r="E189" s="0" t="s">
        <v>5024</v>
      </c>
      <c r="F189" s="0" t="s">
        <v>5024</v>
      </c>
      <c r="G189" s="0" t="s">
        <v>458</v>
      </c>
      <c r="H189" s="0" t="s">
        <v>459</v>
      </c>
      <c r="I189" s="0" t="s">
        <v>5416</v>
      </c>
      <c r="J189" s="0" t="s">
        <v>5417</v>
      </c>
      <c r="K189" s="0" t="s">
        <v>5418</v>
      </c>
    </row>
    <row r="190" customFormat="false" ht="12.8" hidden="false" customHeight="false" outlineLevel="0" collapsed="false">
      <c r="A190" s="0" t="s">
        <v>5445</v>
      </c>
      <c r="B190" s="0" t="s">
        <v>5446</v>
      </c>
      <c r="C190" s="0" t="s">
        <v>127</v>
      </c>
      <c r="D190" s="0" t="s">
        <v>5023</v>
      </c>
      <c r="E190" s="0" t="s">
        <v>5024</v>
      </c>
      <c r="F190" s="0" t="s">
        <v>5024</v>
      </c>
      <c r="G190" s="0" t="s">
        <v>458</v>
      </c>
      <c r="H190" s="0" t="s">
        <v>459</v>
      </c>
      <c r="I190" s="0" t="s">
        <v>5416</v>
      </c>
      <c r="J190" s="0" t="s">
        <v>5417</v>
      </c>
      <c r="K190" s="0" t="s">
        <v>5418</v>
      </c>
    </row>
    <row r="191" customFormat="false" ht="12.8" hidden="false" customHeight="false" outlineLevel="0" collapsed="false">
      <c r="A191" s="0" t="s">
        <v>5447</v>
      </c>
      <c r="B191" s="0" t="s">
        <v>5448</v>
      </c>
      <c r="C191" s="0" t="s">
        <v>127</v>
      </c>
      <c r="D191" s="0" t="s">
        <v>5023</v>
      </c>
      <c r="E191" s="0" t="s">
        <v>5024</v>
      </c>
      <c r="F191" s="0" t="s">
        <v>5024</v>
      </c>
      <c r="G191" s="0" t="s">
        <v>458</v>
      </c>
      <c r="H191" s="0" t="s">
        <v>459</v>
      </c>
      <c r="I191" s="0" t="s">
        <v>5416</v>
      </c>
      <c r="J191" s="0" t="s">
        <v>5417</v>
      </c>
      <c r="K191" s="0" t="s">
        <v>5418</v>
      </c>
    </row>
    <row r="192" customFormat="false" ht="12.8" hidden="false" customHeight="false" outlineLevel="0" collapsed="false">
      <c r="A192" s="0" t="s">
        <v>5449</v>
      </c>
      <c r="B192" s="0" t="s">
        <v>5450</v>
      </c>
      <c r="C192" s="0" t="s">
        <v>127</v>
      </c>
      <c r="D192" s="0" t="s">
        <v>5057</v>
      </c>
      <c r="E192" s="0" t="s">
        <v>5058</v>
      </c>
      <c r="F192" s="0" t="s">
        <v>5058</v>
      </c>
      <c r="G192" s="0" t="s">
        <v>458</v>
      </c>
      <c r="H192" s="0" t="s">
        <v>459</v>
      </c>
      <c r="I192" s="0" t="s">
        <v>5416</v>
      </c>
      <c r="J192" s="0" t="s">
        <v>5417</v>
      </c>
      <c r="K192" s="0" t="s">
        <v>5418</v>
      </c>
    </row>
    <row r="193" customFormat="false" ht="12.8" hidden="false" customHeight="false" outlineLevel="0" collapsed="false">
      <c r="A193" s="0" t="s">
        <v>5451</v>
      </c>
      <c r="B193" s="0" t="s">
        <v>5452</v>
      </c>
      <c r="C193" s="0" t="s">
        <v>127</v>
      </c>
      <c r="D193" s="0" t="s">
        <v>5061</v>
      </c>
      <c r="E193" s="0" t="s">
        <v>5062</v>
      </c>
      <c r="F193" s="0" t="s">
        <v>5062</v>
      </c>
      <c r="G193" s="0" t="s">
        <v>458</v>
      </c>
      <c r="H193" s="0" t="s">
        <v>459</v>
      </c>
      <c r="I193" s="0" t="s">
        <v>5416</v>
      </c>
      <c r="J193" s="0" t="s">
        <v>5417</v>
      </c>
      <c r="K193" s="0" t="s">
        <v>5418</v>
      </c>
    </row>
    <row r="194" customFormat="false" ht="12.8" hidden="false" customHeight="false" outlineLevel="0" collapsed="false">
      <c r="A194" s="0" t="s">
        <v>5453</v>
      </c>
      <c r="B194" s="0" t="s">
        <v>5454</v>
      </c>
      <c r="C194" s="0" t="s">
        <v>129</v>
      </c>
      <c r="D194" s="0" t="s">
        <v>5061</v>
      </c>
      <c r="E194" s="0" t="s">
        <v>5062</v>
      </c>
      <c r="F194" s="0" t="s">
        <v>5062</v>
      </c>
      <c r="G194" s="0" t="s">
        <v>458</v>
      </c>
      <c r="H194" s="0" t="s">
        <v>643</v>
      </c>
      <c r="I194" s="0" t="s">
        <v>5455</v>
      </c>
      <c r="J194" s="0" t="s">
        <v>5456</v>
      </c>
      <c r="K194" s="0" t="s">
        <v>5291</v>
      </c>
    </row>
    <row r="195" customFormat="false" ht="12.8" hidden="false" customHeight="false" outlineLevel="0" collapsed="false">
      <c r="A195" s="0" t="s">
        <v>5457</v>
      </c>
      <c r="B195" s="0" t="s">
        <v>5458</v>
      </c>
      <c r="C195" s="0" t="s">
        <v>129</v>
      </c>
      <c r="D195" s="0" t="s">
        <v>5057</v>
      </c>
      <c r="E195" s="0" t="s">
        <v>5058</v>
      </c>
      <c r="F195" s="0" t="s">
        <v>5058</v>
      </c>
      <c r="G195" s="0" t="s">
        <v>458</v>
      </c>
      <c r="H195" s="0" t="s">
        <v>643</v>
      </c>
      <c r="I195" s="0" t="s">
        <v>5455</v>
      </c>
      <c r="J195" s="0" t="s">
        <v>5456</v>
      </c>
      <c r="K195" s="0" t="s">
        <v>5291</v>
      </c>
    </row>
    <row r="196" customFormat="false" ht="12.8" hidden="false" customHeight="false" outlineLevel="0" collapsed="false">
      <c r="A196" s="0" t="s">
        <v>5459</v>
      </c>
      <c r="B196" s="0" t="s">
        <v>5460</v>
      </c>
      <c r="C196" s="0" t="s">
        <v>129</v>
      </c>
      <c r="D196" s="0" t="s">
        <v>5023</v>
      </c>
      <c r="E196" s="0" t="s">
        <v>5024</v>
      </c>
      <c r="F196" s="0" t="s">
        <v>5024</v>
      </c>
      <c r="G196" s="0" t="s">
        <v>458</v>
      </c>
      <c r="H196" s="0" t="s">
        <v>643</v>
      </c>
      <c r="I196" s="0" t="s">
        <v>5455</v>
      </c>
      <c r="J196" s="0" t="s">
        <v>5456</v>
      </c>
      <c r="K196" s="0" t="s">
        <v>5291</v>
      </c>
    </row>
    <row r="197" customFormat="false" ht="12.8" hidden="false" customHeight="false" outlineLevel="0" collapsed="false">
      <c r="A197" s="0" t="s">
        <v>5461</v>
      </c>
      <c r="B197" s="0" t="s">
        <v>5462</v>
      </c>
      <c r="C197" s="0" t="s">
        <v>129</v>
      </c>
      <c r="D197" s="0" t="s">
        <v>5023</v>
      </c>
      <c r="E197" s="0" t="s">
        <v>5024</v>
      </c>
      <c r="F197" s="0" t="s">
        <v>5024</v>
      </c>
      <c r="G197" s="0" t="s">
        <v>458</v>
      </c>
      <c r="H197" s="0" t="s">
        <v>643</v>
      </c>
      <c r="I197" s="0" t="s">
        <v>5455</v>
      </c>
      <c r="J197" s="0" t="s">
        <v>5456</v>
      </c>
      <c r="K197" s="0" t="s">
        <v>5291</v>
      </c>
    </row>
    <row r="198" customFormat="false" ht="12.8" hidden="false" customHeight="false" outlineLevel="0" collapsed="false">
      <c r="A198" s="0" t="s">
        <v>5463</v>
      </c>
      <c r="B198" s="0" t="s">
        <v>5464</v>
      </c>
      <c r="C198" s="0" t="s">
        <v>129</v>
      </c>
      <c r="D198" s="0" t="s">
        <v>5023</v>
      </c>
      <c r="E198" s="0" t="s">
        <v>5024</v>
      </c>
      <c r="F198" s="0" t="s">
        <v>5024</v>
      </c>
      <c r="G198" s="0" t="s">
        <v>458</v>
      </c>
      <c r="H198" s="0" t="s">
        <v>643</v>
      </c>
      <c r="I198" s="0" t="s">
        <v>5455</v>
      </c>
      <c r="J198" s="0" t="s">
        <v>5456</v>
      </c>
      <c r="K198" s="0" t="s">
        <v>5291</v>
      </c>
    </row>
    <row r="199" customFormat="false" ht="12.8" hidden="false" customHeight="false" outlineLevel="0" collapsed="false">
      <c r="A199" s="0" t="s">
        <v>5465</v>
      </c>
      <c r="B199" s="0" t="s">
        <v>5466</v>
      </c>
      <c r="C199" s="0" t="s">
        <v>129</v>
      </c>
      <c r="D199" s="0" t="s">
        <v>5023</v>
      </c>
      <c r="E199" s="0" t="s">
        <v>5024</v>
      </c>
      <c r="F199" s="0" t="s">
        <v>5024</v>
      </c>
      <c r="G199" s="0" t="s">
        <v>458</v>
      </c>
      <c r="H199" s="0" t="s">
        <v>643</v>
      </c>
      <c r="I199" s="0" t="s">
        <v>5455</v>
      </c>
      <c r="J199" s="0" t="s">
        <v>5456</v>
      </c>
      <c r="K199" s="0" t="s">
        <v>5291</v>
      </c>
    </row>
    <row r="200" customFormat="false" ht="12.8" hidden="false" customHeight="false" outlineLevel="0" collapsed="false">
      <c r="A200" s="0" t="s">
        <v>5467</v>
      </c>
      <c r="B200" s="0" t="s">
        <v>5468</v>
      </c>
      <c r="C200" s="0" t="s">
        <v>187</v>
      </c>
      <c r="D200" s="0" t="s">
        <v>5023</v>
      </c>
      <c r="E200" s="0" t="s">
        <v>5024</v>
      </c>
      <c r="F200" s="0" t="s">
        <v>5024</v>
      </c>
      <c r="G200" s="0" t="s">
        <v>458</v>
      </c>
      <c r="H200" s="0" t="s">
        <v>643</v>
      </c>
      <c r="I200" s="0" t="s">
        <v>5469</v>
      </c>
      <c r="J200" s="0" t="s">
        <v>5470</v>
      </c>
      <c r="K200" s="0" t="s">
        <v>5291</v>
      </c>
    </row>
    <row r="201" customFormat="false" ht="12.8" hidden="false" customHeight="false" outlineLevel="0" collapsed="false">
      <c r="A201" s="0" t="s">
        <v>5471</v>
      </c>
      <c r="B201" s="0" t="s">
        <v>5472</v>
      </c>
      <c r="C201" s="0" t="s">
        <v>187</v>
      </c>
      <c r="D201" s="0" t="s">
        <v>5023</v>
      </c>
      <c r="E201" s="0" t="s">
        <v>5024</v>
      </c>
      <c r="F201" s="0" t="s">
        <v>5024</v>
      </c>
      <c r="G201" s="0" t="s">
        <v>458</v>
      </c>
      <c r="H201" s="0" t="s">
        <v>643</v>
      </c>
      <c r="I201" s="0" t="s">
        <v>5469</v>
      </c>
      <c r="J201" s="0" t="s">
        <v>5470</v>
      </c>
      <c r="K201" s="0" t="s">
        <v>5291</v>
      </c>
    </row>
    <row r="202" customFormat="false" ht="12.8" hidden="false" customHeight="false" outlineLevel="0" collapsed="false">
      <c r="A202" s="0" t="s">
        <v>5473</v>
      </c>
      <c r="B202" s="0" t="s">
        <v>5474</v>
      </c>
      <c r="C202" s="0" t="s">
        <v>187</v>
      </c>
      <c r="D202" s="0" t="s">
        <v>5023</v>
      </c>
      <c r="E202" s="0" t="s">
        <v>5024</v>
      </c>
      <c r="F202" s="0" t="s">
        <v>5024</v>
      </c>
      <c r="G202" s="0" t="s">
        <v>458</v>
      </c>
      <c r="H202" s="0" t="s">
        <v>643</v>
      </c>
      <c r="I202" s="0" t="s">
        <v>5469</v>
      </c>
      <c r="J202" s="0" t="s">
        <v>5470</v>
      </c>
      <c r="K202" s="0" t="s">
        <v>5291</v>
      </c>
    </row>
    <row r="203" customFormat="false" ht="12.8" hidden="false" customHeight="false" outlineLevel="0" collapsed="false">
      <c r="A203" s="0" t="s">
        <v>5475</v>
      </c>
      <c r="B203" s="0" t="s">
        <v>5476</v>
      </c>
      <c r="C203" s="0" t="s">
        <v>187</v>
      </c>
      <c r="D203" s="0" t="s">
        <v>5057</v>
      </c>
      <c r="E203" s="0" t="s">
        <v>5058</v>
      </c>
      <c r="F203" s="0" t="s">
        <v>5058</v>
      </c>
      <c r="G203" s="0" t="s">
        <v>458</v>
      </c>
      <c r="H203" s="0" t="s">
        <v>643</v>
      </c>
      <c r="I203" s="0" t="s">
        <v>5469</v>
      </c>
      <c r="J203" s="0" t="s">
        <v>5470</v>
      </c>
      <c r="K203" s="0" t="s">
        <v>5291</v>
      </c>
    </row>
    <row r="204" customFormat="false" ht="12.8" hidden="false" customHeight="false" outlineLevel="0" collapsed="false">
      <c r="A204" s="0" t="s">
        <v>5477</v>
      </c>
      <c r="B204" s="0" t="s">
        <v>5478</v>
      </c>
      <c r="C204" s="0" t="s">
        <v>187</v>
      </c>
      <c r="D204" s="0" t="s">
        <v>5061</v>
      </c>
      <c r="E204" s="0" t="s">
        <v>5062</v>
      </c>
      <c r="F204" s="0" t="s">
        <v>5062</v>
      </c>
      <c r="G204" s="0" t="s">
        <v>458</v>
      </c>
      <c r="H204" s="0" t="s">
        <v>643</v>
      </c>
      <c r="I204" s="0" t="s">
        <v>5469</v>
      </c>
      <c r="J204" s="0" t="s">
        <v>5470</v>
      </c>
      <c r="K204" s="0" t="s">
        <v>5291</v>
      </c>
    </row>
    <row r="205" customFormat="false" ht="12.8" hidden="false" customHeight="false" outlineLevel="0" collapsed="false">
      <c r="A205" s="0" t="s">
        <v>5479</v>
      </c>
      <c r="B205" s="0" t="s">
        <v>5480</v>
      </c>
      <c r="C205" s="0" t="s">
        <v>63</v>
      </c>
      <c r="D205" s="0" t="s">
        <v>5061</v>
      </c>
      <c r="E205" s="0" t="s">
        <v>5062</v>
      </c>
      <c r="F205" s="0" t="s">
        <v>5062</v>
      </c>
      <c r="G205" s="0" t="s">
        <v>458</v>
      </c>
      <c r="H205" s="0" t="s">
        <v>781</v>
      </c>
      <c r="I205" s="0" t="s">
        <v>5481</v>
      </c>
      <c r="J205" s="0" t="s">
        <v>5482</v>
      </c>
      <c r="K205" s="0" t="s">
        <v>5260</v>
      </c>
    </row>
    <row r="206" customFormat="false" ht="12.8" hidden="false" customHeight="false" outlineLevel="0" collapsed="false">
      <c r="A206" s="0" t="s">
        <v>5483</v>
      </c>
      <c r="B206" s="0" t="s">
        <v>5484</v>
      </c>
      <c r="C206" s="0" t="s">
        <v>63</v>
      </c>
      <c r="D206" s="0" t="s">
        <v>5023</v>
      </c>
      <c r="E206" s="0" t="s">
        <v>5024</v>
      </c>
      <c r="F206" s="0" t="s">
        <v>5024</v>
      </c>
      <c r="G206" s="0" t="s">
        <v>458</v>
      </c>
      <c r="H206" s="0" t="s">
        <v>781</v>
      </c>
      <c r="I206" s="0" t="s">
        <v>5481</v>
      </c>
      <c r="J206" s="0" t="s">
        <v>5482</v>
      </c>
      <c r="K206" s="0" t="s">
        <v>5260</v>
      </c>
    </row>
    <row r="207" customFormat="false" ht="12.8" hidden="false" customHeight="false" outlineLevel="0" collapsed="false">
      <c r="A207" s="0" t="s">
        <v>5485</v>
      </c>
      <c r="B207" s="0" t="s">
        <v>5486</v>
      </c>
      <c r="C207" s="0" t="s">
        <v>63</v>
      </c>
      <c r="D207" s="0" t="s">
        <v>5023</v>
      </c>
      <c r="E207" s="0" t="s">
        <v>5024</v>
      </c>
      <c r="F207" s="0" t="s">
        <v>5024</v>
      </c>
      <c r="G207" s="0" t="s">
        <v>458</v>
      </c>
      <c r="H207" s="0" t="s">
        <v>781</v>
      </c>
      <c r="I207" s="0" t="s">
        <v>5481</v>
      </c>
      <c r="J207" s="0" t="s">
        <v>5482</v>
      </c>
      <c r="K207" s="0" t="s">
        <v>5260</v>
      </c>
    </row>
    <row r="208" customFormat="false" ht="12.8" hidden="false" customHeight="false" outlineLevel="0" collapsed="false">
      <c r="A208" s="0" t="s">
        <v>5487</v>
      </c>
      <c r="B208" s="0" t="s">
        <v>5488</v>
      </c>
      <c r="C208" s="0" t="s">
        <v>63</v>
      </c>
      <c r="D208" s="0" t="s">
        <v>5023</v>
      </c>
      <c r="E208" s="0" t="s">
        <v>5024</v>
      </c>
      <c r="F208" s="0" t="s">
        <v>5024</v>
      </c>
      <c r="G208" s="0" t="s">
        <v>458</v>
      </c>
      <c r="H208" s="0" t="s">
        <v>781</v>
      </c>
      <c r="I208" s="0" t="s">
        <v>5481</v>
      </c>
      <c r="J208" s="0" t="s">
        <v>5482</v>
      </c>
      <c r="K208" s="0" t="s">
        <v>5260</v>
      </c>
    </row>
    <row r="209" customFormat="false" ht="12.8" hidden="false" customHeight="false" outlineLevel="0" collapsed="false">
      <c r="A209" s="0" t="s">
        <v>5489</v>
      </c>
      <c r="B209" s="0" t="s">
        <v>5490</v>
      </c>
      <c r="C209" s="0" t="s">
        <v>74</v>
      </c>
      <c r="D209" s="0" t="s">
        <v>5023</v>
      </c>
      <c r="E209" s="0" t="s">
        <v>5024</v>
      </c>
      <c r="F209" s="0" t="s">
        <v>5024</v>
      </c>
      <c r="G209" s="0" t="s">
        <v>458</v>
      </c>
      <c r="H209" s="0" t="s">
        <v>781</v>
      </c>
      <c r="I209" s="0" t="s">
        <v>5491</v>
      </c>
      <c r="J209" s="0" t="s">
        <v>5492</v>
      </c>
      <c r="K209" s="444" t="s">
        <v>5493</v>
      </c>
    </row>
    <row r="210" customFormat="false" ht="12.8" hidden="false" customHeight="false" outlineLevel="0" collapsed="false">
      <c r="A210" s="0" t="s">
        <v>5494</v>
      </c>
      <c r="B210" s="0" t="s">
        <v>5495</v>
      </c>
      <c r="C210" s="0" t="s">
        <v>74</v>
      </c>
      <c r="D210" s="0" t="s">
        <v>5023</v>
      </c>
      <c r="E210" s="0" t="s">
        <v>5024</v>
      </c>
      <c r="F210" s="0" t="s">
        <v>5024</v>
      </c>
      <c r="G210" s="0" t="s">
        <v>458</v>
      </c>
      <c r="H210" s="0" t="s">
        <v>781</v>
      </c>
      <c r="I210" s="0" t="s">
        <v>5491</v>
      </c>
      <c r="J210" s="0" t="s">
        <v>5492</v>
      </c>
      <c r="K210" s="444" t="s">
        <v>5493</v>
      </c>
    </row>
    <row r="211" customFormat="false" ht="12.8" hidden="false" customHeight="false" outlineLevel="0" collapsed="false">
      <c r="A211" s="0" t="s">
        <v>5496</v>
      </c>
      <c r="B211" s="0" t="s">
        <v>5497</v>
      </c>
      <c r="C211" s="0" t="s">
        <v>74</v>
      </c>
      <c r="D211" s="0" t="s">
        <v>5023</v>
      </c>
      <c r="E211" s="0" t="s">
        <v>5024</v>
      </c>
      <c r="F211" s="0" t="s">
        <v>5024</v>
      </c>
      <c r="G211" s="0" t="s">
        <v>458</v>
      </c>
      <c r="H211" s="0" t="s">
        <v>781</v>
      </c>
      <c r="I211" s="0" t="s">
        <v>5491</v>
      </c>
      <c r="J211" s="0" t="s">
        <v>5492</v>
      </c>
      <c r="K211" s="444" t="s">
        <v>5493</v>
      </c>
    </row>
    <row r="212" customFormat="false" ht="12.8" hidden="false" customHeight="false" outlineLevel="0" collapsed="false">
      <c r="A212" s="0" t="s">
        <v>5498</v>
      </c>
      <c r="B212" s="0" t="s">
        <v>5499</v>
      </c>
      <c r="C212" s="0" t="s">
        <v>74</v>
      </c>
      <c r="D212" s="0" t="s">
        <v>5023</v>
      </c>
      <c r="E212" s="0" t="s">
        <v>5024</v>
      </c>
      <c r="F212" s="0" t="s">
        <v>5024</v>
      </c>
      <c r="G212" s="0" t="s">
        <v>458</v>
      </c>
      <c r="H212" s="0" t="s">
        <v>781</v>
      </c>
      <c r="I212" s="0" t="s">
        <v>5491</v>
      </c>
      <c r="J212" s="0" t="s">
        <v>5492</v>
      </c>
      <c r="K212" s="444" t="s">
        <v>5493</v>
      </c>
    </row>
    <row r="213" customFormat="false" ht="12.8" hidden="false" customHeight="false" outlineLevel="0" collapsed="false">
      <c r="A213" s="0" t="s">
        <v>5500</v>
      </c>
      <c r="B213" s="0" t="s">
        <v>5501</v>
      </c>
      <c r="C213" s="0" t="s">
        <v>74</v>
      </c>
      <c r="D213" s="0" t="s">
        <v>5023</v>
      </c>
      <c r="E213" s="0" t="s">
        <v>5024</v>
      </c>
      <c r="F213" s="0" t="s">
        <v>5024</v>
      </c>
      <c r="G213" s="0" t="s">
        <v>458</v>
      </c>
      <c r="H213" s="0" t="s">
        <v>781</v>
      </c>
      <c r="I213" s="0" t="s">
        <v>5491</v>
      </c>
      <c r="J213" s="0" t="s">
        <v>5492</v>
      </c>
      <c r="K213" s="444" t="s">
        <v>5493</v>
      </c>
    </row>
    <row r="214" customFormat="false" ht="12.8" hidden="false" customHeight="false" outlineLevel="0" collapsed="false">
      <c r="A214" s="0" t="s">
        <v>5502</v>
      </c>
      <c r="B214" s="0" t="s">
        <v>5503</v>
      </c>
      <c r="C214" s="0" t="s">
        <v>74</v>
      </c>
      <c r="D214" s="0" t="s">
        <v>5023</v>
      </c>
      <c r="E214" s="0" t="s">
        <v>5024</v>
      </c>
      <c r="F214" s="0" t="s">
        <v>5024</v>
      </c>
      <c r="G214" s="0" t="s">
        <v>458</v>
      </c>
      <c r="H214" s="0" t="s">
        <v>781</v>
      </c>
      <c r="I214" s="0" t="s">
        <v>5491</v>
      </c>
      <c r="J214" s="0" t="s">
        <v>5492</v>
      </c>
      <c r="K214" s="444" t="s">
        <v>5493</v>
      </c>
    </row>
    <row r="215" customFormat="false" ht="12.8" hidden="false" customHeight="false" outlineLevel="0" collapsed="false">
      <c r="A215" s="0" t="s">
        <v>5504</v>
      </c>
      <c r="B215" s="0" t="s">
        <v>5505</v>
      </c>
      <c r="C215" s="0" t="s">
        <v>74</v>
      </c>
      <c r="D215" s="0" t="s">
        <v>5023</v>
      </c>
      <c r="E215" s="0" t="s">
        <v>5024</v>
      </c>
      <c r="F215" s="0" t="s">
        <v>5024</v>
      </c>
      <c r="G215" s="0" t="s">
        <v>458</v>
      </c>
      <c r="H215" s="0" t="s">
        <v>781</v>
      </c>
      <c r="I215" s="0" t="s">
        <v>5491</v>
      </c>
      <c r="J215" s="0" t="s">
        <v>5492</v>
      </c>
      <c r="K215" s="444" t="s">
        <v>5493</v>
      </c>
    </row>
    <row r="216" customFormat="false" ht="12.8" hidden="false" customHeight="false" outlineLevel="0" collapsed="false">
      <c r="A216" s="0" t="s">
        <v>5506</v>
      </c>
      <c r="B216" s="0" t="s">
        <v>5507</v>
      </c>
      <c r="C216" s="0" t="s">
        <v>74</v>
      </c>
      <c r="D216" s="0" t="s">
        <v>5023</v>
      </c>
      <c r="E216" s="0" t="s">
        <v>5024</v>
      </c>
      <c r="F216" s="0" t="s">
        <v>5024</v>
      </c>
      <c r="G216" s="0" t="s">
        <v>458</v>
      </c>
      <c r="H216" s="0" t="s">
        <v>781</v>
      </c>
      <c r="I216" s="0" t="s">
        <v>5491</v>
      </c>
      <c r="J216" s="0" t="s">
        <v>5492</v>
      </c>
      <c r="K216" s="444" t="s">
        <v>5493</v>
      </c>
    </row>
    <row r="217" customFormat="false" ht="12.8" hidden="false" customHeight="false" outlineLevel="0" collapsed="false">
      <c r="A217" s="0" t="s">
        <v>5508</v>
      </c>
      <c r="B217" s="0" t="s">
        <v>5509</v>
      </c>
      <c r="C217" s="0" t="s">
        <v>74</v>
      </c>
      <c r="D217" s="0" t="s">
        <v>5023</v>
      </c>
      <c r="E217" s="0" t="s">
        <v>5024</v>
      </c>
      <c r="F217" s="0" t="s">
        <v>5024</v>
      </c>
      <c r="G217" s="0" t="s">
        <v>458</v>
      </c>
      <c r="H217" s="0" t="s">
        <v>781</v>
      </c>
      <c r="I217" s="0" t="s">
        <v>5491</v>
      </c>
      <c r="J217" s="0" t="s">
        <v>5492</v>
      </c>
      <c r="K217" s="444" t="s">
        <v>5493</v>
      </c>
    </row>
    <row r="218" customFormat="false" ht="12.8" hidden="false" customHeight="false" outlineLevel="0" collapsed="false">
      <c r="A218" s="0" t="s">
        <v>5510</v>
      </c>
      <c r="B218" s="0" t="s">
        <v>5511</v>
      </c>
      <c r="C218" s="0" t="s">
        <v>74</v>
      </c>
      <c r="D218" s="0" t="s">
        <v>5023</v>
      </c>
      <c r="E218" s="0" t="s">
        <v>5024</v>
      </c>
      <c r="F218" s="0" t="s">
        <v>5024</v>
      </c>
      <c r="G218" s="0" t="s">
        <v>458</v>
      </c>
      <c r="H218" s="0" t="s">
        <v>781</v>
      </c>
      <c r="I218" s="0" t="s">
        <v>5491</v>
      </c>
      <c r="J218" s="0" t="s">
        <v>5492</v>
      </c>
      <c r="K218" s="444" t="s">
        <v>5493</v>
      </c>
    </row>
    <row r="219" customFormat="false" ht="12.8" hidden="false" customHeight="false" outlineLevel="0" collapsed="false">
      <c r="A219" s="0" t="s">
        <v>5512</v>
      </c>
      <c r="B219" s="0" t="s">
        <v>5513</v>
      </c>
      <c r="C219" s="0" t="s">
        <v>74</v>
      </c>
      <c r="D219" s="0" t="s">
        <v>5023</v>
      </c>
      <c r="E219" s="0" t="s">
        <v>5024</v>
      </c>
      <c r="F219" s="0" t="s">
        <v>5024</v>
      </c>
      <c r="G219" s="0" t="s">
        <v>458</v>
      </c>
      <c r="H219" s="0" t="s">
        <v>781</v>
      </c>
      <c r="I219" s="0" t="s">
        <v>5491</v>
      </c>
      <c r="J219" s="0" t="s">
        <v>5492</v>
      </c>
      <c r="K219" s="444" t="s">
        <v>5493</v>
      </c>
    </row>
    <row r="220" customFormat="false" ht="12.8" hidden="false" customHeight="false" outlineLevel="0" collapsed="false">
      <c r="A220" s="0" t="s">
        <v>5514</v>
      </c>
      <c r="B220" s="0" t="s">
        <v>5515</v>
      </c>
      <c r="C220" s="0" t="s">
        <v>74</v>
      </c>
      <c r="D220" s="0" t="s">
        <v>5023</v>
      </c>
      <c r="E220" s="0" t="s">
        <v>5024</v>
      </c>
      <c r="F220" s="0" t="s">
        <v>5024</v>
      </c>
      <c r="G220" s="0" t="s">
        <v>458</v>
      </c>
      <c r="H220" s="0" t="s">
        <v>781</v>
      </c>
      <c r="I220" s="0" t="s">
        <v>5491</v>
      </c>
      <c r="J220" s="0" t="s">
        <v>5492</v>
      </c>
      <c r="K220" s="444" t="s">
        <v>5493</v>
      </c>
    </row>
    <row r="221" customFormat="false" ht="12.8" hidden="false" customHeight="false" outlineLevel="0" collapsed="false">
      <c r="A221" s="0" t="s">
        <v>5516</v>
      </c>
      <c r="B221" s="0" t="s">
        <v>5517</v>
      </c>
      <c r="C221" s="0" t="s">
        <v>74</v>
      </c>
      <c r="D221" s="0" t="s">
        <v>5061</v>
      </c>
      <c r="E221" s="0" t="s">
        <v>5062</v>
      </c>
      <c r="F221" s="0" t="s">
        <v>5062</v>
      </c>
      <c r="G221" s="0" t="s">
        <v>458</v>
      </c>
      <c r="H221" s="0" t="s">
        <v>781</v>
      </c>
      <c r="I221" s="0" t="s">
        <v>5491</v>
      </c>
      <c r="J221" s="0" t="s">
        <v>5492</v>
      </c>
      <c r="K221" s="444" t="s">
        <v>5493</v>
      </c>
    </row>
    <row r="222" customFormat="false" ht="12.8" hidden="false" customHeight="false" outlineLevel="0" collapsed="false">
      <c r="A222" s="0" t="s">
        <v>5518</v>
      </c>
      <c r="B222" s="0" t="s">
        <v>5519</v>
      </c>
      <c r="C222" s="0" t="s">
        <v>74</v>
      </c>
      <c r="D222" s="0" t="s">
        <v>5057</v>
      </c>
      <c r="E222" s="0" t="s">
        <v>5058</v>
      </c>
      <c r="F222" s="0" t="s">
        <v>5058</v>
      </c>
      <c r="G222" s="0" t="s">
        <v>458</v>
      </c>
      <c r="H222" s="0" t="s">
        <v>781</v>
      </c>
      <c r="I222" s="0" t="s">
        <v>5491</v>
      </c>
      <c r="J222" s="0" t="s">
        <v>5492</v>
      </c>
      <c r="K222" s="444" t="s">
        <v>5493</v>
      </c>
    </row>
    <row r="223" customFormat="false" ht="12.8" hidden="false" customHeight="false" outlineLevel="0" collapsed="false">
      <c r="A223" s="0" t="s">
        <v>5520</v>
      </c>
      <c r="B223" s="0" t="s">
        <v>5521</v>
      </c>
      <c r="C223" s="0" t="s">
        <v>75</v>
      </c>
      <c r="D223" s="0" t="s">
        <v>5023</v>
      </c>
      <c r="E223" s="0" t="s">
        <v>5024</v>
      </c>
      <c r="F223" s="0" t="s">
        <v>5024</v>
      </c>
      <c r="G223" s="0" t="s">
        <v>458</v>
      </c>
      <c r="H223" s="0" t="s">
        <v>781</v>
      </c>
      <c r="I223" s="0" t="s">
        <v>5522</v>
      </c>
      <c r="J223" s="0" t="s">
        <v>5523</v>
      </c>
      <c r="K223" s="0" t="s">
        <v>5260</v>
      </c>
    </row>
    <row r="224" customFormat="false" ht="12.8" hidden="false" customHeight="false" outlineLevel="0" collapsed="false">
      <c r="A224" s="0" t="s">
        <v>5524</v>
      </c>
      <c r="B224" s="0" t="s">
        <v>5525</v>
      </c>
      <c r="C224" s="0" t="s">
        <v>75</v>
      </c>
      <c r="D224" s="0" t="s">
        <v>5023</v>
      </c>
      <c r="E224" s="0" t="s">
        <v>5024</v>
      </c>
      <c r="F224" s="0" t="s">
        <v>5024</v>
      </c>
      <c r="G224" s="0" t="s">
        <v>458</v>
      </c>
      <c r="H224" s="0" t="s">
        <v>781</v>
      </c>
      <c r="I224" s="0" t="s">
        <v>5522</v>
      </c>
      <c r="J224" s="0" t="s">
        <v>5523</v>
      </c>
      <c r="K224" s="0" t="s">
        <v>5260</v>
      </c>
    </row>
    <row r="225" customFormat="false" ht="12.8" hidden="false" customHeight="false" outlineLevel="0" collapsed="false">
      <c r="A225" s="0" t="s">
        <v>5526</v>
      </c>
      <c r="B225" s="0" t="s">
        <v>5527</v>
      </c>
      <c r="C225" s="0" t="s">
        <v>75</v>
      </c>
      <c r="D225" s="0" t="s">
        <v>5023</v>
      </c>
      <c r="E225" s="0" t="s">
        <v>5024</v>
      </c>
      <c r="F225" s="0" t="s">
        <v>5024</v>
      </c>
      <c r="G225" s="0" t="s">
        <v>458</v>
      </c>
      <c r="H225" s="0" t="s">
        <v>781</v>
      </c>
      <c r="I225" s="0" t="s">
        <v>5522</v>
      </c>
      <c r="J225" s="0" t="s">
        <v>5523</v>
      </c>
      <c r="K225" s="0" t="s">
        <v>5260</v>
      </c>
    </row>
    <row r="226" customFormat="false" ht="12.8" hidden="false" customHeight="false" outlineLevel="0" collapsed="false">
      <c r="A226" s="0" t="s">
        <v>5528</v>
      </c>
      <c r="B226" s="0" t="s">
        <v>5529</v>
      </c>
      <c r="C226" s="0" t="s">
        <v>75</v>
      </c>
      <c r="D226" s="0" t="s">
        <v>5061</v>
      </c>
      <c r="E226" s="0" t="s">
        <v>5062</v>
      </c>
      <c r="F226" s="0" t="s">
        <v>5062</v>
      </c>
      <c r="G226" s="0" t="s">
        <v>458</v>
      </c>
      <c r="H226" s="0" t="s">
        <v>781</v>
      </c>
      <c r="I226" s="0" t="s">
        <v>5522</v>
      </c>
      <c r="J226" s="0" t="s">
        <v>5523</v>
      </c>
      <c r="K226" s="0" t="s">
        <v>5260</v>
      </c>
    </row>
    <row r="227" customFormat="false" ht="12.8" hidden="false" customHeight="false" outlineLevel="0" collapsed="false">
      <c r="A227" s="0" t="s">
        <v>5530</v>
      </c>
      <c r="B227" s="0" t="s">
        <v>5531</v>
      </c>
      <c r="C227" s="0" t="s">
        <v>120</v>
      </c>
      <c r="D227" s="0" t="s">
        <v>5023</v>
      </c>
      <c r="E227" s="0" t="s">
        <v>5024</v>
      </c>
      <c r="F227" s="0" t="s">
        <v>5024</v>
      </c>
      <c r="G227" s="0" t="s">
        <v>458</v>
      </c>
      <c r="H227" s="0" t="s">
        <v>781</v>
      </c>
      <c r="I227" s="0" t="s">
        <v>5532</v>
      </c>
      <c r="J227" s="0" t="s">
        <v>5533</v>
      </c>
      <c r="K227" s="0" t="s">
        <v>5260</v>
      </c>
    </row>
    <row r="228" customFormat="false" ht="12.8" hidden="false" customHeight="false" outlineLevel="0" collapsed="false">
      <c r="A228" s="0" t="s">
        <v>5534</v>
      </c>
      <c r="B228" s="0" t="s">
        <v>5535</v>
      </c>
      <c r="C228" s="0" t="s">
        <v>120</v>
      </c>
      <c r="D228" s="0" t="s">
        <v>5023</v>
      </c>
      <c r="E228" s="0" t="s">
        <v>5024</v>
      </c>
      <c r="F228" s="0" t="s">
        <v>5024</v>
      </c>
      <c r="G228" s="0" t="s">
        <v>458</v>
      </c>
      <c r="H228" s="0" t="s">
        <v>781</v>
      </c>
      <c r="I228" s="0" t="s">
        <v>5532</v>
      </c>
      <c r="J228" s="0" t="s">
        <v>5533</v>
      </c>
      <c r="K228" s="0" t="s">
        <v>5260</v>
      </c>
    </row>
    <row r="229" customFormat="false" ht="12.8" hidden="false" customHeight="false" outlineLevel="0" collapsed="false">
      <c r="A229" s="0" t="s">
        <v>5536</v>
      </c>
      <c r="B229" s="0" t="s">
        <v>5537</v>
      </c>
      <c r="C229" s="0" t="s">
        <v>120</v>
      </c>
      <c r="D229" s="0" t="s">
        <v>5061</v>
      </c>
      <c r="E229" s="0" t="s">
        <v>5062</v>
      </c>
      <c r="F229" s="0" t="s">
        <v>5062</v>
      </c>
      <c r="G229" s="0" t="s">
        <v>458</v>
      </c>
      <c r="H229" s="0" t="s">
        <v>781</v>
      </c>
      <c r="I229" s="0" t="s">
        <v>5532</v>
      </c>
      <c r="J229" s="0" t="s">
        <v>5533</v>
      </c>
      <c r="K229" s="0" t="s">
        <v>5260</v>
      </c>
    </row>
    <row r="230" customFormat="false" ht="12.8" hidden="false" customHeight="false" outlineLevel="0" collapsed="false">
      <c r="A230" s="0" t="s">
        <v>5538</v>
      </c>
      <c r="B230" s="0" t="s">
        <v>5539</v>
      </c>
      <c r="C230" s="0" t="s">
        <v>120</v>
      </c>
      <c r="D230" s="0" t="s">
        <v>5023</v>
      </c>
      <c r="E230" s="0" t="s">
        <v>5024</v>
      </c>
      <c r="F230" s="0" t="s">
        <v>5024</v>
      </c>
      <c r="G230" s="0" t="s">
        <v>458</v>
      </c>
      <c r="H230" s="0" t="s">
        <v>781</v>
      </c>
      <c r="I230" s="0" t="s">
        <v>5532</v>
      </c>
      <c r="J230" s="0" t="s">
        <v>5533</v>
      </c>
      <c r="K230" s="0" t="s">
        <v>5260</v>
      </c>
    </row>
    <row r="231" customFormat="false" ht="12.8" hidden="false" customHeight="false" outlineLevel="0" collapsed="false">
      <c r="A231" s="0" t="s">
        <v>5540</v>
      </c>
      <c r="B231" s="0" t="s">
        <v>5541</v>
      </c>
      <c r="C231" s="0" t="s">
        <v>120</v>
      </c>
      <c r="D231" s="0" t="s">
        <v>5023</v>
      </c>
      <c r="E231" s="0" t="s">
        <v>5024</v>
      </c>
      <c r="F231" s="0" t="s">
        <v>5024</v>
      </c>
      <c r="G231" s="0" t="s">
        <v>458</v>
      </c>
      <c r="H231" s="0" t="s">
        <v>781</v>
      </c>
      <c r="I231" s="0" t="s">
        <v>5532</v>
      </c>
      <c r="J231" s="0" t="s">
        <v>5533</v>
      </c>
      <c r="K231" s="0" t="s">
        <v>5260</v>
      </c>
    </row>
    <row r="232" customFormat="false" ht="12.8" hidden="false" customHeight="false" outlineLevel="0" collapsed="false">
      <c r="A232" s="0" t="s">
        <v>5542</v>
      </c>
      <c r="B232" s="0" t="s">
        <v>5543</v>
      </c>
      <c r="C232" s="0" t="s">
        <v>120</v>
      </c>
      <c r="D232" s="0" t="s">
        <v>5023</v>
      </c>
      <c r="E232" s="0" t="s">
        <v>5024</v>
      </c>
      <c r="F232" s="0" t="s">
        <v>5024</v>
      </c>
      <c r="G232" s="0" t="s">
        <v>458</v>
      </c>
      <c r="H232" s="0" t="s">
        <v>781</v>
      </c>
      <c r="I232" s="0" t="s">
        <v>5532</v>
      </c>
      <c r="J232" s="0" t="s">
        <v>5533</v>
      </c>
      <c r="K232" s="0" t="s">
        <v>5260</v>
      </c>
    </row>
    <row r="233" customFormat="false" ht="12.8" hidden="false" customHeight="false" outlineLevel="0" collapsed="false">
      <c r="A233" s="0" t="s">
        <v>5544</v>
      </c>
      <c r="B233" s="0" t="s">
        <v>5545</v>
      </c>
      <c r="C233" s="0" t="s">
        <v>121</v>
      </c>
      <c r="D233" s="0" t="s">
        <v>5023</v>
      </c>
      <c r="E233" s="0" t="s">
        <v>5024</v>
      </c>
      <c r="F233" s="0" t="s">
        <v>5024</v>
      </c>
      <c r="G233" s="0" t="s">
        <v>458</v>
      </c>
      <c r="H233" s="0" t="s">
        <v>781</v>
      </c>
      <c r="I233" s="0" t="s">
        <v>5546</v>
      </c>
      <c r="J233" s="0" t="s">
        <v>5547</v>
      </c>
      <c r="K233" s="0" t="s">
        <v>5291</v>
      </c>
    </row>
    <row r="234" customFormat="false" ht="12.8" hidden="false" customHeight="false" outlineLevel="0" collapsed="false">
      <c r="A234" s="0" t="s">
        <v>5548</v>
      </c>
      <c r="B234" s="0" t="s">
        <v>5549</v>
      </c>
      <c r="C234" s="0" t="s">
        <v>121</v>
      </c>
      <c r="D234" s="0" t="s">
        <v>5023</v>
      </c>
      <c r="E234" s="0" t="s">
        <v>5024</v>
      </c>
      <c r="F234" s="0" t="s">
        <v>5024</v>
      </c>
      <c r="G234" s="0" t="s">
        <v>458</v>
      </c>
      <c r="H234" s="0" t="s">
        <v>781</v>
      </c>
      <c r="I234" s="0" t="s">
        <v>5546</v>
      </c>
      <c r="J234" s="0" t="s">
        <v>5547</v>
      </c>
      <c r="K234" s="0" t="s">
        <v>5291</v>
      </c>
    </row>
    <row r="235" customFormat="false" ht="12.8" hidden="false" customHeight="false" outlineLevel="0" collapsed="false">
      <c r="A235" s="0" t="s">
        <v>5550</v>
      </c>
      <c r="B235" s="0" t="s">
        <v>5551</v>
      </c>
      <c r="C235" s="0" t="s">
        <v>121</v>
      </c>
      <c r="D235" s="0" t="s">
        <v>5023</v>
      </c>
      <c r="E235" s="0" t="s">
        <v>5024</v>
      </c>
      <c r="F235" s="0" t="s">
        <v>5024</v>
      </c>
      <c r="G235" s="0" t="s">
        <v>458</v>
      </c>
      <c r="H235" s="0" t="s">
        <v>781</v>
      </c>
      <c r="I235" s="0" t="s">
        <v>5546</v>
      </c>
      <c r="J235" s="0" t="s">
        <v>5547</v>
      </c>
      <c r="K235" s="0" t="s">
        <v>5291</v>
      </c>
    </row>
    <row r="236" customFormat="false" ht="12.8" hidden="false" customHeight="false" outlineLevel="0" collapsed="false">
      <c r="A236" s="0" t="s">
        <v>5552</v>
      </c>
      <c r="B236" s="0" t="s">
        <v>5553</v>
      </c>
      <c r="C236" s="0" t="s">
        <v>121</v>
      </c>
      <c r="D236" s="0" t="s">
        <v>5023</v>
      </c>
      <c r="E236" s="0" t="s">
        <v>5024</v>
      </c>
      <c r="F236" s="0" t="s">
        <v>5024</v>
      </c>
      <c r="G236" s="0" t="s">
        <v>458</v>
      </c>
      <c r="H236" s="0" t="s">
        <v>781</v>
      </c>
      <c r="I236" s="0" t="s">
        <v>5546</v>
      </c>
      <c r="J236" s="0" t="s">
        <v>5547</v>
      </c>
      <c r="K236" s="0" t="s">
        <v>5291</v>
      </c>
    </row>
    <row r="237" customFormat="false" ht="12.8" hidden="false" customHeight="false" outlineLevel="0" collapsed="false">
      <c r="A237" s="0" t="s">
        <v>5554</v>
      </c>
      <c r="B237" s="0" t="s">
        <v>5555</v>
      </c>
      <c r="C237" s="0" t="s">
        <v>121</v>
      </c>
      <c r="D237" s="0" t="s">
        <v>5061</v>
      </c>
      <c r="E237" s="0" t="s">
        <v>5062</v>
      </c>
      <c r="F237" s="0" t="s">
        <v>5062</v>
      </c>
      <c r="G237" s="0" t="s">
        <v>458</v>
      </c>
      <c r="H237" s="0" t="s">
        <v>781</v>
      </c>
      <c r="I237" s="0" t="s">
        <v>5546</v>
      </c>
      <c r="J237" s="0" t="s">
        <v>5547</v>
      </c>
      <c r="K237" s="0" t="s">
        <v>5291</v>
      </c>
    </row>
    <row r="238" customFormat="false" ht="12.8" hidden="false" customHeight="false" outlineLevel="0" collapsed="false">
      <c r="A238" s="0" t="s">
        <v>5556</v>
      </c>
      <c r="B238" s="0" t="s">
        <v>5557</v>
      </c>
      <c r="C238" s="0" t="s">
        <v>125</v>
      </c>
      <c r="D238" s="0" t="s">
        <v>5023</v>
      </c>
      <c r="E238" s="0" t="s">
        <v>5024</v>
      </c>
      <c r="F238" s="0" t="s">
        <v>5024</v>
      </c>
      <c r="G238" s="0" t="s">
        <v>458</v>
      </c>
      <c r="H238" s="0" t="s">
        <v>781</v>
      </c>
      <c r="I238" s="0" t="s">
        <v>5558</v>
      </c>
      <c r="J238" s="0" t="s">
        <v>5559</v>
      </c>
      <c r="K238" s="0" t="s">
        <v>5291</v>
      </c>
    </row>
    <row r="239" customFormat="false" ht="12.8" hidden="false" customHeight="false" outlineLevel="0" collapsed="false">
      <c r="A239" s="0" t="s">
        <v>5560</v>
      </c>
      <c r="B239" s="0" t="s">
        <v>5561</v>
      </c>
      <c r="C239" s="0" t="s">
        <v>125</v>
      </c>
      <c r="D239" s="0" t="s">
        <v>5023</v>
      </c>
      <c r="E239" s="0" t="s">
        <v>5024</v>
      </c>
      <c r="F239" s="0" t="s">
        <v>5024</v>
      </c>
      <c r="G239" s="0" t="s">
        <v>458</v>
      </c>
      <c r="H239" s="0" t="s">
        <v>781</v>
      </c>
      <c r="I239" s="0" t="s">
        <v>5558</v>
      </c>
      <c r="J239" s="0" t="s">
        <v>5559</v>
      </c>
      <c r="K239" s="0" t="s">
        <v>5291</v>
      </c>
    </row>
    <row r="240" customFormat="false" ht="12.8" hidden="false" customHeight="false" outlineLevel="0" collapsed="false">
      <c r="A240" s="0" t="s">
        <v>5562</v>
      </c>
      <c r="B240" s="0" t="s">
        <v>5563</v>
      </c>
      <c r="C240" s="0" t="s">
        <v>125</v>
      </c>
      <c r="D240" s="0" t="s">
        <v>5023</v>
      </c>
      <c r="E240" s="0" t="s">
        <v>5024</v>
      </c>
      <c r="F240" s="0" t="s">
        <v>5024</v>
      </c>
      <c r="G240" s="0" t="s">
        <v>458</v>
      </c>
      <c r="H240" s="0" t="s">
        <v>781</v>
      </c>
      <c r="I240" s="0" t="s">
        <v>5558</v>
      </c>
      <c r="J240" s="0" t="s">
        <v>5559</v>
      </c>
      <c r="K240" s="0" t="s">
        <v>5291</v>
      </c>
    </row>
    <row r="241" customFormat="false" ht="12.8" hidden="false" customHeight="false" outlineLevel="0" collapsed="false">
      <c r="A241" s="0" t="s">
        <v>5564</v>
      </c>
      <c r="B241" s="0" t="s">
        <v>5565</v>
      </c>
      <c r="C241" s="0" t="s">
        <v>125</v>
      </c>
      <c r="D241" s="0" t="s">
        <v>5023</v>
      </c>
      <c r="E241" s="0" t="s">
        <v>5024</v>
      </c>
      <c r="F241" s="0" t="s">
        <v>5024</v>
      </c>
      <c r="G241" s="0" t="s">
        <v>458</v>
      </c>
      <c r="H241" s="0" t="s">
        <v>781</v>
      </c>
      <c r="I241" s="0" t="s">
        <v>5558</v>
      </c>
      <c r="J241" s="0" t="s">
        <v>5559</v>
      </c>
      <c r="K241" s="0" t="s">
        <v>5291</v>
      </c>
    </row>
    <row r="242" customFormat="false" ht="12.8" hidden="false" customHeight="false" outlineLevel="0" collapsed="false">
      <c r="A242" s="0" t="s">
        <v>5566</v>
      </c>
      <c r="B242" s="0" t="s">
        <v>5567</v>
      </c>
      <c r="C242" s="0" t="s">
        <v>125</v>
      </c>
      <c r="D242" s="0" t="s">
        <v>5061</v>
      </c>
      <c r="E242" s="0" t="s">
        <v>5062</v>
      </c>
      <c r="F242" s="0" t="s">
        <v>5062</v>
      </c>
      <c r="G242" s="0" t="s">
        <v>458</v>
      </c>
      <c r="H242" s="0" t="s">
        <v>781</v>
      </c>
      <c r="I242" s="0" t="s">
        <v>5558</v>
      </c>
      <c r="J242" s="0" t="s">
        <v>5559</v>
      </c>
      <c r="K242" s="0" t="s">
        <v>5291</v>
      </c>
    </row>
    <row r="243" customFormat="false" ht="12.8" hidden="false" customHeight="false" outlineLevel="0" collapsed="false">
      <c r="A243" s="0" t="s">
        <v>5568</v>
      </c>
      <c r="B243" s="0" t="s">
        <v>5569</v>
      </c>
      <c r="C243" s="0" t="s">
        <v>241</v>
      </c>
      <c r="D243" s="0" t="s">
        <v>5023</v>
      </c>
      <c r="E243" s="0" t="s">
        <v>5024</v>
      </c>
      <c r="F243" s="0" t="s">
        <v>5024</v>
      </c>
      <c r="G243" s="0" t="s">
        <v>458</v>
      </c>
      <c r="H243" s="0" t="s">
        <v>781</v>
      </c>
      <c r="I243" s="0" t="s">
        <v>5570</v>
      </c>
      <c r="J243" s="0" t="s">
        <v>5571</v>
      </c>
      <c r="K243" s="444" t="s">
        <v>5572</v>
      </c>
    </row>
    <row r="244" customFormat="false" ht="12.8" hidden="false" customHeight="false" outlineLevel="0" collapsed="false">
      <c r="A244" s="0" t="s">
        <v>5573</v>
      </c>
      <c r="B244" s="0" t="s">
        <v>5574</v>
      </c>
      <c r="C244" s="0" t="s">
        <v>241</v>
      </c>
      <c r="D244" s="0" t="s">
        <v>5023</v>
      </c>
      <c r="E244" s="0" t="s">
        <v>5024</v>
      </c>
      <c r="F244" s="0" t="s">
        <v>5024</v>
      </c>
      <c r="G244" s="0" t="s">
        <v>458</v>
      </c>
      <c r="H244" s="0" t="s">
        <v>781</v>
      </c>
      <c r="I244" s="0" t="s">
        <v>5570</v>
      </c>
      <c r="J244" s="0" t="s">
        <v>5571</v>
      </c>
      <c r="K244" s="444" t="s">
        <v>5572</v>
      </c>
    </row>
    <row r="245" customFormat="false" ht="12.8" hidden="false" customHeight="false" outlineLevel="0" collapsed="false">
      <c r="A245" s="0" t="s">
        <v>5575</v>
      </c>
      <c r="B245" s="0" t="s">
        <v>5576</v>
      </c>
      <c r="C245" s="0" t="s">
        <v>241</v>
      </c>
      <c r="D245" s="0" t="s">
        <v>5061</v>
      </c>
      <c r="E245" s="0" t="s">
        <v>5062</v>
      </c>
      <c r="F245" s="0" t="s">
        <v>5062</v>
      </c>
      <c r="G245" s="0" t="s">
        <v>458</v>
      </c>
      <c r="H245" s="0" t="s">
        <v>781</v>
      </c>
      <c r="I245" s="0" t="s">
        <v>5570</v>
      </c>
      <c r="J245" s="0" t="s">
        <v>5571</v>
      </c>
      <c r="K245" s="444" t="s">
        <v>5572</v>
      </c>
    </row>
    <row r="246" customFormat="false" ht="12.8" hidden="false" customHeight="false" outlineLevel="0" collapsed="false">
      <c r="A246" s="0" t="s">
        <v>5577</v>
      </c>
      <c r="B246" s="0" t="s">
        <v>5578</v>
      </c>
      <c r="C246" s="0" t="s">
        <v>241</v>
      </c>
      <c r="D246" s="0" t="s">
        <v>5023</v>
      </c>
      <c r="E246" s="0" t="s">
        <v>5024</v>
      </c>
      <c r="F246" s="0" t="s">
        <v>5024</v>
      </c>
      <c r="G246" s="0" t="s">
        <v>458</v>
      </c>
      <c r="H246" s="0" t="s">
        <v>781</v>
      </c>
      <c r="I246" s="0" t="s">
        <v>5570</v>
      </c>
      <c r="J246" s="0" t="s">
        <v>5571</v>
      </c>
      <c r="K246" s="444" t="s">
        <v>5572</v>
      </c>
    </row>
    <row r="247" customFormat="false" ht="12.8" hidden="false" customHeight="false" outlineLevel="0" collapsed="false">
      <c r="A247" s="0" t="s">
        <v>5579</v>
      </c>
      <c r="B247" s="0" t="s">
        <v>5580</v>
      </c>
      <c r="C247" s="0" t="s">
        <v>40</v>
      </c>
      <c r="D247" s="0" t="s">
        <v>5023</v>
      </c>
      <c r="E247" s="0" t="s">
        <v>5024</v>
      </c>
      <c r="F247" s="0" t="s">
        <v>5024</v>
      </c>
      <c r="G247" s="0" t="s">
        <v>458</v>
      </c>
      <c r="H247" s="0" t="s">
        <v>902</v>
      </c>
      <c r="I247" s="0" t="s">
        <v>5581</v>
      </c>
      <c r="J247" s="0" t="s">
        <v>5582</v>
      </c>
      <c r="K247" s="0" t="s">
        <v>5260</v>
      </c>
    </row>
    <row r="248" customFormat="false" ht="12.8" hidden="false" customHeight="false" outlineLevel="0" collapsed="false">
      <c r="A248" s="0" t="s">
        <v>5583</v>
      </c>
      <c r="B248" s="0" t="s">
        <v>5584</v>
      </c>
      <c r="C248" s="0" t="s">
        <v>40</v>
      </c>
      <c r="D248" s="0" t="s">
        <v>5023</v>
      </c>
      <c r="E248" s="0" t="s">
        <v>5024</v>
      </c>
      <c r="F248" s="0" t="s">
        <v>5024</v>
      </c>
      <c r="G248" s="0" t="s">
        <v>458</v>
      </c>
      <c r="H248" s="0" t="s">
        <v>902</v>
      </c>
      <c r="I248" s="0" t="s">
        <v>5581</v>
      </c>
      <c r="J248" s="0" t="s">
        <v>5582</v>
      </c>
      <c r="K248" s="0" t="s">
        <v>5260</v>
      </c>
    </row>
    <row r="249" customFormat="false" ht="12.8" hidden="false" customHeight="false" outlineLevel="0" collapsed="false">
      <c r="A249" s="0" t="s">
        <v>5585</v>
      </c>
      <c r="B249" s="0" t="s">
        <v>5586</v>
      </c>
      <c r="C249" s="0" t="s">
        <v>40</v>
      </c>
      <c r="D249" s="0" t="s">
        <v>5023</v>
      </c>
      <c r="E249" s="0" t="s">
        <v>5024</v>
      </c>
      <c r="F249" s="0" t="s">
        <v>5024</v>
      </c>
      <c r="G249" s="0" t="s">
        <v>458</v>
      </c>
      <c r="H249" s="0" t="s">
        <v>902</v>
      </c>
      <c r="I249" s="0" t="s">
        <v>5581</v>
      </c>
      <c r="J249" s="0" t="s">
        <v>5582</v>
      </c>
      <c r="K249" s="0" t="s">
        <v>5260</v>
      </c>
    </row>
    <row r="250" customFormat="false" ht="12.8" hidden="false" customHeight="false" outlineLevel="0" collapsed="false">
      <c r="A250" s="0" t="s">
        <v>5587</v>
      </c>
      <c r="B250" s="0" t="s">
        <v>5588</v>
      </c>
      <c r="C250" s="0" t="s">
        <v>40</v>
      </c>
      <c r="D250" s="0" t="s">
        <v>5057</v>
      </c>
      <c r="E250" s="0" t="s">
        <v>5058</v>
      </c>
      <c r="F250" s="0" t="s">
        <v>5058</v>
      </c>
      <c r="G250" s="0" t="s">
        <v>458</v>
      </c>
      <c r="H250" s="0" t="s">
        <v>902</v>
      </c>
      <c r="I250" s="0" t="s">
        <v>5581</v>
      </c>
      <c r="J250" s="0" t="s">
        <v>5582</v>
      </c>
      <c r="K250" s="0" t="s">
        <v>5260</v>
      </c>
    </row>
    <row r="251" customFormat="false" ht="12.8" hidden="false" customHeight="false" outlineLevel="0" collapsed="false">
      <c r="A251" s="0" t="s">
        <v>5589</v>
      </c>
      <c r="B251" s="0" t="s">
        <v>5590</v>
      </c>
      <c r="C251" s="0" t="s">
        <v>40</v>
      </c>
      <c r="D251" s="0" t="s">
        <v>5061</v>
      </c>
      <c r="E251" s="0" t="s">
        <v>5062</v>
      </c>
      <c r="F251" s="0" t="s">
        <v>5062</v>
      </c>
      <c r="G251" s="0" t="s">
        <v>458</v>
      </c>
      <c r="H251" s="0" t="s">
        <v>902</v>
      </c>
      <c r="I251" s="0" t="s">
        <v>5581</v>
      </c>
      <c r="J251" s="0" t="s">
        <v>5582</v>
      </c>
      <c r="K251" s="0" t="s">
        <v>5260</v>
      </c>
    </row>
    <row r="252" customFormat="false" ht="12.8" hidden="false" customHeight="false" outlineLevel="0" collapsed="false">
      <c r="A252" s="0" t="s">
        <v>5591</v>
      </c>
      <c r="B252" s="0" t="s">
        <v>5592</v>
      </c>
      <c r="C252" s="0" t="s">
        <v>52</v>
      </c>
      <c r="D252" s="0" t="s">
        <v>5061</v>
      </c>
      <c r="E252" s="0" t="s">
        <v>5062</v>
      </c>
      <c r="F252" s="0" t="s">
        <v>5062</v>
      </c>
      <c r="G252" s="0" t="s">
        <v>458</v>
      </c>
      <c r="H252" s="0" t="s">
        <v>902</v>
      </c>
      <c r="I252" s="0" t="s">
        <v>5593</v>
      </c>
      <c r="J252" s="0" t="s">
        <v>5594</v>
      </c>
      <c r="K252" s="0" t="s">
        <v>5260</v>
      </c>
    </row>
    <row r="253" customFormat="false" ht="12.8" hidden="false" customHeight="false" outlineLevel="0" collapsed="false">
      <c r="A253" s="0" t="s">
        <v>5595</v>
      </c>
      <c r="B253" s="0" t="s">
        <v>5596</v>
      </c>
      <c r="C253" s="0" t="s">
        <v>52</v>
      </c>
      <c r="D253" s="0" t="s">
        <v>5023</v>
      </c>
      <c r="E253" s="0" t="s">
        <v>5024</v>
      </c>
      <c r="F253" s="0" t="s">
        <v>5024</v>
      </c>
      <c r="G253" s="0" t="s">
        <v>458</v>
      </c>
      <c r="H253" s="0" t="s">
        <v>902</v>
      </c>
      <c r="I253" s="0" t="s">
        <v>5593</v>
      </c>
      <c r="J253" s="0" t="s">
        <v>5594</v>
      </c>
      <c r="K253" s="0" t="s">
        <v>5260</v>
      </c>
    </row>
    <row r="254" customFormat="false" ht="12.8" hidden="false" customHeight="false" outlineLevel="0" collapsed="false">
      <c r="A254" s="0" t="s">
        <v>5597</v>
      </c>
      <c r="B254" s="0" t="s">
        <v>5598</v>
      </c>
      <c r="C254" s="0" t="s">
        <v>52</v>
      </c>
      <c r="D254" s="0" t="s">
        <v>5023</v>
      </c>
      <c r="E254" s="0" t="s">
        <v>5024</v>
      </c>
      <c r="F254" s="0" t="s">
        <v>5024</v>
      </c>
      <c r="G254" s="0" t="s">
        <v>458</v>
      </c>
      <c r="H254" s="0" t="s">
        <v>902</v>
      </c>
      <c r="I254" s="0" t="s">
        <v>5593</v>
      </c>
      <c r="J254" s="0" t="s">
        <v>5594</v>
      </c>
      <c r="K254" s="0" t="s">
        <v>5260</v>
      </c>
    </row>
    <row r="255" customFormat="false" ht="12.8" hidden="false" customHeight="false" outlineLevel="0" collapsed="false">
      <c r="A255" s="0" t="s">
        <v>5599</v>
      </c>
      <c r="B255" s="0" t="s">
        <v>5600</v>
      </c>
      <c r="C255" s="0" t="s">
        <v>52</v>
      </c>
      <c r="D255" s="0" t="s">
        <v>5023</v>
      </c>
      <c r="E255" s="0" t="s">
        <v>5024</v>
      </c>
      <c r="F255" s="0" t="s">
        <v>5024</v>
      </c>
      <c r="G255" s="0" t="s">
        <v>458</v>
      </c>
      <c r="H255" s="0" t="s">
        <v>902</v>
      </c>
      <c r="I255" s="0" t="s">
        <v>5593</v>
      </c>
      <c r="J255" s="0" t="s">
        <v>5594</v>
      </c>
      <c r="K255" s="0" t="s">
        <v>5260</v>
      </c>
    </row>
    <row r="256" customFormat="false" ht="12.8" hidden="false" customHeight="false" outlineLevel="0" collapsed="false">
      <c r="A256" s="0" t="s">
        <v>5601</v>
      </c>
      <c r="B256" s="0" t="s">
        <v>5602</v>
      </c>
      <c r="C256" s="0" t="s">
        <v>122</v>
      </c>
      <c r="D256" s="0" t="s">
        <v>5023</v>
      </c>
      <c r="E256" s="0" t="s">
        <v>5024</v>
      </c>
      <c r="F256" s="0" t="s">
        <v>5024</v>
      </c>
      <c r="G256" s="0" t="s">
        <v>458</v>
      </c>
      <c r="H256" s="0" t="s">
        <v>902</v>
      </c>
      <c r="I256" s="0" t="s">
        <v>5603</v>
      </c>
      <c r="J256" s="0" t="s">
        <v>5604</v>
      </c>
      <c r="K256" s="0" t="s">
        <v>5291</v>
      </c>
    </row>
    <row r="257" customFormat="false" ht="12.8" hidden="false" customHeight="false" outlineLevel="0" collapsed="false">
      <c r="A257" s="0" t="s">
        <v>5605</v>
      </c>
      <c r="B257" s="0" t="s">
        <v>5606</v>
      </c>
      <c r="C257" s="0" t="s">
        <v>122</v>
      </c>
      <c r="D257" s="0" t="s">
        <v>5061</v>
      </c>
      <c r="E257" s="0" t="s">
        <v>5062</v>
      </c>
      <c r="F257" s="0" t="s">
        <v>5062</v>
      </c>
      <c r="G257" s="0" t="s">
        <v>458</v>
      </c>
      <c r="H257" s="0" t="s">
        <v>902</v>
      </c>
      <c r="I257" s="0" t="s">
        <v>5603</v>
      </c>
      <c r="J257" s="0" t="s">
        <v>5604</v>
      </c>
      <c r="K257" s="0" t="s">
        <v>5291</v>
      </c>
    </row>
    <row r="258" customFormat="false" ht="12.8" hidden="false" customHeight="false" outlineLevel="0" collapsed="false">
      <c r="A258" s="0" t="s">
        <v>5607</v>
      </c>
      <c r="B258" s="0" t="s">
        <v>5608</v>
      </c>
      <c r="C258" s="0" t="s">
        <v>122</v>
      </c>
      <c r="D258" s="0" t="s">
        <v>5023</v>
      </c>
      <c r="E258" s="0" t="s">
        <v>5024</v>
      </c>
      <c r="F258" s="0" t="s">
        <v>5024</v>
      </c>
      <c r="G258" s="0" t="s">
        <v>458</v>
      </c>
      <c r="H258" s="0" t="s">
        <v>902</v>
      </c>
      <c r="I258" s="0" t="s">
        <v>5603</v>
      </c>
      <c r="J258" s="0" t="s">
        <v>5604</v>
      </c>
      <c r="K258" s="0" t="s">
        <v>5291</v>
      </c>
    </row>
    <row r="259" customFormat="false" ht="12.8" hidden="false" customHeight="false" outlineLevel="0" collapsed="false">
      <c r="A259" s="0" t="s">
        <v>5609</v>
      </c>
      <c r="B259" s="0" t="s">
        <v>5610</v>
      </c>
      <c r="C259" s="0" t="s">
        <v>122</v>
      </c>
      <c r="D259" s="0" t="s">
        <v>5023</v>
      </c>
      <c r="E259" s="0" t="s">
        <v>5024</v>
      </c>
      <c r="F259" s="0" t="s">
        <v>5024</v>
      </c>
      <c r="G259" s="0" t="s">
        <v>458</v>
      </c>
      <c r="H259" s="0" t="s">
        <v>902</v>
      </c>
      <c r="I259" s="0" t="s">
        <v>5603</v>
      </c>
      <c r="J259" s="0" t="s">
        <v>5604</v>
      </c>
      <c r="K259" s="0" t="s">
        <v>5291</v>
      </c>
    </row>
    <row r="260" customFormat="false" ht="12.8" hidden="false" customHeight="false" outlineLevel="0" collapsed="false">
      <c r="A260" s="0" t="s">
        <v>5611</v>
      </c>
      <c r="B260" s="0" t="s">
        <v>5612</v>
      </c>
      <c r="C260" s="0" t="s">
        <v>122</v>
      </c>
      <c r="D260" s="0" t="s">
        <v>5023</v>
      </c>
      <c r="E260" s="0" t="s">
        <v>5024</v>
      </c>
      <c r="F260" s="0" t="s">
        <v>5024</v>
      </c>
      <c r="G260" s="0" t="s">
        <v>458</v>
      </c>
      <c r="H260" s="0" t="s">
        <v>902</v>
      </c>
      <c r="I260" s="0" t="s">
        <v>5603</v>
      </c>
      <c r="J260" s="0" t="s">
        <v>5604</v>
      </c>
      <c r="K260" s="0" t="s">
        <v>5291</v>
      </c>
    </row>
    <row r="261" customFormat="false" ht="12.8" hidden="false" customHeight="false" outlineLevel="0" collapsed="false">
      <c r="A261" s="0" t="s">
        <v>5613</v>
      </c>
      <c r="B261" s="0" t="s">
        <v>5614</v>
      </c>
      <c r="C261" s="0" t="s">
        <v>126</v>
      </c>
      <c r="D261" s="0" t="s">
        <v>5023</v>
      </c>
      <c r="E261" s="0" t="s">
        <v>5024</v>
      </c>
      <c r="F261" s="0" t="s">
        <v>5024</v>
      </c>
      <c r="G261" s="0" t="s">
        <v>458</v>
      </c>
      <c r="H261" s="0" t="s">
        <v>902</v>
      </c>
      <c r="I261" s="0" t="s">
        <v>5615</v>
      </c>
      <c r="J261" s="0" t="s">
        <v>5616</v>
      </c>
      <c r="K261" s="444" t="s">
        <v>5617</v>
      </c>
    </row>
    <row r="262" customFormat="false" ht="12.8" hidden="false" customHeight="false" outlineLevel="0" collapsed="false">
      <c r="A262" s="0" t="s">
        <v>5618</v>
      </c>
      <c r="B262" s="0" t="s">
        <v>5619</v>
      </c>
      <c r="C262" s="0" t="s">
        <v>126</v>
      </c>
      <c r="D262" s="0" t="s">
        <v>5061</v>
      </c>
      <c r="E262" s="0" t="s">
        <v>5062</v>
      </c>
      <c r="F262" s="0" t="s">
        <v>5062</v>
      </c>
      <c r="G262" s="0" t="s">
        <v>458</v>
      </c>
      <c r="H262" s="0" t="s">
        <v>902</v>
      </c>
      <c r="I262" s="0" t="s">
        <v>5615</v>
      </c>
      <c r="J262" s="0" t="s">
        <v>5616</v>
      </c>
      <c r="K262" s="444" t="s">
        <v>5617</v>
      </c>
    </row>
    <row r="263" customFormat="false" ht="12.8" hidden="false" customHeight="false" outlineLevel="0" collapsed="false">
      <c r="A263" s="0" t="s">
        <v>5620</v>
      </c>
      <c r="B263" s="0" t="s">
        <v>5621</v>
      </c>
      <c r="C263" s="0" t="s">
        <v>126</v>
      </c>
      <c r="D263" s="0" t="s">
        <v>5023</v>
      </c>
      <c r="E263" s="0" t="s">
        <v>5024</v>
      </c>
      <c r="F263" s="0" t="s">
        <v>5024</v>
      </c>
      <c r="G263" s="0" t="s">
        <v>458</v>
      </c>
      <c r="H263" s="0" t="s">
        <v>902</v>
      </c>
      <c r="I263" s="0" t="s">
        <v>5615</v>
      </c>
      <c r="J263" s="0" t="s">
        <v>5616</v>
      </c>
      <c r="K263" s="444" t="s">
        <v>5617</v>
      </c>
    </row>
    <row r="264" customFormat="false" ht="12.8" hidden="false" customHeight="false" outlineLevel="0" collapsed="false">
      <c r="A264" s="0" t="s">
        <v>5622</v>
      </c>
      <c r="B264" s="0" t="s">
        <v>5623</v>
      </c>
      <c r="C264" s="0" t="s">
        <v>126</v>
      </c>
      <c r="D264" s="0" t="s">
        <v>5023</v>
      </c>
      <c r="E264" s="0" t="s">
        <v>5024</v>
      </c>
      <c r="F264" s="0" t="s">
        <v>5024</v>
      </c>
      <c r="G264" s="0" t="s">
        <v>458</v>
      </c>
      <c r="H264" s="0" t="s">
        <v>902</v>
      </c>
      <c r="I264" s="0" t="s">
        <v>5615</v>
      </c>
      <c r="J264" s="0" t="s">
        <v>5616</v>
      </c>
      <c r="K264" s="444" t="s">
        <v>5617</v>
      </c>
    </row>
    <row r="265" customFormat="false" ht="12.8" hidden="false" customHeight="false" outlineLevel="0" collapsed="false">
      <c r="A265" s="0" t="s">
        <v>5624</v>
      </c>
      <c r="B265" s="0" t="s">
        <v>5625</v>
      </c>
      <c r="C265" s="0" t="s">
        <v>126</v>
      </c>
      <c r="D265" s="0" t="s">
        <v>5057</v>
      </c>
      <c r="E265" s="0" t="s">
        <v>5058</v>
      </c>
      <c r="F265" s="0" t="s">
        <v>5058</v>
      </c>
      <c r="G265" s="0" t="s">
        <v>458</v>
      </c>
      <c r="H265" s="0" t="s">
        <v>902</v>
      </c>
      <c r="I265" s="0" t="s">
        <v>5615</v>
      </c>
      <c r="J265" s="0" t="s">
        <v>5616</v>
      </c>
      <c r="K265" s="444" t="s">
        <v>5617</v>
      </c>
    </row>
    <row r="266" customFormat="false" ht="12.8" hidden="false" customHeight="false" outlineLevel="0" collapsed="false">
      <c r="A266" s="0" t="s">
        <v>5626</v>
      </c>
      <c r="B266" s="0" t="s">
        <v>5627</v>
      </c>
      <c r="C266" s="0" t="s">
        <v>126</v>
      </c>
      <c r="D266" s="0" t="s">
        <v>5023</v>
      </c>
      <c r="E266" s="0" t="s">
        <v>5024</v>
      </c>
      <c r="F266" s="0" t="s">
        <v>5024</v>
      </c>
      <c r="G266" s="0" t="s">
        <v>458</v>
      </c>
      <c r="H266" s="0" t="s">
        <v>902</v>
      </c>
      <c r="I266" s="0" t="s">
        <v>5615</v>
      </c>
      <c r="J266" s="0" t="s">
        <v>5616</v>
      </c>
      <c r="K266" s="444" t="s">
        <v>5617</v>
      </c>
    </row>
    <row r="267" customFormat="false" ht="12.8" hidden="false" customHeight="false" outlineLevel="0" collapsed="false">
      <c r="A267" s="0" t="s">
        <v>5628</v>
      </c>
      <c r="B267" s="0" t="s">
        <v>5629</v>
      </c>
      <c r="C267" s="0" t="s">
        <v>131</v>
      </c>
      <c r="D267" s="0" t="s">
        <v>5023</v>
      </c>
      <c r="E267" s="0" t="s">
        <v>5024</v>
      </c>
      <c r="F267" s="0" t="s">
        <v>5024</v>
      </c>
      <c r="G267" s="0" t="s">
        <v>458</v>
      </c>
      <c r="H267" s="0" t="s">
        <v>902</v>
      </c>
      <c r="I267" s="0" t="s">
        <v>5630</v>
      </c>
      <c r="J267" s="0" t="s">
        <v>5631</v>
      </c>
      <c r="K267" s="0" t="s">
        <v>5260</v>
      </c>
    </row>
    <row r="268" customFormat="false" ht="12.8" hidden="false" customHeight="false" outlineLevel="0" collapsed="false">
      <c r="A268" s="0" t="s">
        <v>5632</v>
      </c>
      <c r="B268" s="0" t="s">
        <v>5633</v>
      </c>
      <c r="C268" s="0" t="s">
        <v>131</v>
      </c>
      <c r="D268" s="0" t="s">
        <v>5023</v>
      </c>
      <c r="E268" s="0" t="s">
        <v>5024</v>
      </c>
      <c r="F268" s="0" t="s">
        <v>5024</v>
      </c>
      <c r="G268" s="0" t="s">
        <v>458</v>
      </c>
      <c r="H268" s="0" t="s">
        <v>902</v>
      </c>
      <c r="I268" s="0" t="s">
        <v>5630</v>
      </c>
      <c r="J268" s="0" t="s">
        <v>5631</v>
      </c>
      <c r="K268" s="0" t="s">
        <v>5260</v>
      </c>
    </row>
    <row r="269" customFormat="false" ht="12.8" hidden="false" customHeight="false" outlineLevel="0" collapsed="false">
      <c r="A269" s="0" t="s">
        <v>5634</v>
      </c>
      <c r="B269" s="0" t="s">
        <v>5635</v>
      </c>
      <c r="C269" s="0" t="s">
        <v>131</v>
      </c>
      <c r="D269" s="0" t="s">
        <v>5023</v>
      </c>
      <c r="E269" s="0" t="s">
        <v>5024</v>
      </c>
      <c r="F269" s="0" t="s">
        <v>5024</v>
      </c>
      <c r="G269" s="0" t="s">
        <v>458</v>
      </c>
      <c r="H269" s="0" t="s">
        <v>902</v>
      </c>
      <c r="I269" s="0" t="s">
        <v>5630</v>
      </c>
      <c r="J269" s="0" t="s">
        <v>5631</v>
      </c>
      <c r="K269" s="0" t="s">
        <v>5260</v>
      </c>
    </row>
    <row r="270" customFormat="false" ht="12.8" hidden="false" customHeight="false" outlineLevel="0" collapsed="false">
      <c r="A270" s="0" t="s">
        <v>5636</v>
      </c>
      <c r="B270" s="0" t="s">
        <v>5637</v>
      </c>
      <c r="C270" s="0" t="s">
        <v>131</v>
      </c>
      <c r="D270" s="0" t="s">
        <v>5023</v>
      </c>
      <c r="E270" s="0" t="s">
        <v>5024</v>
      </c>
      <c r="F270" s="0" t="s">
        <v>5024</v>
      </c>
      <c r="G270" s="0" t="s">
        <v>458</v>
      </c>
      <c r="H270" s="0" t="s">
        <v>902</v>
      </c>
      <c r="I270" s="0" t="s">
        <v>5630</v>
      </c>
      <c r="J270" s="0" t="s">
        <v>5631</v>
      </c>
      <c r="K270" s="0" t="s">
        <v>5260</v>
      </c>
    </row>
    <row r="271" customFormat="false" ht="12.8" hidden="false" customHeight="false" outlineLevel="0" collapsed="false">
      <c r="A271" s="0" t="s">
        <v>5638</v>
      </c>
      <c r="B271" s="0" t="s">
        <v>5639</v>
      </c>
      <c r="C271" s="0" t="s">
        <v>131</v>
      </c>
      <c r="D271" s="0" t="s">
        <v>5057</v>
      </c>
      <c r="E271" s="0" t="s">
        <v>5058</v>
      </c>
      <c r="F271" s="0" t="s">
        <v>5058</v>
      </c>
      <c r="G271" s="0" t="s">
        <v>458</v>
      </c>
      <c r="H271" s="0" t="s">
        <v>902</v>
      </c>
      <c r="I271" s="0" t="s">
        <v>5630</v>
      </c>
      <c r="J271" s="0" t="s">
        <v>5631</v>
      </c>
      <c r="K271" s="0" t="s">
        <v>5260</v>
      </c>
    </row>
    <row r="272" customFormat="false" ht="12.8" hidden="false" customHeight="false" outlineLevel="0" collapsed="false">
      <c r="A272" s="0" t="s">
        <v>5640</v>
      </c>
      <c r="B272" s="0" t="s">
        <v>5641</v>
      </c>
      <c r="C272" s="0" t="s">
        <v>131</v>
      </c>
      <c r="D272" s="0" t="s">
        <v>5061</v>
      </c>
      <c r="E272" s="0" t="s">
        <v>5062</v>
      </c>
      <c r="F272" s="0" t="s">
        <v>5062</v>
      </c>
      <c r="G272" s="0" t="s">
        <v>458</v>
      </c>
      <c r="H272" s="0" t="s">
        <v>902</v>
      </c>
      <c r="I272" s="0" t="s">
        <v>5630</v>
      </c>
      <c r="J272" s="0" t="s">
        <v>5631</v>
      </c>
      <c r="K272" s="0" t="s">
        <v>5260</v>
      </c>
    </row>
    <row r="273" customFormat="false" ht="12.8" hidden="false" customHeight="false" outlineLevel="0" collapsed="false">
      <c r="A273" s="0" t="s">
        <v>5642</v>
      </c>
      <c r="B273" s="0" t="s">
        <v>5643</v>
      </c>
      <c r="C273" s="0" t="s">
        <v>314</v>
      </c>
      <c r="D273" s="0" t="s">
        <v>5061</v>
      </c>
      <c r="E273" s="0" t="s">
        <v>5062</v>
      </c>
      <c r="F273" s="0" t="s">
        <v>5062</v>
      </c>
      <c r="G273" s="0" t="s">
        <v>458</v>
      </c>
      <c r="H273" s="0" t="s">
        <v>902</v>
      </c>
      <c r="I273" s="0" t="s">
        <v>5644</v>
      </c>
      <c r="J273" s="0" t="s">
        <v>5645</v>
      </c>
      <c r="K273" s="444" t="s">
        <v>5646</v>
      </c>
    </row>
    <row r="274" customFormat="false" ht="12.8" hidden="false" customHeight="false" outlineLevel="0" collapsed="false">
      <c r="A274" s="0" t="s">
        <v>5647</v>
      </c>
      <c r="B274" s="0" t="s">
        <v>5648</v>
      </c>
      <c r="C274" s="0" t="s">
        <v>314</v>
      </c>
      <c r="D274" s="0" t="s">
        <v>5057</v>
      </c>
      <c r="E274" s="0" t="s">
        <v>5058</v>
      </c>
      <c r="F274" s="0" t="s">
        <v>5058</v>
      </c>
      <c r="G274" s="0" t="s">
        <v>458</v>
      </c>
      <c r="H274" s="0" t="s">
        <v>902</v>
      </c>
      <c r="I274" s="0" t="s">
        <v>5644</v>
      </c>
      <c r="J274" s="0" t="s">
        <v>5645</v>
      </c>
      <c r="K274" s="444" t="s">
        <v>5646</v>
      </c>
    </row>
    <row r="275" customFormat="false" ht="12.8" hidden="false" customHeight="false" outlineLevel="0" collapsed="false">
      <c r="A275" s="0" t="s">
        <v>5649</v>
      </c>
      <c r="B275" s="0" t="s">
        <v>5650</v>
      </c>
      <c r="C275" s="0" t="s">
        <v>314</v>
      </c>
      <c r="D275" s="0" t="s">
        <v>5023</v>
      </c>
      <c r="E275" s="0" t="s">
        <v>5024</v>
      </c>
      <c r="F275" s="0" t="s">
        <v>5024</v>
      </c>
      <c r="G275" s="0" t="s">
        <v>458</v>
      </c>
      <c r="H275" s="0" t="s">
        <v>902</v>
      </c>
      <c r="I275" s="0" t="s">
        <v>5644</v>
      </c>
      <c r="J275" s="0" t="s">
        <v>5645</v>
      </c>
      <c r="K275" s="444" t="s">
        <v>5646</v>
      </c>
    </row>
    <row r="276" customFormat="false" ht="12.8" hidden="false" customHeight="false" outlineLevel="0" collapsed="false">
      <c r="A276" s="0" t="s">
        <v>5651</v>
      </c>
      <c r="B276" s="0" t="s">
        <v>5652</v>
      </c>
      <c r="C276" s="0" t="s">
        <v>314</v>
      </c>
      <c r="D276" s="0" t="s">
        <v>5023</v>
      </c>
      <c r="E276" s="0" t="s">
        <v>5024</v>
      </c>
      <c r="F276" s="0" t="s">
        <v>5024</v>
      </c>
      <c r="G276" s="0" t="s">
        <v>458</v>
      </c>
      <c r="H276" s="0" t="s">
        <v>902</v>
      </c>
      <c r="I276" s="0" t="s">
        <v>5644</v>
      </c>
      <c r="J276" s="0" t="s">
        <v>5645</v>
      </c>
      <c r="K276" s="444" t="s">
        <v>5646</v>
      </c>
    </row>
    <row r="277" customFormat="false" ht="12.8" hidden="false" customHeight="false" outlineLevel="0" collapsed="false">
      <c r="A277" s="0" t="s">
        <v>5653</v>
      </c>
      <c r="B277" s="0" t="s">
        <v>5654</v>
      </c>
      <c r="C277" s="0" t="s">
        <v>314</v>
      </c>
      <c r="D277" s="0" t="s">
        <v>5023</v>
      </c>
      <c r="E277" s="0" t="s">
        <v>5024</v>
      </c>
      <c r="F277" s="0" t="s">
        <v>5024</v>
      </c>
      <c r="G277" s="0" t="s">
        <v>458</v>
      </c>
      <c r="H277" s="0" t="s">
        <v>902</v>
      </c>
      <c r="I277" s="0" t="s">
        <v>5644</v>
      </c>
      <c r="J277" s="0" t="s">
        <v>5645</v>
      </c>
      <c r="K277" s="444" t="s">
        <v>5646</v>
      </c>
    </row>
    <row r="278" customFormat="false" ht="12.8" hidden="false" customHeight="false" outlineLevel="0" collapsed="false">
      <c r="A278" s="0" t="s">
        <v>5655</v>
      </c>
      <c r="B278" s="0" t="s">
        <v>5656</v>
      </c>
      <c r="C278" s="0" t="s">
        <v>314</v>
      </c>
      <c r="D278" s="0" t="s">
        <v>5023</v>
      </c>
      <c r="E278" s="0" t="s">
        <v>5024</v>
      </c>
      <c r="F278" s="0" t="s">
        <v>5024</v>
      </c>
      <c r="G278" s="0" t="s">
        <v>458</v>
      </c>
      <c r="H278" s="0" t="s">
        <v>902</v>
      </c>
      <c r="I278" s="0" t="s">
        <v>5644</v>
      </c>
      <c r="J278" s="0" t="s">
        <v>5645</v>
      </c>
      <c r="K278" s="444" t="s">
        <v>5646</v>
      </c>
    </row>
    <row r="279" customFormat="false" ht="12.8" hidden="false" customHeight="false" outlineLevel="0" collapsed="false">
      <c r="A279" s="0" t="s">
        <v>5657</v>
      </c>
      <c r="B279" s="0" t="s">
        <v>5658</v>
      </c>
      <c r="C279" s="0" t="s">
        <v>314</v>
      </c>
      <c r="D279" s="0" t="s">
        <v>5023</v>
      </c>
      <c r="E279" s="0" t="s">
        <v>5024</v>
      </c>
      <c r="F279" s="0" t="s">
        <v>5024</v>
      </c>
      <c r="G279" s="0" t="s">
        <v>458</v>
      </c>
      <c r="H279" s="0" t="s">
        <v>902</v>
      </c>
      <c r="I279" s="0" t="s">
        <v>5644</v>
      </c>
      <c r="J279" s="0" t="s">
        <v>5645</v>
      </c>
      <c r="K279" s="444" t="s">
        <v>5646</v>
      </c>
    </row>
    <row r="280" customFormat="false" ht="12.8" hidden="false" customHeight="false" outlineLevel="0" collapsed="false">
      <c r="A280" s="0" t="s">
        <v>5659</v>
      </c>
      <c r="B280" s="0" t="s">
        <v>5660</v>
      </c>
      <c r="C280" s="0" t="s">
        <v>314</v>
      </c>
      <c r="D280" s="0" t="s">
        <v>5023</v>
      </c>
      <c r="E280" s="0" t="s">
        <v>5024</v>
      </c>
      <c r="F280" s="0" t="s">
        <v>5024</v>
      </c>
      <c r="G280" s="0" t="s">
        <v>458</v>
      </c>
      <c r="H280" s="0" t="s">
        <v>902</v>
      </c>
      <c r="I280" s="0" t="s">
        <v>5644</v>
      </c>
      <c r="J280" s="0" t="s">
        <v>5645</v>
      </c>
      <c r="K280" s="444" t="s">
        <v>5646</v>
      </c>
    </row>
    <row r="281" customFormat="false" ht="12.8" hidden="false" customHeight="false" outlineLevel="0" collapsed="false">
      <c r="A281" s="0" t="s">
        <v>5661</v>
      </c>
      <c r="B281" s="0" t="s">
        <v>5662</v>
      </c>
      <c r="C281" s="0" t="s">
        <v>314</v>
      </c>
      <c r="D281" s="0" t="s">
        <v>5023</v>
      </c>
      <c r="E281" s="0" t="s">
        <v>5024</v>
      </c>
      <c r="F281" s="0" t="s">
        <v>5024</v>
      </c>
      <c r="G281" s="0" t="s">
        <v>458</v>
      </c>
      <c r="H281" s="0" t="s">
        <v>902</v>
      </c>
      <c r="I281" s="0" t="s">
        <v>5644</v>
      </c>
      <c r="J281" s="0" t="s">
        <v>5645</v>
      </c>
      <c r="K281" s="444" t="s">
        <v>5646</v>
      </c>
    </row>
    <row r="282" customFormat="false" ht="12.8" hidden="false" customHeight="false" outlineLevel="0" collapsed="false">
      <c r="A282" s="0" t="s">
        <v>5663</v>
      </c>
      <c r="B282" s="0" t="s">
        <v>5664</v>
      </c>
      <c r="C282" s="0" t="s">
        <v>28</v>
      </c>
      <c r="D282" s="0" t="s">
        <v>5023</v>
      </c>
      <c r="E282" s="0" t="s">
        <v>5024</v>
      </c>
      <c r="F282" s="0" t="s">
        <v>5024</v>
      </c>
      <c r="G282" s="0" t="s">
        <v>458</v>
      </c>
      <c r="H282" s="0" t="s">
        <v>1034</v>
      </c>
      <c r="I282" s="0" t="s">
        <v>5665</v>
      </c>
      <c r="J282" s="0" t="s">
        <v>5666</v>
      </c>
      <c r="K282" s="0" t="s">
        <v>5667</v>
      </c>
    </row>
    <row r="283" customFormat="false" ht="12.8" hidden="false" customHeight="false" outlineLevel="0" collapsed="false">
      <c r="A283" s="0" t="s">
        <v>5668</v>
      </c>
      <c r="B283" s="0" t="s">
        <v>5669</v>
      </c>
      <c r="C283" s="0" t="s">
        <v>28</v>
      </c>
      <c r="D283" s="0" t="s">
        <v>5023</v>
      </c>
      <c r="E283" s="0" t="s">
        <v>5024</v>
      </c>
      <c r="F283" s="0" t="s">
        <v>5024</v>
      </c>
      <c r="G283" s="0" t="s">
        <v>458</v>
      </c>
      <c r="H283" s="0" t="s">
        <v>1034</v>
      </c>
      <c r="I283" s="0" t="s">
        <v>5665</v>
      </c>
      <c r="J283" s="0" t="s">
        <v>5666</v>
      </c>
      <c r="K283" s="0" t="s">
        <v>5667</v>
      </c>
    </row>
    <row r="284" customFormat="false" ht="12.8" hidden="false" customHeight="false" outlineLevel="0" collapsed="false">
      <c r="A284" s="0" t="s">
        <v>5670</v>
      </c>
      <c r="B284" s="0" t="s">
        <v>5671</v>
      </c>
      <c r="C284" s="0" t="s">
        <v>28</v>
      </c>
      <c r="D284" s="0" t="s">
        <v>5023</v>
      </c>
      <c r="E284" s="0" t="s">
        <v>5024</v>
      </c>
      <c r="F284" s="0" t="s">
        <v>5024</v>
      </c>
      <c r="G284" s="0" t="s">
        <v>458</v>
      </c>
      <c r="H284" s="0" t="s">
        <v>1034</v>
      </c>
      <c r="I284" s="0" t="s">
        <v>5665</v>
      </c>
      <c r="J284" s="0" t="s">
        <v>5666</v>
      </c>
      <c r="K284" s="0" t="s">
        <v>5667</v>
      </c>
    </row>
    <row r="285" customFormat="false" ht="12.8" hidden="false" customHeight="false" outlineLevel="0" collapsed="false">
      <c r="A285" s="0" t="s">
        <v>5672</v>
      </c>
      <c r="B285" s="0" t="s">
        <v>5673</v>
      </c>
      <c r="C285" s="0" t="s">
        <v>28</v>
      </c>
      <c r="D285" s="0" t="s">
        <v>5023</v>
      </c>
      <c r="E285" s="0" t="s">
        <v>5024</v>
      </c>
      <c r="F285" s="0" t="s">
        <v>5024</v>
      </c>
      <c r="G285" s="0" t="s">
        <v>458</v>
      </c>
      <c r="H285" s="0" t="s">
        <v>1034</v>
      </c>
      <c r="I285" s="0" t="s">
        <v>5665</v>
      </c>
      <c r="J285" s="0" t="s">
        <v>5666</v>
      </c>
      <c r="K285" s="0" t="s">
        <v>5667</v>
      </c>
    </row>
    <row r="286" customFormat="false" ht="12.8" hidden="false" customHeight="false" outlineLevel="0" collapsed="false">
      <c r="A286" s="0" t="s">
        <v>5674</v>
      </c>
      <c r="B286" s="0" t="s">
        <v>5675</v>
      </c>
      <c r="C286" s="0" t="s">
        <v>28</v>
      </c>
      <c r="D286" s="0" t="s">
        <v>5023</v>
      </c>
      <c r="E286" s="0" t="s">
        <v>5024</v>
      </c>
      <c r="F286" s="0" t="s">
        <v>5024</v>
      </c>
      <c r="G286" s="0" t="s">
        <v>458</v>
      </c>
      <c r="H286" s="0" t="s">
        <v>1034</v>
      </c>
      <c r="I286" s="0" t="s">
        <v>5665</v>
      </c>
      <c r="J286" s="0" t="s">
        <v>5666</v>
      </c>
      <c r="K286" s="0" t="s">
        <v>5667</v>
      </c>
    </row>
    <row r="287" customFormat="false" ht="12.8" hidden="false" customHeight="false" outlineLevel="0" collapsed="false">
      <c r="A287" s="0" t="s">
        <v>5676</v>
      </c>
      <c r="B287" s="0" t="s">
        <v>5677</v>
      </c>
      <c r="C287" s="0" t="s">
        <v>28</v>
      </c>
      <c r="D287" s="0" t="s">
        <v>5023</v>
      </c>
      <c r="E287" s="0" t="s">
        <v>5024</v>
      </c>
      <c r="F287" s="0" t="s">
        <v>5024</v>
      </c>
      <c r="G287" s="0" t="s">
        <v>458</v>
      </c>
      <c r="H287" s="0" t="s">
        <v>1034</v>
      </c>
      <c r="I287" s="0" t="s">
        <v>5665</v>
      </c>
      <c r="J287" s="0" t="s">
        <v>5666</v>
      </c>
      <c r="K287" s="0" t="s">
        <v>5667</v>
      </c>
    </row>
    <row r="288" customFormat="false" ht="12.8" hidden="false" customHeight="false" outlineLevel="0" collapsed="false">
      <c r="A288" s="0" t="s">
        <v>5678</v>
      </c>
      <c r="B288" s="0" t="s">
        <v>5679</v>
      </c>
      <c r="C288" s="0" t="s">
        <v>28</v>
      </c>
      <c r="D288" s="0" t="s">
        <v>5057</v>
      </c>
      <c r="E288" s="0" t="s">
        <v>5058</v>
      </c>
      <c r="F288" s="0" t="s">
        <v>5058</v>
      </c>
      <c r="G288" s="0" t="s">
        <v>458</v>
      </c>
      <c r="H288" s="0" t="s">
        <v>1034</v>
      </c>
      <c r="I288" s="0" t="s">
        <v>5665</v>
      </c>
      <c r="J288" s="0" t="s">
        <v>5666</v>
      </c>
      <c r="K288" s="0" t="s">
        <v>5667</v>
      </c>
    </row>
    <row r="289" customFormat="false" ht="12.8" hidden="false" customHeight="false" outlineLevel="0" collapsed="false">
      <c r="A289" s="0" t="s">
        <v>5680</v>
      </c>
      <c r="B289" s="0" t="s">
        <v>5681</v>
      </c>
      <c r="C289" s="0" t="s">
        <v>28</v>
      </c>
      <c r="D289" s="0" t="s">
        <v>5061</v>
      </c>
      <c r="E289" s="0" t="s">
        <v>5062</v>
      </c>
      <c r="F289" s="0" t="s">
        <v>5062</v>
      </c>
      <c r="G289" s="0" t="s">
        <v>458</v>
      </c>
      <c r="H289" s="0" t="s">
        <v>1034</v>
      </c>
      <c r="I289" s="0" t="s">
        <v>5665</v>
      </c>
      <c r="J289" s="0" t="s">
        <v>5666</v>
      </c>
      <c r="K289" s="0" t="s">
        <v>5667</v>
      </c>
    </row>
    <row r="290" customFormat="false" ht="12.8" hidden="false" customHeight="false" outlineLevel="0" collapsed="false">
      <c r="A290" s="0" t="s">
        <v>5682</v>
      </c>
      <c r="B290" s="0" t="s">
        <v>5683</v>
      </c>
      <c r="C290" s="0" t="s">
        <v>28</v>
      </c>
      <c r="D290" s="0" t="s">
        <v>5023</v>
      </c>
      <c r="E290" s="0" t="s">
        <v>5024</v>
      </c>
      <c r="F290" s="0" t="s">
        <v>5024</v>
      </c>
      <c r="G290" s="0" t="s">
        <v>458</v>
      </c>
      <c r="H290" s="0" t="s">
        <v>1034</v>
      </c>
      <c r="I290" s="0" t="s">
        <v>5665</v>
      </c>
      <c r="J290" s="0" t="s">
        <v>5666</v>
      </c>
      <c r="K290" s="0" t="s">
        <v>5667</v>
      </c>
    </row>
    <row r="291" customFormat="false" ht="12.8" hidden="false" customHeight="false" outlineLevel="0" collapsed="false">
      <c r="A291" s="0" t="s">
        <v>5684</v>
      </c>
      <c r="B291" s="0" t="s">
        <v>5685</v>
      </c>
      <c r="C291" s="0" t="s">
        <v>104</v>
      </c>
      <c r="D291" s="0" t="s">
        <v>5023</v>
      </c>
      <c r="E291" s="0" t="s">
        <v>5024</v>
      </c>
      <c r="F291" s="0" t="s">
        <v>5024</v>
      </c>
      <c r="G291" s="0" t="s">
        <v>458</v>
      </c>
      <c r="H291" s="0" t="s">
        <v>1034</v>
      </c>
      <c r="I291" s="0" t="s">
        <v>5686</v>
      </c>
      <c r="J291" s="0" t="s">
        <v>5687</v>
      </c>
      <c r="K291" s="0" t="s">
        <v>5291</v>
      </c>
    </row>
    <row r="292" customFormat="false" ht="12.8" hidden="false" customHeight="false" outlineLevel="0" collapsed="false">
      <c r="A292" s="0" t="s">
        <v>5688</v>
      </c>
      <c r="B292" s="0" t="s">
        <v>5689</v>
      </c>
      <c r="C292" s="0" t="s">
        <v>104</v>
      </c>
      <c r="D292" s="0" t="s">
        <v>5023</v>
      </c>
      <c r="E292" s="0" t="s">
        <v>5024</v>
      </c>
      <c r="F292" s="0" t="s">
        <v>5024</v>
      </c>
      <c r="G292" s="0" t="s">
        <v>458</v>
      </c>
      <c r="H292" s="0" t="s">
        <v>1034</v>
      </c>
      <c r="I292" s="0" t="s">
        <v>5686</v>
      </c>
      <c r="J292" s="0" t="s">
        <v>5687</v>
      </c>
      <c r="K292" s="0" t="s">
        <v>5291</v>
      </c>
    </row>
    <row r="293" customFormat="false" ht="12.8" hidden="false" customHeight="false" outlineLevel="0" collapsed="false">
      <c r="A293" s="0" t="s">
        <v>5690</v>
      </c>
      <c r="B293" s="0" t="s">
        <v>5691</v>
      </c>
      <c r="C293" s="0" t="s">
        <v>104</v>
      </c>
      <c r="D293" s="0" t="s">
        <v>5023</v>
      </c>
      <c r="E293" s="0" t="s">
        <v>5024</v>
      </c>
      <c r="F293" s="0" t="s">
        <v>5024</v>
      </c>
      <c r="G293" s="0" t="s">
        <v>458</v>
      </c>
      <c r="H293" s="0" t="s">
        <v>1034</v>
      </c>
      <c r="I293" s="0" t="s">
        <v>5686</v>
      </c>
      <c r="J293" s="0" t="s">
        <v>5687</v>
      </c>
      <c r="K293" s="0" t="s">
        <v>5291</v>
      </c>
    </row>
    <row r="294" customFormat="false" ht="12.8" hidden="false" customHeight="false" outlineLevel="0" collapsed="false">
      <c r="A294" s="0" t="s">
        <v>5692</v>
      </c>
      <c r="B294" s="0" t="s">
        <v>5693</v>
      </c>
      <c r="C294" s="0" t="s">
        <v>104</v>
      </c>
      <c r="D294" s="0" t="s">
        <v>5023</v>
      </c>
      <c r="E294" s="0" t="s">
        <v>5024</v>
      </c>
      <c r="F294" s="0" t="s">
        <v>5024</v>
      </c>
      <c r="G294" s="0" t="s">
        <v>458</v>
      </c>
      <c r="H294" s="0" t="s">
        <v>1034</v>
      </c>
      <c r="I294" s="0" t="s">
        <v>5686</v>
      </c>
      <c r="J294" s="0" t="s">
        <v>5687</v>
      </c>
      <c r="K294" s="0" t="s">
        <v>5291</v>
      </c>
    </row>
    <row r="295" customFormat="false" ht="12.8" hidden="false" customHeight="false" outlineLevel="0" collapsed="false">
      <c r="A295" s="0" t="s">
        <v>5694</v>
      </c>
      <c r="B295" s="0" t="s">
        <v>5695</v>
      </c>
      <c r="C295" s="0" t="s">
        <v>104</v>
      </c>
      <c r="D295" s="0" t="s">
        <v>5057</v>
      </c>
      <c r="E295" s="0" t="s">
        <v>5058</v>
      </c>
      <c r="F295" s="0" t="s">
        <v>5058</v>
      </c>
      <c r="G295" s="0" t="s">
        <v>458</v>
      </c>
      <c r="H295" s="0" t="s">
        <v>1034</v>
      </c>
      <c r="I295" s="0" t="s">
        <v>5686</v>
      </c>
      <c r="J295" s="0" t="s">
        <v>5687</v>
      </c>
      <c r="K295" s="0" t="s">
        <v>5291</v>
      </c>
    </row>
    <row r="296" customFormat="false" ht="12.8" hidden="false" customHeight="false" outlineLevel="0" collapsed="false">
      <c r="A296" s="0" t="s">
        <v>5696</v>
      </c>
      <c r="B296" s="0" t="s">
        <v>5697</v>
      </c>
      <c r="C296" s="0" t="s">
        <v>104</v>
      </c>
      <c r="D296" s="0" t="s">
        <v>5061</v>
      </c>
      <c r="E296" s="0" t="s">
        <v>5062</v>
      </c>
      <c r="F296" s="0" t="s">
        <v>5062</v>
      </c>
      <c r="G296" s="0" t="s">
        <v>458</v>
      </c>
      <c r="H296" s="0" t="s">
        <v>1034</v>
      </c>
      <c r="I296" s="0" t="s">
        <v>5686</v>
      </c>
      <c r="J296" s="0" t="s">
        <v>5687</v>
      </c>
      <c r="K296" s="0" t="s">
        <v>5291</v>
      </c>
    </row>
    <row r="297" customFormat="false" ht="12.8" hidden="false" customHeight="false" outlineLevel="0" collapsed="false">
      <c r="A297" s="0" t="s">
        <v>5698</v>
      </c>
      <c r="B297" s="0" t="s">
        <v>5699</v>
      </c>
      <c r="C297" s="0" t="s">
        <v>160</v>
      </c>
      <c r="D297" s="0" t="s">
        <v>5023</v>
      </c>
      <c r="E297" s="0" t="s">
        <v>5024</v>
      </c>
      <c r="F297" s="0" t="s">
        <v>5024</v>
      </c>
      <c r="G297" s="0" t="s">
        <v>458</v>
      </c>
      <c r="H297" s="0" t="s">
        <v>1097</v>
      </c>
      <c r="I297" s="0" t="s">
        <v>5700</v>
      </c>
      <c r="J297" s="0" t="s">
        <v>5701</v>
      </c>
      <c r="K297" s="0" t="s">
        <v>5260</v>
      </c>
    </row>
    <row r="298" customFormat="false" ht="12.8" hidden="false" customHeight="false" outlineLevel="0" collapsed="false">
      <c r="A298" s="0" t="s">
        <v>5702</v>
      </c>
      <c r="B298" s="0" t="s">
        <v>5703</v>
      </c>
      <c r="C298" s="0" t="s">
        <v>160</v>
      </c>
      <c r="D298" s="0" t="s">
        <v>5023</v>
      </c>
      <c r="E298" s="0" t="s">
        <v>5024</v>
      </c>
      <c r="F298" s="0" t="s">
        <v>5024</v>
      </c>
      <c r="G298" s="0" t="s">
        <v>458</v>
      </c>
      <c r="H298" s="0" t="s">
        <v>1097</v>
      </c>
      <c r="I298" s="0" t="s">
        <v>5700</v>
      </c>
      <c r="J298" s="0" t="s">
        <v>5701</v>
      </c>
      <c r="K298" s="0" t="s">
        <v>5260</v>
      </c>
    </row>
    <row r="299" customFormat="false" ht="12.8" hidden="false" customHeight="false" outlineLevel="0" collapsed="false">
      <c r="A299" s="0" t="s">
        <v>5704</v>
      </c>
      <c r="B299" s="0" t="s">
        <v>5705</v>
      </c>
      <c r="C299" s="0" t="s">
        <v>160</v>
      </c>
      <c r="D299" s="0" t="s">
        <v>5023</v>
      </c>
      <c r="E299" s="0" t="s">
        <v>5024</v>
      </c>
      <c r="F299" s="0" t="s">
        <v>5024</v>
      </c>
      <c r="G299" s="0" t="s">
        <v>458</v>
      </c>
      <c r="H299" s="0" t="s">
        <v>1097</v>
      </c>
      <c r="I299" s="0" t="s">
        <v>5700</v>
      </c>
      <c r="J299" s="0" t="s">
        <v>5701</v>
      </c>
      <c r="K299" s="0" t="s">
        <v>5260</v>
      </c>
    </row>
    <row r="300" customFormat="false" ht="12.8" hidden="false" customHeight="false" outlineLevel="0" collapsed="false">
      <c r="A300" s="0" t="s">
        <v>5706</v>
      </c>
      <c r="B300" s="0" t="s">
        <v>5707</v>
      </c>
      <c r="C300" s="0" t="s">
        <v>160</v>
      </c>
      <c r="D300" s="0" t="s">
        <v>5057</v>
      </c>
      <c r="E300" s="0" t="s">
        <v>5058</v>
      </c>
      <c r="F300" s="0" t="s">
        <v>5058</v>
      </c>
      <c r="G300" s="0" t="s">
        <v>458</v>
      </c>
      <c r="H300" s="0" t="s">
        <v>1097</v>
      </c>
      <c r="I300" s="0" t="s">
        <v>5700</v>
      </c>
      <c r="J300" s="0" t="s">
        <v>5701</v>
      </c>
      <c r="K300" s="0" t="s">
        <v>5260</v>
      </c>
    </row>
    <row r="301" customFormat="false" ht="12.8" hidden="false" customHeight="false" outlineLevel="0" collapsed="false">
      <c r="A301" s="0" t="s">
        <v>5708</v>
      </c>
      <c r="B301" s="0" t="s">
        <v>5709</v>
      </c>
      <c r="C301" s="0" t="s">
        <v>160</v>
      </c>
      <c r="D301" s="0" t="s">
        <v>5061</v>
      </c>
      <c r="E301" s="0" t="s">
        <v>5062</v>
      </c>
      <c r="F301" s="0" t="s">
        <v>5062</v>
      </c>
      <c r="G301" s="0" t="s">
        <v>458</v>
      </c>
      <c r="H301" s="0" t="s">
        <v>1097</v>
      </c>
      <c r="I301" s="0" t="s">
        <v>5700</v>
      </c>
      <c r="J301" s="0" t="s">
        <v>5701</v>
      </c>
      <c r="K301" s="0" t="s">
        <v>5260</v>
      </c>
    </row>
    <row r="302" customFormat="false" ht="12.8" hidden="false" customHeight="false" outlineLevel="0" collapsed="false">
      <c r="A302" s="0" t="s">
        <v>5710</v>
      </c>
      <c r="B302" s="0" t="s">
        <v>5711</v>
      </c>
      <c r="C302" s="0" t="s">
        <v>183</v>
      </c>
      <c r="D302" s="0" t="s">
        <v>5023</v>
      </c>
      <c r="E302" s="0" t="s">
        <v>5024</v>
      </c>
      <c r="F302" s="0" t="s">
        <v>5024</v>
      </c>
      <c r="G302" s="0" t="s">
        <v>458</v>
      </c>
      <c r="H302" s="0" t="s">
        <v>1097</v>
      </c>
      <c r="I302" s="0" t="s">
        <v>5712</v>
      </c>
      <c r="J302" s="0" t="s">
        <v>5713</v>
      </c>
      <c r="K302" s="0" t="s">
        <v>5260</v>
      </c>
    </row>
    <row r="303" customFormat="false" ht="12.8" hidden="false" customHeight="false" outlineLevel="0" collapsed="false">
      <c r="A303" s="0" t="s">
        <v>5714</v>
      </c>
      <c r="B303" s="0" t="s">
        <v>5715</v>
      </c>
      <c r="C303" s="0" t="s">
        <v>183</v>
      </c>
      <c r="D303" s="0" t="s">
        <v>5023</v>
      </c>
      <c r="E303" s="0" t="s">
        <v>5024</v>
      </c>
      <c r="F303" s="0" t="s">
        <v>5024</v>
      </c>
      <c r="G303" s="0" t="s">
        <v>458</v>
      </c>
      <c r="H303" s="0" t="s">
        <v>1097</v>
      </c>
      <c r="I303" s="0" t="s">
        <v>5712</v>
      </c>
      <c r="J303" s="0" t="s">
        <v>5713</v>
      </c>
      <c r="K303" s="0" t="s">
        <v>5260</v>
      </c>
    </row>
    <row r="304" customFormat="false" ht="12.8" hidden="false" customHeight="false" outlineLevel="0" collapsed="false">
      <c r="A304" s="0" t="s">
        <v>5716</v>
      </c>
      <c r="B304" s="0" t="s">
        <v>5717</v>
      </c>
      <c r="C304" s="0" t="s">
        <v>183</v>
      </c>
      <c r="D304" s="0" t="s">
        <v>5023</v>
      </c>
      <c r="E304" s="0" t="s">
        <v>5024</v>
      </c>
      <c r="F304" s="0" t="s">
        <v>5024</v>
      </c>
      <c r="G304" s="0" t="s">
        <v>458</v>
      </c>
      <c r="H304" s="0" t="s">
        <v>1097</v>
      </c>
      <c r="I304" s="0" t="s">
        <v>5712</v>
      </c>
      <c r="J304" s="0" t="s">
        <v>5713</v>
      </c>
      <c r="K304" s="0" t="s">
        <v>5260</v>
      </c>
    </row>
    <row r="305" customFormat="false" ht="12.8" hidden="false" customHeight="false" outlineLevel="0" collapsed="false">
      <c r="A305" s="0" t="s">
        <v>5718</v>
      </c>
      <c r="B305" s="0" t="s">
        <v>5719</v>
      </c>
      <c r="C305" s="0" t="s">
        <v>183</v>
      </c>
      <c r="D305" s="0" t="s">
        <v>5057</v>
      </c>
      <c r="E305" s="0" t="s">
        <v>5058</v>
      </c>
      <c r="F305" s="0" t="s">
        <v>5058</v>
      </c>
      <c r="G305" s="0" t="s">
        <v>458</v>
      </c>
      <c r="H305" s="0" t="s">
        <v>1097</v>
      </c>
      <c r="I305" s="0" t="s">
        <v>5712</v>
      </c>
      <c r="J305" s="0" t="s">
        <v>5713</v>
      </c>
      <c r="K305" s="0" t="s">
        <v>5260</v>
      </c>
    </row>
    <row r="306" customFormat="false" ht="12.8" hidden="false" customHeight="false" outlineLevel="0" collapsed="false">
      <c r="A306" s="0" t="s">
        <v>5720</v>
      </c>
      <c r="B306" s="0" t="s">
        <v>5721</v>
      </c>
      <c r="C306" s="0" t="s">
        <v>183</v>
      </c>
      <c r="D306" s="0" t="s">
        <v>5061</v>
      </c>
      <c r="E306" s="0" t="s">
        <v>5062</v>
      </c>
      <c r="F306" s="0" t="s">
        <v>5062</v>
      </c>
      <c r="G306" s="0" t="s">
        <v>458</v>
      </c>
      <c r="H306" s="0" t="s">
        <v>1097</v>
      </c>
      <c r="I306" s="0" t="s">
        <v>5712</v>
      </c>
      <c r="J306" s="0" t="s">
        <v>5713</v>
      </c>
      <c r="K306" s="0" t="s">
        <v>5260</v>
      </c>
    </row>
    <row r="307" customFormat="false" ht="12.8" hidden="false" customHeight="false" outlineLevel="0" collapsed="false">
      <c r="A307" s="0" t="s">
        <v>5722</v>
      </c>
      <c r="B307" s="0" t="s">
        <v>5723</v>
      </c>
      <c r="C307" s="0" t="s">
        <v>225</v>
      </c>
      <c r="D307" s="0" t="s">
        <v>5023</v>
      </c>
      <c r="E307" s="0" t="s">
        <v>5024</v>
      </c>
      <c r="F307" s="0" t="s">
        <v>5024</v>
      </c>
      <c r="G307" s="0" t="s">
        <v>458</v>
      </c>
      <c r="H307" s="0" t="s">
        <v>1034</v>
      </c>
      <c r="I307" s="0" t="s">
        <v>5724</v>
      </c>
      <c r="J307" s="0" t="s">
        <v>5725</v>
      </c>
      <c r="K307" s="0" t="s">
        <v>5291</v>
      </c>
    </row>
    <row r="308" customFormat="false" ht="12.8" hidden="false" customHeight="false" outlineLevel="0" collapsed="false">
      <c r="A308" s="0" t="s">
        <v>5726</v>
      </c>
      <c r="B308" s="0" t="s">
        <v>5727</v>
      </c>
      <c r="C308" s="0" t="s">
        <v>225</v>
      </c>
      <c r="D308" s="0" t="s">
        <v>5023</v>
      </c>
      <c r="E308" s="0" t="s">
        <v>5024</v>
      </c>
      <c r="F308" s="0" t="s">
        <v>5024</v>
      </c>
      <c r="G308" s="0" t="s">
        <v>458</v>
      </c>
      <c r="H308" s="0" t="s">
        <v>1034</v>
      </c>
      <c r="I308" s="0" t="s">
        <v>5724</v>
      </c>
      <c r="J308" s="0" t="s">
        <v>5725</v>
      </c>
      <c r="K308" s="0" t="s">
        <v>5291</v>
      </c>
    </row>
    <row r="309" customFormat="false" ht="12.8" hidden="false" customHeight="false" outlineLevel="0" collapsed="false">
      <c r="A309" s="0" t="s">
        <v>5728</v>
      </c>
      <c r="B309" s="0" t="s">
        <v>5729</v>
      </c>
      <c r="C309" s="0" t="s">
        <v>225</v>
      </c>
      <c r="D309" s="0" t="s">
        <v>5057</v>
      </c>
      <c r="E309" s="0" t="s">
        <v>5058</v>
      </c>
      <c r="F309" s="0" t="s">
        <v>5058</v>
      </c>
      <c r="G309" s="0" t="s">
        <v>458</v>
      </c>
      <c r="H309" s="0" t="s">
        <v>1034</v>
      </c>
      <c r="I309" s="0" t="s">
        <v>5724</v>
      </c>
      <c r="J309" s="0" t="s">
        <v>5725</v>
      </c>
      <c r="K309" s="0" t="s">
        <v>5291</v>
      </c>
    </row>
    <row r="310" customFormat="false" ht="12.8" hidden="false" customHeight="false" outlineLevel="0" collapsed="false">
      <c r="A310" s="0" t="s">
        <v>5730</v>
      </c>
      <c r="B310" s="0" t="s">
        <v>5731</v>
      </c>
      <c r="C310" s="0" t="s">
        <v>225</v>
      </c>
      <c r="D310" s="0" t="s">
        <v>5061</v>
      </c>
      <c r="E310" s="0" t="s">
        <v>5062</v>
      </c>
      <c r="F310" s="0" t="s">
        <v>5062</v>
      </c>
      <c r="G310" s="0" t="s">
        <v>458</v>
      </c>
      <c r="H310" s="0" t="s">
        <v>1034</v>
      </c>
      <c r="I310" s="0" t="s">
        <v>5724</v>
      </c>
      <c r="J310" s="0" t="s">
        <v>5725</v>
      </c>
      <c r="K310" s="0" t="s">
        <v>5291</v>
      </c>
    </row>
    <row r="311" customFormat="false" ht="12.8" hidden="false" customHeight="false" outlineLevel="0" collapsed="false">
      <c r="A311" s="0" t="s">
        <v>5732</v>
      </c>
      <c r="B311" s="0" t="s">
        <v>5733</v>
      </c>
      <c r="C311" s="0" t="s">
        <v>307</v>
      </c>
      <c r="D311" s="0" t="s">
        <v>5023</v>
      </c>
      <c r="E311" s="0" t="s">
        <v>5024</v>
      </c>
      <c r="F311" s="0" t="s">
        <v>5024</v>
      </c>
      <c r="G311" s="0" t="s">
        <v>458</v>
      </c>
      <c r="H311" s="0" t="s">
        <v>1097</v>
      </c>
      <c r="I311" s="0" t="s">
        <v>5734</v>
      </c>
      <c r="J311" s="0" t="s">
        <v>5735</v>
      </c>
      <c r="K311" s="0" t="s">
        <v>5260</v>
      </c>
    </row>
    <row r="312" customFormat="false" ht="12.8" hidden="false" customHeight="false" outlineLevel="0" collapsed="false">
      <c r="A312" s="0" t="s">
        <v>5736</v>
      </c>
      <c r="B312" s="0" t="s">
        <v>5737</v>
      </c>
      <c r="C312" s="0" t="s">
        <v>307</v>
      </c>
      <c r="D312" s="0" t="s">
        <v>5023</v>
      </c>
      <c r="E312" s="0" t="s">
        <v>5024</v>
      </c>
      <c r="F312" s="0" t="s">
        <v>5024</v>
      </c>
      <c r="G312" s="0" t="s">
        <v>458</v>
      </c>
      <c r="H312" s="0" t="s">
        <v>1097</v>
      </c>
      <c r="I312" s="0" t="s">
        <v>5734</v>
      </c>
      <c r="J312" s="0" t="s">
        <v>5735</v>
      </c>
      <c r="K312" s="0" t="s">
        <v>5260</v>
      </c>
    </row>
    <row r="313" customFormat="false" ht="12.8" hidden="false" customHeight="false" outlineLevel="0" collapsed="false">
      <c r="A313" s="0" t="s">
        <v>5738</v>
      </c>
      <c r="B313" s="0" t="s">
        <v>5739</v>
      </c>
      <c r="C313" s="0" t="s">
        <v>307</v>
      </c>
      <c r="D313" s="0" t="s">
        <v>5023</v>
      </c>
      <c r="E313" s="0" t="s">
        <v>5024</v>
      </c>
      <c r="F313" s="0" t="s">
        <v>5024</v>
      </c>
      <c r="G313" s="0" t="s">
        <v>458</v>
      </c>
      <c r="H313" s="0" t="s">
        <v>1097</v>
      </c>
      <c r="I313" s="0" t="s">
        <v>5734</v>
      </c>
      <c r="J313" s="0" t="s">
        <v>5735</v>
      </c>
      <c r="K313" s="0" t="s">
        <v>5260</v>
      </c>
    </row>
    <row r="314" customFormat="false" ht="12.8" hidden="false" customHeight="false" outlineLevel="0" collapsed="false">
      <c r="A314" s="0" t="s">
        <v>5740</v>
      </c>
      <c r="B314" s="0" t="s">
        <v>5741</v>
      </c>
      <c r="C314" s="0" t="s">
        <v>307</v>
      </c>
      <c r="D314" s="0" t="s">
        <v>5057</v>
      </c>
      <c r="E314" s="0" t="s">
        <v>5058</v>
      </c>
      <c r="F314" s="0" t="s">
        <v>5058</v>
      </c>
      <c r="G314" s="0" t="s">
        <v>458</v>
      </c>
      <c r="H314" s="0" t="s">
        <v>1097</v>
      </c>
      <c r="I314" s="0" t="s">
        <v>5734</v>
      </c>
      <c r="J314" s="0" t="s">
        <v>5735</v>
      </c>
      <c r="K314" s="0" t="s">
        <v>5260</v>
      </c>
    </row>
    <row r="315" customFormat="false" ht="12.8" hidden="false" customHeight="false" outlineLevel="0" collapsed="false">
      <c r="A315" s="0" t="s">
        <v>5742</v>
      </c>
      <c r="B315" s="0" t="s">
        <v>5743</v>
      </c>
      <c r="C315" s="0" t="s">
        <v>307</v>
      </c>
      <c r="D315" s="0" t="s">
        <v>5061</v>
      </c>
      <c r="E315" s="0" t="s">
        <v>5062</v>
      </c>
      <c r="F315" s="0" t="s">
        <v>5062</v>
      </c>
      <c r="G315" s="0" t="s">
        <v>458</v>
      </c>
      <c r="H315" s="0" t="s">
        <v>1097</v>
      </c>
      <c r="I315" s="0" t="s">
        <v>5734</v>
      </c>
      <c r="J315" s="0" t="s">
        <v>5735</v>
      </c>
      <c r="K315" s="0" t="s">
        <v>5260</v>
      </c>
    </row>
    <row r="316" customFormat="false" ht="12.8" hidden="false" customHeight="false" outlineLevel="0" collapsed="false">
      <c r="A316" s="0" t="s">
        <v>5744</v>
      </c>
      <c r="B316" s="0" t="s">
        <v>5745</v>
      </c>
      <c r="C316" s="0" t="s">
        <v>308</v>
      </c>
      <c r="D316" s="0" t="s">
        <v>5023</v>
      </c>
      <c r="E316" s="0" t="s">
        <v>5024</v>
      </c>
      <c r="F316" s="0" t="s">
        <v>5024</v>
      </c>
      <c r="G316" s="0" t="s">
        <v>458</v>
      </c>
      <c r="H316" s="0" t="s">
        <v>1097</v>
      </c>
      <c r="I316" s="0" t="s">
        <v>5746</v>
      </c>
      <c r="J316" s="0" t="s">
        <v>5747</v>
      </c>
      <c r="K316" s="0" t="s">
        <v>5260</v>
      </c>
    </row>
    <row r="317" customFormat="false" ht="12.8" hidden="false" customHeight="false" outlineLevel="0" collapsed="false">
      <c r="A317" s="0" t="s">
        <v>5748</v>
      </c>
      <c r="B317" s="0" t="s">
        <v>5749</v>
      </c>
      <c r="C317" s="0" t="s">
        <v>308</v>
      </c>
      <c r="D317" s="0" t="s">
        <v>5023</v>
      </c>
      <c r="E317" s="0" t="s">
        <v>5024</v>
      </c>
      <c r="F317" s="0" t="s">
        <v>5024</v>
      </c>
      <c r="G317" s="0" t="s">
        <v>458</v>
      </c>
      <c r="H317" s="0" t="s">
        <v>1097</v>
      </c>
      <c r="I317" s="0" t="s">
        <v>5746</v>
      </c>
      <c r="J317" s="0" t="s">
        <v>5747</v>
      </c>
      <c r="K317" s="0" t="s">
        <v>5260</v>
      </c>
    </row>
    <row r="318" customFormat="false" ht="12.8" hidden="false" customHeight="false" outlineLevel="0" collapsed="false">
      <c r="A318" s="0" t="s">
        <v>5750</v>
      </c>
      <c r="B318" s="0" t="s">
        <v>5751</v>
      </c>
      <c r="C318" s="0" t="s">
        <v>308</v>
      </c>
      <c r="D318" s="0" t="s">
        <v>5023</v>
      </c>
      <c r="E318" s="0" t="s">
        <v>5024</v>
      </c>
      <c r="F318" s="0" t="s">
        <v>5024</v>
      </c>
      <c r="G318" s="0" t="s">
        <v>458</v>
      </c>
      <c r="H318" s="0" t="s">
        <v>1097</v>
      </c>
      <c r="I318" s="0" t="s">
        <v>5746</v>
      </c>
      <c r="J318" s="0" t="s">
        <v>5747</v>
      </c>
      <c r="K318" s="0" t="s">
        <v>5260</v>
      </c>
    </row>
    <row r="319" customFormat="false" ht="12.8" hidden="false" customHeight="false" outlineLevel="0" collapsed="false">
      <c r="A319" s="0" t="s">
        <v>5752</v>
      </c>
      <c r="B319" s="0" t="s">
        <v>5753</v>
      </c>
      <c r="C319" s="0" t="s">
        <v>308</v>
      </c>
      <c r="D319" s="0" t="s">
        <v>5023</v>
      </c>
      <c r="E319" s="0" t="s">
        <v>5024</v>
      </c>
      <c r="F319" s="0" t="s">
        <v>5024</v>
      </c>
      <c r="G319" s="0" t="s">
        <v>458</v>
      </c>
      <c r="H319" s="0" t="s">
        <v>1097</v>
      </c>
      <c r="I319" s="0" t="s">
        <v>5746</v>
      </c>
      <c r="J319" s="0" t="s">
        <v>5747</v>
      </c>
      <c r="K319" s="0" t="s">
        <v>5260</v>
      </c>
    </row>
    <row r="320" customFormat="false" ht="12.8" hidden="false" customHeight="false" outlineLevel="0" collapsed="false">
      <c r="A320" s="0" t="s">
        <v>5754</v>
      </c>
      <c r="B320" s="0" t="s">
        <v>5755</v>
      </c>
      <c r="C320" s="0" t="s">
        <v>308</v>
      </c>
      <c r="D320" s="0" t="s">
        <v>5057</v>
      </c>
      <c r="E320" s="0" t="s">
        <v>5058</v>
      </c>
      <c r="F320" s="0" t="s">
        <v>5058</v>
      </c>
      <c r="G320" s="0" t="s">
        <v>458</v>
      </c>
      <c r="H320" s="0" t="s">
        <v>1097</v>
      </c>
      <c r="I320" s="0" t="s">
        <v>5746</v>
      </c>
      <c r="J320" s="0" t="s">
        <v>5747</v>
      </c>
      <c r="K320" s="0" t="s">
        <v>5260</v>
      </c>
    </row>
    <row r="321" customFormat="false" ht="12.8" hidden="false" customHeight="false" outlineLevel="0" collapsed="false">
      <c r="A321" s="0" t="s">
        <v>5756</v>
      </c>
      <c r="B321" s="0" t="s">
        <v>5757</v>
      </c>
      <c r="C321" s="0" t="s">
        <v>308</v>
      </c>
      <c r="D321" s="0" t="s">
        <v>5061</v>
      </c>
      <c r="E321" s="0" t="s">
        <v>5062</v>
      </c>
      <c r="F321" s="0" t="s">
        <v>5062</v>
      </c>
      <c r="G321" s="0" t="s">
        <v>458</v>
      </c>
      <c r="H321" s="0" t="s">
        <v>1097</v>
      </c>
      <c r="I321" s="0" t="s">
        <v>5746</v>
      </c>
      <c r="J321" s="0" t="s">
        <v>5747</v>
      </c>
      <c r="K321" s="0" t="s">
        <v>5260</v>
      </c>
    </row>
    <row r="322" customFormat="false" ht="12.8" hidden="false" customHeight="false" outlineLevel="0" collapsed="false">
      <c r="A322" s="0" t="s">
        <v>5758</v>
      </c>
      <c r="B322" s="0" t="s">
        <v>5759</v>
      </c>
      <c r="C322" s="0" t="s">
        <v>385</v>
      </c>
      <c r="D322" s="0" t="s">
        <v>5023</v>
      </c>
      <c r="E322" s="0" t="s">
        <v>5024</v>
      </c>
      <c r="F322" s="0" t="s">
        <v>5024</v>
      </c>
      <c r="G322" s="0" t="s">
        <v>458</v>
      </c>
      <c r="H322" s="0" t="s">
        <v>1034</v>
      </c>
      <c r="I322" s="0" t="s">
        <v>5760</v>
      </c>
      <c r="J322" s="0" t="s">
        <v>5761</v>
      </c>
      <c r="K322" s="0" t="s">
        <v>5260</v>
      </c>
    </row>
    <row r="323" customFormat="false" ht="12.8" hidden="false" customHeight="false" outlineLevel="0" collapsed="false">
      <c r="A323" s="0" t="s">
        <v>5762</v>
      </c>
      <c r="B323" s="0" t="s">
        <v>5763</v>
      </c>
      <c r="C323" s="0" t="s">
        <v>385</v>
      </c>
      <c r="D323" s="0" t="s">
        <v>5023</v>
      </c>
      <c r="E323" s="0" t="s">
        <v>5024</v>
      </c>
      <c r="F323" s="0" t="s">
        <v>5024</v>
      </c>
      <c r="G323" s="0" t="s">
        <v>458</v>
      </c>
      <c r="H323" s="0" t="s">
        <v>1034</v>
      </c>
      <c r="I323" s="0" t="s">
        <v>5760</v>
      </c>
      <c r="J323" s="0" t="s">
        <v>5761</v>
      </c>
      <c r="K323" s="0" t="s">
        <v>5260</v>
      </c>
    </row>
    <row r="324" customFormat="false" ht="12.8" hidden="false" customHeight="false" outlineLevel="0" collapsed="false">
      <c r="A324" s="0" t="s">
        <v>5764</v>
      </c>
      <c r="B324" s="0" t="s">
        <v>5765</v>
      </c>
      <c r="C324" s="0" t="s">
        <v>385</v>
      </c>
      <c r="D324" s="0" t="s">
        <v>5057</v>
      </c>
      <c r="E324" s="0" t="s">
        <v>5058</v>
      </c>
      <c r="F324" s="0" t="s">
        <v>5058</v>
      </c>
      <c r="G324" s="0" t="s">
        <v>458</v>
      </c>
      <c r="H324" s="0" t="s">
        <v>1034</v>
      </c>
      <c r="I324" s="0" t="s">
        <v>5760</v>
      </c>
      <c r="J324" s="0" t="s">
        <v>5761</v>
      </c>
      <c r="K324" s="0" t="s">
        <v>5260</v>
      </c>
    </row>
    <row r="325" customFormat="false" ht="12.8" hidden="false" customHeight="false" outlineLevel="0" collapsed="false">
      <c r="A325" s="0" t="s">
        <v>5766</v>
      </c>
      <c r="B325" s="0" t="s">
        <v>5767</v>
      </c>
      <c r="C325" s="0" t="s">
        <v>385</v>
      </c>
      <c r="D325" s="0" t="s">
        <v>5061</v>
      </c>
      <c r="E325" s="0" t="s">
        <v>5062</v>
      </c>
      <c r="F325" s="0" t="s">
        <v>5062</v>
      </c>
      <c r="G325" s="0" t="s">
        <v>458</v>
      </c>
      <c r="H325" s="0" t="s">
        <v>1034</v>
      </c>
      <c r="I325" s="0" t="s">
        <v>5760</v>
      </c>
      <c r="J325" s="0" t="s">
        <v>5761</v>
      </c>
      <c r="K325" s="0" t="s">
        <v>5260</v>
      </c>
    </row>
    <row r="326" customFormat="false" ht="12.8" hidden="false" customHeight="false" outlineLevel="0" collapsed="false">
      <c r="A326" s="0" t="s">
        <v>5768</v>
      </c>
      <c r="B326" s="0" t="s">
        <v>5769</v>
      </c>
      <c r="C326" s="0" t="s">
        <v>385</v>
      </c>
      <c r="D326" s="0" t="s">
        <v>5023</v>
      </c>
      <c r="E326" s="0" t="s">
        <v>5024</v>
      </c>
      <c r="F326" s="0" t="s">
        <v>5024</v>
      </c>
      <c r="G326" s="0" t="s">
        <v>458</v>
      </c>
      <c r="H326" s="0" t="s">
        <v>1034</v>
      </c>
      <c r="I326" s="0" t="s">
        <v>5760</v>
      </c>
      <c r="J326" s="0" t="s">
        <v>5761</v>
      </c>
      <c r="K326" s="0" t="s">
        <v>5260</v>
      </c>
    </row>
    <row r="327" customFormat="false" ht="12.8" hidden="false" customHeight="false" outlineLevel="0" collapsed="false">
      <c r="A327" s="0" t="s">
        <v>5770</v>
      </c>
      <c r="B327" s="0" t="s">
        <v>5771</v>
      </c>
      <c r="C327" s="0" t="s">
        <v>385</v>
      </c>
      <c r="D327" s="0" t="s">
        <v>5023</v>
      </c>
      <c r="E327" s="0" t="s">
        <v>5024</v>
      </c>
      <c r="F327" s="0" t="s">
        <v>5024</v>
      </c>
      <c r="G327" s="0" t="s">
        <v>458</v>
      </c>
      <c r="H327" s="0" t="s">
        <v>1034</v>
      </c>
      <c r="I327" s="0" t="s">
        <v>5760</v>
      </c>
      <c r="J327" s="0" t="s">
        <v>5761</v>
      </c>
      <c r="K327" s="0" t="s">
        <v>5260</v>
      </c>
    </row>
    <row r="328" customFormat="false" ht="12.8" hidden="false" customHeight="false" outlineLevel="0" collapsed="false">
      <c r="A328" s="0" t="s">
        <v>5772</v>
      </c>
      <c r="B328" s="0" t="s">
        <v>5773</v>
      </c>
      <c r="C328" s="0" t="s">
        <v>167</v>
      </c>
      <c r="D328" s="0" t="s">
        <v>5023</v>
      </c>
      <c r="E328" s="0" t="s">
        <v>5024</v>
      </c>
      <c r="F328" s="0" t="s">
        <v>5024</v>
      </c>
      <c r="G328" s="0" t="s">
        <v>1155</v>
      </c>
      <c r="H328" s="0" t="s">
        <v>1156</v>
      </c>
      <c r="I328" s="0" t="s">
        <v>5774</v>
      </c>
      <c r="J328" s="0" t="s">
        <v>5775</v>
      </c>
      <c r="K328" s="0" t="s">
        <v>5776</v>
      </c>
    </row>
    <row r="329" customFormat="false" ht="12.8" hidden="false" customHeight="false" outlineLevel="0" collapsed="false">
      <c r="A329" s="0" t="s">
        <v>5777</v>
      </c>
      <c r="B329" s="0" t="s">
        <v>5778</v>
      </c>
      <c r="C329" s="0" t="s">
        <v>167</v>
      </c>
      <c r="D329" s="0" t="s">
        <v>5057</v>
      </c>
      <c r="E329" s="0" t="s">
        <v>5058</v>
      </c>
      <c r="F329" s="0" t="s">
        <v>5058</v>
      </c>
      <c r="G329" s="0" t="s">
        <v>1155</v>
      </c>
      <c r="H329" s="0" t="s">
        <v>1156</v>
      </c>
      <c r="I329" s="0" t="s">
        <v>5774</v>
      </c>
      <c r="J329" s="0" t="s">
        <v>5775</v>
      </c>
      <c r="K329" s="0" t="s">
        <v>5776</v>
      </c>
    </row>
    <row r="330" customFormat="false" ht="12.8" hidden="false" customHeight="false" outlineLevel="0" collapsed="false">
      <c r="A330" s="0" t="s">
        <v>5779</v>
      </c>
      <c r="B330" s="0" t="s">
        <v>5780</v>
      </c>
      <c r="C330" s="0" t="s">
        <v>167</v>
      </c>
      <c r="D330" s="0" t="s">
        <v>5023</v>
      </c>
      <c r="E330" s="0" t="s">
        <v>5024</v>
      </c>
      <c r="F330" s="0" t="s">
        <v>5024</v>
      </c>
      <c r="G330" s="0" t="s">
        <v>1155</v>
      </c>
      <c r="H330" s="0" t="s">
        <v>1156</v>
      </c>
      <c r="I330" s="0" t="s">
        <v>5774</v>
      </c>
      <c r="J330" s="0" t="s">
        <v>5775</v>
      </c>
      <c r="K330" s="0" t="s">
        <v>5776</v>
      </c>
    </row>
    <row r="331" customFormat="false" ht="12.8" hidden="false" customHeight="false" outlineLevel="0" collapsed="false">
      <c r="A331" s="0" t="s">
        <v>5781</v>
      </c>
      <c r="B331" s="0" t="s">
        <v>5782</v>
      </c>
      <c r="C331" s="0" t="s">
        <v>167</v>
      </c>
      <c r="D331" s="0" t="s">
        <v>5023</v>
      </c>
      <c r="E331" s="0" t="s">
        <v>5024</v>
      </c>
      <c r="F331" s="0" t="s">
        <v>5024</v>
      </c>
      <c r="G331" s="0" t="s">
        <v>1155</v>
      </c>
      <c r="H331" s="0" t="s">
        <v>1156</v>
      </c>
      <c r="I331" s="0" t="s">
        <v>5774</v>
      </c>
      <c r="J331" s="0" t="s">
        <v>5775</v>
      </c>
      <c r="K331" s="0" t="s">
        <v>5776</v>
      </c>
    </row>
    <row r="332" customFormat="false" ht="12.8" hidden="false" customHeight="false" outlineLevel="0" collapsed="false">
      <c r="A332" s="0" t="s">
        <v>5783</v>
      </c>
      <c r="B332" s="0" t="s">
        <v>5784</v>
      </c>
      <c r="C332" s="0" t="s">
        <v>167</v>
      </c>
      <c r="D332" s="0" t="s">
        <v>5061</v>
      </c>
      <c r="E332" s="0" t="s">
        <v>5062</v>
      </c>
      <c r="F332" s="0" t="s">
        <v>5062</v>
      </c>
      <c r="G332" s="0" t="s">
        <v>1155</v>
      </c>
      <c r="H332" s="0" t="s">
        <v>1156</v>
      </c>
      <c r="I332" s="0" t="s">
        <v>5774</v>
      </c>
      <c r="J332" s="0" t="s">
        <v>5775</v>
      </c>
      <c r="K332" s="0" t="s">
        <v>5776</v>
      </c>
    </row>
    <row r="333" customFormat="false" ht="12.8" hidden="false" customHeight="false" outlineLevel="0" collapsed="false">
      <c r="A333" s="0" t="s">
        <v>5785</v>
      </c>
      <c r="B333" s="0" t="s">
        <v>5786</v>
      </c>
      <c r="C333" s="0" t="s">
        <v>175</v>
      </c>
      <c r="D333" s="0" t="s">
        <v>5023</v>
      </c>
      <c r="E333" s="0" t="s">
        <v>5024</v>
      </c>
      <c r="F333" s="0" t="s">
        <v>5024</v>
      </c>
      <c r="G333" s="0" t="s">
        <v>1155</v>
      </c>
      <c r="H333" s="0" t="s">
        <v>1156</v>
      </c>
      <c r="I333" s="0" t="s">
        <v>5787</v>
      </c>
      <c r="J333" s="0" t="s">
        <v>5788</v>
      </c>
      <c r="K333" s="0" t="s">
        <v>5260</v>
      </c>
    </row>
    <row r="334" customFormat="false" ht="12.8" hidden="false" customHeight="false" outlineLevel="0" collapsed="false">
      <c r="A334" s="0" t="s">
        <v>5789</v>
      </c>
      <c r="B334" s="0" t="s">
        <v>5790</v>
      </c>
      <c r="C334" s="0" t="s">
        <v>175</v>
      </c>
      <c r="D334" s="0" t="s">
        <v>5023</v>
      </c>
      <c r="E334" s="0" t="s">
        <v>5024</v>
      </c>
      <c r="F334" s="0" t="s">
        <v>5024</v>
      </c>
      <c r="G334" s="0" t="s">
        <v>1155</v>
      </c>
      <c r="H334" s="0" t="s">
        <v>1156</v>
      </c>
      <c r="I334" s="0" t="s">
        <v>5787</v>
      </c>
      <c r="J334" s="0" t="s">
        <v>5788</v>
      </c>
      <c r="K334" s="0" t="s">
        <v>5260</v>
      </c>
    </row>
    <row r="335" customFormat="false" ht="12.8" hidden="false" customHeight="false" outlineLevel="0" collapsed="false">
      <c r="A335" s="0" t="s">
        <v>5791</v>
      </c>
      <c r="B335" s="0" t="s">
        <v>5792</v>
      </c>
      <c r="C335" s="0" t="s">
        <v>175</v>
      </c>
      <c r="D335" s="0" t="s">
        <v>5023</v>
      </c>
      <c r="E335" s="0" t="s">
        <v>5024</v>
      </c>
      <c r="F335" s="0" t="s">
        <v>5024</v>
      </c>
      <c r="G335" s="0" t="s">
        <v>1155</v>
      </c>
      <c r="H335" s="0" t="s">
        <v>1156</v>
      </c>
      <c r="I335" s="0" t="s">
        <v>5787</v>
      </c>
      <c r="J335" s="0" t="s">
        <v>5788</v>
      </c>
      <c r="K335" s="0" t="s">
        <v>5260</v>
      </c>
    </row>
    <row r="336" customFormat="false" ht="12.8" hidden="false" customHeight="false" outlineLevel="0" collapsed="false">
      <c r="A336" s="0" t="s">
        <v>5793</v>
      </c>
      <c r="B336" s="0" t="s">
        <v>5794</v>
      </c>
      <c r="C336" s="0" t="s">
        <v>175</v>
      </c>
      <c r="D336" s="0" t="s">
        <v>5023</v>
      </c>
      <c r="E336" s="0" t="s">
        <v>5024</v>
      </c>
      <c r="F336" s="0" t="s">
        <v>5024</v>
      </c>
      <c r="G336" s="0" t="s">
        <v>1155</v>
      </c>
      <c r="H336" s="0" t="s">
        <v>1156</v>
      </c>
      <c r="I336" s="0" t="s">
        <v>5787</v>
      </c>
      <c r="J336" s="0" t="s">
        <v>5788</v>
      </c>
      <c r="K336" s="0" t="s">
        <v>5260</v>
      </c>
    </row>
    <row r="337" customFormat="false" ht="12.8" hidden="false" customHeight="false" outlineLevel="0" collapsed="false">
      <c r="A337" s="0" t="s">
        <v>5795</v>
      </c>
      <c r="B337" s="0" t="s">
        <v>5796</v>
      </c>
      <c r="C337" s="0" t="s">
        <v>175</v>
      </c>
      <c r="D337" s="0" t="s">
        <v>5061</v>
      </c>
      <c r="E337" s="0" t="s">
        <v>5062</v>
      </c>
      <c r="F337" s="0" t="s">
        <v>5062</v>
      </c>
      <c r="G337" s="0" t="s">
        <v>1155</v>
      </c>
      <c r="H337" s="0" t="s">
        <v>1156</v>
      </c>
      <c r="I337" s="0" t="s">
        <v>5787</v>
      </c>
      <c r="J337" s="0" t="s">
        <v>5788</v>
      </c>
      <c r="K337" s="0" t="s">
        <v>5260</v>
      </c>
    </row>
    <row r="338" customFormat="false" ht="12.8" hidden="false" customHeight="false" outlineLevel="0" collapsed="false">
      <c r="A338" s="0" t="s">
        <v>5797</v>
      </c>
      <c r="B338" s="0" t="s">
        <v>5798</v>
      </c>
      <c r="C338" s="0" t="s">
        <v>200</v>
      </c>
      <c r="D338" s="0" t="s">
        <v>5023</v>
      </c>
      <c r="E338" s="0" t="s">
        <v>5024</v>
      </c>
      <c r="F338" s="0" t="s">
        <v>5024</v>
      </c>
      <c r="G338" s="0" t="s">
        <v>1155</v>
      </c>
      <c r="H338" s="0" t="s">
        <v>1697</v>
      </c>
      <c r="I338" s="0" t="s">
        <v>5799</v>
      </c>
      <c r="J338" s="0" t="s">
        <v>5800</v>
      </c>
      <c r="K338" s="0" t="s">
        <v>5260</v>
      </c>
    </row>
    <row r="339" customFormat="false" ht="12.8" hidden="false" customHeight="false" outlineLevel="0" collapsed="false">
      <c r="A339" s="0" t="s">
        <v>5801</v>
      </c>
      <c r="B339" s="0" t="s">
        <v>5802</v>
      </c>
      <c r="C339" s="0" t="s">
        <v>200</v>
      </c>
      <c r="D339" s="0" t="s">
        <v>5023</v>
      </c>
      <c r="E339" s="0" t="s">
        <v>5024</v>
      </c>
      <c r="F339" s="0" t="s">
        <v>5024</v>
      </c>
      <c r="G339" s="0" t="s">
        <v>1155</v>
      </c>
      <c r="H339" s="0" t="s">
        <v>1697</v>
      </c>
      <c r="I339" s="0" t="s">
        <v>5799</v>
      </c>
      <c r="J339" s="0" t="s">
        <v>5800</v>
      </c>
      <c r="K339" s="0" t="s">
        <v>5260</v>
      </c>
    </row>
    <row r="340" customFormat="false" ht="12.8" hidden="false" customHeight="false" outlineLevel="0" collapsed="false">
      <c r="A340" s="0" t="s">
        <v>5803</v>
      </c>
      <c r="B340" s="0" t="s">
        <v>5804</v>
      </c>
      <c r="C340" s="0" t="s">
        <v>200</v>
      </c>
      <c r="D340" s="0" t="s">
        <v>5023</v>
      </c>
      <c r="E340" s="0" t="s">
        <v>5024</v>
      </c>
      <c r="F340" s="0" t="s">
        <v>5024</v>
      </c>
      <c r="G340" s="0" t="s">
        <v>1155</v>
      </c>
      <c r="H340" s="0" t="s">
        <v>1697</v>
      </c>
      <c r="I340" s="0" t="s">
        <v>5799</v>
      </c>
      <c r="J340" s="0" t="s">
        <v>5800</v>
      </c>
      <c r="K340" s="0" t="s">
        <v>5260</v>
      </c>
    </row>
    <row r="341" customFormat="false" ht="12.8" hidden="false" customHeight="false" outlineLevel="0" collapsed="false">
      <c r="A341" s="0" t="s">
        <v>5805</v>
      </c>
      <c r="B341" s="0" t="s">
        <v>5806</v>
      </c>
      <c r="C341" s="0" t="s">
        <v>200</v>
      </c>
      <c r="D341" s="0" t="s">
        <v>5061</v>
      </c>
      <c r="E341" s="0" t="s">
        <v>5062</v>
      </c>
      <c r="F341" s="0" t="s">
        <v>5062</v>
      </c>
      <c r="G341" s="0" t="s">
        <v>1155</v>
      </c>
      <c r="H341" s="0" t="s">
        <v>1697</v>
      </c>
      <c r="I341" s="0" t="s">
        <v>5799</v>
      </c>
      <c r="J341" s="0" t="s">
        <v>5800</v>
      </c>
      <c r="K341" s="0" t="s">
        <v>5260</v>
      </c>
    </row>
    <row r="342" customFormat="false" ht="12.8" hidden="false" customHeight="false" outlineLevel="0" collapsed="false">
      <c r="A342" s="0" t="s">
        <v>5807</v>
      </c>
      <c r="B342" s="0" t="s">
        <v>5808</v>
      </c>
      <c r="C342" s="0" t="s">
        <v>229</v>
      </c>
      <c r="D342" s="0" t="s">
        <v>5023</v>
      </c>
      <c r="E342" s="0" t="s">
        <v>5024</v>
      </c>
      <c r="F342" s="0" t="s">
        <v>5024</v>
      </c>
      <c r="G342" s="0" t="s">
        <v>1155</v>
      </c>
      <c r="H342" s="0" t="s">
        <v>1792</v>
      </c>
      <c r="I342" s="0" t="s">
        <v>5809</v>
      </c>
      <c r="J342" s="0" t="s">
        <v>5810</v>
      </c>
      <c r="K342" s="444" t="s">
        <v>5811</v>
      </c>
    </row>
    <row r="343" customFormat="false" ht="12.8" hidden="false" customHeight="false" outlineLevel="0" collapsed="false">
      <c r="A343" s="0" t="s">
        <v>5812</v>
      </c>
      <c r="B343" s="0" t="s">
        <v>5813</v>
      </c>
      <c r="C343" s="0" t="s">
        <v>229</v>
      </c>
      <c r="D343" s="0" t="s">
        <v>5023</v>
      </c>
      <c r="E343" s="0" t="s">
        <v>5024</v>
      </c>
      <c r="F343" s="0" t="s">
        <v>5024</v>
      </c>
      <c r="G343" s="0" t="s">
        <v>1155</v>
      </c>
      <c r="H343" s="0" t="s">
        <v>1792</v>
      </c>
      <c r="I343" s="0" t="s">
        <v>5809</v>
      </c>
      <c r="J343" s="0" t="s">
        <v>5810</v>
      </c>
      <c r="K343" s="444" t="s">
        <v>5811</v>
      </c>
    </row>
    <row r="344" customFormat="false" ht="12.8" hidden="false" customHeight="false" outlineLevel="0" collapsed="false">
      <c r="A344" s="0" t="s">
        <v>5814</v>
      </c>
      <c r="B344" s="0" t="s">
        <v>5815</v>
      </c>
      <c r="C344" s="0" t="s">
        <v>229</v>
      </c>
      <c r="D344" s="0" t="s">
        <v>5023</v>
      </c>
      <c r="E344" s="0" t="s">
        <v>5024</v>
      </c>
      <c r="F344" s="0" t="s">
        <v>5024</v>
      </c>
      <c r="G344" s="0" t="s">
        <v>1155</v>
      </c>
      <c r="H344" s="0" t="s">
        <v>1792</v>
      </c>
      <c r="I344" s="0" t="s">
        <v>5809</v>
      </c>
      <c r="J344" s="0" t="s">
        <v>5810</v>
      </c>
      <c r="K344" s="444" t="s">
        <v>5811</v>
      </c>
    </row>
    <row r="345" customFormat="false" ht="12.8" hidden="false" customHeight="false" outlineLevel="0" collapsed="false">
      <c r="A345" s="0" t="s">
        <v>5816</v>
      </c>
      <c r="B345" s="0" t="s">
        <v>5817</v>
      </c>
      <c r="C345" s="0" t="s">
        <v>229</v>
      </c>
      <c r="D345" s="0" t="s">
        <v>5057</v>
      </c>
      <c r="E345" s="0" t="s">
        <v>5058</v>
      </c>
      <c r="F345" s="0" t="s">
        <v>5058</v>
      </c>
      <c r="G345" s="0" t="s">
        <v>1155</v>
      </c>
      <c r="H345" s="0" t="s">
        <v>1792</v>
      </c>
      <c r="I345" s="0" t="s">
        <v>5809</v>
      </c>
      <c r="J345" s="0" t="s">
        <v>5810</v>
      </c>
      <c r="K345" s="444" t="s">
        <v>5811</v>
      </c>
    </row>
    <row r="346" customFormat="false" ht="12.8" hidden="false" customHeight="false" outlineLevel="0" collapsed="false">
      <c r="A346" s="0" t="s">
        <v>5818</v>
      </c>
      <c r="B346" s="0" t="s">
        <v>5819</v>
      </c>
      <c r="C346" s="0" t="s">
        <v>229</v>
      </c>
      <c r="D346" s="0" t="s">
        <v>5061</v>
      </c>
      <c r="E346" s="0" t="s">
        <v>5062</v>
      </c>
      <c r="F346" s="0" t="s">
        <v>5062</v>
      </c>
      <c r="G346" s="0" t="s">
        <v>1155</v>
      </c>
      <c r="H346" s="0" t="s">
        <v>1792</v>
      </c>
      <c r="I346" s="0" t="s">
        <v>5809</v>
      </c>
      <c r="J346" s="0" t="s">
        <v>5810</v>
      </c>
      <c r="K346" s="444" t="s">
        <v>5811</v>
      </c>
    </row>
    <row r="347" customFormat="false" ht="12.8" hidden="false" customHeight="false" outlineLevel="0" collapsed="false">
      <c r="A347" s="0" t="s">
        <v>5820</v>
      </c>
      <c r="B347" s="0" t="s">
        <v>5821</v>
      </c>
      <c r="C347" s="0" t="s">
        <v>229</v>
      </c>
      <c r="D347" s="0" t="s">
        <v>5023</v>
      </c>
      <c r="E347" s="0" t="s">
        <v>5024</v>
      </c>
      <c r="F347" s="0" t="s">
        <v>5024</v>
      </c>
      <c r="G347" s="0" t="s">
        <v>1155</v>
      </c>
      <c r="H347" s="0" t="s">
        <v>1792</v>
      </c>
      <c r="I347" s="0" t="s">
        <v>5809</v>
      </c>
      <c r="J347" s="0" t="s">
        <v>5810</v>
      </c>
      <c r="K347" s="444" t="s">
        <v>5811</v>
      </c>
    </row>
    <row r="348" customFormat="false" ht="12.8" hidden="false" customHeight="false" outlineLevel="0" collapsed="false">
      <c r="A348" s="0" t="s">
        <v>5822</v>
      </c>
      <c r="B348" s="0" t="s">
        <v>5823</v>
      </c>
      <c r="C348" s="0" t="s">
        <v>229</v>
      </c>
      <c r="D348" s="0" t="s">
        <v>5023</v>
      </c>
      <c r="E348" s="0" t="s">
        <v>5024</v>
      </c>
      <c r="F348" s="0" t="s">
        <v>5024</v>
      </c>
      <c r="G348" s="0" t="s">
        <v>1155</v>
      </c>
      <c r="H348" s="0" t="s">
        <v>1792</v>
      </c>
      <c r="I348" s="0" t="s">
        <v>5809</v>
      </c>
      <c r="J348" s="0" t="s">
        <v>5810</v>
      </c>
      <c r="K348" s="444" t="s">
        <v>5811</v>
      </c>
    </row>
    <row r="349" customFormat="false" ht="12.8" hidden="false" customHeight="false" outlineLevel="0" collapsed="false">
      <c r="A349" s="0" t="s">
        <v>5824</v>
      </c>
      <c r="B349" s="0" t="s">
        <v>5825</v>
      </c>
      <c r="C349" s="0" t="s">
        <v>229</v>
      </c>
      <c r="D349" s="0" t="s">
        <v>5023</v>
      </c>
      <c r="E349" s="0" t="s">
        <v>5024</v>
      </c>
      <c r="F349" s="0" t="s">
        <v>5024</v>
      </c>
      <c r="G349" s="0" t="s">
        <v>1155</v>
      </c>
      <c r="H349" s="0" t="s">
        <v>1792</v>
      </c>
      <c r="I349" s="0" t="s">
        <v>5809</v>
      </c>
      <c r="J349" s="0" t="s">
        <v>5810</v>
      </c>
      <c r="K349" s="444" t="s">
        <v>5811</v>
      </c>
    </row>
    <row r="350" customFormat="false" ht="12.8" hidden="false" customHeight="false" outlineLevel="0" collapsed="false">
      <c r="A350" s="0" t="s">
        <v>5826</v>
      </c>
      <c r="B350" s="0" t="s">
        <v>5827</v>
      </c>
      <c r="C350" s="0" t="s">
        <v>229</v>
      </c>
      <c r="D350" s="0" t="s">
        <v>5023</v>
      </c>
      <c r="E350" s="0" t="s">
        <v>5024</v>
      </c>
      <c r="F350" s="0" t="s">
        <v>5024</v>
      </c>
      <c r="G350" s="0" t="s">
        <v>1155</v>
      </c>
      <c r="H350" s="0" t="s">
        <v>1792</v>
      </c>
      <c r="I350" s="0" t="s">
        <v>5809</v>
      </c>
      <c r="J350" s="0" t="s">
        <v>5810</v>
      </c>
      <c r="K350" s="444" t="s">
        <v>5811</v>
      </c>
    </row>
    <row r="351" customFormat="false" ht="12.8" hidden="false" customHeight="false" outlineLevel="0" collapsed="false">
      <c r="A351" s="0" t="s">
        <v>5828</v>
      </c>
      <c r="B351" s="0" t="s">
        <v>5829</v>
      </c>
      <c r="C351" s="0" t="s">
        <v>229</v>
      </c>
      <c r="D351" s="0" t="s">
        <v>5023</v>
      </c>
      <c r="E351" s="0" t="s">
        <v>5024</v>
      </c>
      <c r="F351" s="0" t="s">
        <v>5024</v>
      </c>
      <c r="G351" s="0" t="s">
        <v>1155</v>
      </c>
      <c r="H351" s="0" t="s">
        <v>1792</v>
      </c>
      <c r="I351" s="0" t="s">
        <v>5809</v>
      </c>
      <c r="J351" s="0" t="s">
        <v>5810</v>
      </c>
      <c r="K351" s="444" t="s">
        <v>5811</v>
      </c>
    </row>
    <row r="352" customFormat="false" ht="12.8" hidden="false" customHeight="false" outlineLevel="0" collapsed="false">
      <c r="A352" s="0" t="s">
        <v>5830</v>
      </c>
      <c r="B352" s="0" t="s">
        <v>5831</v>
      </c>
      <c r="C352" s="0" t="s">
        <v>229</v>
      </c>
      <c r="D352" s="0" t="s">
        <v>5023</v>
      </c>
      <c r="E352" s="0" t="s">
        <v>5024</v>
      </c>
      <c r="F352" s="0" t="s">
        <v>5024</v>
      </c>
      <c r="G352" s="0" t="s">
        <v>1155</v>
      </c>
      <c r="H352" s="0" t="s">
        <v>1792</v>
      </c>
      <c r="I352" s="0" t="s">
        <v>5809</v>
      </c>
      <c r="J352" s="0" t="s">
        <v>5810</v>
      </c>
      <c r="K352" s="444" t="s">
        <v>5811</v>
      </c>
    </row>
    <row r="353" customFormat="false" ht="12.8" hidden="false" customHeight="false" outlineLevel="0" collapsed="false">
      <c r="A353" s="0" t="s">
        <v>5832</v>
      </c>
      <c r="B353" s="0" t="s">
        <v>5833</v>
      </c>
      <c r="C353" s="0" t="s">
        <v>229</v>
      </c>
      <c r="D353" s="0" t="s">
        <v>5023</v>
      </c>
      <c r="E353" s="0" t="s">
        <v>5024</v>
      </c>
      <c r="F353" s="0" t="s">
        <v>5024</v>
      </c>
      <c r="G353" s="0" t="s">
        <v>1155</v>
      </c>
      <c r="H353" s="0" t="s">
        <v>1792</v>
      </c>
      <c r="I353" s="0" t="s">
        <v>5809</v>
      </c>
      <c r="J353" s="0" t="s">
        <v>5810</v>
      </c>
      <c r="K353" s="444" t="s">
        <v>5811</v>
      </c>
    </row>
    <row r="354" customFormat="false" ht="12.8" hidden="false" customHeight="false" outlineLevel="0" collapsed="false">
      <c r="A354" s="0" t="s">
        <v>5834</v>
      </c>
      <c r="B354" s="0" t="s">
        <v>5835</v>
      </c>
      <c r="C354" s="0" t="s">
        <v>229</v>
      </c>
      <c r="D354" s="0" t="s">
        <v>5023</v>
      </c>
      <c r="E354" s="0" t="s">
        <v>5024</v>
      </c>
      <c r="F354" s="0" t="s">
        <v>5024</v>
      </c>
      <c r="G354" s="0" t="s">
        <v>1155</v>
      </c>
      <c r="H354" s="0" t="s">
        <v>1792</v>
      </c>
      <c r="I354" s="0" t="s">
        <v>5809</v>
      </c>
      <c r="J354" s="0" t="s">
        <v>5810</v>
      </c>
      <c r="K354" s="444" t="s">
        <v>5811</v>
      </c>
    </row>
    <row r="355" customFormat="false" ht="12.8" hidden="false" customHeight="false" outlineLevel="0" collapsed="false">
      <c r="A355" s="0" t="s">
        <v>5836</v>
      </c>
      <c r="B355" s="0" t="s">
        <v>5837</v>
      </c>
      <c r="C355" s="0" t="s">
        <v>229</v>
      </c>
      <c r="D355" s="0" t="s">
        <v>5023</v>
      </c>
      <c r="E355" s="0" t="s">
        <v>5024</v>
      </c>
      <c r="F355" s="0" t="s">
        <v>5024</v>
      </c>
      <c r="G355" s="0" t="s">
        <v>1155</v>
      </c>
      <c r="H355" s="0" t="s">
        <v>1792</v>
      </c>
      <c r="I355" s="0" t="s">
        <v>5809</v>
      </c>
      <c r="J355" s="0" t="s">
        <v>5810</v>
      </c>
      <c r="K355" s="444" t="s">
        <v>5811</v>
      </c>
    </row>
    <row r="356" customFormat="false" ht="12.8" hidden="false" customHeight="false" outlineLevel="0" collapsed="false">
      <c r="A356" s="0" t="s">
        <v>5838</v>
      </c>
      <c r="B356" s="0" t="s">
        <v>5839</v>
      </c>
      <c r="C356" s="0" t="s">
        <v>229</v>
      </c>
      <c r="D356" s="0" t="s">
        <v>5023</v>
      </c>
      <c r="E356" s="0" t="s">
        <v>5024</v>
      </c>
      <c r="F356" s="0" t="s">
        <v>5024</v>
      </c>
      <c r="G356" s="0" t="s">
        <v>1155</v>
      </c>
      <c r="H356" s="0" t="s">
        <v>1792</v>
      </c>
      <c r="I356" s="0" t="s">
        <v>5809</v>
      </c>
      <c r="J356" s="0" t="s">
        <v>5810</v>
      </c>
      <c r="K356" s="444" t="s">
        <v>5811</v>
      </c>
    </row>
    <row r="357" customFormat="false" ht="12.8" hidden="false" customHeight="false" outlineLevel="0" collapsed="false">
      <c r="A357" s="0" t="s">
        <v>5840</v>
      </c>
      <c r="B357" s="0" t="s">
        <v>5841</v>
      </c>
      <c r="C357" s="0" t="s">
        <v>229</v>
      </c>
      <c r="D357" s="0" t="s">
        <v>5023</v>
      </c>
      <c r="E357" s="0" t="s">
        <v>5024</v>
      </c>
      <c r="F357" s="0" t="s">
        <v>5024</v>
      </c>
      <c r="G357" s="0" t="s">
        <v>1155</v>
      </c>
      <c r="H357" s="0" t="s">
        <v>1792</v>
      </c>
      <c r="I357" s="0" t="s">
        <v>5809</v>
      </c>
      <c r="J357" s="0" t="s">
        <v>5810</v>
      </c>
      <c r="K357" s="444" t="s">
        <v>5811</v>
      </c>
    </row>
    <row r="358" customFormat="false" ht="12.8" hidden="false" customHeight="false" outlineLevel="0" collapsed="false">
      <c r="A358" s="0" t="s">
        <v>5842</v>
      </c>
      <c r="B358" s="0" t="s">
        <v>5843</v>
      </c>
      <c r="C358" s="0" t="s">
        <v>229</v>
      </c>
      <c r="D358" s="0" t="s">
        <v>5023</v>
      </c>
      <c r="E358" s="0" t="s">
        <v>5024</v>
      </c>
      <c r="F358" s="0" t="s">
        <v>5024</v>
      </c>
      <c r="G358" s="0" t="s">
        <v>1155</v>
      </c>
      <c r="H358" s="0" t="s">
        <v>1792</v>
      </c>
      <c r="I358" s="0" t="s">
        <v>5809</v>
      </c>
      <c r="J358" s="0" t="s">
        <v>5810</v>
      </c>
      <c r="K358" s="444" t="s">
        <v>5811</v>
      </c>
    </row>
    <row r="359" customFormat="false" ht="12.8" hidden="false" customHeight="false" outlineLevel="0" collapsed="false">
      <c r="A359" s="0" t="s">
        <v>5844</v>
      </c>
      <c r="B359" s="0" t="s">
        <v>5845</v>
      </c>
      <c r="C359" s="0" t="s">
        <v>229</v>
      </c>
      <c r="D359" s="0" t="s">
        <v>5023</v>
      </c>
      <c r="E359" s="0" t="s">
        <v>5024</v>
      </c>
      <c r="F359" s="0" t="s">
        <v>5024</v>
      </c>
      <c r="G359" s="0" t="s">
        <v>1155</v>
      </c>
      <c r="H359" s="0" t="s">
        <v>1792</v>
      </c>
      <c r="I359" s="0" t="s">
        <v>5809</v>
      </c>
      <c r="J359" s="0" t="s">
        <v>5810</v>
      </c>
      <c r="K359" s="444" t="s">
        <v>5811</v>
      </c>
    </row>
    <row r="360" customFormat="false" ht="12.8" hidden="false" customHeight="false" outlineLevel="0" collapsed="false">
      <c r="A360" s="0" t="s">
        <v>5846</v>
      </c>
      <c r="B360" s="0" t="s">
        <v>5847</v>
      </c>
      <c r="C360" s="0" t="s">
        <v>281</v>
      </c>
      <c r="D360" s="0" t="s">
        <v>5023</v>
      </c>
      <c r="E360" s="0" t="s">
        <v>5024</v>
      </c>
      <c r="F360" s="0" t="s">
        <v>5024</v>
      </c>
      <c r="G360" s="0" t="s">
        <v>1155</v>
      </c>
      <c r="H360" s="0" t="s">
        <v>1156</v>
      </c>
      <c r="I360" s="0" t="s">
        <v>5848</v>
      </c>
      <c r="J360" s="0" t="s">
        <v>5849</v>
      </c>
      <c r="K360" s="0" t="s">
        <v>5260</v>
      </c>
    </row>
    <row r="361" customFormat="false" ht="12.8" hidden="false" customHeight="false" outlineLevel="0" collapsed="false">
      <c r="A361" s="0" t="s">
        <v>5850</v>
      </c>
      <c r="B361" s="0" t="s">
        <v>5851</v>
      </c>
      <c r="C361" s="0" t="s">
        <v>281</v>
      </c>
      <c r="D361" s="0" t="s">
        <v>5061</v>
      </c>
      <c r="E361" s="0" t="s">
        <v>5062</v>
      </c>
      <c r="F361" s="0" t="s">
        <v>5062</v>
      </c>
      <c r="G361" s="0" t="s">
        <v>1155</v>
      </c>
      <c r="H361" s="0" t="s">
        <v>1156</v>
      </c>
      <c r="I361" s="0" t="s">
        <v>5848</v>
      </c>
      <c r="J361" s="0" t="s">
        <v>5849</v>
      </c>
      <c r="K361" s="0" t="s">
        <v>5260</v>
      </c>
    </row>
    <row r="362" customFormat="false" ht="12.8" hidden="false" customHeight="false" outlineLevel="0" collapsed="false">
      <c r="A362" s="0" t="s">
        <v>5852</v>
      </c>
      <c r="B362" s="0" t="s">
        <v>5853</v>
      </c>
      <c r="C362" s="0" t="s">
        <v>281</v>
      </c>
      <c r="D362" s="0" t="s">
        <v>5023</v>
      </c>
      <c r="E362" s="0" t="s">
        <v>5024</v>
      </c>
      <c r="F362" s="0" t="s">
        <v>5024</v>
      </c>
      <c r="G362" s="0" t="s">
        <v>1155</v>
      </c>
      <c r="H362" s="0" t="s">
        <v>1156</v>
      </c>
      <c r="I362" s="0" t="s">
        <v>5848</v>
      </c>
      <c r="J362" s="0" t="s">
        <v>5849</v>
      </c>
      <c r="K362" s="0" t="s">
        <v>5260</v>
      </c>
    </row>
    <row r="363" customFormat="false" ht="12.8" hidden="false" customHeight="false" outlineLevel="0" collapsed="false">
      <c r="A363" s="0" t="s">
        <v>5854</v>
      </c>
      <c r="B363" s="0" t="s">
        <v>5855</v>
      </c>
      <c r="C363" s="0" t="s">
        <v>281</v>
      </c>
      <c r="D363" s="0" t="s">
        <v>5023</v>
      </c>
      <c r="E363" s="0" t="s">
        <v>5024</v>
      </c>
      <c r="F363" s="0" t="s">
        <v>5024</v>
      </c>
      <c r="G363" s="0" t="s">
        <v>1155</v>
      </c>
      <c r="H363" s="0" t="s">
        <v>1156</v>
      </c>
      <c r="I363" s="0" t="s">
        <v>5848</v>
      </c>
      <c r="J363" s="0" t="s">
        <v>5849</v>
      </c>
      <c r="K363" s="0" t="s">
        <v>5260</v>
      </c>
    </row>
    <row r="364" customFormat="false" ht="12.8" hidden="false" customHeight="false" outlineLevel="0" collapsed="false">
      <c r="A364" s="0" t="s">
        <v>5856</v>
      </c>
      <c r="B364" s="0" t="s">
        <v>5857</v>
      </c>
      <c r="C364" s="0" t="s">
        <v>281</v>
      </c>
      <c r="D364" s="0" t="s">
        <v>5023</v>
      </c>
      <c r="E364" s="0" t="s">
        <v>5024</v>
      </c>
      <c r="F364" s="0" t="s">
        <v>5024</v>
      </c>
      <c r="G364" s="0" t="s">
        <v>1155</v>
      </c>
      <c r="H364" s="0" t="s">
        <v>1156</v>
      </c>
      <c r="I364" s="0" t="s">
        <v>5848</v>
      </c>
      <c r="J364" s="0" t="s">
        <v>5849</v>
      </c>
      <c r="K364" s="0" t="s">
        <v>5260</v>
      </c>
    </row>
    <row r="365" customFormat="false" ht="12.8" hidden="false" customHeight="false" outlineLevel="0" collapsed="false">
      <c r="A365" s="0" t="s">
        <v>5858</v>
      </c>
      <c r="B365" s="0" t="s">
        <v>5859</v>
      </c>
      <c r="C365" s="0" t="s">
        <v>414</v>
      </c>
      <c r="D365" s="0" t="s">
        <v>5023</v>
      </c>
      <c r="E365" s="0" t="s">
        <v>5024</v>
      </c>
      <c r="F365" s="0" t="s">
        <v>5024</v>
      </c>
      <c r="G365" s="0" t="s">
        <v>1155</v>
      </c>
      <c r="H365" s="0" t="s">
        <v>1697</v>
      </c>
      <c r="I365" s="0" t="s">
        <v>5860</v>
      </c>
      <c r="J365" s="0" t="s">
        <v>5861</v>
      </c>
      <c r="K365" s="444" t="s">
        <v>5862</v>
      </c>
    </row>
    <row r="366" customFormat="false" ht="12.8" hidden="false" customHeight="false" outlineLevel="0" collapsed="false">
      <c r="A366" s="0" t="s">
        <v>5863</v>
      </c>
      <c r="B366" s="0" t="s">
        <v>5864</v>
      </c>
      <c r="C366" s="0" t="s">
        <v>414</v>
      </c>
      <c r="D366" s="0" t="s">
        <v>5023</v>
      </c>
      <c r="E366" s="0" t="s">
        <v>5024</v>
      </c>
      <c r="F366" s="0" t="s">
        <v>5024</v>
      </c>
      <c r="G366" s="0" t="s">
        <v>1155</v>
      </c>
      <c r="H366" s="0" t="s">
        <v>1697</v>
      </c>
      <c r="I366" s="0" t="s">
        <v>5860</v>
      </c>
      <c r="J366" s="0" t="s">
        <v>5861</v>
      </c>
      <c r="K366" s="444" t="s">
        <v>5862</v>
      </c>
    </row>
    <row r="367" customFormat="false" ht="12.8" hidden="false" customHeight="false" outlineLevel="0" collapsed="false">
      <c r="A367" s="0" t="s">
        <v>5865</v>
      </c>
      <c r="B367" s="0" t="s">
        <v>5866</v>
      </c>
      <c r="C367" s="0" t="s">
        <v>414</v>
      </c>
      <c r="D367" s="0" t="s">
        <v>5023</v>
      </c>
      <c r="E367" s="0" t="s">
        <v>5024</v>
      </c>
      <c r="F367" s="0" t="s">
        <v>5024</v>
      </c>
      <c r="G367" s="0" t="s">
        <v>1155</v>
      </c>
      <c r="H367" s="0" t="s">
        <v>1697</v>
      </c>
      <c r="I367" s="0" t="s">
        <v>5860</v>
      </c>
      <c r="J367" s="0" t="s">
        <v>5861</v>
      </c>
      <c r="K367" s="444" t="s">
        <v>5862</v>
      </c>
    </row>
    <row r="368" customFormat="false" ht="12.8" hidden="false" customHeight="false" outlineLevel="0" collapsed="false">
      <c r="A368" s="0" t="s">
        <v>5867</v>
      </c>
      <c r="B368" s="0" t="s">
        <v>5868</v>
      </c>
      <c r="C368" s="0" t="s">
        <v>414</v>
      </c>
      <c r="D368" s="0" t="s">
        <v>5023</v>
      </c>
      <c r="E368" s="0" t="s">
        <v>5024</v>
      </c>
      <c r="F368" s="0" t="s">
        <v>5024</v>
      </c>
      <c r="G368" s="0" t="s">
        <v>1155</v>
      </c>
      <c r="H368" s="0" t="s">
        <v>1697</v>
      </c>
      <c r="I368" s="0" t="s">
        <v>5860</v>
      </c>
      <c r="J368" s="0" t="s">
        <v>5861</v>
      </c>
      <c r="K368" s="444" t="s">
        <v>5862</v>
      </c>
    </row>
    <row r="369" customFormat="false" ht="12.8" hidden="false" customHeight="false" outlineLevel="0" collapsed="false">
      <c r="A369" s="0" t="s">
        <v>5869</v>
      </c>
      <c r="B369" s="0" t="s">
        <v>5870</v>
      </c>
      <c r="C369" s="0" t="s">
        <v>414</v>
      </c>
      <c r="D369" s="0" t="s">
        <v>5023</v>
      </c>
      <c r="E369" s="0" t="s">
        <v>5024</v>
      </c>
      <c r="F369" s="0" t="s">
        <v>5024</v>
      </c>
      <c r="G369" s="0" t="s">
        <v>1155</v>
      </c>
      <c r="H369" s="0" t="s">
        <v>1697</v>
      </c>
      <c r="I369" s="0" t="s">
        <v>5860</v>
      </c>
      <c r="J369" s="0" t="s">
        <v>5861</v>
      </c>
      <c r="K369" s="444" t="s">
        <v>5862</v>
      </c>
    </row>
    <row r="370" customFormat="false" ht="12.8" hidden="false" customHeight="false" outlineLevel="0" collapsed="false">
      <c r="A370" s="0" t="s">
        <v>5871</v>
      </c>
      <c r="B370" s="0" t="s">
        <v>5872</v>
      </c>
      <c r="C370" s="0" t="s">
        <v>414</v>
      </c>
      <c r="D370" s="0" t="s">
        <v>5023</v>
      </c>
      <c r="E370" s="0" t="s">
        <v>5024</v>
      </c>
      <c r="F370" s="0" t="s">
        <v>5024</v>
      </c>
      <c r="G370" s="0" t="s">
        <v>1155</v>
      </c>
      <c r="H370" s="0" t="s">
        <v>1697</v>
      </c>
      <c r="I370" s="0" t="s">
        <v>5860</v>
      </c>
      <c r="J370" s="0" t="s">
        <v>5861</v>
      </c>
      <c r="K370" s="444" t="s">
        <v>5862</v>
      </c>
    </row>
    <row r="371" customFormat="false" ht="12.8" hidden="false" customHeight="false" outlineLevel="0" collapsed="false">
      <c r="A371" s="0" t="s">
        <v>5873</v>
      </c>
      <c r="B371" s="0" t="s">
        <v>5874</v>
      </c>
      <c r="C371" s="0" t="s">
        <v>414</v>
      </c>
      <c r="D371" s="0" t="s">
        <v>5023</v>
      </c>
      <c r="E371" s="0" t="s">
        <v>5024</v>
      </c>
      <c r="F371" s="0" t="s">
        <v>5024</v>
      </c>
      <c r="G371" s="0" t="s">
        <v>1155</v>
      </c>
      <c r="H371" s="0" t="s">
        <v>1697</v>
      </c>
      <c r="I371" s="0" t="s">
        <v>5860</v>
      </c>
      <c r="J371" s="0" t="s">
        <v>5861</v>
      </c>
      <c r="K371" s="444" t="s">
        <v>5862</v>
      </c>
    </row>
    <row r="372" customFormat="false" ht="12.8" hidden="false" customHeight="false" outlineLevel="0" collapsed="false">
      <c r="A372" s="0" t="s">
        <v>5875</v>
      </c>
      <c r="B372" s="0" t="s">
        <v>5876</v>
      </c>
      <c r="C372" s="0" t="s">
        <v>414</v>
      </c>
      <c r="D372" s="0" t="s">
        <v>5023</v>
      </c>
      <c r="E372" s="0" t="s">
        <v>5024</v>
      </c>
      <c r="F372" s="0" t="s">
        <v>5024</v>
      </c>
      <c r="G372" s="0" t="s">
        <v>1155</v>
      </c>
      <c r="H372" s="0" t="s">
        <v>1697</v>
      </c>
      <c r="I372" s="0" t="s">
        <v>5860</v>
      </c>
      <c r="J372" s="0" t="s">
        <v>5861</v>
      </c>
      <c r="K372" s="444" t="s">
        <v>5862</v>
      </c>
    </row>
    <row r="373" customFormat="false" ht="12.8" hidden="false" customHeight="false" outlineLevel="0" collapsed="false">
      <c r="A373" s="0" t="s">
        <v>5877</v>
      </c>
      <c r="B373" s="0" t="s">
        <v>5878</v>
      </c>
      <c r="C373" s="0" t="s">
        <v>414</v>
      </c>
      <c r="D373" s="0" t="s">
        <v>5023</v>
      </c>
      <c r="E373" s="0" t="s">
        <v>5024</v>
      </c>
      <c r="F373" s="0" t="s">
        <v>5024</v>
      </c>
      <c r="G373" s="0" t="s">
        <v>1155</v>
      </c>
      <c r="H373" s="0" t="s">
        <v>1697</v>
      </c>
      <c r="I373" s="0" t="s">
        <v>5860</v>
      </c>
      <c r="J373" s="0" t="s">
        <v>5861</v>
      </c>
      <c r="K373" s="444" t="s">
        <v>5862</v>
      </c>
    </row>
    <row r="374" customFormat="false" ht="12.8" hidden="false" customHeight="false" outlineLevel="0" collapsed="false">
      <c r="A374" s="0" t="s">
        <v>5879</v>
      </c>
      <c r="B374" s="0" t="s">
        <v>5880</v>
      </c>
      <c r="C374" s="0" t="s">
        <v>414</v>
      </c>
      <c r="D374" s="0" t="s">
        <v>5174</v>
      </c>
      <c r="E374" s="0" t="s">
        <v>5062</v>
      </c>
      <c r="F374" s="0" t="s">
        <v>5175</v>
      </c>
      <c r="G374" s="0" t="s">
        <v>1155</v>
      </c>
      <c r="H374" s="0" t="s">
        <v>1697</v>
      </c>
      <c r="I374" s="0" t="s">
        <v>5860</v>
      </c>
      <c r="J374" s="0" t="s">
        <v>5861</v>
      </c>
      <c r="K374" s="444" t="s">
        <v>5862</v>
      </c>
    </row>
    <row r="375" customFormat="false" ht="12.8" hidden="false" customHeight="false" outlineLevel="0" collapsed="false">
      <c r="A375" s="0" t="s">
        <v>5881</v>
      </c>
      <c r="B375" s="0" t="s">
        <v>5882</v>
      </c>
      <c r="C375" s="0" t="s">
        <v>414</v>
      </c>
      <c r="D375" s="0" t="s">
        <v>5061</v>
      </c>
      <c r="E375" s="0" t="s">
        <v>5062</v>
      </c>
      <c r="F375" s="0" t="s">
        <v>5062</v>
      </c>
      <c r="G375" s="0" t="s">
        <v>1155</v>
      </c>
      <c r="H375" s="0" t="s">
        <v>1697</v>
      </c>
      <c r="I375" s="0" t="s">
        <v>5860</v>
      </c>
      <c r="J375" s="0" t="s">
        <v>5861</v>
      </c>
      <c r="K375" s="444" t="s">
        <v>5862</v>
      </c>
    </row>
    <row r="376" customFormat="false" ht="12.8" hidden="false" customHeight="false" outlineLevel="0" collapsed="false">
      <c r="A376" s="0" t="s">
        <v>5883</v>
      </c>
      <c r="B376" s="0" t="s">
        <v>5884</v>
      </c>
      <c r="C376" s="0" t="s">
        <v>414</v>
      </c>
      <c r="D376" s="0" t="s">
        <v>5057</v>
      </c>
      <c r="E376" s="0" t="s">
        <v>5058</v>
      </c>
      <c r="F376" s="0" t="s">
        <v>5058</v>
      </c>
      <c r="G376" s="0" t="s">
        <v>1155</v>
      </c>
      <c r="H376" s="0" t="s">
        <v>1697</v>
      </c>
      <c r="I376" s="0" t="s">
        <v>5860</v>
      </c>
      <c r="J376" s="0" t="s">
        <v>5861</v>
      </c>
      <c r="K376" s="444" t="s">
        <v>5862</v>
      </c>
    </row>
    <row r="377" customFormat="false" ht="12.8" hidden="false" customHeight="false" outlineLevel="0" collapsed="false">
      <c r="A377" s="0" t="s">
        <v>5885</v>
      </c>
      <c r="B377" s="0" t="s">
        <v>5886</v>
      </c>
      <c r="C377" s="0" t="s">
        <v>414</v>
      </c>
      <c r="D377" s="0" t="s">
        <v>5023</v>
      </c>
      <c r="E377" s="0" t="s">
        <v>5024</v>
      </c>
      <c r="F377" s="0" t="s">
        <v>5024</v>
      </c>
      <c r="G377" s="0" t="s">
        <v>1155</v>
      </c>
      <c r="H377" s="0" t="s">
        <v>1697</v>
      </c>
      <c r="I377" s="0" t="s">
        <v>5860</v>
      </c>
      <c r="J377" s="0" t="s">
        <v>5861</v>
      </c>
      <c r="K377" s="444" t="s">
        <v>5862</v>
      </c>
    </row>
    <row r="378" customFormat="false" ht="12.8" hidden="false" customHeight="false" outlineLevel="0" collapsed="false">
      <c r="A378" s="0" t="s">
        <v>5887</v>
      </c>
      <c r="B378" s="0" t="s">
        <v>5888</v>
      </c>
      <c r="C378" s="0" t="s">
        <v>414</v>
      </c>
      <c r="D378" s="0" t="s">
        <v>5023</v>
      </c>
      <c r="E378" s="0" t="s">
        <v>5024</v>
      </c>
      <c r="F378" s="0" t="s">
        <v>5024</v>
      </c>
      <c r="G378" s="0" t="s">
        <v>1155</v>
      </c>
      <c r="H378" s="0" t="s">
        <v>1697</v>
      </c>
      <c r="I378" s="0" t="s">
        <v>5860</v>
      </c>
      <c r="J378" s="0" t="s">
        <v>5861</v>
      </c>
      <c r="K378" s="444" t="s">
        <v>5862</v>
      </c>
    </row>
    <row r="379" customFormat="false" ht="12.8" hidden="false" customHeight="false" outlineLevel="0" collapsed="false">
      <c r="A379" s="0" t="s">
        <v>5889</v>
      </c>
      <c r="B379" s="0" t="s">
        <v>5890</v>
      </c>
      <c r="C379" s="0" t="s">
        <v>414</v>
      </c>
      <c r="D379" s="0" t="s">
        <v>5023</v>
      </c>
      <c r="E379" s="0" t="s">
        <v>5024</v>
      </c>
      <c r="F379" s="0" t="s">
        <v>5024</v>
      </c>
      <c r="G379" s="0" t="s">
        <v>1155</v>
      </c>
      <c r="H379" s="0" t="s">
        <v>1697</v>
      </c>
      <c r="I379" s="0" t="s">
        <v>5860</v>
      </c>
      <c r="J379" s="0" t="s">
        <v>5861</v>
      </c>
      <c r="K379" s="444" t="s">
        <v>5862</v>
      </c>
    </row>
    <row r="380" customFormat="false" ht="12.8" hidden="false" customHeight="false" outlineLevel="0" collapsed="false">
      <c r="A380" s="0" t="s">
        <v>5891</v>
      </c>
      <c r="B380" s="0" t="s">
        <v>5892</v>
      </c>
      <c r="C380" s="0" t="s">
        <v>414</v>
      </c>
      <c r="D380" s="0" t="s">
        <v>5023</v>
      </c>
      <c r="E380" s="0" t="s">
        <v>5024</v>
      </c>
      <c r="F380" s="0" t="s">
        <v>5024</v>
      </c>
      <c r="G380" s="0" t="s">
        <v>1155</v>
      </c>
      <c r="H380" s="0" t="s">
        <v>1697</v>
      </c>
      <c r="I380" s="0" t="s">
        <v>5860</v>
      </c>
      <c r="J380" s="0" t="s">
        <v>5861</v>
      </c>
      <c r="K380" s="444" t="s">
        <v>5862</v>
      </c>
    </row>
    <row r="381" customFormat="false" ht="12.8" hidden="false" customHeight="false" outlineLevel="0" collapsed="false">
      <c r="A381" s="0" t="s">
        <v>5893</v>
      </c>
      <c r="B381" s="0" t="s">
        <v>5894</v>
      </c>
      <c r="C381" s="0" t="s">
        <v>21</v>
      </c>
      <c r="D381" s="0" t="s">
        <v>5023</v>
      </c>
      <c r="E381" s="0" t="s">
        <v>5024</v>
      </c>
      <c r="F381" s="0" t="s">
        <v>5024</v>
      </c>
      <c r="G381" s="0" t="s">
        <v>1155</v>
      </c>
      <c r="H381" s="0" t="s">
        <v>1285</v>
      </c>
      <c r="I381" s="0" t="s">
        <v>5895</v>
      </c>
      <c r="J381" s="0" t="s">
        <v>5896</v>
      </c>
      <c r="K381" s="0" t="s">
        <v>5897</v>
      </c>
    </row>
    <row r="382" customFormat="false" ht="12.8" hidden="false" customHeight="false" outlineLevel="0" collapsed="false">
      <c r="A382" s="0" t="s">
        <v>5898</v>
      </c>
      <c r="B382" s="0" t="s">
        <v>5899</v>
      </c>
      <c r="C382" s="0" t="s">
        <v>21</v>
      </c>
      <c r="D382" s="0" t="s">
        <v>5023</v>
      </c>
      <c r="E382" s="0" t="s">
        <v>5024</v>
      </c>
      <c r="F382" s="0" t="s">
        <v>5024</v>
      </c>
      <c r="G382" s="0" t="s">
        <v>1155</v>
      </c>
      <c r="H382" s="0" t="s">
        <v>1285</v>
      </c>
      <c r="I382" s="0" t="s">
        <v>5895</v>
      </c>
      <c r="J382" s="0" t="s">
        <v>5896</v>
      </c>
      <c r="K382" s="0" t="s">
        <v>5897</v>
      </c>
    </row>
    <row r="383" customFormat="false" ht="12.8" hidden="false" customHeight="false" outlineLevel="0" collapsed="false">
      <c r="A383" s="0" t="s">
        <v>5900</v>
      </c>
      <c r="B383" s="0" t="s">
        <v>5901</v>
      </c>
      <c r="C383" s="0" t="s">
        <v>21</v>
      </c>
      <c r="D383" s="0" t="s">
        <v>5061</v>
      </c>
      <c r="E383" s="0" t="s">
        <v>5062</v>
      </c>
      <c r="F383" s="0" t="s">
        <v>5062</v>
      </c>
      <c r="G383" s="0" t="s">
        <v>1155</v>
      </c>
      <c r="H383" s="0" t="s">
        <v>1285</v>
      </c>
      <c r="I383" s="0" t="s">
        <v>5895</v>
      </c>
      <c r="J383" s="0" t="s">
        <v>5896</v>
      </c>
      <c r="K383" s="0" t="s">
        <v>5897</v>
      </c>
    </row>
    <row r="384" customFormat="false" ht="12.8" hidden="false" customHeight="false" outlineLevel="0" collapsed="false">
      <c r="A384" s="0" t="s">
        <v>5902</v>
      </c>
      <c r="B384" s="0" t="s">
        <v>5903</v>
      </c>
      <c r="C384" s="0" t="s">
        <v>99</v>
      </c>
      <c r="D384" s="0" t="s">
        <v>5023</v>
      </c>
      <c r="E384" s="0" t="s">
        <v>5024</v>
      </c>
      <c r="F384" s="0" t="s">
        <v>5024</v>
      </c>
      <c r="G384" s="0" t="s">
        <v>1155</v>
      </c>
      <c r="H384" s="0" t="s">
        <v>1285</v>
      </c>
      <c r="I384" s="0" t="s">
        <v>5904</v>
      </c>
      <c r="J384" s="0" t="s">
        <v>5905</v>
      </c>
      <c r="K384" s="0" t="s">
        <v>5906</v>
      </c>
    </row>
    <row r="385" customFormat="false" ht="12.8" hidden="false" customHeight="false" outlineLevel="0" collapsed="false">
      <c r="A385" s="0" t="s">
        <v>5907</v>
      </c>
      <c r="B385" s="0" t="s">
        <v>5908</v>
      </c>
      <c r="C385" s="0" t="s">
        <v>99</v>
      </c>
      <c r="D385" s="0" t="s">
        <v>5023</v>
      </c>
      <c r="E385" s="0" t="s">
        <v>5024</v>
      </c>
      <c r="F385" s="0" t="s">
        <v>5024</v>
      </c>
      <c r="G385" s="0" t="s">
        <v>1155</v>
      </c>
      <c r="H385" s="0" t="s">
        <v>1285</v>
      </c>
      <c r="I385" s="0" t="s">
        <v>5904</v>
      </c>
      <c r="J385" s="0" t="s">
        <v>5905</v>
      </c>
      <c r="K385" s="0" t="s">
        <v>5906</v>
      </c>
    </row>
    <row r="386" customFormat="false" ht="12.8" hidden="false" customHeight="false" outlineLevel="0" collapsed="false">
      <c r="A386" s="0" t="s">
        <v>5909</v>
      </c>
      <c r="B386" s="0" t="s">
        <v>5910</v>
      </c>
      <c r="C386" s="0" t="s">
        <v>99</v>
      </c>
      <c r="D386" s="0" t="s">
        <v>5023</v>
      </c>
      <c r="E386" s="0" t="s">
        <v>5024</v>
      </c>
      <c r="F386" s="0" t="s">
        <v>5024</v>
      </c>
      <c r="G386" s="0" t="s">
        <v>1155</v>
      </c>
      <c r="H386" s="0" t="s">
        <v>1285</v>
      </c>
      <c r="I386" s="0" t="s">
        <v>5904</v>
      </c>
      <c r="J386" s="0" t="s">
        <v>5905</v>
      </c>
      <c r="K386" s="0" t="s">
        <v>5906</v>
      </c>
    </row>
    <row r="387" customFormat="false" ht="12.8" hidden="false" customHeight="false" outlineLevel="0" collapsed="false">
      <c r="A387" s="0" t="s">
        <v>5911</v>
      </c>
      <c r="B387" s="0" t="s">
        <v>5912</v>
      </c>
      <c r="C387" s="0" t="s">
        <v>99</v>
      </c>
      <c r="D387" s="0" t="s">
        <v>5061</v>
      </c>
      <c r="E387" s="0" t="s">
        <v>5062</v>
      </c>
      <c r="F387" s="0" t="s">
        <v>5062</v>
      </c>
      <c r="G387" s="0" t="s">
        <v>1155</v>
      </c>
      <c r="H387" s="0" t="s">
        <v>1285</v>
      </c>
      <c r="I387" s="0" t="s">
        <v>5904</v>
      </c>
      <c r="J387" s="0" t="s">
        <v>5905</v>
      </c>
      <c r="K387" s="0" t="s">
        <v>5906</v>
      </c>
    </row>
    <row r="388" customFormat="false" ht="12.8" hidden="false" customHeight="false" outlineLevel="0" collapsed="false">
      <c r="A388" s="0" t="s">
        <v>5913</v>
      </c>
      <c r="B388" s="0" t="s">
        <v>5914</v>
      </c>
      <c r="C388" s="0" t="s">
        <v>214</v>
      </c>
      <c r="D388" s="0" t="s">
        <v>5023</v>
      </c>
      <c r="E388" s="0" t="s">
        <v>5024</v>
      </c>
      <c r="F388" s="0" t="s">
        <v>5024</v>
      </c>
      <c r="G388" s="0" t="s">
        <v>1155</v>
      </c>
      <c r="H388" s="0" t="s">
        <v>1382</v>
      </c>
      <c r="I388" s="0" t="s">
        <v>5915</v>
      </c>
      <c r="J388" s="0" t="s">
        <v>5916</v>
      </c>
      <c r="K388" s="0" t="s">
        <v>5291</v>
      </c>
    </row>
    <row r="389" customFormat="false" ht="12.8" hidden="false" customHeight="false" outlineLevel="0" collapsed="false">
      <c r="A389" s="0" t="s">
        <v>5917</v>
      </c>
      <c r="B389" s="0" t="s">
        <v>5918</v>
      </c>
      <c r="C389" s="0" t="s">
        <v>214</v>
      </c>
      <c r="D389" s="0" t="s">
        <v>5023</v>
      </c>
      <c r="E389" s="0" t="s">
        <v>5024</v>
      </c>
      <c r="F389" s="0" t="s">
        <v>5024</v>
      </c>
      <c r="G389" s="0" t="s">
        <v>1155</v>
      </c>
      <c r="H389" s="0" t="s">
        <v>1382</v>
      </c>
      <c r="I389" s="0" t="s">
        <v>5915</v>
      </c>
      <c r="J389" s="0" t="s">
        <v>5916</v>
      </c>
      <c r="K389" s="0" t="s">
        <v>5291</v>
      </c>
    </row>
    <row r="390" customFormat="false" ht="12.8" hidden="false" customHeight="false" outlineLevel="0" collapsed="false">
      <c r="A390" s="0" t="s">
        <v>5919</v>
      </c>
      <c r="B390" s="0" t="s">
        <v>5920</v>
      </c>
      <c r="C390" s="0" t="s">
        <v>214</v>
      </c>
      <c r="D390" s="0" t="s">
        <v>5023</v>
      </c>
      <c r="E390" s="0" t="s">
        <v>5024</v>
      </c>
      <c r="F390" s="0" t="s">
        <v>5024</v>
      </c>
      <c r="G390" s="0" t="s">
        <v>1155</v>
      </c>
      <c r="H390" s="0" t="s">
        <v>1382</v>
      </c>
      <c r="I390" s="0" t="s">
        <v>5915</v>
      </c>
      <c r="J390" s="0" t="s">
        <v>5916</v>
      </c>
      <c r="K390" s="0" t="s">
        <v>5291</v>
      </c>
    </row>
    <row r="391" customFormat="false" ht="12.8" hidden="false" customHeight="false" outlineLevel="0" collapsed="false">
      <c r="A391" s="0" t="s">
        <v>5921</v>
      </c>
      <c r="B391" s="0" t="s">
        <v>5922</v>
      </c>
      <c r="C391" s="0" t="s">
        <v>214</v>
      </c>
      <c r="D391" s="0" t="s">
        <v>5061</v>
      </c>
      <c r="E391" s="0" t="s">
        <v>5062</v>
      </c>
      <c r="F391" s="0" t="s">
        <v>5062</v>
      </c>
      <c r="G391" s="0" t="s">
        <v>1155</v>
      </c>
      <c r="H391" s="0" t="s">
        <v>1382</v>
      </c>
      <c r="I391" s="0" t="s">
        <v>5915</v>
      </c>
      <c r="J391" s="0" t="s">
        <v>5916</v>
      </c>
      <c r="K391" s="0" t="s">
        <v>5291</v>
      </c>
    </row>
    <row r="392" customFormat="false" ht="12.8" hidden="false" customHeight="false" outlineLevel="0" collapsed="false">
      <c r="A392" s="0" t="s">
        <v>5923</v>
      </c>
      <c r="B392" s="0" t="s">
        <v>5924</v>
      </c>
      <c r="C392" s="0" t="s">
        <v>214</v>
      </c>
      <c r="D392" s="0" t="s">
        <v>5023</v>
      </c>
      <c r="E392" s="0" t="s">
        <v>5024</v>
      </c>
      <c r="F392" s="0" t="s">
        <v>5024</v>
      </c>
      <c r="G392" s="0" t="s">
        <v>1155</v>
      </c>
      <c r="H392" s="0" t="s">
        <v>1382</v>
      </c>
      <c r="I392" s="0" t="s">
        <v>5915</v>
      </c>
      <c r="J392" s="0" t="s">
        <v>5916</v>
      </c>
      <c r="K392" s="0" t="s">
        <v>5291</v>
      </c>
    </row>
    <row r="393" customFormat="false" ht="12.8" hidden="false" customHeight="false" outlineLevel="0" collapsed="false">
      <c r="A393" s="0" t="s">
        <v>5925</v>
      </c>
      <c r="B393" s="0" t="s">
        <v>5926</v>
      </c>
      <c r="C393" s="0" t="s">
        <v>215</v>
      </c>
      <c r="D393" s="0" t="s">
        <v>5023</v>
      </c>
      <c r="E393" s="0" t="s">
        <v>5024</v>
      </c>
      <c r="F393" s="0" t="s">
        <v>5024</v>
      </c>
      <c r="G393" s="0" t="s">
        <v>1155</v>
      </c>
      <c r="H393" s="0" t="s">
        <v>1382</v>
      </c>
      <c r="I393" s="0" t="s">
        <v>5927</v>
      </c>
      <c r="J393" s="0" t="s">
        <v>5928</v>
      </c>
      <c r="K393" s="0" t="s">
        <v>5260</v>
      </c>
    </row>
    <row r="394" customFormat="false" ht="12.8" hidden="false" customHeight="false" outlineLevel="0" collapsed="false">
      <c r="A394" s="0" t="s">
        <v>5929</v>
      </c>
      <c r="B394" s="0" t="s">
        <v>5930</v>
      </c>
      <c r="C394" s="0" t="s">
        <v>215</v>
      </c>
      <c r="D394" s="0" t="s">
        <v>5023</v>
      </c>
      <c r="E394" s="0" t="s">
        <v>5024</v>
      </c>
      <c r="F394" s="0" t="s">
        <v>5024</v>
      </c>
      <c r="G394" s="0" t="s">
        <v>1155</v>
      </c>
      <c r="H394" s="0" t="s">
        <v>1382</v>
      </c>
      <c r="I394" s="0" t="s">
        <v>5927</v>
      </c>
      <c r="J394" s="0" t="s">
        <v>5928</v>
      </c>
      <c r="K394" s="0" t="s">
        <v>5260</v>
      </c>
    </row>
    <row r="395" customFormat="false" ht="12.8" hidden="false" customHeight="false" outlineLevel="0" collapsed="false">
      <c r="A395" s="0" t="s">
        <v>5931</v>
      </c>
      <c r="B395" s="0" t="s">
        <v>5932</v>
      </c>
      <c r="C395" s="0" t="s">
        <v>215</v>
      </c>
      <c r="D395" s="0" t="s">
        <v>5023</v>
      </c>
      <c r="E395" s="0" t="s">
        <v>5024</v>
      </c>
      <c r="F395" s="0" t="s">
        <v>5024</v>
      </c>
      <c r="G395" s="0" t="s">
        <v>1155</v>
      </c>
      <c r="H395" s="0" t="s">
        <v>1382</v>
      </c>
      <c r="I395" s="0" t="s">
        <v>5927</v>
      </c>
      <c r="J395" s="0" t="s">
        <v>5928</v>
      </c>
      <c r="K395" s="0" t="s">
        <v>5260</v>
      </c>
    </row>
    <row r="396" customFormat="false" ht="12.8" hidden="false" customHeight="false" outlineLevel="0" collapsed="false">
      <c r="A396" s="0" t="s">
        <v>5933</v>
      </c>
      <c r="B396" s="0" t="s">
        <v>5934</v>
      </c>
      <c r="C396" s="0" t="s">
        <v>215</v>
      </c>
      <c r="D396" s="0" t="s">
        <v>5061</v>
      </c>
      <c r="E396" s="0" t="s">
        <v>5062</v>
      </c>
      <c r="F396" s="0" t="s">
        <v>5062</v>
      </c>
      <c r="G396" s="0" t="s">
        <v>1155</v>
      </c>
      <c r="H396" s="0" t="s">
        <v>1382</v>
      </c>
      <c r="I396" s="0" t="s">
        <v>5927</v>
      </c>
      <c r="J396" s="0" t="s">
        <v>5928</v>
      </c>
      <c r="K396" s="0" t="s">
        <v>5260</v>
      </c>
    </row>
    <row r="397" customFormat="false" ht="12.8" hidden="false" customHeight="false" outlineLevel="0" collapsed="false">
      <c r="A397" s="0" t="s">
        <v>5935</v>
      </c>
      <c r="B397" s="0" t="s">
        <v>5936</v>
      </c>
      <c r="C397" s="0" t="s">
        <v>278</v>
      </c>
      <c r="D397" s="0" t="s">
        <v>5023</v>
      </c>
      <c r="E397" s="0" t="s">
        <v>5024</v>
      </c>
      <c r="F397" s="0" t="s">
        <v>5024</v>
      </c>
      <c r="G397" s="0" t="s">
        <v>1155</v>
      </c>
      <c r="H397" s="0" t="s">
        <v>1382</v>
      </c>
      <c r="I397" s="0" t="s">
        <v>5937</v>
      </c>
      <c r="J397" s="0" t="s">
        <v>5938</v>
      </c>
      <c r="K397" s="0" t="s">
        <v>5260</v>
      </c>
    </row>
    <row r="398" customFormat="false" ht="12.8" hidden="false" customHeight="false" outlineLevel="0" collapsed="false">
      <c r="A398" s="0" t="s">
        <v>5939</v>
      </c>
      <c r="B398" s="0" t="s">
        <v>5940</v>
      </c>
      <c r="C398" s="0" t="s">
        <v>278</v>
      </c>
      <c r="D398" s="0" t="s">
        <v>5023</v>
      </c>
      <c r="E398" s="0" t="s">
        <v>5024</v>
      </c>
      <c r="F398" s="0" t="s">
        <v>5024</v>
      </c>
      <c r="G398" s="0" t="s">
        <v>1155</v>
      </c>
      <c r="H398" s="0" t="s">
        <v>1382</v>
      </c>
      <c r="I398" s="0" t="s">
        <v>5937</v>
      </c>
      <c r="J398" s="0" t="s">
        <v>5938</v>
      </c>
      <c r="K398" s="0" t="s">
        <v>5260</v>
      </c>
    </row>
    <row r="399" customFormat="false" ht="12.8" hidden="false" customHeight="false" outlineLevel="0" collapsed="false">
      <c r="A399" s="0" t="s">
        <v>5941</v>
      </c>
      <c r="B399" s="0" t="s">
        <v>5942</v>
      </c>
      <c r="C399" s="0" t="s">
        <v>278</v>
      </c>
      <c r="D399" s="0" t="s">
        <v>5023</v>
      </c>
      <c r="E399" s="0" t="s">
        <v>5024</v>
      </c>
      <c r="F399" s="0" t="s">
        <v>5024</v>
      </c>
      <c r="G399" s="0" t="s">
        <v>1155</v>
      </c>
      <c r="H399" s="0" t="s">
        <v>1382</v>
      </c>
      <c r="I399" s="0" t="s">
        <v>5937</v>
      </c>
      <c r="J399" s="0" t="s">
        <v>5938</v>
      </c>
      <c r="K399" s="0" t="s">
        <v>5260</v>
      </c>
    </row>
    <row r="400" customFormat="false" ht="12.8" hidden="false" customHeight="false" outlineLevel="0" collapsed="false">
      <c r="A400" s="0" t="s">
        <v>5943</v>
      </c>
      <c r="B400" s="0" t="s">
        <v>5944</v>
      </c>
      <c r="C400" s="0" t="s">
        <v>278</v>
      </c>
      <c r="D400" s="0" t="s">
        <v>5061</v>
      </c>
      <c r="E400" s="0" t="s">
        <v>5062</v>
      </c>
      <c r="F400" s="0" t="s">
        <v>5062</v>
      </c>
      <c r="G400" s="0" t="s">
        <v>1155</v>
      </c>
      <c r="H400" s="0" t="s">
        <v>1382</v>
      </c>
      <c r="I400" s="0" t="s">
        <v>5937</v>
      </c>
      <c r="J400" s="0" t="s">
        <v>5938</v>
      </c>
      <c r="K400" s="0" t="s">
        <v>5260</v>
      </c>
    </row>
    <row r="401" customFormat="false" ht="12.8" hidden="false" customHeight="false" outlineLevel="0" collapsed="false">
      <c r="A401" s="0" t="s">
        <v>5945</v>
      </c>
      <c r="B401" s="0" t="s">
        <v>5946</v>
      </c>
      <c r="C401" s="0" t="s">
        <v>278</v>
      </c>
      <c r="D401" s="0" t="s">
        <v>5057</v>
      </c>
      <c r="E401" s="0" t="s">
        <v>5058</v>
      </c>
      <c r="F401" s="0" t="s">
        <v>5058</v>
      </c>
      <c r="G401" s="0" t="s">
        <v>1155</v>
      </c>
      <c r="H401" s="0" t="s">
        <v>1382</v>
      </c>
      <c r="I401" s="0" t="s">
        <v>5937</v>
      </c>
      <c r="J401" s="0" t="s">
        <v>5938</v>
      </c>
      <c r="K401" s="0" t="s">
        <v>5260</v>
      </c>
    </row>
    <row r="402" customFormat="false" ht="12.8" hidden="false" customHeight="false" outlineLevel="0" collapsed="false">
      <c r="A402" s="0" t="s">
        <v>5947</v>
      </c>
      <c r="B402" s="0" t="s">
        <v>5948</v>
      </c>
      <c r="C402" s="0" t="s">
        <v>278</v>
      </c>
      <c r="D402" s="0" t="s">
        <v>5023</v>
      </c>
      <c r="E402" s="0" t="s">
        <v>5024</v>
      </c>
      <c r="F402" s="0" t="s">
        <v>5024</v>
      </c>
      <c r="G402" s="0" t="s">
        <v>1155</v>
      </c>
      <c r="H402" s="0" t="s">
        <v>1382</v>
      </c>
      <c r="I402" s="0" t="s">
        <v>5937</v>
      </c>
      <c r="J402" s="0" t="s">
        <v>5938</v>
      </c>
      <c r="K402" s="0" t="s">
        <v>5260</v>
      </c>
    </row>
    <row r="403" customFormat="false" ht="12.8" hidden="false" customHeight="false" outlineLevel="0" collapsed="false">
      <c r="A403" s="0" t="s">
        <v>5949</v>
      </c>
      <c r="B403" s="0" t="s">
        <v>5950</v>
      </c>
      <c r="C403" s="0" t="s">
        <v>396</v>
      </c>
      <c r="D403" s="0" t="s">
        <v>5061</v>
      </c>
      <c r="E403" s="0" t="s">
        <v>5062</v>
      </c>
      <c r="F403" s="0" t="s">
        <v>5062</v>
      </c>
      <c r="G403" s="0" t="s">
        <v>1155</v>
      </c>
      <c r="H403" s="0" t="s">
        <v>1285</v>
      </c>
      <c r="I403" s="0" t="s">
        <v>5951</v>
      </c>
      <c r="J403" s="0" t="s">
        <v>5952</v>
      </c>
      <c r="K403" s="0" t="s">
        <v>5953</v>
      </c>
    </row>
    <row r="404" customFormat="false" ht="12.8" hidden="false" customHeight="false" outlineLevel="0" collapsed="false">
      <c r="A404" s="0" t="s">
        <v>5954</v>
      </c>
      <c r="B404" s="0" t="s">
        <v>5955</v>
      </c>
      <c r="C404" s="0" t="s">
        <v>396</v>
      </c>
      <c r="D404" s="0" t="s">
        <v>5023</v>
      </c>
      <c r="E404" s="0" t="s">
        <v>5024</v>
      </c>
      <c r="F404" s="0" t="s">
        <v>5024</v>
      </c>
      <c r="G404" s="0" t="s">
        <v>1155</v>
      </c>
      <c r="H404" s="0" t="s">
        <v>1285</v>
      </c>
      <c r="I404" s="0" t="s">
        <v>5951</v>
      </c>
      <c r="J404" s="0" t="s">
        <v>5952</v>
      </c>
      <c r="K404" s="0" t="s">
        <v>5953</v>
      </c>
    </row>
    <row r="405" customFormat="false" ht="12.8" hidden="false" customHeight="false" outlineLevel="0" collapsed="false">
      <c r="A405" s="0" t="s">
        <v>5956</v>
      </c>
      <c r="B405" s="0" t="s">
        <v>5957</v>
      </c>
      <c r="C405" s="0" t="s">
        <v>396</v>
      </c>
      <c r="D405" s="0" t="s">
        <v>5023</v>
      </c>
      <c r="E405" s="0" t="s">
        <v>5024</v>
      </c>
      <c r="F405" s="0" t="s">
        <v>5024</v>
      </c>
      <c r="G405" s="0" t="s">
        <v>1155</v>
      </c>
      <c r="H405" s="0" t="s">
        <v>1285</v>
      </c>
      <c r="I405" s="0" t="s">
        <v>5951</v>
      </c>
      <c r="J405" s="0" t="s">
        <v>5952</v>
      </c>
      <c r="K405" s="0" t="s">
        <v>5953</v>
      </c>
    </row>
    <row r="406" customFormat="false" ht="12.8" hidden="false" customHeight="false" outlineLevel="0" collapsed="false">
      <c r="A406" s="0" t="s">
        <v>5958</v>
      </c>
      <c r="B406" s="0" t="s">
        <v>5959</v>
      </c>
      <c r="C406" s="0" t="s">
        <v>396</v>
      </c>
      <c r="D406" s="0" t="s">
        <v>5023</v>
      </c>
      <c r="E406" s="0" t="s">
        <v>5024</v>
      </c>
      <c r="F406" s="0" t="s">
        <v>5024</v>
      </c>
      <c r="G406" s="0" t="s">
        <v>1155</v>
      </c>
      <c r="H406" s="0" t="s">
        <v>1285</v>
      </c>
      <c r="I406" s="0" t="s">
        <v>5951</v>
      </c>
      <c r="J406" s="0" t="s">
        <v>5952</v>
      </c>
      <c r="K406" s="0" t="s">
        <v>5953</v>
      </c>
    </row>
    <row r="407" customFormat="false" ht="12.8" hidden="false" customHeight="false" outlineLevel="0" collapsed="false">
      <c r="A407" s="0" t="s">
        <v>5960</v>
      </c>
      <c r="B407" s="0" t="s">
        <v>5961</v>
      </c>
      <c r="C407" s="0" t="s">
        <v>396</v>
      </c>
      <c r="D407" s="0" t="s">
        <v>5023</v>
      </c>
      <c r="E407" s="0" t="s">
        <v>5024</v>
      </c>
      <c r="F407" s="0" t="s">
        <v>5024</v>
      </c>
      <c r="G407" s="0" t="s">
        <v>1155</v>
      </c>
      <c r="H407" s="0" t="s">
        <v>1285</v>
      </c>
      <c r="I407" s="0" t="s">
        <v>5951</v>
      </c>
      <c r="J407" s="0" t="s">
        <v>5952</v>
      </c>
      <c r="K407" s="0" t="s">
        <v>5953</v>
      </c>
    </row>
    <row r="408" customFormat="false" ht="12.8" hidden="false" customHeight="false" outlineLevel="0" collapsed="false">
      <c r="A408" s="0" t="s">
        <v>5962</v>
      </c>
      <c r="B408" s="0" t="s">
        <v>5963</v>
      </c>
      <c r="C408" s="0" t="s">
        <v>423</v>
      </c>
      <c r="D408" s="0" t="s">
        <v>5023</v>
      </c>
      <c r="E408" s="0" t="s">
        <v>5024</v>
      </c>
      <c r="F408" s="0" t="s">
        <v>5024</v>
      </c>
      <c r="G408" s="0" t="s">
        <v>1155</v>
      </c>
      <c r="H408" s="0" t="s">
        <v>1285</v>
      </c>
      <c r="I408" s="0" t="s">
        <v>5964</v>
      </c>
      <c r="J408" s="0" t="s">
        <v>5965</v>
      </c>
      <c r="K408" s="0" t="s">
        <v>5418</v>
      </c>
    </row>
    <row r="409" customFormat="false" ht="12.8" hidden="false" customHeight="false" outlineLevel="0" collapsed="false">
      <c r="A409" s="0" t="s">
        <v>5966</v>
      </c>
      <c r="B409" s="0" t="s">
        <v>5967</v>
      </c>
      <c r="C409" s="0" t="s">
        <v>423</v>
      </c>
      <c r="D409" s="0" t="s">
        <v>5023</v>
      </c>
      <c r="E409" s="0" t="s">
        <v>5024</v>
      </c>
      <c r="F409" s="0" t="s">
        <v>5024</v>
      </c>
      <c r="G409" s="0" t="s">
        <v>1155</v>
      </c>
      <c r="H409" s="0" t="s">
        <v>1285</v>
      </c>
      <c r="I409" s="0" t="s">
        <v>5964</v>
      </c>
      <c r="J409" s="0" t="s">
        <v>5965</v>
      </c>
      <c r="K409" s="0" t="s">
        <v>5418</v>
      </c>
    </row>
    <row r="410" customFormat="false" ht="12.8" hidden="false" customHeight="false" outlineLevel="0" collapsed="false">
      <c r="A410" s="0" t="s">
        <v>5968</v>
      </c>
      <c r="B410" s="0" t="s">
        <v>5969</v>
      </c>
      <c r="C410" s="0" t="s">
        <v>423</v>
      </c>
      <c r="D410" s="0" t="s">
        <v>5023</v>
      </c>
      <c r="E410" s="0" t="s">
        <v>5024</v>
      </c>
      <c r="F410" s="0" t="s">
        <v>5024</v>
      </c>
      <c r="G410" s="0" t="s">
        <v>1155</v>
      </c>
      <c r="H410" s="0" t="s">
        <v>1285</v>
      </c>
      <c r="I410" s="0" t="s">
        <v>5964</v>
      </c>
      <c r="J410" s="0" t="s">
        <v>5965</v>
      </c>
      <c r="K410" s="0" t="s">
        <v>5418</v>
      </c>
    </row>
    <row r="411" customFormat="false" ht="12.8" hidden="false" customHeight="false" outlineLevel="0" collapsed="false">
      <c r="A411" s="0" t="s">
        <v>5970</v>
      </c>
      <c r="B411" s="0" t="s">
        <v>5971</v>
      </c>
      <c r="C411" s="0" t="s">
        <v>423</v>
      </c>
      <c r="D411" s="0" t="s">
        <v>5023</v>
      </c>
      <c r="E411" s="0" t="s">
        <v>5024</v>
      </c>
      <c r="F411" s="0" t="s">
        <v>5024</v>
      </c>
      <c r="G411" s="0" t="s">
        <v>1155</v>
      </c>
      <c r="H411" s="0" t="s">
        <v>1285</v>
      </c>
      <c r="I411" s="0" t="s">
        <v>5964</v>
      </c>
      <c r="J411" s="0" t="s">
        <v>5965</v>
      </c>
      <c r="K411" s="0" t="s">
        <v>5418</v>
      </c>
    </row>
    <row r="412" customFormat="false" ht="12.8" hidden="false" customHeight="false" outlineLevel="0" collapsed="false">
      <c r="A412" s="0" t="s">
        <v>5972</v>
      </c>
      <c r="B412" s="0" t="s">
        <v>5973</v>
      </c>
      <c r="C412" s="0" t="s">
        <v>423</v>
      </c>
      <c r="D412" s="0" t="s">
        <v>5023</v>
      </c>
      <c r="E412" s="0" t="s">
        <v>5024</v>
      </c>
      <c r="F412" s="0" t="s">
        <v>5024</v>
      </c>
      <c r="G412" s="0" t="s">
        <v>1155</v>
      </c>
      <c r="H412" s="0" t="s">
        <v>1285</v>
      </c>
      <c r="I412" s="0" t="s">
        <v>5964</v>
      </c>
      <c r="J412" s="0" t="s">
        <v>5965</v>
      </c>
      <c r="K412" s="0" t="s">
        <v>5418</v>
      </c>
    </row>
    <row r="413" customFormat="false" ht="12.8" hidden="false" customHeight="false" outlineLevel="0" collapsed="false">
      <c r="A413" s="0" t="s">
        <v>5974</v>
      </c>
      <c r="B413" s="0" t="s">
        <v>5975</v>
      </c>
      <c r="C413" s="0" t="s">
        <v>423</v>
      </c>
      <c r="D413" s="0" t="s">
        <v>5023</v>
      </c>
      <c r="E413" s="0" t="s">
        <v>5024</v>
      </c>
      <c r="F413" s="0" t="s">
        <v>5024</v>
      </c>
      <c r="G413" s="0" t="s">
        <v>1155</v>
      </c>
      <c r="H413" s="0" t="s">
        <v>1285</v>
      </c>
      <c r="I413" s="0" t="s">
        <v>5964</v>
      </c>
      <c r="J413" s="0" t="s">
        <v>5965</v>
      </c>
      <c r="K413" s="0" t="s">
        <v>5418</v>
      </c>
    </row>
    <row r="414" customFormat="false" ht="12.8" hidden="false" customHeight="false" outlineLevel="0" collapsed="false">
      <c r="A414" s="0" t="s">
        <v>5976</v>
      </c>
      <c r="B414" s="0" t="s">
        <v>5977</v>
      </c>
      <c r="C414" s="0" t="s">
        <v>423</v>
      </c>
      <c r="D414" s="0" t="s">
        <v>5057</v>
      </c>
      <c r="E414" s="0" t="s">
        <v>5058</v>
      </c>
      <c r="F414" s="0" t="s">
        <v>5058</v>
      </c>
      <c r="G414" s="0" t="s">
        <v>1155</v>
      </c>
      <c r="H414" s="0" t="s">
        <v>1285</v>
      </c>
      <c r="I414" s="0" t="s">
        <v>5964</v>
      </c>
      <c r="J414" s="0" t="s">
        <v>5965</v>
      </c>
      <c r="K414" s="0" t="s">
        <v>5418</v>
      </c>
    </row>
    <row r="415" customFormat="false" ht="12.8" hidden="false" customHeight="false" outlineLevel="0" collapsed="false">
      <c r="A415" s="0" t="s">
        <v>5978</v>
      </c>
      <c r="B415" s="0" t="s">
        <v>5979</v>
      </c>
      <c r="C415" s="0" t="s">
        <v>423</v>
      </c>
      <c r="D415" s="0" t="s">
        <v>5061</v>
      </c>
      <c r="E415" s="0" t="s">
        <v>5062</v>
      </c>
      <c r="F415" s="0" t="s">
        <v>5062</v>
      </c>
      <c r="G415" s="0" t="s">
        <v>1155</v>
      </c>
      <c r="H415" s="0" t="s">
        <v>1285</v>
      </c>
      <c r="I415" s="0" t="s">
        <v>5964</v>
      </c>
      <c r="J415" s="0" t="s">
        <v>5965</v>
      </c>
      <c r="K415" s="0" t="s">
        <v>5418</v>
      </c>
    </row>
    <row r="416" customFormat="false" ht="12.8" hidden="false" customHeight="false" outlineLevel="0" collapsed="false">
      <c r="A416" s="0" t="s">
        <v>5980</v>
      </c>
      <c r="B416" s="0" t="s">
        <v>5981</v>
      </c>
      <c r="C416" s="0" t="s">
        <v>423</v>
      </c>
      <c r="D416" s="0" t="s">
        <v>5023</v>
      </c>
      <c r="E416" s="0" t="s">
        <v>5024</v>
      </c>
      <c r="F416" s="0" t="s">
        <v>5024</v>
      </c>
      <c r="G416" s="0" t="s">
        <v>1155</v>
      </c>
      <c r="H416" s="0" t="s">
        <v>1285</v>
      </c>
      <c r="I416" s="0" t="s">
        <v>5964</v>
      </c>
      <c r="J416" s="0" t="s">
        <v>5965</v>
      </c>
      <c r="K416" s="0" t="s">
        <v>5418</v>
      </c>
    </row>
    <row r="417" customFormat="false" ht="12.8" hidden="false" customHeight="false" outlineLevel="0" collapsed="false">
      <c r="A417" s="0" t="s">
        <v>5982</v>
      </c>
      <c r="B417" s="0" t="s">
        <v>5983</v>
      </c>
      <c r="C417" s="0" t="s">
        <v>58</v>
      </c>
      <c r="D417" s="0" t="s">
        <v>5023</v>
      </c>
      <c r="E417" s="0" t="s">
        <v>5024</v>
      </c>
      <c r="F417" s="0" t="s">
        <v>5024</v>
      </c>
      <c r="G417" s="0" t="s">
        <v>1155</v>
      </c>
      <c r="H417" s="0" t="s">
        <v>1477</v>
      </c>
      <c r="I417" s="0" t="s">
        <v>5984</v>
      </c>
      <c r="J417" s="0" t="s">
        <v>5985</v>
      </c>
      <c r="K417" s="0" t="s">
        <v>5260</v>
      </c>
    </row>
    <row r="418" customFormat="false" ht="12.8" hidden="false" customHeight="false" outlineLevel="0" collapsed="false">
      <c r="A418" s="0" t="s">
        <v>5986</v>
      </c>
      <c r="B418" s="0" t="s">
        <v>5987</v>
      </c>
      <c r="C418" s="0" t="s">
        <v>58</v>
      </c>
      <c r="D418" s="0" t="s">
        <v>5023</v>
      </c>
      <c r="E418" s="0" t="s">
        <v>5024</v>
      </c>
      <c r="F418" s="0" t="s">
        <v>5024</v>
      </c>
      <c r="G418" s="0" t="s">
        <v>1155</v>
      </c>
      <c r="H418" s="0" t="s">
        <v>1477</v>
      </c>
      <c r="I418" s="0" t="s">
        <v>5984</v>
      </c>
      <c r="J418" s="0" t="s">
        <v>5985</v>
      </c>
      <c r="K418" s="0" t="s">
        <v>5260</v>
      </c>
    </row>
    <row r="419" customFormat="false" ht="12.8" hidden="false" customHeight="false" outlineLevel="0" collapsed="false">
      <c r="A419" s="0" t="s">
        <v>5988</v>
      </c>
      <c r="B419" s="0" t="s">
        <v>5989</v>
      </c>
      <c r="C419" s="0" t="s">
        <v>58</v>
      </c>
      <c r="D419" s="0" t="s">
        <v>5023</v>
      </c>
      <c r="E419" s="0" t="s">
        <v>5024</v>
      </c>
      <c r="F419" s="0" t="s">
        <v>5024</v>
      </c>
      <c r="G419" s="0" t="s">
        <v>1155</v>
      </c>
      <c r="H419" s="0" t="s">
        <v>1477</v>
      </c>
      <c r="I419" s="0" t="s">
        <v>5984</v>
      </c>
      <c r="J419" s="0" t="s">
        <v>5985</v>
      </c>
      <c r="K419" s="0" t="s">
        <v>5260</v>
      </c>
    </row>
    <row r="420" customFormat="false" ht="12.8" hidden="false" customHeight="false" outlineLevel="0" collapsed="false">
      <c r="A420" s="0" t="s">
        <v>5990</v>
      </c>
      <c r="B420" s="0" t="s">
        <v>5991</v>
      </c>
      <c r="C420" s="0" t="s">
        <v>58</v>
      </c>
      <c r="D420" s="0" t="s">
        <v>5061</v>
      </c>
      <c r="E420" s="0" t="s">
        <v>5062</v>
      </c>
      <c r="F420" s="0" t="s">
        <v>5062</v>
      </c>
      <c r="G420" s="0" t="s">
        <v>1155</v>
      </c>
      <c r="H420" s="0" t="s">
        <v>1477</v>
      </c>
      <c r="I420" s="0" t="s">
        <v>5984</v>
      </c>
      <c r="J420" s="0" t="s">
        <v>5985</v>
      </c>
      <c r="K420" s="0" t="s">
        <v>5260</v>
      </c>
    </row>
    <row r="421" customFormat="false" ht="12.8" hidden="false" customHeight="false" outlineLevel="0" collapsed="false">
      <c r="A421" s="0" t="s">
        <v>5992</v>
      </c>
      <c r="B421" s="0" t="s">
        <v>5993</v>
      </c>
      <c r="C421" s="0" t="s">
        <v>58</v>
      </c>
      <c r="D421" s="0" t="s">
        <v>5023</v>
      </c>
      <c r="E421" s="0" t="s">
        <v>5024</v>
      </c>
      <c r="F421" s="0" t="s">
        <v>5024</v>
      </c>
      <c r="G421" s="0" t="s">
        <v>1155</v>
      </c>
      <c r="H421" s="0" t="s">
        <v>1477</v>
      </c>
      <c r="I421" s="0" t="s">
        <v>5984</v>
      </c>
      <c r="J421" s="0" t="s">
        <v>5985</v>
      </c>
      <c r="K421" s="0" t="s">
        <v>5260</v>
      </c>
    </row>
    <row r="422" customFormat="false" ht="12.8" hidden="false" customHeight="false" outlineLevel="0" collapsed="false">
      <c r="A422" s="0" t="s">
        <v>5994</v>
      </c>
      <c r="B422" s="0" t="s">
        <v>5995</v>
      </c>
      <c r="C422" s="0" t="s">
        <v>149</v>
      </c>
      <c r="D422" s="0" t="s">
        <v>5023</v>
      </c>
      <c r="E422" s="0" t="s">
        <v>5024</v>
      </c>
      <c r="F422" s="0" t="s">
        <v>5024</v>
      </c>
      <c r="G422" s="0" t="s">
        <v>1155</v>
      </c>
      <c r="H422" s="0" t="s">
        <v>1477</v>
      </c>
      <c r="I422" s="0" t="s">
        <v>5996</v>
      </c>
      <c r="J422" s="0" t="s">
        <v>5997</v>
      </c>
      <c r="K422" s="0" t="s">
        <v>5260</v>
      </c>
    </row>
    <row r="423" customFormat="false" ht="12.8" hidden="false" customHeight="false" outlineLevel="0" collapsed="false">
      <c r="A423" s="0" t="s">
        <v>5998</v>
      </c>
      <c r="B423" s="0" t="s">
        <v>5999</v>
      </c>
      <c r="C423" s="0" t="s">
        <v>149</v>
      </c>
      <c r="D423" s="0" t="s">
        <v>5023</v>
      </c>
      <c r="E423" s="0" t="s">
        <v>5024</v>
      </c>
      <c r="F423" s="0" t="s">
        <v>5024</v>
      </c>
      <c r="G423" s="0" t="s">
        <v>1155</v>
      </c>
      <c r="H423" s="0" t="s">
        <v>1477</v>
      </c>
      <c r="I423" s="0" t="s">
        <v>5996</v>
      </c>
      <c r="J423" s="0" t="s">
        <v>5997</v>
      </c>
      <c r="K423" s="0" t="s">
        <v>5260</v>
      </c>
    </row>
    <row r="424" customFormat="false" ht="12.8" hidden="false" customHeight="false" outlineLevel="0" collapsed="false">
      <c r="A424" s="0" t="s">
        <v>6000</v>
      </c>
      <c r="B424" s="0" t="s">
        <v>6001</v>
      </c>
      <c r="C424" s="0" t="s">
        <v>149</v>
      </c>
      <c r="D424" s="0" t="s">
        <v>5023</v>
      </c>
      <c r="E424" s="0" t="s">
        <v>5024</v>
      </c>
      <c r="F424" s="0" t="s">
        <v>5024</v>
      </c>
      <c r="G424" s="0" t="s">
        <v>1155</v>
      </c>
      <c r="H424" s="0" t="s">
        <v>1477</v>
      </c>
      <c r="I424" s="0" t="s">
        <v>5996</v>
      </c>
      <c r="J424" s="0" t="s">
        <v>5997</v>
      </c>
      <c r="K424" s="0" t="s">
        <v>5260</v>
      </c>
    </row>
    <row r="425" customFormat="false" ht="12.8" hidden="false" customHeight="false" outlineLevel="0" collapsed="false">
      <c r="A425" s="0" t="s">
        <v>6002</v>
      </c>
      <c r="B425" s="0" t="s">
        <v>6003</v>
      </c>
      <c r="C425" s="0" t="s">
        <v>149</v>
      </c>
      <c r="D425" s="0" t="s">
        <v>5023</v>
      </c>
      <c r="E425" s="0" t="s">
        <v>5024</v>
      </c>
      <c r="F425" s="0" t="s">
        <v>5024</v>
      </c>
      <c r="G425" s="0" t="s">
        <v>1155</v>
      </c>
      <c r="H425" s="0" t="s">
        <v>1477</v>
      </c>
      <c r="I425" s="0" t="s">
        <v>5996</v>
      </c>
      <c r="J425" s="0" t="s">
        <v>5997</v>
      </c>
      <c r="K425" s="0" t="s">
        <v>5260</v>
      </c>
    </row>
    <row r="426" customFormat="false" ht="12.8" hidden="false" customHeight="false" outlineLevel="0" collapsed="false">
      <c r="A426" s="0" t="s">
        <v>6004</v>
      </c>
      <c r="B426" s="0" t="s">
        <v>6005</v>
      </c>
      <c r="C426" s="0" t="s">
        <v>149</v>
      </c>
      <c r="D426" s="0" t="s">
        <v>5061</v>
      </c>
      <c r="E426" s="0" t="s">
        <v>5062</v>
      </c>
      <c r="F426" s="0" t="s">
        <v>5062</v>
      </c>
      <c r="G426" s="0" t="s">
        <v>1155</v>
      </c>
      <c r="H426" s="0" t="s">
        <v>1477</v>
      </c>
      <c r="I426" s="0" t="s">
        <v>5996</v>
      </c>
      <c r="J426" s="0" t="s">
        <v>5997</v>
      </c>
      <c r="K426" s="0" t="s">
        <v>5260</v>
      </c>
    </row>
    <row r="427" customFormat="false" ht="12.8" hidden="false" customHeight="false" outlineLevel="0" collapsed="false">
      <c r="A427" s="0" t="s">
        <v>6006</v>
      </c>
      <c r="B427" s="0" t="s">
        <v>6007</v>
      </c>
      <c r="C427" s="0" t="s">
        <v>176</v>
      </c>
      <c r="D427" s="0" t="s">
        <v>5023</v>
      </c>
      <c r="E427" s="0" t="s">
        <v>5024</v>
      </c>
      <c r="F427" s="0" t="s">
        <v>5024</v>
      </c>
      <c r="G427" s="0" t="s">
        <v>1155</v>
      </c>
      <c r="H427" s="0" t="s">
        <v>1382</v>
      </c>
      <c r="I427" s="0" t="s">
        <v>6008</v>
      </c>
      <c r="J427" s="0" t="s">
        <v>6009</v>
      </c>
      <c r="K427" s="0" t="s">
        <v>5260</v>
      </c>
    </row>
    <row r="428" customFormat="false" ht="12.8" hidden="false" customHeight="false" outlineLevel="0" collapsed="false">
      <c r="A428" s="0" t="s">
        <v>6010</v>
      </c>
      <c r="B428" s="0" t="s">
        <v>6011</v>
      </c>
      <c r="C428" s="0" t="s">
        <v>176</v>
      </c>
      <c r="D428" s="0" t="s">
        <v>5023</v>
      </c>
      <c r="E428" s="0" t="s">
        <v>5024</v>
      </c>
      <c r="F428" s="0" t="s">
        <v>5024</v>
      </c>
      <c r="G428" s="0" t="s">
        <v>1155</v>
      </c>
      <c r="H428" s="0" t="s">
        <v>1382</v>
      </c>
      <c r="I428" s="0" t="s">
        <v>6008</v>
      </c>
      <c r="J428" s="0" t="s">
        <v>6009</v>
      </c>
      <c r="K428" s="0" t="s">
        <v>5260</v>
      </c>
    </row>
    <row r="429" customFormat="false" ht="12.8" hidden="false" customHeight="false" outlineLevel="0" collapsed="false">
      <c r="A429" s="0" t="s">
        <v>6012</v>
      </c>
      <c r="B429" s="0" t="s">
        <v>6013</v>
      </c>
      <c r="C429" s="0" t="s">
        <v>176</v>
      </c>
      <c r="D429" s="0" t="s">
        <v>5023</v>
      </c>
      <c r="E429" s="0" t="s">
        <v>5024</v>
      </c>
      <c r="F429" s="0" t="s">
        <v>5024</v>
      </c>
      <c r="G429" s="0" t="s">
        <v>1155</v>
      </c>
      <c r="H429" s="0" t="s">
        <v>1382</v>
      </c>
      <c r="I429" s="0" t="s">
        <v>6008</v>
      </c>
      <c r="J429" s="0" t="s">
        <v>6009</v>
      </c>
      <c r="K429" s="0" t="s">
        <v>5260</v>
      </c>
    </row>
    <row r="430" customFormat="false" ht="12.8" hidden="false" customHeight="false" outlineLevel="0" collapsed="false">
      <c r="A430" s="0" t="s">
        <v>6014</v>
      </c>
      <c r="B430" s="0" t="s">
        <v>6015</v>
      </c>
      <c r="C430" s="0" t="s">
        <v>176</v>
      </c>
      <c r="D430" s="0" t="s">
        <v>5061</v>
      </c>
      <c r="E430" s="0" t="s">
        <v>5062</v>
      </c>
      <c r="F430" s="0" t="s">
        <v>5062</v>
      </c>
      <c r="G430" s="0" t="s">
        <v>1155</v>
      </c>
      <c r="H430" s="0" t="s">
        <v>1382</v>
      </c>
      <c r="I430" s="0" t="s">
        <v>6008</v>
      </c>
      <c r="J430" s="0" t="s">
        <v>6009</v>
      </c>
      <c r="K430" s="0" t="s">
        <v>5260</v>
      </c>
    </row>
    <row r="431" customFormat="false" ht="12.8" hidden="false" customHeight="false" outlineLevel="0" collapsed="false">
      <c r="A431" s="0" t="s">
        <v>6016</v>
      </c>
      <c r="B431" s="0" t="s">
        <v>6017</v>
      </c>
      <c r="C431" s="0" t="s">
        <v>176</v>
      </c>
      <c r="D431" s="0" t="s">
        <v>5023</v>
      </c>
      <c r="E431" s="0" t="s">
        <v>5024</v>
      </c>
      <c r="F431" s="0" t="s">
        <v>5024</v>
      </c>
      <c r="G431" s="0" t="s">
        <v>1155</v>
      </c>
      <c r="H431" s="0" t="s">
        <v>1382</v>
      </c>
      <c r="I431" s="0" t="s">
        <v>6008</v>
      </c>
      <c r="J431" s="0" t="s">
        <v>6009</v>
      </c>
      <c r="K431" s="0" t="s">
        <v>5260</v>
      </c>
    </row>
    <row r="432" customFormat="false" ht="12.8" hidden="false" customHeight="false" outlineLevel="0" collapsed="false">
      <c r="A432" s="0" t="s">
        <v>6018</v>
      </c>
      <c r="B432" s="0" t="s">
        <v>6019</v>
      </c>
      <c r="C432" s="0" t="s">
        <v>213</v>
      </c>
      <c r="D432" s="0" t="s">
        <v>5023</v>
      </c>
      <c r="E432" s="0" t="s">
        <v>5024</v>
      </c>
      <c r="F432" s="0" t="s">
        <v>5024</v>
      </c>
      <c r="G432" s="0" t="s">
        <v>1155</v>
      </c>
      <c r="H432" s="0" t="s">
        <v>1382</v>
      </c>
      <c r="I432" s="0" t="s">
        <v>6020</v>
      </c>
      <c r="J432" s="0" t="s">
        <v>6021</v>
      </c>
      <c r="K432" s="0" t="s">
        <v>5953</v>
      </c>
    </row>
    <row r="433" customFormat="false" ht="12.8" hidden="false" customHeight="false" outlineLevel="0" collapsed="false">
      <c r="A433" s="0" t="s">
        <v>6022</v>
      </c>
      <c r="B433" s="0" t="s">
        <v>6023</v>
      </c>
      <c r="C433" s="0" t="s">
        <v>213</v>
      </c>
      <c r="D433" s="0" t="s">
        <v>5023</v>
      </c>
      <c r="E433" s="0" t="s">
        <v>5024</v>
      </c>
      <c r="F433" s="0" t="s">
        <v>5024</v>
      </c>
      <c r="G433" s="0" t="s">
        <v>1155</v>
      </c>
      <c r="H433" s="0" t="s">
        <v>1382</v>
      </c>
      <c r="I433" s="0" t="s">
        <v>6020</v>
      </c>
      <c r="J433" s="0" t="s">
        <v>6021</v>
      </c>
      <c r="K433" s="0" t="s">
        <v>5953</v>
      </c>
    </row>
    <row r="434" customFormat="false" ht="12.8" hidden="false" customHeight="false" outlineLevel="0" collapsed="false">
      <c r="A434" s="0" t="s">
        <v>6024</v>
      </c>
      <c r="B434" s="0" t="s">
        <v>6025</v>
      </c>
      <c r="C434" s="0" t="s">
        <v>213</v>
      </c>
      <c r="D434" s="0" t="s">
        <v>5023</v>
      </c>
      <c r="E434" s="0" t="s">
        <v>5024</v>
      </c>
      <c r="F434" s="0" t="s">
        <v>5024</v>
      </c>
      <c r="G434" s="0" t="s">
        <v>1155</v>
      </c>
      <c r="H434" s="0" t="s">
        <v>1382</v>
      </c>
      <c r="I434" s="0" t="s">
        <v>6020</v>
      </c>
      <c r="J434" s="0" t="s">
        <v>6021</v>
      </c>
      <c r="K434" s="0" t="s">
        <v>5953</v>
      </c>
    </row>
    <row r="435" customFormat="false" ht="12.8" hidden="false" customHeight="false" outlineLevel="0" collapsed="false">
      <c r="A435" s="0" t="s">
        <v>6026</v>
      </c>
      <c r="B435" s="0" t="s">
        <v>6027</v>
      </c>
      <c r="C435" s="0" t="s">
        <v>213</v>
      </c>
      <c r="D435" s="0" t="s">
        <v>5057</v>
      </c>
      <c r="E435" s="0" t="s">
        <v>5058</v>
      </c>
      <c r="F435" s="0" t="s">
        <v>5058</v>
      </c>
      <c r="G435" s="0" t="s">
        <v>1155</v>
      </c>
      <c r="H435" s="0" t="s">
        <v>1382</v>
      </c>
      <c r="I435" s="0" t="s">
        <v>6020</v>
      </c>
      <c r="J435" s="0" t="s">
        <v>6021</v>
      </c>
      <c r="K435" s="0" t="s">
        <v>5953</v>
      </c>
    </row>
    <row r="436" customFormat="false" ht="12.8" hidden="false" customHeight="false" outlineLevel="0" collapsed="false">
      <c r="A436" s="0" t="s">
        <v>6028</v>
      </c>
      <c r="B436" s="0" t="s">
        <v>6029</v>
      </c>
      <c r="C436" s="0" t="s">
        <v>213</v>
      </c>
      <c r="D436" s="0" t="s">
        <v>5061</v>
      </c>
      <c r="E436" s="0" t="s">
        <v>5062</v>
      </c>
      <c r="F436" s="0" t="s">
        <v>5062</v>
      </c>
      <c r="G436" s="0" t="s">
        <v>1155</v>
      </c>
      <c r="H436" s="0" t="s">
        <v>1382</v>
      </c>
      <c r="I436" s="0" t="s">
        <v>6020</v>
      </c>
      <c r="J436" s="0" t="s">
        <v>6021</v>
      </c>
      <c r="K436" s="0" t="s">
        <v>5953</v>
      </c>
    </row>
    <row r="437" customFormat="false" ht="12.8" hidden="false" customHeight="false" outlineLevel="0" collapsed="false">
      <c r="A437" s="0" t="s">
        <v>6030</v>
      </c>
      <c r="B437" s="0" t="s">
        <v>6031</v>
      </c>
      <c r="C437" s="0" t="s">
        <v>213</v>
      </c>
      <c r="D437" s="0" t="s">
        <v>5023</v>
      </c>
      <c r="E437" s="0" t="s">
        <v>5024</v>
      </c>
      <c r="F437" s="0" t="s">
        <v>5024</v>
      </c>
      <c r="G437" s="0" t="s">
        <v>1155</v>
      </c>
      <c r="H437" s="0" t="s">
        <v>1382</v>
      </c>
      <c r="I437" s="0" t="s">
        <v>6020</v>
      </c>
      <c r="J437" s="0" t="s">
        <v>6021</v>
      </c>
      <c r="K437" s="0" t="s">
        <v>5953</v>
      </c>
    </row>
    <row r="438" customFormat="false" ht="12.8" hidden="false" customHeight="false" outlineLevel="0" collapsed="false">
      <c r="A438" s="0" t="s">
        <v>6032</v>
      </c>
      <c r="B438" s="0" t="s">
        <v>6033</v>
      </c>
      <c r="C438" s="0" t="s">
        <v>326</v>
      </c>
      <c r="D438" s="0" t="s">
        <v>5023</v>
      </c>
      <c r="E438" s="0" t="s">
        <v>5024</v>
      </c>
      <c r="F438" s="0" t="s">
        <v>5024</v>
      </c>
      <c r="G438" s="0" t="s">
        <v>1155</v>
      </c>
      <c r="H438" s="0" t="s">
        <v>1477</v>
      </c>
      <c r="I438" s="0" t="s">
        <v>6034</v>
      </c>
      <c r="J438" s="0" t="s">
        <v>6035</v>
      </c>
      <c r="K438" s="0" t="s">
        <v>5260</v>
      </c>
    </row>
    <row r="439" customFormat="false" ht="12.8" hidden="false" customHeight="false" outlineLevel="0" collapsed="false">
      <c r="A439" s="0" t="s">
        <v>6036</v>
      </c>
      <c r="B439" s="0" t="s">
        <v>6037</v>
      </c>
      <c r="C439" s="0" t="s">
        <v>326</v>
      </c>
      <c r="D439" s="0" t="s">
        <v>5023</v>
      </c>
      <c r="E439" s="0" t="s">
        <v>5024</v>
      </c>
      <c r="F439" s="0" t="s">
        <v>5024</v>
      </c>
      <c r="G439" s="0" t="s">
        <v>1155</v>
      </c>
      <c r="H439" s="0" t="s">
        <v>1477</v>
      </c>
      <c r="I439" s="0" t="s">
        <v>6034</v>
      </c>
      <c r="J439" s="0" t="s">
        <v>6035</v>
      </c>
      <c r="K439" s="0" t="s">
        <v>5260</v>
      </c>
    </row>
    <row r="440" customFormat="false" ht="12.8" hidden="false" customHeight="false" outlineLevel="0" collapsed="false">
      <c r="A440" s="0" t="s">
        <v>6038</v>
      </c>
      <c r="B440" s="0" t="s">
        <v>6039</v>
      </c>
      <c r="C440" s="0" t="s">
        <v>326</v>
      </c>
      <c r="D440" s="0" t="s">
        <v>5023</v>
      </c>
      <c r="E440" s="0" t="s">
        <v>5024</v>
      </c>
      <c r="F440" s="0" t="s">
        <v>5024</v>
      </c>
      <c r="G440" s="0" t="s">
        <v>1155</v>
      </c>
      <c r="H440" s="0" t="s">
        <v>1477</v>
      </c>
      <c r="I440" s="0" t="s">
        <v>6034</v>
      </c>
      <c r="J440" s="0" t="s">
        <v>6035</v>
      </c>
      <c r="K440" s="0" t="s">
        <v>5260</v>
      </c>
    </row>
    <row r="441" customFormat="false" ht="12.8" hidden="false" customHeight="false" outlineLevel="0" collapsed="false">
      <c r="A441" s="0" t="s">
        <v>6040</v>
      </c>
      <c r="B441" s="0" t="s">
        <v>6041</v>
      </c>
      <c r="C441" s="0" t="s">
        <v>326</v>
      </c>
      <c r="D441" s="0" t="s">
        <v>5061</v>
      </c>
      <c r="E441" s="0" t="s">
        <v>5062</v>
      </c>
      <c r="F441" s="0" t="s">
        <v>5062</v>
      </c>
      <c r="G441" s="0" t="s">
        <v>1155</v>
      </c>
      <c r="H441" s="0" t="s">
        <v>1477</v>
      </c>
      <c r="I441" s="0" t="s">
        <v>6034</v>
      </c>
      <c r="J441" s="0" t="s">
        <v>6035</v>
      </c>
      <c r="K441" s="0" t="s">
        <v>5260</v>
      </c>
    </row>
    <row r="442" customFormat="false" ht="12.8" hidden="false" customHeight="false" outlineLevel="0" collapsed="false">
      <c r="A442" s="0" t="s">
        <v>6042</v>
      </c>
      <c r="B442" s="0" t="s">
        <v>6043</v>
      </c>
      <c r="C442" s="0" t="s">
        <v>386</v>
      </c>
      <c r="D442" s="0" t="s">
        <v>5023</v>
      </c>
      <c r="E442" s="0" t="s">
        <v>5024</v>
      </c>
      <c r="F442" s="0" t="s">
        <v>5024</v>
      </c>
      <c r="G442" s="0" t="s">
        <v>1155</v>
      </c>
      <c r="H442" s="0" t="s">
        <v>1477</v>
      </c>
      <c r="I442" s="0" t="s">
        <v>6044</v>
      </c>
      <c r="J442" s="0" t="s">
        <v>6045</v>
      </c>
      <c r="K442" s="0" t="s">
        <v>5260</v>
      </c>
    </row>
    <row r="443" customFormat="false" ht="12.8" hidden="false" customHeight="false" outlineLevel="0" collapsed="false">
      <c r="A443" s="0" t="s">
        <v>6046</v>
      </c>
      <c r="B443" s="0" t="s">
        <v>6047</v>
      </c>
      <c r="C443" s="0" t="s">
        <v>386</v>
      </c>
      <c r="D443" s="0" t="s">
        <v>5023</v>
      </c>
      <c r="E443" s="0" t="s">
        <v>5024</v>
      </c>
      <c r="F443" s="0" t="s">
        <v>5024</v>
      </c>
      <c r="G443" s="0" t="s">
        <v>1155</v>
      </c>
      <c r="H443" s="0" t="s">
        <v>1477</v>
      </c>
      <c r="I443" s="0" t="s">
        <v>6044</v>
      </c>
      <c r="J443" s="0" t="s">
        <v>6045</v>
      </c>
      <c r="K443" s="0" t="s">
        <v>5260</v>
      </c>
    </row>
    <row r="444" customFormat="false" ht="12.8" hidden="false" customHeight="false" outlineLevel="0" collapsed="false">
      <c r="A444" s="0" t="s">
        <v>6048</v>
      </c>
      <c r="B444" s="0" t="s">
        <v>6049</v>
      </c>
      <c r="C444" s="0" t="s">
        <v>386</v>
      </c>
      <c r="D444" s="0" t="s">
        <v>5023</v>
      </c>
      <c r="E444" s="0" t="s">
        <v>5024</v>
      </c>
      <c r="F444" s="0" t="s">
        <v>5024</v>
      </c>
      <c r="G444" s="0" t="s">
        <v>1155</v>
      </c>
      <c r="H444" s="0" t="s">
        <v>1477</v>
      </c>
      <c r="I444" s="0" t="s">
        <v>6044</v>
      </c>
      <c r="J444" s="0" t="s">
        <v>6045</v>
      </c>
      <c r="K444" s="0" t="s">
        <v>5260</v>
      </c>
    </row>
    <row r="445" customFormat="false" ht="12.8" hidden="false" customHeight="false" outlineLevel="0" collapsed="false">
      <c r="A445" s="0" t="s">
        <v>6050</v>
      </c>
      <c r="B445" s="0" t="s">
        <v>6051</v>
      </c>
      <c r="C445" s="0" t="s">
        <v>386</v>
      </c>
      <c r="D445" s="0" t="s">
        <v>5023</v>
      </c>
      <c r="E445" s="0" t="s">
        <v>5024</v>
      </c>
      <c r="F445" s="0" t="s">
        <v>5024</v>
      </c>
      <c r="G445" s="0" t="s">
        <v>1155</v>
      </c>
      <c r="H445" s="0" t="s">
        <v>1477</v>
      </c>
      <c r="I445" s="0" t="s">
        <v>6044</v>
      </c>
      <c r="J445" s="0" t="s">
        <v>6045</v>
      </c>
      <c r="K445" s="0" t="s">
        <v>5260</v>
      </c>
    </row>
    <row r="446" customFormat="false" ht="12.8" hidden="false" customHeight="false" outlineLevel="0" collapsed="false">
      <c r="A446" s="0" t="s">
        <v>6052</v>
      </c>
      <c r="B446" s="0" t="s">
        <v>6053</v>
      </c>
      <c r="C446" s="0" t="s">
        <v>386</v>
      </c>
      <c r="D446" s="0" t="s">
        <v>5023</v>
      </c>
      <c r="E446" s="0" t="s">
        <v>5024</v>
      </c>
      <c r="F446" s="0" t="s">
        <v>5024</v>
      </c>
      <c r="G446" s="0" t="s">
        <v>1155</v>
      </c>
      <c r="H446" s="0" t="s">
        <v>1477</v>
      </c>
      <c r="I446" s="0" t="s">
        <v>6044</v>
      </c>
      <c r="J446" s="0" t="s">
        <v>6045</v>
      </c>
      <c r="K446" s="0" t="s">
        <v>5260</v>
      </c>
    </row>
    <row r="447" customFormat="false" ht="12.8" hidden="false" customHeight="false" outlineLevel="0" collapsed="false">
      <c r="A447" s="0" t="s">
        <v>6054</v>
      </c>
      <c r="B447" s="0" t="s">
        <v>6055</v>
      </c>
      <c r="C447" s="0" t="s">
        <v>386</v>
      </c>
      <c r="D447" s="0" t="s">
        <v>5061</v>
      </c>
      <c r="E447" s="0" t="s">
        <v>5062</v>
      </c>
      <c r="F447" s="0" t="s">
        <v>5062</v>
      </c>
      <c r="G447" s="0" t="s">
        <v>1155</v>
      </c>
      <c r="H447" s="0" t="s">
        <v>1477</v>
      </c>
      <c r="I447" s="0" t="s">
        <v>6044</v>
      </c>
      <c r="J447" s="0" t="s">
        <v>6045</v>
      </c>
      <c r="K447" s="0" t="s">
        <v>5260</v>
      </c>
    </row>
    <row r="448" customFormat="false" ht="12.8" hidden="false" customHeight="false" outlineLevel="0" collapsed="false">
      <c r="A448" s="0" t="s">
        <v>6056</v>
      </c>
      <c r="B448" s="0" t="s">
        <v>6057</v>
      </c>
      <c r="C448" s="0" t="s">
        <v>408</v>
      </c>
      <c r="D448" s="0" t="s">
        <v>5023</v>
      </c>
      <c r="E448" s="0" t="s">
        <v>5024</v>
      </c>
      <c r="F448" s="0" t="s">
        <v>5024</v>
      </c>
      <c r="G448" s="0" t="s">
        <v>1155</v>
      </c>
      <c r="H448" s="0" t="s">
        <v>1382</v>
      </c>
      <c r="I448" s="0" t="s">
        <v>6058</v>
      </c>
      <c r="J448" s="0" t="s">
        <v>6059</v>
      </c>
      <c r="K448" s="0" t="s">
        <v>5291</v>
      </c>
    </row>
    <row r="449" customFormat="false" ht="12.8" hidden="false" customHeight="false" outlineLevel="0" collapsed="false">
      <c r="A449" s="0" t="s">
        <v>6060</v>
      </c>
      <c r="B449" s="0" t="s">
        <v>6061</v>
      </c>
      <c r="C449" s="0" t="s">
        <v>408</v>
      </c>
      <c r="D449" s="0" t="s">
        <v>5023</v>
      </c>
      <c r="E449" s="0" t="s">
        <v>5024</v>
      </c>
      <c r="F449" s="0" t="s">
        <v>5024</v>
      </c>
      <c r="G449" s="0" t="s">
        <v>1155</v>
      </c>
      <c r="H449" s="0" t="s">
        <v>1382</v>
      </c>
      <c r="I449" s="0" t="s">
        <v>6058</v>
      </c>
      <c r="J449" s="0" t="s">
        <v>6059</v>
      </c>
      <c r="K449" s="0" t="s">
        <v>5291</v>
      </c>
    </row>
    <row r="450" customFormat="false" ht="12.8" hidden="false" customHeight="false" outlineLevel="0" collapsed="false">
      <c r="A450" s="0" t="s">
        <v>6062</v>
      </c>
      <c r="B450" s="0" t="s">
        <v>6063</v>
      </c>
      <c r="C450" s="0" t="s">
        <v>408</v>
      </c>
      <c r="D450" s="0" t="s">
        <v>5023</v>
      </c>
      <c r="E450" s="0" t="s">
        <v>5024</v>
      </c>
      <c r="F450" s="0" t="s">
        <v>5024</v>
      </c>
      <c r="G450" s="0" t="s">
        <v>1155</v>
      </c>
      <c r="H450" s="0" t="s">
        <v>1382</v>
      </c>
      <c r="I450" s="0" t="s">
        <v>6058</v>
      </c>
      <c r="J450" s="0" t="s">
        <v>6059</v>
      </c>
      <c r="K450" s="0" t="s">
        <v>5291</v>
      </c>
    </row>
    <row r="451" customFormat="false" ht="12.8" hidden="false" customHeight="false" outlineLevel="0" collapsed="false">
      <c r="A451" s="0" t="s">
        <v>6064</v>
      </c>
      <c r="B451" s="0" t="s">
        <v>6065</v>
      </c>
      <c r="C451" s="0" t="s">
        <v>408</v>
      </c>
      <c r="D451" s="0" t="s">
        <v>5061</v>
      </c>
      <c r="E451" s="0" t="s">
        <v>5062</v>
      </c>
      <c r="F451" s="0" t="s">
        <v>5062</v>
      </c>
      <c r="G451" s="0" t="s">
        <v>1155</v>
      </c>
      <c r="H451" s="0" t="s">
        <v>1382</v>
      </c>
      <c r="I451" s="0" t="s">
        <v>6058</v>
      </c>
      <c r="J451" s="0" t="s">
        <v>6059</v>
      </c>
      <c r="K451" s="0" t="s">
        <v>5291</v>
      </c>
    </row>
    <row r="452" customFormat="false" ht="12.8" hidden="false" customHeight="false" outlineLevel="0" collapsed="false">
      <c r="A452" s="0" t="s">
        <v>6066</v>
      </c>
      <c r="B452" s="0" t="s">
        <v>6067</v>
      </c>
      <c r="C452" s="0" t="s">
        <v>19</v>
      </c>
      <c r="D452" s="0" t="s">
        <v>5023</v>
      </c>
      <c r="E452" s="0" t="s">
        <v>5024</v>
      </c>
      <c r="F452" s="0" t="s">
        <v>5024</v>
      </c>
      <c r="G452" s="0" t="s">
        <v>1155</v>
      </c>
      <c r="H452" s="0" t="s">
        <v>5065</v>
      </c>
      <c r="I452" s="0" t="s">
        <v>6068</v>
      </c>
      <c r="J452" s="0" t="s">
        <v>6069</v>
      </c>
      <c r="K452" s="0" t="s">
        <v>5291</v>
      </c>
    </row>
    <row r="453" customFormat="false" ht="12.8" hidden="false" customHeight="false" outlineLevel="0" collapsed="false">
      <c r="A453" s="0" t="s">
        <v>6070</v>
      </c>
      <c r="B453" s="0" t="s">
        <v>6071</v>
      </c>
      <c r="C453" s="0" t="s">
        <v>19</v>
      </c>
      <c r="D453" s="0" t="s">
        <v>5023</v>
      </c>
      <c r="E453" s="0" t="s">
        <v>5024</v>
      </c>
      <c r="F453" s="0" t="s">
        <v>5024</v>
      </c>
      <c r="G453" s="0" t="s">
        <v>1155</v>
      </c>
      <c r="H453" s="0" t="s">
        <v>5065</v>
      </c>
      <c r="I453" s="0" t="s">
        <v>6068</v>
      </c>
      <c r="J453" s="0" t="s">
        <v>6069</v>
      </c>
      <c r="K453" s="0" t="s">
        <v>5291</v>
      </c>
    </row>
    <row r="454" customFormat="false" ht="12.8" hidden="false" customHeight="false" outlineLevel="0" collapsed="false">
      <c r="A454" s="0" t="s">
        <v>6072</v>
      </c>
      <c r="B454" s="0" t="s">
        <v>6073</v>
      </c>
      <c r="C454" s="0" t="s">
        <v>19</v>
      </c>
      <c r="D454" s="0" t="s">
        <v>5023</v>
      </c>
      <c r="E454" s="0" t="s">
        <v>5024</v>
      </c>
      <c r="F454" s="0" t="s">
        <v>5024</v>
      </c>
      <c r="G454" s="0" t="s">
        <v>1155</v>
      </c>
      <c r="H454" s="0" t="s">
        <v>5065</v>
      </c>
      <c r="I454" s="0" t="s">
        <v>6068</v>
      </c>
      <c r="J454" s="0" t="s">
        <v>6069</v>
      </c>
      <c r="K454" s="0" t="s">
        <v>5291</v>
      </c>
    </row>
    <row r="455" customFormat="false" ht="12.8" hidden="false" customHeight="false" outlineLevel="0" collapsed="false">
      <c r="A455" s="0" t="s">
        <v>6074</v>
      </c>
      <c r="B455" s="0" t="s">
        <v>6075</v>
      </c>
      <c r="C455" s="0" t="s">
        <v>19</v>
      </c>
      <c r="D455" s="0" t="s">
        <v>5023</v>
      </c>
      <c r="E455" s="0" t="s">
        <v>5024</v>
      </c>
      <c r="F455" s="0" t="s">
        <v>5024</v>
      </c>
      <c r="G455" s="0" t="s">
        <v>1155</v>
      </c>
      <c r="H455" s="0" t="s">
        <v>5065</v>
      </c>
      <c r="I455" s="0" t="s">
        <v>6068</v>
      </c>
      <c r="J455" s="0" t="s">
        <v>6069</v>
      </c>
      <c r="K455" s="0" t="s">
        <v>5291</v>
      </c>
    </row>
    <row r="456" customFormat="false" ht="12.8" hidden="false" customHeight="false" outlineLevel="0" collapsed="false">
      <c r="A456" s="0" t="s">
        <v>6076</v>
      </c>
      <c r="B456" s="0" t="s">
        <v>6077</v>
      </c>
      <c r="C456" s="0" t="s">
        <v>19</v>
      </c>
      <c r="D456" s="0" t="s">
        <v>5061</v>
      </c>
      <c r="E456" s="0" t="s">
        <v>5062</v>
      </c>
      <c r="F456" s="0" t="s">
        <v>5062</v>
      </c>
      <c r="G456" s="0" t="s">
        <v>1155</v>
      </c>
      <c r="H456" s="0" t="s">
        <v>5065</v>
      </c>
      <c r="I456" s="0" t="s">
        <v>6068</v>
      </c>
      <c r="J456" s="0" t="s">
        <v>6069</v>
      </c>
      <c r="K456" s="0" t="s">
        <v>5291</v>
      </c>
    </row>
    <row r="457" customFormat="false" ht="12.8" hidden="false" customHeight="false" outlineLevel="0" collapsed="false">
      <c r="A457" s="0" t="s">
        <v>6078</v>
      </c>
      <c r="B457" s="0" t="s">
        <v>6079</v>
      </c>
      <c r="C457" s="0" t="s">
        <v>205</v>
      </c>
      <c r="D457" s="0" t="s">
        <v>5023</v>
      </c>
      <c r="E457" s="0" t="s">
        <v>5024</v>
      </c>
      <c r="F457" s="0" t="s">
        <v>5024</v>
      </c>
      <c r="G457" s="0" t="s">
        <v>1155</v>
      </c>
      <c r="H457" s="0" t="s">
        <v>5065</v>
      </c>
      <c r="I457" s="0" t="s">
        <v>6080</v>
      </c>
      <c r="J457" s="0" t="s">
        <v>6081</v>
      </c>
      <c r="K457" s="0" t="s">
        <v>5291</v>
      </c>
    </row>
    <row r="458" customFormat="false" ht="12.8" hidden="false" customHeight="false" outlineLevel="0" collapsed="false">
      <c r="A458" s="0" t="s">
        <v>6082</v>
      </c>
      <c r="B458" s="0" t="s">
        <v>6083</v>
      </c>
      <c r="C458" s="0" t="s">
        <v>205</v>
      </c>
      <c r="D458" s="0" t="s">
        <v>5023</v>
      </c>
      <c r="E458" s="0" t="s">
        <v>5024</v>
      </c>
      <c r="F458" s="0" t="s">
        <v>5024</v>
      </c>
      <c r="G458" s="0" t="s">
        <v>1155</v>
      </c>
      <c r="H458" s="0" t="s">
        <v>5065</v>
      </c>
      <c r="I458" s="0" t="s">
        <v>6080</v>
      </c>
      <c r="J458" s="0" t="s">
        <v>6081</v>
      </c>
      <c r="K458" s="0" t="s">
        <v>5291</v>
      </c>
    </row>
    <row r="459" customFormat="false" ht="12.8" hidden="false" customHeight="false" outlineLevel="0" collapsed="false">
      <c r="A459" s="0" t="s">
        <v>6084</v>
      </c>
      <c r="B459" s="0" t="s">
        <v>6085</v>
      </c>
      <c r="C459" s="0" t="s">
        <v>205</v>
      </c>
      <c r="D459" s="0" t="s">
        <v>5023</v>
      </c>
      <c r="E459" s="0" t="s">
        <v>5024</v>
      </c>
      <c r="F459" s="0" t="s">
        <v>5024</v>
      </c>
      <c r="G459" s="0" t="s">
        <v>1155</v>
      </c>
      <c r="H459" s="0" t="s">
        <v>5065</v>
      </c>
      <c r="I459" s="0" t="s">
        <v>6080</v>
      </c>
      <c r="J459" s="0" t="s">
        <v>6081</v>
      </c>
      <c r="K459" s="0" t="s">
        <v>5291</v>
      </c>
    </row>
    <row r="460" customFormat="false" ht="12.8" hidden="false" customHeight="false" outlineLevel="0" collapsed="false">
      <c r="A460" s="0" t="s">
        <v>6086</v>
      </c>
      <c r="B460" s="0" t="s">
        <v>6087</v>
      </c>
      <c r="C460" s="0" t="s">
        <v>205</v>
      </c>
      <c r="D460" s="0" t="s">
        <v>5061</v>
      </c>
      <c r="E460" s="0" t="s">
        <v>5062</v>
      </c>
      <c r="F460" s="0" t="s">
        <v>5062</v>
      </c>
      <c r="G460" s="0" t="s">
        <v>1155</v>
      </c>
      <c r="H460" s="0" t="s">
        <v>5065</v>
      </c>
      <c r="I460" s="0" t="s">
        <v>6080</v>
      </c>
      <c r="J460" s="0" t="s">
        <v>6081</v>
      </c>
      <c r="K460" s="0" t="s">
        <v>5291</v>
      </c>
    </row>
    <row r="461" customFormat="false" ht="12.8" hidden="false" customHeight="false" outlineLevel="0" collapsed="false">
      <c r="A461" s="0" t="s">
        <v>6088</v>
      </c>
      <c r="B461" s="0" t="s">
        <v>6089</v>
      </c>
      <c r="C461" s="0" t="s">
        <v>205</v>
      </c>
      <c r="D461" s="0" t="s">
        <v>5057</v>
      </c>
      <c r="E461" s="0" t="s">
        <v>5058</v>
      </c>
      <c r="F461" s="0" t="s">
        <v>5058</v>
      </c>
      <c r="G461" s="0" t="s">
        <v>1155</v>
      </c>
      <c r="H461" s="0" t="s">
        <v>5065</v>
      </c>
      <c r="I461" s="0" t="s">
        <v>6080</v>
      </c>
      <c r="J461" s="0" t="s">
        <v>6081</v>
      </c>
      <c r="K461" s="0" t="s">
        <v>5291</v>
      </c>
    </row>
    <row r="462" customFormat="false" ht="12.8" hidden="false" customHeight="false" outlineLevel="0" collapsed="false">
      <c r="A462" s="0" t="s">
        <v>6090</v>
      </c>
      <c r="B462" s="0" t="s">
        <v>6091</v>
      </c>
      <c r="C462" s="0" t="s">
        <v>218</v>
      </c>
      <c r="D462" s="0" t="s">
        <v>5023</v>
      </c>
      <c r="E462" s="0" t="s">
        <v>5024</v>
      </c>
      <c r="F462" s="0" t="s">
        <v>5024</v>
      </c>
      <c r="G462" s="0" t="s">
        <v>1155</v>
      </c>
      <c r="H462" s="0" t="s">
        <v>1572</v>
      </c>
      <c r="I462" s="0" t="s">
        <v>6092</v>
      </c>
      <c r="J462" s="0" t="s">
        <v>6093</v>
      </c>
      <c r="K462" s="0" t="s">
        <v>6094</v>
      </c>
    </row>
    <row r="463" customFormat="false" ht="12.8" hidden="false" customHeight="false" outlineLevel="0" collapsed="false">
      <c r="A463" s="0" t="s">
        <v>6095</v>
      </c>
      <c r="B463" s="0" t="s">
        <v>6096</v>
      </c>
      <c r="C463" s="0" t="s">
        <v>218</v>
      </c>
      <c r="D463" s="0" t="s">
        <v>5023</v>
      </c>
      <c r="E463" s="0" t="s">
        <v>5024</v>
      </c>
      <c r="F463" s="0" t="s">
        <v>5024</v>
      </c>
      <c r="G463" s="0" t="s">
        <v>1155</v>
      </c>
      <c r="H463" s="0" t="s">
        <v>1572</v>
      </c>
      <c r="I463" s="0" t="s">
        <v>6092</v>
      </c>
      <c r="J463" s="0" t="s">
        <v>6093</v>
      </c>
      <c r="K463" s="0" t="s">
        <v>6094</v>
      </c>
    </row>
    <row r="464" customFormat="false" ht="12.8" hidden="false" customHeight="false" outlineLevel="0" collapsed="false">
      <c r="A464" s="0" t="s">
        <v>6097</v>
      </c>
      <c r="B464" s="0" t="s">
        <v>6098</v>
      </c>
      <c r="C464" s="0" t="s">
        <v>218</v>
      </c>
      <c r="D464" s="0" t="s">
        <v>5023</v>
      </c>
      <c r="E464" s="0" t="s">
        <v>5024</v>
      </c>
      <c r="F464" s="0" t="s">
        <v>5024</v>
      </c>
      <c r="G464" s="0" t="s">
        <v>1155</v>
      </c>
      <c r="H464" s="0" t="s">
        <v>1572</v>
      </c>
      <c r="I464" s="0" t="s">
        <v>6092</v>
      </c>
      <c r="J464" s="0" t="s">
        <v>6093</v>
      </c>
      <c r="K464" s="0" t="s">
        <v>6094</v>
      </c>
    </row>
    <row r="465" customFormat="false" ht="12.8" hidden="false" customHeight="false" outlineLevel="0" collapsed="false">
      <c r="A465" s="0" t="s">
        <v>6099</v>
      </c>
      <c r="B465" s="0" t="s">
        <v>6100</v>
      </c>
      <c r="C465" s="0" t="s">
        <v>218</v>
      </c>
      <c r="D465" s="0" t="s">
        <v>5061</v>
      </c>
      <c r="E465" s="0" t="s">
        <v>5062</v>
      </c>
      <c r="F465" s="0" t="s">
        <v>5062</v>
      </c>
      <c r="G465" s="0" t="s">
        <v>1155</v>
      </c>
      <c r="H465" s="0" t="s">
        <v>1572</v>
      </c>
      <c r="I465" s="0" t="s">
        <v>6092</v>
      </c>
      <c r="J465" s="0" t="s">
        <v>6093</v>
      </c>
      <c r="K465" s="0" t="s">
        <v>6094</v>
      </c>
    </row>
    <row r="466" customFormat="false" ht="12.8" hidden="false" customHeight="false" outlineLevel="0" collapsed="false">
      <c r="A466" s="0" t="s">
        <v>6101</v>
      </c>
      <c r="B466" s="0" t="s">
        <v>6102</v>
      </c>
      <c r="C466" s="0" t="s">
        <v>218</v>
      </c>
      <c r="D466" s="0" t="s">
        <v>5023</v>
      </c>
      <c r="E466" s="0" t="s">
        <v>5024</v>
      </c>
      <c r="F466" s="0" t="s">
        <v>5024</v>
      </c>
      <c r="G466" s="0" t="s">
        <v>1155</v>
      </c>
      <c r="H466" s="0" t="s">
        <v>1572</v>
      </c>
      <c r="I466" s="0" t="s">
        <v>6092</v>
      </c>
      <c r="J466" s="0" t="s">
        <v>6093</v>
      </c>
      <c r="K466" s="0" t="s">
        <v>6094</v>
      </c>
    </row>
    <row r="467" customFormat="false" ht="12.8" hidden="false" customHeight="false" outlineLevel="0" collapsed="false">
      <c r="A467" s="0" t="s">
        <v>6103</v>
      </c>
      <c r="B467" s="0" t="s">
        <v>6104</v>
      </c>
      <c r="C467" s="0" t="s">
        <v>277</v>
      </c>
      <c r="D467" s="0" t="s">
        <v>5023</v>
      </c>
      <c r="E467" s="0" t="s">
        <v>5024</v>
      </c>
      <c r="F467" s="0" t="s">
        <v>5024</v>
      </c>
      <c r="G467" s="0" t="s">
        <v>1155</v>
      </c>
      <c r="H467" s="0" t="s">
        <v>5065</v>
      </c>
      <c r="I467" s="0" t="s">
        <v>6105</v>
      </c>
      <c r="J467" s="0" t="s">
        <v>6106</v>
      </c>
      <c r="K467" s="0" t="s">
        <v>5776</v>
      </c>
    </row>
    <row r="468" customFormat="false" ht="12.8" hidden="false" customHeight="false" outlineLevel="0" collapsed="false">
      <c r="A468" s="0" t="s">
        <v>6107</v>
      </c>
      <c r="B468" s="0" t="s">
        <v>6108</v>
      </c>
      <c r="C468" s="0" t="s">
        <v>277</v>
      </c>
      <c r="D468" s="0" t="s">
        <v>5061</v>
      </c>
      <c r="E468" s="0" t="s">
        <v>5062</v>
      </c>
      <c r="F468" s="0" t="s">
        <v>5062</v>
      </c>
      <c r="G468" s="0" t="s">
        <v>1155</v>
      </c>
      <c r="H468" s="0" t="s">
        <v>5065</v>
      </c>
      <c r="I468" s="0" t="s">
        <v>6105</v>
      </c>
      <c r="J468" s="0" t="s">
        <v>6106</v>
      </c>
      <c r="K468" s="0" t="s">
        <v>5776</v>
      </c>
    </row>
    <row r="469" customFormat="false" ht="12.8" hidden="false" customHeight="false" outlineLevel="0" collapsed="false">
      <c r="A469" s="0" t="s">
        <v>6109</v>
      </c>
      <c r="B469" s="0" t="s">
        <v>6110</v>
      </c>
      <c r="C469" s="0" t="s">
        <v>277</v>
      </c>
      <c r="D469" s="0" t="s">
        <v>5023</v>
      </c>
      <c r="E469" s="0" t="s">
        <v>5024</v>
      </c>
      <c r="F469" s="0" t="s">
        <v>5024</v>
      </c>
      <c r="G469" s="0" t="s">
        <v>1155</v>
      </c>
      <c r="H469" s="0" t="s">
        <v>5065</v>
      </c>
      <c r="I469" s="0" t="s">
        <v>6105</v>
      </c>
      <c r="J469" s="0" t="s">
        <v>6106</v>
      </c>
      <c r="K469" s="0" t="s">
        <v>5776</v>
      </c>
    </row>
    <row r="470" customFormat="false" ht="12.8" hidden="false" customHeight="false" outlineLevel="0" collapsed="false">
      <c r="A470" s="0" t="s">
        <v>6111</v>
      </c>
      <c r="B470" s="0" t="s">
        <v>6112</v>
      </c>
      <c r="C470" s="0" t="s">
        <v>277</v>
      </c>
      <c r="D470" s="0" t="s">
        <v>5023</v>
      </c>
      <c r="E470" s="0" t="s">
        <v>5024</v>
      </c>
      <c r="F470" s="0" t="s">
        <v>5024</v>
      </c>
      <c r="G470" s="0" t="s">
        <v>1155</v>
      </c>
      <c r="H470" s="0" t="s">
        <v>5065</v>
      </c>
      <c r="I470" s="0" t="s">
        <v>6105</v>
      </c>
      <c r="J470" s="0" t="s">
        <v>6106</v>
      </c>
      <c r="K470" s="0" t="s">
        <v>5776</v>
      </c>
    </row>
    <row r="471" customFormat="false" ht="12.8" hidden="false" customHeight="false" outlineLevel="0" collapsed="false">
      <c r="A471" s="0" t="s">
        <v>6113</v>
      </c>
      <c r="B471" s="0" t="s">
        <v>6114</v>
      </c>
      <c r="C471" s="0" t="s">
        <v>336</v>
      </c>
      <c r="D471" s="0" t="s">
        <v>5023</v>
      </c>
      <c r="E471" s="0" t="s">
        <v>5024</v>
      </c>
      <c r="F471" s="0" t="s">
        <v>5024</v>
      </c>
      <c r="G471" s="0" t="s">
        <v>1155</v>
      </c>
      <c r="H471" s="0" t="s">
        <v>5065</v>
      </c>
      <c r="I471" s="0" t="s">
        <v>6115</v>
      </c>
      <c r="J471" s="0" t="s">
        <v>6116</v>
      </c>
      <c r="K471" s="0" t="s">
        <v>5260</v>
      </c>
    </row>
    <row r="472" customFormat="false" ht="12.8" hidden="false" customHeight="false" outlineLevel="0" collapsed="false">
      <c r="A472" s="0" t="s">
        <v>6117</v>
      </c>
      <c r="B472" s="0" t="s">
        <v>6118</v>
      </c>
      <c r="C472" s="0" t="s">
        <v>336</v>
      </c>
      <c r="D472" s="0" t="s">
        <v>5023</v>
      </c>
      <c r="E472" s="0" t="s">
        <v>5024</v>
      </c>
      <c r="F472" s="0" t="s">
        <v>5024</v>
      </c>
      <c r="G472" s="0" t="s">
        <v>1155</v>
      </c>
      <c r="H472" s="0" t="s">
        <v>5065</v>
      </c>
      <c r="I472" s="0" t="s">
        <v>6115</v>
      </c>
      <c r="J472" s="0" t="s">
        <v>6116</v>
      </c>
      <c r="K472" s="0" t="s">
        <v>5260</v>
      </c>
    </row>
    <row r="473" customFormat="false" ht="12.8" hidden="false" customHeight="false" outlineLevel="0" collapsed="false">
      <c r="A473" s="0" t="s">
        <v>6119</v>
      </c>
      <c r="B473" s="0" t="s">
        <v>6120</v>
      </c>
      <c r="C473" s="0" t="s">
        <v>336</v>
      </c>
      <c r="D473" s="0" t="s">
        <v>5023</v>
      </c>
      <c r="E473" s="0" t="s">
        <v>5024</v>
      </c>
      <c r="F473" s="0" t="s">
        <v>5024</v>
      </c>
      <c r="G473" s="0" t="s">
        <v>1155</v>
      </c>
      <c r="H473" s="0" t="s">
        <v>5065</v>
      </c>
      <c r="I473" s="0" t="s">
        <v>6115</v>
      </c>
      <c r="J473" s="0" t="s">
        <v>6116</v>
      </c>
      <c r="K473" s="0" t="s">
        <v>5260</v>
      </c>
    </row>
    <row r="474" customFormat="false" ht="12.8" hidden="false" customHeight="false" outlineLevel="0" collapsed="false">
      <c r="A474" s="0" t="s">
        <v>6121</v>
      </c>
      <c r="B474" s="0" t="s">
        <v>6122</v>
      </c>
      <c r="C474" s="0" t="s">
        <v>336</v>
      </c>
      <c r="D474" s="0" t="s">
        <v>5023</v>
      </c>
      <c r="E474" s="0" t="s">
        <v>5024</v>
      </c>
      <c r="F474" s="0" t="s">
        <v>5024</v>
      </c>
      <c r="G474" s="0" t="s">
        <v>1155</v>
      </c>
      <c r="H474" s="0" t="s">
        <v>5065</v>
      </c>
      <c r="I474" s="0" t="s">
        <v>6115</v>
      </c>
      <c r="J474" s="0" t="s">
        <v>6116</v>
      </c>
      <c r="K474" s="0" t="s">
        <v>5260</v>
      </c>
    </row>
    <row r="475" customFormat="false" ht="12.8" hidden="false" customHeight="false" outlineLevel="0" collapsed="false">
      <c r="A475" s="0" t="s">
        <v>6123</v>
      </c>
      <c r="B475" s="0" t="s">
        <v>6124</v>
      </c>
      <c r="C475" s="0" t="s">
        <v>336</v>
      </c>
      <c r="D475" s="0" t="s">
        <v>5057</v>
      </c>
      <c r="E475" s="0" t="s">
        <v>5058</v>
      </c>
      <c r="F475" s="0" t="s">
        <v>5058</v>
      </c>
      <c r="G475" s="0" t="s">
        <v>1155</v>
      </c>
      <c r="H475" s="0" t="s">
        <v>5065</v>
      </c>
      <c r="I475" s="0" t="s">
        <v>6115</v>
      </c>
      <c r="J475" s="0" t="s">
        <v>6116</v>
      </c>
      <c r="K475" s="0" t="s">
        <v>5260</v>
      </c>
    </row>
    <row r="476" customFormat="false" ht="12.8" hidden="false" customHeight="false" outlineLevel="0" collapsed="false">
      <c r="A476" s="0" t="s">
        <v>6125</v>
      </c>
      <c r="B476" s="0" t="s">
        <v>6126</v>
      </c>
      <c r="C476" s="0" t="s">
        <v>336</v>
      </c>
      <c r="D476" s="0" t="s">
        <v>5061</v>
      </c>
      <c r="E476" s="0" t="s">
        <v>5062</v>
      </c>
      <c r="F476" s="0" t="s">
        <v>5062</v>
      </c>
      <c r="G476" s="0" t="s">
        <v>1155</v>
      </c>
      <c r="H476" s="0" t="s">
        <v>5065</v>
      </c>
      <c r="I476" s="0" t="s">
        <v>6115</v>
      </c>
      <c r="J476" s="0" t="s">
        <v>6116</v>
      </c>
      <c r="K476" s="0" t="s">
        <v>5260</v>
      </c>
    </row>
    <row r="477" customFormat="false" ht="12.8" hidden="false" customHeight="false" outlineLevel="0" collapsed="false">
      <c r="A477" s="0" t="s">
        <v>6127</v>
      </c>
      <c r="B477" s="0" t="s">
        <v>6128</v>
      </c>
      <c r="C477" s="0" t="s">
        <v>348</v>
      </c>
      <c r="D477" s="0" t="s">
        <v>5023</v>
      </c>
      <c r="E477" s="0" t="s">
        <v>5024</v>
      </c>
      <c r="F477" s="0" t="s">
        <v>5024</v>
      </c>
      <c r="G477" s="0" t="s">
        <v>1155</v>
      </c>
      <c r="H477" s="0" t="s">
        <v>1572</v>
      </c>
      <c r="I477" s="0" t="s">
        <v>6129</v>
      </c>
      <c r="J477" s="0" t="s">
        <v>6130</v>
      </c>
      <c r="K477" s="444" t="s">
        <v>6131</v>
      </c>
    </row>
    <row r="478" customFormat="false" ht="12.8" hidden="false" customHeight="false" outlineLevel="0" collapsed="false">
      <c r="A478" s="0" t="s">
        <v>6132</v>
      </c>
      <c r="B478" s="0" t="s">
        <v>6133</v>
      </c>
      <c r="C478" s="0" t="s">
        <v>348</v>
      </c>
      <c r="D478" s="0" t="s">
        <v>5023</v>
      </c>
      <c r="E478" s="0" t="s">
        <v>5024</v>
      </c>
      <c r="F478" s="0" t="s">
        <v>5024</v>
      </c>
      <c r="G478" s="0" t="s">
        <v>1155</v>
      </c>
      <c r="H478" s="0" t="s">
        <v>1572</v>
      </c>
      <c r="I478" s="0" t="s">
        <v>6129</v>
      </c>
      <c r="J478" s="0" t="s">
        <v>6130</v>
      </c>
      <c r="K478" s="444" t="s">
        <v>6131</v>
      </c>
    </row>
    <row r="479" customFormat="false" ht="12.8" hidden="false" customHeight="false" outlineLevel="0" collapsed="false">
      <c r="A479" s="0" t="s">
        <v>6134</v>
      </c>
      <c r="B479" s="0" t="s">
        <v>6135</v>
      </c>
      <c r="C479" s="0" t="s">
        <v>348</v>
      </c>
      <c r="D479" s="0" t="s">
        <v>5023</v>
      </c>
      <c r="E479" s="0" t="s">
        <v>5024</v>
      </c>
      <c r="F479" s="0" t="s">
        <v>5024</v>
      </c>
      <c r="G479" s="0" t="s">
        <v>1155</v>
      </c>
      <c r="H479" s="0" t="s">
        <v>1572</v>
      </c>
      <c r="I479" s="0" t="s">
        <v>6129</v>
      </c>
      <c r="J479" s="0" t="s">
        <v>6130</v>
      </c>
      <c r="K479" s="444" t="s">
        <v>6131</v>
      </c>
    </row>
    <row r="480" customFormat="false" ht="12.8" hidden="false" customHeight="false" outlineLevel="0" collapsed="false">
      <c r="A480" s="0" t="s">
        <v>6136</v>
      </c>
      <c r="B480" s="0" t="s">
        <v>6137</v>
      </c>
      <c r="C480" s="0" t="s">
        <v>348</v>
      </c>
      <c r="D480" s="0" t="s">
        <v>5023</v>
      </c>
      <c r="E480" s="0" t="s">
        <v>5024</v>
      </c>
      <c r="F480" s="0" t="s">
        <v>5024</v>
      </c>
      <c r="G480" s="0" t="s">
        <v>1155</v>
      </c>
      <c r="H480" s="0" t="s">
        <v>1572</v>
      </c>
      <c r="I480" s="0" t="s">
        <v>6129</v>
      </c>
      <c r="J480" s="0" t="s">
        <v>6130</v>
      </c>
      <c r="K480" s="444" t="s">
        <v>6131</v>
      </c>
    </row>
    <row r="481" customFormat="false" ht="12.8" hidden="false" customHeight="false" outlineLevel="0" collapsed="false">
      <c r="A481" s="0" t="s">
        <v>6138</v>
      </c>
      <c r="B481" s="0" t="s">
        <v>6139</v>
      </c>
      <c r="C481" s="0" t="s">
        <v>348</v>
      </c>
      <c r="D481" s="0" t="s">
        <v>5023</v>
      </c>
      <c r="E481" s="0" t="s">
        <v>5024</v>
      </c>
      <c r="F481" s="0" t="s">
        <v>5024</v>
      </c>
      <c r="G481" s="0" t="s">
        <v>1155</v>
      </c>
      <c r="H481" s="0" t="s">
        <v>1572</v>
      </c>
      <c r="I481" s="0" t="s">
        <v>6129</v>
      </c>
      <c r="J481" s="0" t="s">
        <v>6130</v>
      </c>
      <c r="K481" s="444" t="s">
        <v>6131</v>
      </c>
    </row>
    <row r="482" customFormat="false" ht="12.8" hidden="false" customHeight="false" outlineLevel="0" collapsed="false">
      <c r="A482" s="0" t="s">
        <v>6140</v>
      </c>
      <c r="B482" s="0" t="s">
        <v>6141</v>
      </c>
      <c r="C482" s="0" t="s">
        <v>348</v>
      </c>
      <c r="D482" s="0" t="s">
        <v>5023</v>
      </c>
      <c r="E482" s="0" t="s">
        <v>5024</v>
      </c>
      <c r="F482" s="0" t="s">
        <v>5024</v>
      </c>
      <c r="G482" s="0" t="s">
        <v>1155</v>
      </c>
      <c r="H482" s="0" t="s">
        <v>1572</v>
      </c>
      <c r="I482" s="0" t="s">
        <v>6129</v>
      </c>
      <c r="J482" s="0" t="s">
        <v>6130</v>
      </c>
      <c r="K482" s="444" t="s">
        <v>6131</v>
      </c>
    </row>
    <row r="483" customFormat="false" ht="12.8" hidden="false" customHeight="false" outlineLevel="0" collapsed="false">
      <c r="A483" s="0" t="s">
        <v>6142</v>
      </c>
      <c r="B483" s="0" t="s">
        <v>6143</v>
      </c>
      <c r="C483" s="0" t="s">
        <v>348</v>
      </c>
      <c r="D483" s="0" t="s">
        <v>5023</v>
      </c>
      <c r="E483" s="0" t="s">
        <v>5024</v>
      </c>
      <c r="F483" s="0" t="s">
        <v>5024</v>
      </c>
      <c r="G483" s="0" t="s">
        <v>1155</v>
      </c>
      <c r="H483" s="0" t="s">
        <v>1572</v>
      </c>
      <c r="I483" s="0" t="s">
        <v>6129</v>
      </c>
      <c r="J483" s="0" t="s">
        <v>6130</v>
      </c>
      <c r="K483" s="444" t="s">
        <v>6131</v>
      </c>
    </row>
    <row r="484" customFormat="false" ht="12.8" hidden="false" customHeight="false" outlineLevel="0" collapsed="false">
      <c r="A484" s="0" t="s">
        <v>6144</v>
      </c>
      <c r="B484" s="0" t="s">
        <v>6145</v>
      </c>
      <c r="C484" s="0" t="s">
        <v>348</v>
      </c>
      <c r="D484" s="0" t="s">
        <v>5023</v>
      </c>
      <c r="E484" s="0" t="s">
        <v>5024</v>
      </c>
      <c r="F484" s="0" t="s">
        <v>5024</v>
      </c>
      <c r="G484" s="0" t="s">
        <v>1155</v>
      </c>
      <c r="H484" s="0" t="s">
        <v>1572</v>
      </c>
      <c r="I484" s="0" t="s">
        <v>6129</v>
      </c>
      <c r="J484" s="0" t="s">
        <v>6130</v>
      </c>
      <c r="K484" s="444" t="s">
        <v>6131</v>
      </c>
    </row>
    <row r="485" customFormat="false" ht="12.8" hidden="false" customHeight="false" outlineLevel="0" collapsed="false">
      <c r="A485" s="0" t="s">
        <v>6146</v>
      </c>
      <c r="B485" s="0" t="s">
        <v>6147</v>
      </c>
      <c r="C485" s="0" t="s">
        <v>348</v>
      </c>
      <c r="D485" s="0" t="s">
        <v>5023</v>
      </c>
      <c r="E485" s="0" t="s">
        <v>5024</v>
      </c>
      <c r="F485" s="0" t="s">
        <v>5024</v>
      </c>
      <c r="G485" s="0" t="s">
        <v>1155</v>
      </c>
      <c r="H485" s="0" t="s">
        <v>1572</v>
      </c>
      <c r="I485" s="0" t="s">
        <v>6129</v>
      </c>
      <c r="J485" s="0" t="s">
        <v>6130</v>
      </c>
      <c r="K485" s="444" t="s">
        <v>6131</v>
      </c>
    </row>
    <row r="486" customFormat="false" ht="12.8" hidden="false" customHeight="false" outlineLevel="0" collapsed="false">
      <c r="A486" s="0" t="s">
        <v>6148</v>
      </c>
      <c r="B486" s="0" t="s">
        <v>6149</v>
      </c>
      <c r="C486" s="0" t="s">
        <v>348</v>
      </c>
      <c r="D486" s="0" t="s">
        <v>5023</v>
      </c>
      <c r="E486" s="0" t="s">
        <v>5024</v>
      </c>
      <c r="F486" s="0" t="s">
        <v>5024</v>
      </c>
      <c r="G486" s="0" t="s">
        <v>1155</v>
      </c>
      <c r="H486" s="0" t="s">
        <v>1572</v>
      </c>
      <c r="I486" s="0" t="s">
        <v>6129</v>
      </c>
      <c r="J486" s="0" t="s">
        <v>6130</v>
      </c>
      <c r="K486" s="444" t="s">
        <v>6131</v>
      </c>
    </row>
    <row r="487" customFormat="false" ht="12.8" hidden="false" customHeight="false" outlineLevel="0" collapsed="false">
      <c r="A487" s="0" t="s">
        <v>6150</v>
      </c>
      <c r="B487" s="0" t="s">
        <v>6151</v>
      </c>
      <c r="C487" s="0" t="s">
        <v>348</v>
      </c>
      <c r="D487" s="0" t="s">
        <v>5023</v>
      </c>
      <c r="E487" s="0" t="s">
        <v>5024</v>
      </c>
      <c r="F487" s="0" t="s">
        <v>5024</v>
      </c>
      <c r="G487" s="0" t="s">
        <v>1155</v>
      </c>
      <c r="H487" s="0" t="s">
        <v>1572</v>
      </c>
      <c r="I487" s="0" t="s">
        <v>6129</v>
      </c>
      <c r="J487" s="0" t="s">
        <v>6130</v>
      </c>
      <c r="K487" s="444" t="s">
        <v>6131</v>
      </c>
    </row>
    <row r="488" customFormat="false" ht="12.8" hidden="false" customHeight="false" outlineLevel="0" collapsed="false">
      <c r="A488" s="0" t="s">
        <v>6152</v>
      </c>
      <c r="B488" s="0" t="s">
        <v>6153</v>
      </c>
      <c r="C488" s="0" t="s">
        <v>348</v>
      </c>
      <c r="D488" s="0" t="s">
        <v>5023</v>
      </c>
      <c r="E488" s="0" t="s">
        <v>5024</v>
      </c>
      <c r="F488" s="0" t="s">
        <v>5024</v>
      </c>
      <c r="G488" s="0" t="s">
        <v>1155</v>
      </c>
      <c r="H488" s="0" t="s">
        <v>1572</v>
      </c>
      <c r="I488" s="0" t="s">
        <v>6129</v>
      </c>
      <c r="J488" s="0" t="s">
        <v>6130</v>
      </c>
      <c r="K488" s="444" t="s">
        <v>6131</v>
      </c>
    </row>
    <row r="489" customFormat="false" ht="12.8" hidden="false" customHeight="false" outlineLevel="0" collapsed="false">
      <c r="A489" s="0" t="s">
        <v>6154</v>
      </c>
      <c r="B489" s="0" t="s">
        <v>6155</v>
      </c>
      <c r="C489" s="0" t="s">
        <v>348</v>
      </c>
      <c r="D489" s="0" t="s">
        <v>5023</v>
      </c>
      <c r="E489" s="0" t="s">
        <v>5024</v>
      </c>
      <c r="F489" s="0" t="s">
        <v>5024</v>
      </c>
      <c r="G489" s="0" t="s">
        <v>1155</v>
      </c>
      <c r="H489" s="0" t="s">
        <v>1572</v>
      </c>
      <c r="I489" s="0" t="s">
        <v>6129</v>
      </c>
      <c r="J489" s="0" t="s">
        <v>6130</v>
      </c>
      <c r="K489" s="444" t="s">
        <v>6131</v>
      </c>
    </row>
    <row r="490" customFormat="false" ht="12.8" hidden="false" customHeight="false" outlineLevel="0" collapsed="false">
      <c r="A490" s="0" t="s">
        <v>6156</v>
      </c>
      <c r="B490" s="0" t="s">
        <v>6157</v>
      </c>
      <c r="C490" s="0" t="s">
        <v>348</v>
      </c>
      <c r="D490" s="0" t="s">
        <v>5057</v>
      </c>
      <c r="E490" s="0" t="s">
        <v>5058</v>
      </c>
      <c r="F490" s="0" t="s">
        <v>5058</v>
      </c>
      <c r="G490" s="0" t="s">
        <v>1155</v>
      </c>
      <c r="H490" s="0" t="s">
        <v>1572</v>
      </c>
      <c r="I490" s="0" t="s">
        <v>6129</v>
      </c>
      <c r="J490" s="0" t="s">
        <v>6130</v>
      </c>
      <c r="K490" s="444" t="s">
        <v>6131</v>
      </c>
    </row>
    <row r="491" customFormat="false" ht="12.8" hidden="false" customHeight="false" outlineLevel="0" collapsed="false">
      <c r="A491" s="0" t="s">
        <v>6158</v>
      </c>
      <c r="B491" s="0" t="s">
        <v>6159</v>
      </c>
      <c r="C491" s="0" t="s">
        <v>348</v>
      </c>
      <c r="D491" s="0" t="s">
        <v>5061</v>
      </c>
      <c r="E491" s="0" t="s">
        <v>5062</v>
      </c>
      <c r="F491" s="0" t="s">
        <v>5062</v>
      </c>
      <c r="G491" s="0" t="s">
        <v>1155</v>
      </c>
      <c r="H491" s="0" t="s">
        <v>1572</v>
      </c>
      <c r="I491" s="0" t="s">
        <v>6129</v>
      </c>
      <c r="J491" s="0" t="s">
        <v>6130</v>
      </c>
      <c r="K491" s="444" t="s">
        <v>6131</v>
      </c>
    </row>
    <row r="492" customFormat="false" ht="12.8" hidden="false" customHeight="false" outlineLevel="0" collapsed="false">
      <c r="A492" s="0" t="s">
        <v>6160</v>
      </c>
      <c r="B492" s="0" t="s">
        <v>6161</v>
      </c>
      <c r="C492" s="0" t="s">
        <v>349</v>
      </c>
      <c r="D492" s="0" t="s">
        <v>5023</v>
      </c>
      <c r="E492" s="0" t="s">
        <v>5024</v>
      </c>
      <c r="F492" s="0" t="s">
        <v>5024</v>
      </c>
      <c r="G492" s="0" t="s">
        <v>1155</v>
      </c>
      <c r="H492" s="0" t="s">
        <v>1572</v>
      </c>
      <c r="I492" s="0" t="s">
        <v>6162</v>
      </c>
      <c r="J492" s="0" t="s">
        <v>6163</v>
      </c>
      <c r="K492" s="0" t="s">
        <v>5260</v>
      </c>
    </row>
    <row r="493" customFormat="false" ht="12.8" hidden="false" customHeight="false" outlineLevel="0" collapsed="false">
      <c r="A493" s="0" t="s">
        <v>6164</v>
      </c>
      <c r="B493" s="0" t="s">
        <v>6165</v>
      </c>
      <c r="C493" s="0" t="s">
        <v>349</v>
      </c>
      <c r="D493" s="0" t="s">
        <v>5023</v>
      </c>
      <c r="E493" s="0" t="s">
        <v>5024</v>
      </c>
      <c r="F493" s="0" t="s">
        <v>5024</v>
      </c>
      <c r="G493" s="0" t="s">
        <v>1155</v>
      </c>
      <c r="H493" s="0" t="s">
        <v>1572</v>
      </c>
      <c r="I493" s="0" t="s">
        <v>6162</v>
      </c>
      <c r="J493" s="0" t="s">
        <v>6163</v>
      </c>
      <c r="K493" s="0" t="s">
        <v>5260</v>
      </c>
    </row>
    <row r="494" customFormat="false" ht="12.8" hidden="false" customHeight="false" outlineLevel="0" collapsed="false">
      <c r="A494" s="0" t="s">
        <v>6166</v>
      </c>
      <c r="B494" s="0" t="s">
        <v>6167</v>
      </c>
      <c r="C494" s="0" t="s">
        <v>349</v>
      </c>
      <c r="D494" s="0" t="s">
        <v>5023</v>
      </c>
      <c r="E494" s="0" t="s">
        <v>5024</v>
      </c>
      <c r="F494" s="0" t="s">
        <v>5024</v>
      </c>
      <c r="G494" s="0" t="s">
        <v>1155</v>
      </c>
      <c r="H494" s="0" t="s">
        <v>1572</v>
      </c>
      <c r="I494" s="0" t="s">
        <v>6162</v>
      </c>
      <c r="J494" s="0" t="s">
        <v>6163</v>
      </c>
      <c r="K494" s="0" t="s">
        <v>5260</v>
      </c>
    </row>
    <row r="495" customFormat="false" ht="12.8" hidden="false" customHeight="false" outlineLevel="0" collapsed="false">
      <c r="A495" s="0" t="s">
        <v>6168</v>
      </c>
      <c r="B495" s="0" t="s">
        <v>6169</v>
      </c>
      <c r="C495" s="0" t="s">
        <v>349</v>
      </c>
      <c r="D495" s="0" t="s">
        <v>5061</v>
      </c>
      <c r="E495" s="0" t="s">
        <v>5062</v>
      </c>
      <c r="F495" s="0" t="s">
        <v>5062</v>
      </c>
      <c r="G495" s="0" t="s">
        <v>1155</v>
      </c>
      <c r="H495" s="0" t="s">
        <v>1572</v>
      </c>
      <c r="I495" s="0" t="s">
        <v>6162</v>
      </c>
      <c r="J495" s="0" t="s">
        <v>6163</v>
      </c>
      <c r="K495" s="0" t="s">
        <v>5260</v>
      </c>
    </row>
    <row r="496" customFormat="false" ht="12.8" hidden="false" customHeight="false" outlineLevel="0" collapsed="false">
      <c r="A496" s="0" t="s">
        <v>6170</v>
      </c>
      <c r="B496" s="0" t="s">
        <v>6171</v>
      </c>
      <c r="C496" s="0" t="s">
        <v>350</v>
      </c>
      <c r="D496" s="0" t="s">
        <v>5023</v>
      </c>
      <c r="E496" s="0" t="s">
        <v>5024</v>
      </c>
      <c r="F496" s="0" t="s">
        <v>5024</v>
      </c>
      <c r="G496" s="0" t="s">
        <v>1155</v>
      </c>
      <c r="H496" s="0" t="s">
        <v>1572</v>
      </c>
      <c r="I496" s="0" t="s">
        <v>6172</v>
      </c>
      <c r="J496" s="0" t="s">
        <v>6173</v>
      </c>
      <c r="K496" s="0" t="s">
        <v>5260</v>
      </c>
    </row>
    <row r="497" customFormat="false" ht="12.8" hidden="false" customHeight="false" outlineLevel="0" collapsed="false">
      <c r="A497" s="0" t="s">
        <v>6174</v>
      </c>
      <c r="B497" s="0" t="s">
        <v>6175</v>
      </c>
      <c r="C497" s="0" t="s">
        <v>350</v>
      </c>
      <c r="D497" s="0" t="s">
        <v>5023</v>
      </c>
      <c r="E497" s="0" t="s">
        <v>5024</v>
      </c>
      <c r="F497" s="0" t="s">
        <v>5024</v>
      </c>
      <c r="G497" s="0" t="s">
        <v>1155</v>
      </c>
      <c r="H497" s="0" t="s">
        <v>1572</v>
      </c>
      <c r="I497" s="0" t="s">
        <v>6172</v>
      </c>
      <c r="J497" s="0" t="s">
        <v>6173</v>
      </c>
      <c r="K497" s="0" t="s">
        <v>5260</v>
      </c>
    </row>
    <row r="498" customFormat="false" ht="12.8" hidden="false" customHeight="false" outlineLevel="0" collapsed="false">
      <c r="A498" s="0" t="s">
        <v>6176</v>
      </c>
      <c r="B498" s="0" t="s">
        <v>6177</v>
      </c>
      <c r="C498" s="0" t="s">
        <v>350</v>
      </c>
      <c r="D498" s="0" t="s">
        <v>5023</v>
      </c>
      <c r="E498" s="0" t="s">
        <v>5024</v>
      </c>
      <c r="F498" s="0" t="s">
        <v>5024</v>
      </c>
      <c r="G498" s="0" t="s">
        <v>1155</v>
      </c>
      <c r="H498" s="0" t="s">
        <v>1572</v>
      </c>
      <c r="I498" s="0" t="s">
        <v>6172</v>
      </c>
      <c r="J498" s="0" t="s">
        <v>6173</v>
      </c>
      <c r="K498" s="0" t="s">
        <v>5260</v>
      </c>
    </row>
    <row r="499" customFormat="false" ht="12.8" hidden="false" customHeight="false" outlineLevel="0" collapsed="false">
      <c r="A499" s="0" t="s">
        <v>6178</v>
      </c>
      <c r="B499" s="0" t="s">
        <v>6179</v>
      </c>
      <c r="C499" s="0" t="s">
        <v>350</v>
      </c>
      <c r="D499" s="0" t="s">
        <v>5061</v>
      </c>
      <c r="E499" s="0" t="s">
        <v>5062</v>
      </c>
      <c r="F499" s="0" t="s">
        <v>5062</v>
      </c>
      <c r="G499" s="0" t="s">
        <v>1155</v>
      </c>
      <c r="H499" s="0" t="s">
        <v>1572</v>
      </c>
      <c r="I499" s="0" t="s">
        <v>6172</v>
      </c>
      <c r="J499" s="0" t="s">
        <v>6173</v>
      </c>
      <c r="K499" s="0" t="s">
        <v>5260</v>
      </c>
    </row>
    <row r="500" customFormat="false" ht="12.8" hidden="false" customHeight="false" outlineLevel="0" collapsed="false">
      <c r="A500" s="0" t="s">
        <v>6180</v>
      </c>
      <c r="B500" s="0" t="s">
        <v>6181</v>
      </c>
      <c r="C500" s="0" t="s">
        <v>351</v>
      </c>
      <c r="D500" s="0" t="s">
        <v>5057</v>
      </c>
      <c r="E500" s="0" t="s">
        <v>5058</v>
      </c>
      <c r="F500" s="0" t="s">
        <v>5058</v>
      </c>
      <c r="G500" s="0" t="s">
        <v>1155</v>
      </c>
      <c r="H500" s="0" t="s">
        <v>1572</v>
      </c>
      <c r="I500" s="0" t="s">
        <v>6182</v>
      </c>
      <c r="J500" s="0" t="s">
        <v>6183</v>
      </c>
      <c r="K500" s="0" t="s">
        <v>5291</v>
      </c>
    </row>
    <row r="501" customFormat="false" ht="12.8" hidden="false" customHeight="false" outlineLevel="0" collapsed="false">
      <c r="A501" s="0" t="s">
        <v>6184</v>
      </c>
      <c r="B501" s="0" t="s">
        <v>6185</v>
      </c>
      <c r="C501" s="0" t="s">
        <v>351</v>
      </c>
      <c r="D501" s="0" t="s">
        <v>5061</v>
      </c>
      <c r="E501" s="0" t="s">
        <v>5062</v>
      </c>
      <c r="F501" s="0" t="s">
        <v>5062</v>
      </c>
      <c r="G501" s="0" t="s">
        <v>1155</v>
      </c>
      <c r="H501" s="0" t="s">
        <v>1572</v>
      </c>
      <c r="I501" s="0" t="s">
        <v>6182</v>
      </c>
      <c r="J501" s="0" t="s">
        <v>6183</v>
      </c>
      <c r="K501" s="0" t="s">
        <v>5291</v>
      </c>
    </row>
    <row r="502" customFormat="false" ht="12.8" hidden="false" customHeight="false" outlineLevel="0" collapsed="false">
      <c r="A502" s="0" t="s">
        <v>6186</v>
      </c>
      <c r="B502" s="0" t="s">
        <v>6187</v>
      </c>
      <c r="C502" s="0" t="s">
        <v>351</v>
      </c>
      <c r="D502" s="0" t="s">
        <v>5023</v>
      </c>
      <c r="E502" s="0" t="s">
        <v>5024</v>
      </c>
      <c r="F502" s="0" t="s">
        <v>5024</v>
      </c>
      <c r="G502" s="0" t="s">
        <v>1155</v>
      </c>
      <c r="H502" s="0" t="s">
        <v>1572</v>
      </c>
      <c r="I502" s="0" t="s">
        <v>6182</v>
      </c>
      <c r="J502" s="0" t="s">
        <v>6183</v>
      </c>
      <c r="K502" s="0" t="s">
        <v>5291</v>
      </c>
    </row>
    <row r="503" customFormat="false" ht="12.8" hidden="false" customHeight="false" outlineLevel="0" collapsed="false">
      <c r="A503" s="0" t="s">
        <v>6188</v>
      </c>
      <c r="B503" s="0" t="s">
        <v>6189</v>
      </c>
      <c r="C503" s="0" t="s">
        <v>351</v>
      </c>
      <c r="D503" s="0" t="s">
        <v>5023</v>
      </c>
      <c r="E503" s="0" t="s">
        <v>5024</v>
      </c>
      <c r="F503" s="0" t="s">
        <v>5024</v>
      </c>
      <c r="G503" s="0" t="s">
        <v>1155</v>
      </c>
      <c r="H503" s="0" t="s">
        <v>1572</v>
      </c>
      <c r="I503" s="0" t="s">
        <v>6182</v>
      </c>
      <c r="J503" s="0" t="s">
        <v>6183</v>
      </c>
      <c r="K503" s="0" t="s">
        <v>5291</v>
      </c>
    </row>
    <row r="504" customFormat="false" ht="12.8" hidden="false" customHeight="false" outlineLevel="0" collapsed="false">
      <c r="A504" s="0" t="s">
        <v>6190</v>
      </c>
      <c r="B504" s="0" t="s">
        <v>6191</v>
      </c>
      <c r="C504" s="0" t="s">
        <v>351</v>
      </c>
      <c r="D504" s="0" t="s">
        <v>5023</v>
      </c>
      <c r="E504" s="0" t="s">
        <v>5024</v>
      </c>
      <c r="F504" s="0" t="s">
        <v>5024</v>
      </c>
      <c r="G504" s="0" t="s">
        <v>1155</v>
      </c>
      <c r="H504" s="0" t="s">
        <v>1572</v>
      </c>
      <c r="I504" s="0" t="s">
        <v>6182</v>
      </c>
      <c r="J504" s="0" t="s">
        <v>6183</v>
      </c>
      <c r="K504" s="0" t="s">
        <v>5291</v>
      </c>
    </row>
    <row r="505" customFormat="false" ht="12.8" hidden="false" customHeight="false" outlineLevel="0" collapsed="false">
      <c r="A505" s="0" t="s">
        <v>6192</v>
      </c>
      <c r="B505" s="0" t="s">
        <v>6193</v>
      </c>
      <c r="C505" s="0" t="s">
        <v>421</v>
      </c>
      <c r="D505" s="0" t="s">
        <v>5023</v>
      </c>
      <c r="E505" s="0" t="s">
        <v>5024</v>
      </c>
      <c r="F505" s="0" t="s">
        <v>5024</v>
      </c>
      <c r="G505" s="0" t="s">
        <v>1155</v>
      </c>
      <c r="H505" s="0" t="s">
        <v>5065</v>
      </c>
      <c r="I505" s="0" t="s">
        <v>6194</v>
      </c>
      <c r="J505" s="0" t="s">
        <v>6195</v>
      </c>
      <c r="K505" s="0" t="s">
        <v>5260</v>
      </c>
    </row>
    <row r="506" customFormat="false" ht="12.8" hidden="false" customHeight="false" outlineLevel="0" collapsed="false">
      <c r="A506" s="0" t="s">
        <v>6196</v>
      </c>
      <c r="B506" s="0" t="s">
        <v>6197</v>
      </c>
      <c r="C506" s="0" t="s">
        <v>421</v>
      </c>
      <c r="D506" s="0" t="s">
        <v>5023</v>
      </c>
      <c r="E506" s="0" t="s">
        <v>5024</v>
      </c>
      <c r="F506" s="0" t="s">
        <v>5024</v>
      </c>
      <c r="G506" s="0" t="s">
        <v>1155</v>
      </c>
      <c r="H506" s="0" t="s">
        <v>5065</v>
      </c>
      <c r="I506" s="0" t="s">
        <v>6194</v>
      </c>
      <c r="J506" s="0" t="s">
        <v>6195</v>
      </c>
      <c r="K506" s="0" t="s">
        <v>5260</v>
      </c>
    </row>
    <row r="507" customFormat="false" ht="12.8" hidden="false" customHeight="false" outlineLevel="0" collapsed="false">
      <c r="A507" s="0" t="s">
        <v>6198</v>
      </c>
      <c r="B507" s="0" t="s">
        <v>6199</v>
      </c>
      <c r="C507" s="0" t="s">
        <v>421</v>
      </c>
      <c r="D507" s="0" t="s">
        <v>5023</v>
      </c>
      <c r="E507" s="0" t="s">
        <v>5024</v>
      </c>
      <c r="F507" s="0" t="s">
        <v>5024</v>
      </c>
      <c r="G507" s="0" t="s">
        <v>1155</v>
      </c>
      <c r="H507" s="0" t="s">
        <v>5065</v>
      </c>
      <c r="I507" s="0" t="s">
        <v>6194</v>
      </c>
      <c r="J507" s="0" t="s">
        <v>6195</v>
      </c>
      <c r="K507" s="0" t="s">
        <v>5260</v>
      </c>
    </row>
    <row r="508" customFormat="false" ht="12.8" hidden="false" customHeight="false" outlineLevel="0" collapsed="false">
      <c r="A508" s="0" t="s">
        <v>6200</v>
      </c>
      <c r="B508" s="0" t="s">
        <v>6201</v>
      </c>
      <c r="C508" s="0" t="s">
        <v>421</v>
      </c>
      <c r="D508" s="0" t="s">
        <v>5061</v>
      </c>
      <c r="E508" s="0" t="s">
        <v>5062</v>
      </c>
      <c r="F508" s="0" t="s">
        <v>5062</v>
      </c>
      <c r="G508" s="0" t="s">
        <v>1155</v>
      </c>
      <c r="H508" s="0" t="s">
        <v>5065</v>
      </c>
      <c r="I508" s="0" t="s">
        <v>6194</v>
      </c>
      <c r="J508" s="0" t="s">
        <v>6195</v>
      </c>
      <c r="K508" s="0" t="s">
        <v>5260</v>
      </c>
    </row>
    <row r="509" customFormat="false" ht="12.8" hidden="false" customHeight="false" outlineLevel="0" collapsed="false">
      <c r="A509" s="0" t="s">
        <v>6202</v>
      </c>
      <c r="B509" s="0" t="s">
        <v>6203</v>
      </c>
      <c r="C509" s="0" t="s">
        <v>267</v>
      </c>
      <c r="D509" s="0" t="s">
        <v>5023</v>
      </c>
      <c r="E509" s="0" t="s">
        <v>5024</v>
      </c>
      <c r="F509" s="0" t="s">
        <v>5024</v>
      </c>
      <c r="G509" s="0" t="s">
        <v>1883</v>
      </c>
      <c r="H509" s="0" t="s">
        <v>1884</v>
      </c>
      <c r="I509" s="0" t="s">
        <v>6204</v>
      </c>
      <c r="J509" s="0" t="s">
        <v>6205</v>
      </c>
      <c r="K509" s="0" t="s">
        <v>5260</v>
      </c>
    </row>
    <row r="510" customFormat="false" ht="12.8" hidden="false" customHeight="false" outlineLevel="0" collapsed="false">
      <c r="A510" s="0" t="s">
        <v>6206</v>
      </c>
      <c r="B510" s="0" t="s">
        <v>6207</v>
      </c>
      <c r="C510" s="0" t="s">
        <v>267</v>
      </c>
      <c r="D510" s="0" t="s">
        <v>5023</v>
      </c>
      <c r="E510" s="0" t="s">
        <v>5024</v>
      </c>
      <c r="F510" s="0" t="s">
        <v>5024</v>
      </c>
      <c r="G510" s="0" t="s">
        <v>1883</v>
      </c>
      <c r="H510" s="0" t="s">
        <v>1884</v>
      </c>
      <c r="I510" s="0" t="s">
        <v>6204</v>
      </c>
      <c r="J510" s="0" t="s">
        <v>6205</v>
      </c>
      <c r="K510" s="0" t="s">
        <v>5260</v>
      </c>
    </row>
    <row r="511" customFormat="false" ht="12.8" hidden="false" customHeight="false" outlineLevel="0" collapsed="false">
      <c r="A511" s="0" t="s">
        <v>6208</v>
      </c>
      <c r="B511" s="0" t="s">
        <v>6209</v>
      </c>
      <c r="C511" s="0" t="s">
        <v>267</v>
      </c>
      <c r="D511" s="0" t="s">
        <v>5023</v>
      </c>
      <c r="E511" s="0" t="s">
        <v>5024</v>
      </c>
      <c r="F511" s="0" t="s">
        <v>5024</v>
      </c>
      <c r="G511" s="0" t="s">
        <v>1883</v>
      </c>
      <c r="H511" s="0" t="s">
        <v>1884</v>
      </c>
      <c r="I511" s="0" t="s">
        <v>6204</v>
      </c>
      <c r="J511" s="0" t="s">
        <v>6205</v>
      </c>
      <c r="K511" s="0" t="s">
        <v>5260</v>
      </c>
    </row>
    <row r="512" customFormat="false" ht="12.8" hidden="false" customHeight="false" outlineLevel="0" collapsed="false">
      <c r="A512" s="0" t="s">
        <v>6210</v>
      </c>
      <c r="B512" s="0" t="s">
        <v>6211</v>
      </c>
      <c r="C512" s="0" t="s">
        <v>267</v>
      </c>
      <c r="D512" s="0" t="s">
        <v>5057</v>
      </c>
      <c r="E512" s="0" t="s">
        <v>5058</v>
      </c>
      <c r="F512" s="0" t="s">
        <v>5058</v>
      </c>
      <c r="G512" s="0" t="s">
        <v>1883</v>
      </c>
      <c r="H512" s="0" t="s">
        <v>1884</v>
      </c>
      <c r="I512" s="0" t="s">
        <v>6204</v>
      </c>
      <c r="J512" s="0" t="s">
        <v>6205</v>
      </c>
      <c r="K512" s="0" t="s">
        <v>5260</v>
      </c>
    </row>
    <row r="513" customFormat="false" ht="12.8" hidden="false" customHeight="false" outlineLevel="0" collapsed="false">
      <c r="A513" s="0" t="s">
        <v>6212</v>
      </c>
      <c r="B513" s="0" t="s">
        <v>6213</v>
      </c>
      <c r="C513" s="0" t="s">
        <v>267</v>
      </c>
      <c r="D513" s="0" t="s">
        <v>5061</v>
      </c>
      <c r="E513" s="0" t="s">
        <v>5062</v>
      </c>
      <c r="F513" s="0" t="s">
        <v>5062</v>
      </c>
      <c r="G513" s="0" t="s">
        <v>1883</v>
      </c>
      <c r="H513" s="0" t="s">
        <v>1884</v>
      </c>
      <c r="I513" s="0" t="s">
        <v>6204</v>
      </c>
      <c r="J513" s="0" t="s">
        <v>6205</v>
      </c>
      <c r="K513" s="0" t="s">
        <v>5260</v>
      </c>
    </row>
    <row r="514" customFormat="false" ht="12.8" hidden="false" customHeight="false" outlineLevel="0" collapsed="false">
      <c r="A514" s="0" t="s">
        <v>6214</v>
      </c>
      <c r="B514" s="0" t="s">
        <v>6215</v>
      </c>
      <c r="C514" s="0" t="s">
        <v>48</v>
      </c>
      <c r="D514" s="0" t="s">
        <v>5057</v>
      </c>
      <c r="E514" s="0" t="s">
        <v>5058</v>
      </c>
      <c r="F514" s="0" t="s">
        <v>5058</v>
      </c>
      <c r="G514" s="0" t="s">
        <v>1883</v>
      </c>
      <c r="H514" s="0" t="s">
        <v>1884</v>
      </c>
      <c r="I514" s="0" t="s">
        <v>6216</v>
      </c>
      <c r="J514" s="0" t="s">
        <v>6217</v>
      </c>
      <c r="K514" s="0" t="s">
        <v>5260</v>
      </c>
    </row>
    <row r="515" customFormat="false" ht="12.8" hidden="false" customHeight="false" outlineLevel="0" collapsed="false">
      <c r="A515" s="0" t="s">
        <v>6218</v>
      </c>
      <c r="B515" s="0" t="s">
        <v>6219</v>
      </c>
      <c r="C515" s="0" t="s">
        <v>48</v>
      </c>
      <c r="D515" s="0" t="s">
        <v>5023</v>
      </c>
      <c r="E515" s="0" t="s">
        <v>5024</v>
      </c>
      <c r="F515" s="0" t="s">
        <v>5024</v>
      </c>
      <c r="G515" s="0" t="s">
        <v>1883</v>
      </c>
      <c r="H515" s="0" t="s">
        <v>1884</v>
      </c>
      <c r="I515" s="0" t="s">
        <v>6216</v>
      </c>
      <c r="J515" s="0" t="s">
        <v>6217</v>
      </c>
      <c r="K515" s="0" t="s">
        <v>5260</v>
      </c>
    </row>
    <row r="516" customFormat="false" ht="12.8" hidden="false" customHeight="false" outlineLevel="0" collapsed="false">
      <c r="A516" s="0" t="s">
        <v>6220</v>
      </c>
      <c r="B516" s="0" t="s">
        <v>6221</v>
      </c>
      <c r="C516" s="0" t="s">
        <v>48</v>
      </c>
      <c r="D516" s="0" t="s">
        <v>5023</v>
      </c>
      <c r="E516" s="0" t="s">
        <v>5024</v>
      </c>
      <c r="F516" s="0" t="s">
        <v>5024</v>
      </c>
      <c r="G516" s="0" t="s">
        <v>1883</v>
      </c>
      <c r="H516" s="0" t="s">
        <v>1884</v>
      </c>
      <c r="I516" s="0" t="s">
        <v>6216</v>
      </c>
      <c r="J516" s="0" t="s">
        <v>6217</v>
      </c>
      <c r="K516" s="0" t="s">
        <v>5260</v>
      </c>
    </row>
    <row r="517" customFormat="false" ht="12.8" hidden="false" customHeight="false" outlineLevel="0" collapsed="false">
      <c r="A517" s="0" t="s">
        <v>6222</v>
      </c>
      <c r="B517" s="0" t="s">
        <v>6223</v>
      </c>
      <c r="C517" s="0" t="s">
        <v>48</v>
      </c>
      <c r="D517" s="0" t="s">
        <v>5023</v>
      </c>
      <c r="E517" s="0" t="s">
        <v>5024</v>
      </c>
      <c r="F517" s="0" t="s">
        <v>5024</v>
      </c>
      <c r="G517" s="0" t="s">
        <v>1883</v>
      </c>
      <c r="H517" s="0" t="s">
        <v>1884</v>
      </c>
      <c r="I517" s="0" t="s">
        <v>6216</v>
      </c>
      <c r="J517" s="0" t="s">
        <v>6217</v>
      </c>
      <c r="K517" s="0" t="s">
        <v>5260</v>
      </c>
    </row>
    <row r="518" customFormat="false" ht="12.8" hidden="false" customHeight="false" outlineLevel="0" collapsed="false">
      <c r="A518" s="0" t="s">
        <v>6224</v>
      </c>
      <c r="B518" s="0" t="s">
        <v>6225</v>
      </c>
      <c r="C518" s="0" t="s">
        <v>48</v>
      </c>
      <c r="D518" s="0" t="s">
        <v>5023</v>
      </c>
      <c r="E518" s="0" t="s">
        <v>5024</v>
      </c>
      <c r="F518" s="0" t="s">
        <v>5024</v>
      </c>
      <c r="G518" s="0" t="s">
        <v>1883</v>
      </c>
      <c r="H518" s="0" t="s">
        <v>1884</v>
      </c>
      <c r="I518" s="0" t="s">
        <v>6216</v>
      </c>
      <c r="J518" s="0" t="s">
        <v>6217</v>
      </c>
      <c r="K518" s="0" t="s">
        <v>5260</v>
      </c>
    </row>
    <row r="519" customFormat="false" ht="12.8" hidden="false" customHeight="false" outlineLevel="0" collapsed="false">
      <c r="A519" s="0" t="s">
        <v>6226</v>
      </c>
      <c r="B519" s="0" t="s">
        <v>6227</v>
      </c>
      <c r="C519" s="0" t="s">
        <v>48</v>
      </c>
      <c r="D519" s="0" t="s">
        <v>5061</v>
      </c>
      <c r="E519" s="0" t="s">
        <v>5062</v>
      </c>
      <c r="F519" s="0" t="s">
        <v>5062</v>
      </c>
      <c r="G519" s="0" t="s">
        <v>1883</v>
      </c>
      <c r="H519" s="0" t="s">
        <v>1884</v>
      </c>
      <c r="I519" s="0" t="s">
        <v>6216</v>
      </c>
      <c r="J519" s="0" t="s">
        <v>6217</v>
      </c>
      <c r="K519" s="0" t="s">
        <v>5260</v>
      </c>
    </row>
    <row r="520" customFormat="false" ht="12.8" hidden="false" customHeight="false" outlineLevel="0" collapsed="false">
      <c r="A520" s="0" t="s">
        <v>6228</v>
      </c>
      <c r="B520" s="0" t="s">
        <v>6229</v>
      </c>
      <c r="C520" s="0" t="s">
        <v>357</v>
      </c>
      <c r="D520" s="0" t="s">
        <v>5023</v>
      </c>
      <c r="E520" s="0" t="s">
        <v>5024</v>
      </c>
      <c r="F520" s="0" t="s">
        <v>5024</v>
      </c>
      <c r="G520" s="0" t="s">
        <v>1883</v>
      </c>
      <c r="H520" s="0" t="s">
        <v>1995</v>
      </c>
      <c r="I520" s="0" t="s">
        <v>6230</v>
      </c>
      <c r="J520" s="0" t="s">
        <v>6231</v>
      </c>
      <c r="K520" s="444" t="s">
        <v>6232</v>
      </c>
    </row>
    <row r="521" customFormat="false" ht="12.8" hidden="false" customHeight="false" outlineLevel="0" collapsed="false">
      <c r="A521" s="0" t="s">
        <v>6233</v>
      </c>
      <c r="B521" s="0" t="s">
        <v>6234</v>
      </c>
      <c r="C521" s="0" t="s">
        <v>357</v>
      </c>
      <c r="D521" s="0" t="s">
        <v>5023</v>
      </c>
      <c r="E521" s="0" t="s">
        <v>5024</v>
      </c>
      <c r="F521" s="0" t="s">
        <v>5024</v>
      </c>
      <c r="G521" s="0" t="s">
        <v>1883</v>
      </c>
      <c r="H521" s="0" t="s">
        <v>1995</v>
      </c>
      <c r="I521" s="0" t="s">
        <v>6230</v>
      </c>
      <c r="J521" s="0" t="s">
        <v>6231</v>
      </c>
      <c r="K521" s="444" t="s">
        <v>6232</v>
      </c>
    </row>
    <row r="522" customFormat="false" ht="12.8" hidden="false" customHeight="false" outlineLevel="0" collapsed="false">
      <c r="A522" s="0" t="s">
        <v>6235</v>
      </c>
      <c r="B522" s="0" t="s">
        <v>6236</v>
      </c>
      <c r="C522" s="0" t="s">
        <v>357</v>
      </c>
      <c r="D522" s="0" t="s">
        <v>5023</v>
      </c>
      <c r="E522" s="0" t="s">
        <v>5024</v>
      </c>
      <c r="F522" s="0" t="s">
        <v>5024</v>
      </c>
      <c r="G522" s="0" t="s">
        <v>1883</v>
      </c>
      <c r="H522" s="0" t="s">
        <v>1995</v>
      </c>
      <c r="I522" s="0" t="s">
        <v>6230</v>
      </c>
      <c r="J522" s="0" t="s">
        <v>6231</v>
      </c>
      <c r="K522" s="444" t="s">
        <v>6232</v>
      </c>
    </row>
    <row r="523" customFormat="false" ht="12.8" hidden="false" customHeight="false" outlineLevel="0" collapsed="false">
      <c r="A523" s="0" t="s">
        <v>6237</v>
      </c>
      <c r="B523" s="0" t="s">
        <v>6238</v>
      </c>
      <c r="C523" s="0" t="s">
        <v>357</v>
      </c>
      <c r="D523" s="0" t="s">
        <v>5023</v>
      </c>
      <c r="E523" s="0" t="s">
        <v>5024</v>
      </c>
      <c r="F523" s="0" t="s">
        <v>5024</v>
      </c>
      <c r="G523" s="0" t="s">
        <v>1883</v>
      </c>
      <c r="H523" s="0" t="s">
        <v>1995</v>
      </c>
      <c r="I523" s="0" t="s">
        <v>6230</v>
      </c>
      <c r="J523" s="0" t="s">
        <v>6231</v>
      </c>
      <c r="K523" s="444" t="s">
        <v>6232</v>
      </c>
    </row>
    <row r="524" customFormat="false" ht="12.8" hidden="false" customHeight="false" outlineLevel="0" collapsed="false">
      <c r="A524" s="0" t="s">
        <v>6239</v>
      </c>
      <c r="B524" s="0" t="s">
        <v>6240</v>
      </c>
      <c r="C524" s="0" t="s">
        <v>357</v>
      </c>
      <c r="D524" s="0" t="s">
        <v>5023</v>
      </c>
      <c r="E524" s="0" t="s">
        <v>5024</v>
      </c>
      <c r="F524" s="0" t="s">
        <v>5024</v>
      </c>
      <c r="G524" s="0" t="s">
        <v>1883</v>
      </c>
      <c r="H524" s="0" t="s">
        <v>1995</v>
      </c>
      <c r="I524" s="0" t="s">
        <v>6230</v>
      </c>
      <c r="J524" s="0" t="s">
        <v>6231</v>
      </c>
      <c r="K524" s="444" t="s">
        <v>6232</v>
      </c>
    </row>
    <row r="525" customFormat="false" ht="12.8" hidden="false" customHeight="false" outlineLevel="0" collapsed="false">
      <c r="A525" s="0" t="s">
        <v>6241</v>
      </c>
      <c r="B525" s="0" t="s">
        <v>6242</v>
      </c>
      <c r="C525" s="0" t="s">
        <v>357</v>
      </c>
      <c r="D525" s="0" t="s">
        <v>5023</v>
      </c>
      <c r="E525" s="0" t="s">
        <v>5024</v>
      </c>
      <c r="F525" s="0" t="s">
        <v>5024</v>
      </c>
      <c r="G525" s="0" t="s">
        <v>1883</v>
      </c>
      <c r="H525" s="0" t="s">
        <v>1995</v>
      </c>
      <c r="I525" s="0" t="s">
        <v>6230</v>
      </c>
      <c r="J525" s="0" t="s">
        <v>6231</v>
      </c>
      <c r="K525" s="444" t="s">
        <v>6232</v>
      </c>
    </row>
    <row r="526" customFormat="false" ht="12.8" hidden="false" customHeight="false" outlineLevel="0" collapsed="false">
      <c r="A526" s="0" t="s">
        <v>6243</v>
      </c>
      <c r="B526" s="0" t="s">
        <v>6244</v>
      </c>
      <c r="C526" s="0" t="s">
        <v>357</v>
      </c>
      <c r="D526" s="0" t="s">
        <v>5023</v>
      </c>
      <c r="E526" s="0" t="s">
        <v>5024</v>
      </c>
      <c r="F526" s="0" t="s">
        <v>5024</v>
      </c>
      <c r="G526" s="0" t="s">
        <v>1883</v>
      </c>
      <c r="H526" s="0" t="s">
        <v>1995</v>
      </c>
      <c r="I526" s="0" t="s">
        <v>6230</v>
      </c>
      <c r="J526" s="0" t="s">
        <v>6231</v>
      </c>
      <c r="K526" s="444" t="s">
        <v>6232</v>
      </c>
    </row>
    <row r="527" customFormat="false" ht="12.8" hidden="false" customHeight="false" outlineLevel="0" collapsed="false">
      <c r="A527" s="0" t="s">
        <v>6245</v>
      </c>
      <c r="B527" s="0" t="s">
        <v>6246</v>
      </c>
      <c r="C527" s="0" t="s">
        <v>357</v>
      </c>
      <c r="D527" s="0" t="s">
        <v>5023</v>
      </c>
      <c r="E527" s="0" t="s">
        <v>5024</v>
      </c>
      <c r="F527" s="0" t="s">
        <v>5024</v>
      </c>
      <c r="G527" s="0" t="s">
        <v>1883</v>
      </c>
      <c r="H527" s="0" t="s">
        <v>1995</v>
      </c>
      <c r="I527" s="0" t="s">
        <v>6230</v>
      </c>
      <c r="J527" s="0" t="s">
        <v>6231</v>
      </c>
      <c r="K527" s="444" t="s">
        <v>6232</v>
      </c>
    </row>
    <row r="528" customFormat="false" ht="12.8" hidden="false" customHeight="false" outlineLevel="0" collapsed="false">
      <c r="A528" s="0" t="s">
        <v>6247</v>
      </c>
      <c r="B528" s="0" t="s">
        <v>6248</v>
      </c>
      <c r="C528" s="0" t="s">
        <v>357</v>
      </c>
      <c r="D528" s="0" t="s">
        <v>5061</v>
      </c>
      <c r="E528" s="0" t="s">
        <v>5062</v>
      </c>
      <c r="F528" s="0" t="s">
        <v>5062</v>
      </c>
      <c r="G528" s="0" t="s">
        <v>1883</v>
      </c>
      <c r="H528" s="0" t="s">
        <v>1995</v>
      </c>
      <c r="I528" s="0" t="s">
        <v>6230</v>
      </c>
      <c r="J528" s="0" t="s">
        <v>6231</v>
      </c>
      <c r="K528" s="444" t="s">
        <v>6232</v>
      </c>
    </row>
    <row r="529" customFormat="false" ht="12.8" hidden="false" customHeight="false" outlineLevel="0" collapsed="false">
      <c r="A529" s="0" t="s">
        <v>6249</v>
      </c>
      <c r="B529" s="0" t="s">
        <v>6250</v>
      </c>
      <c r="C529" s="0" t="s">
        <v>406</v>
      </c>
      <c r="D529" s="0" t="s">
        <v>5057</v>
      </c>
      <c r="E529" s="0" t="s">
        <v>5058</v>
      </c>
      <c r="F529" s="0" t="s">
        <v>5058</v>
      </c>
      <c r="G529" s="0" t="s">
        <v>1883</v>
      </c>
      <c r="H529" s="0" t="s">
        <v>1884</v>
      </c>
      <c r="I529" s="0" t="s">
        <v>6251</v>
      </c>
      <c r="J529" s="0" t="s">
        <v>6252</v>
      </c>
      <c r="K529" s="0" t="s">
        <v>5260</v>
      </c>
    </row>
    <row r="530" customFormat="false" ht="12.8" hidden="false" customHeight="false" outlineLevel="0" collapsed="false">
      <c r="A530" s="0" t="s">
        <v>6253</v>
      </c>
      <c r="B530" s="0" t="s">
        <v>6254</v>
      </c>
      <c r="C530" s="0" t="s">
        <v>406</v>
      </c>
      <c r="D530" s="0" t="s">
        <v>5023</v>
      </c>
      <c r="E530" s="0" t="s">
        <v>5024</v>
      </c>
      <c r="F530" s="0" t="s">
        <v>5024</v>
      </c>
      <c r="G530" s="0" t="s">
        <v>1883</v>
      </c>
      <c r="H530" s="0" t="s">
        <v>1884</v>
      </c>
      <c r="I530" s="0" t="s">
        <v>6251</v>
      </c>
      <c r="J530" s="0" t="s">
        <v>6252</v>
      </c>
      <c r="K530" s="0" t="s">
        <v>5260</v>
      </c>
    </row>
    <row r="531" customFormat="false" ht="12.8" hidden="false" customHeight="false" outlineLevel="0" collapsed="false">
      <c r="A531" s="0" t="s">
        <v>6255</v>
      </c>
      <c r="B531" s="0" t="s">
        <v>6256</v>
      </c>
      <c r="C531" s="0" t="s">
        <v>406</v>
      </c>
      <c r="D531" s="0" t="s">
        <v>5023</v>
      </c>
      <c r="E531" s="0" t="s">
        <v>5024</v>
      </c>
      <c r="F531" s="0" t="s">
        <v>5024</v>
      </c>
      <c r="G531" s="0" t="s">
        <v>1883</v>
      </c>
      <c r="H531" s="0" t="s">
        <v>1884</v>
      </c>
      <c r="I531" s="0" t="s">
        <v>6251</v>
      </c>
      <c r="J531" s="0" t="s">
        <v>6252</v>
      </c>
      <c r="K531" s="0" t="s">
        <v>5260</v>
      </c>
    </row>
    <row r="532" customFormat="false" ht="12.8" hidden="false" customHeight="false" outlineLevel="0" collapsed="false">
      <c r="A532" s="0" t="s">
        <v>6257</v>
      </c>
      <c r="B532" s="0" t="s">
        <v>6258</v>
      </c>
      <c r="C532" s="0" t="s">
        <v>406</v>
      </c>
      <c r="D532" s="0" t="s">
        <v>5023</v>
      </c>
      <c r="E532" s="0" t="s">
        <v>5024</v>
      </c>
      <c r="F532" s="0" t="s">
        <v>5024</v>
      </c>
      <c r="G532" s="0" t="s">
        <v>1883</v>
      </c>
      <c r="H532" s="0" t="s">
        <v>1884</v>
      </c>
      <c r="I532" s="0" t="s">
        <v>6251</v>
      </c>
      <c r="J532" s="0" t="s">
        <v>6252</v>
      </c>
      <c r="K532" s="0" t="s">
        <v>5260</v>
      </c>
    </row>
    <row r="533" customFormat="false" ht="12.8" hidden="false" customHeight="false" outlineLevel="0" collapsed="false">
      <c r="A533" s="0" t="s">
        <v>6259</v>
      </c>
      <c r="B533" s="0" t="s">
        <v>6260</v>
      </c>
      <c r="C533" s="0" t="s">
        <v>406</v>
      </c>
      <c r="D533" s="0" t="s">
        <v>5061</v>
      </c>
      <c r="E533" s="0" t="s">
        <v>5062</v>
      </c>
      <c r="F533" s="0" t="s">
        <v>5062</v>
      </c>
      <c r="G533" s="0" t="s">
        <v>1883</v>
      </c>
      <c r="H533" s="0" t="s">
        <v>1884</v>
      </c>
      <c r="I533" s="0" t="s">
        <v>6251</v>
      </c>
      <c r="J533" s="0" t="s">
        <v>6252</v>
      </c>
      <c r="K533" s="0" t="s">
        <v>5260</v>
      </c>
    </row>
    <row r="534" customFormat="false" ht="12.8" hidden="false" customHeight="false" outlineLevel="0" collapsed="false">
      <c r="A534" s="0" t="s">
        <v>6261</v>
      </c>
      <c r="B534" s="0" t="s">
        <v>6262</v>
      </c>
      <c r="C534" s="0" t="s">
        <v>402</v>
      </c>
      <c r="D534" s="0" t="s">
        <v>5057</v>
      </c>
      <c r="E534" s="0" t="s">
        <v>5058</v>
      </c>
      <c r="F534" s="0" t="s">
        <v>5058</v>
      </c>
      <c r="G534" s="0" t="s">
        <v>1883</v>
      </c>
      <c r="H534" s="0" t="s">
        <v>1884</v>
      </c>
      <c r="I534" s="0" t="s">
        <v>6263</v>
      </c>
      <c r="J534" s="0" t="s">
        <v>6264</v>
      </c>
      <c r="K534" s="0" t="s">
        <v>5291</v>
      </c>
    </row>
    <row r="535" customFormat="false" ht="12.8" hidden="false" customHeight="false" outlineLevel="0" collapsed="false">
      <c r="A535" s="0" t="s">
        <v>6265</v>
      </c>
      <c r="B535" s="0" t="s">
        <v>6266</v>
      </c>
      <c r="C535" s="0" t="s">
        <v>402</v>
      </c>
      <c r="D535" s="0" t="s">
        <v>5023</v>
      </c>
      <c r="E535" s="0" t="s">
        <v>5024</v>
      </c>
      <c r="F535" s="0" t="s">
        <v>5024</v>
      </c>
      <c r="G535" s="0" t="s">
        <v>1883</v>
      </c>
      <c r="H535" s="0" t="s">
        <v>1884</v>
      </c>
      <c r="I535" s="0" t="s">
        <v>6263</v>
      </c>
      <c r="J535" s="0" t="s">
        <v>6264</v>
      </c>
      <c r="K535" s="0" t="s">
        <v>5291</v>
      </c>
    </row>
    <row r="536" customFormat="false" ht="12.8" hidden="false" customHeight="false" outlineLevel="0" collapsed="false">
      <c r="A536" s="0" t="s">
        <v>6267</v>
      </c>
      <c r="B536" s="0" t="s">
        <v>6268</v>
      </c>
      <c r="C536" s="0" t="s">
        <v>402</v>
      </c>
      <c r="D536" s="0" t="s">
        <v>5023</v>
      </c>
      <c r="E536" s="0" t="s">
        <v>5024</v>
      </c>
      <c r="F536" s="0" t="s">
        <v>5024</v>
      </c>
      <c r="G536" s="0" t="s">
        <v>1883</v>
      </c>
      <c r="H536" s="0" t="s">
        <v>1884</v>
      </c>
      <c r="I536" s="0" t="s">
        <v>6263</v>
      </c>
      <c r="J536" s="0" t="s">
        <v>6264</v>
      </c>
      <c r="K536" s="0" t="s">
        <v>5291</v>
      </c>
    </row>
    <row r="537" customFormat="false" ht="12.8" hidden="false" customHeight="false" outlineLevel="0" collapsed="false">
      <c r="A537" s="0" t="s">
        <v>6269</v>
      </c>
      <c r="B537" s="0" t="s">
        <v>6270</v>
      </c>
      <c r="C537" s="0" t="s">
        <v>402</v>
      </c>
      <c r="D537" s="0" t="s">
        <v>5061</v>
      </c>
      <c r="E537" s="0" t="s">
        <v>5062</v>
      </c>
      <c r="F537" s="0" t="s">
        <v>5062</v>
      </c>
      <c r="G537" s="0" t="s">
        <v>1883</v>
      </c>
      <c r="H537" s="0" t="s">
        <v>1884</v>
      </c>
      <c r="I537" s="0" t="s">
        <v>6263</v>
      </c>
      <c r="J537" s="0" t="s">
        <v>6264</v>
      </c>
      <c r="K537" s="0" t="s">
        <v>5291</v>
      </c>
    </row>
    <row r="538" customFormat="false" ht="12.8" hidden="false" customHeight="false" outlineLevel="0" collapsed="false">
      <c r="A538" s="0" t="s">
        <v>6271</v>
      </c>
      <c r="B538" s="0" t="s">
        <v>6272</v>
      </c>
      <c r="C538" s="0" t="s">
        <v>407</v>
      </c>
      <c r="D538" s="0" t="s">
        <v>5061</v>
      </c>
      <c r="E538" s="0" t="s">
        <v>5062</v>
      </c>
      <c r="F538" s="0" t="s">
        <v>5062</v>
      </c>
      <c r="G538" s="0" t="s">
        <v>1883</v>
      </c>
      <c r="H538" s="0" t="s">
        <v>1884</v>
      </c>
      <c r="I538" s="0" t="s">
        <v>6273</v>
      </c>
      <c r="J538" s="0" t="s">
        <v>6274</v>
      </c>
      <c r="K538" s="444" t="s">
        <v>6275</v>
      </c>
    </row>
    <row r="539" customFormat="false" ht="12.8" hidden="false" customHeight="false" outlineLevel="0" collapsed="false">
      <c r="A539" s="0" t="s">
        <v>6276</v>
      </c>
      <c r="B539" s="0" t="s">
        <v>6277</v>
      </c>
      <c r="C539" s="0" t="s">
        <v>407</v>
      </c>
      <c r="D539" s="0" t="s">
        <v>5023</v>
      </c>
      <c r="E539" s="0" t="s">
        <v>5024</v>
      </c>
      <c r="F539" s="0" t="s">
        <v>5024</v>
      </c>
      <c r="G539" s="0" t="s">
        <v>1883</v>
      </c>
      <c r="H539" s="0" t="s">
        <v>1884</v>
      </c>
      <c r="I539" s="0" t="s">
        <v>6273</v>
      </c>
      <c r="J539" s="0" t="s">
        <v>6274</v>
      </c>
      <c r="K539" s="444" t="s">
        <v>6275</v>
      </c>
    </row>
    <row r="540" customFormat="false" ht="12.8" hidden="false" customHeight="false" outlineLevel="0" collapsed="false">
      <c r="A540" s="0" t="s">
        <v>6278</v>
      </c>
      <c r="B540" s="0" t="s">
        <v>6279</v>
      </c>
      <c r="C540" s="0" t="s">
        <v>407</v>
      </c>
      <c r="D540" s="0" t="s">
        <v>5023</v>
      </c>
      <c r="E540" s="0" t="s">
        <v>5024</v>
      </c>
      <c r="F540" s="0" t="s">
        <v>5024</v>
      </c>
      <c r="G540" s="0" t="s">
        <v>1883</v>
      </c>
      <c r="H540" s="0" t="s">
        <v>1884</v>
      </c>
      <c r="I540" s="0" t="s">
        <v>6273</v>
      </c>
      <c r="J540" s="0" t="s">
        <v>6274</v>
      </c>
      <c r="K540" s="444" t="s">
        <v>6275</v>
      </c>
    </row>
    <row r="541" customFormat="false" ht="12.8" hidden="false" customHeight="false" outlineLevel="0" collapsed="false">
      <c r="A541" s="0" t="s">
        <v>6280</v>
      </c>
      <c r="B541" s="0" t="s">
        <v>6281</v>
      </c>
      <c r="C541" s="0" t="s">
        <v>407</v>
      </c>
      <c r="D541" s="0" t="s">
        <v>5023</v>
      </c>
      <c r="E541" s="0" t="s">
        <v>5024</v>
      </c>
      <c r="F541" s="0" t="s">
        <v>5024</v>
      </c>
      <c r="G541" s="0" t="s">
        <v>1883</v>
      </c>
      <c r="H541" s="0" t="s">
        <v>1884</v>
      </c>
      <c r="I541" s="0" t="s">
        <v>6273</v>
      </c>
      <c r="J541" s="0" t="s">
        <v>6274</v>
      </c>
      <c r="K541" s="444" t="s">
        <v>6275</v>
      </c>
    </row>
    <row r="542" customFormat="false" ht="12.8" hidden="false" customHeight="false" outlineLevel="0" collapsed="false">
      <c r="A542" s="0" t="s">
        <v>6282</v>
      </c>
      <c r="B542" s="0" t="s">
        <v>6283</v>
      </c>
      <c r="C542" s="0" t="s">
        <v>276</v>
      </c>
      <c r="D542" s="0" t="s">
        <v>5057</v>
      </c>
      <c r="E542" s="0" t="s">
        <v>5058</v>
      </c>
      <c r="F542" s="0" t="s">
        <v>5058</v>
      </c>
      <c r="G542" s="0" t="s">
        <v>1883</v>
      </c>
      <c r="H542" s="0" t="s">
        <v>1884</v>
      </c>
      <c r="I542" s="0" t="s">
        <v>6284</v>
      </c>
      <c r="J542" s="0" t="s">
        <v>6285</v>
      </c>
      <c r="K542" s="0" t="s">
        <v>5260</v>
      </c>
    </row>
    <row r="543" customFormat="false" ht="12.8" hidden="false" customHeight="false" outlineLevel="0" collapsed="false">
      <c r="A543" s="0" t="s">
        <v>6286</v>
      </c>
      <c r="B543" s="0" t="s">
        <v>6287</v>
      </c>
      <c r="C543" s="0" t="s">
        <v>276</v>
      </c>
      <c r="D543" s="0" t="s">
        <v>5023</v>
      </c>
      <c r="E543" s="0" t="s">
        <v>5024</v>
      </c>
      <c r="F543" s="0" t="s">
        <v>5024</v>
      </c>
      <c r="G543" s="0" t="s">
        <v>1883</v>
      </c>
      <c r="H543" s="0" t="s">
        <v>1884</v>
      </c>
      <c r="I543" s="0" t="s">
        <v>6284</v>
      </c>
      <c r="J543" s="0" t="s">
        <v>6285</v>
      </c>
      <c r="K543" s="0" t="s">
        <v>5260</v>
      </c>
    </row>
    <row r="544" customFormat="false" ht="12.8" hidden="false" customHeight="false" outlineLevel="0" collapsed="false">
      <c r="A544" s="0" t="s">
        <v>6288</v>
      </c>
      <c r="B544" s="0" t="s">
        <v>6289</v>
      </c>
      <c r="C544" s="0" t="s">
        <v>276</v>
      </c>
      <c r="D544" s="0" t="s">
        <v>5023</v>
      </c>
      <c r="E544" s="0" t="s">
        <v>5024</v>
      </c>
      <c r="F544" s="0" t="s">
        <v>5024</v>
      </c>
      <c r="G544" s="0" t="s">
        <v>1883</v>
      </c>
      <c r="H544" s="0" t="s">
        <v>1884</v>
      </c>
      <c r="I544" s="0" t="s">
        <v>6284</v>
      </c>
      <c r="J544" s="0" t="s">
        <v>6285</v>
      </c>
      <c r="K544" s="0" t="s">
        <v>5260</v>
      </c>
    </row>
    <row r="545" customFormat="false" ht="12.8" hidden="false" customHeight="false" outlineLevel="0" collapsed="false">
      <c r="A545" s="0" t="s">
        <v>6290</v>
      </c>
      <c r="B545" s="0" t="s">
        <v>6291</v>
      </c>
      <c r="C545" s="0" t="s">
        <v>276</v>
      </c>
      <c r="D545" s="0" t="s">
        <v>5023</v>
      </c>
      <c r="E545" s="0" t="s">
        <v>5024</v>
      </c>
      <c r="F545" s="0" t="s">
        <v>5024</v>
      </c>
      <c r="G545" s="0" t="s">
        <v>1883</v>
      </c>
      <c r="H545" s="0" t="s">
        <v>1884</v>
      </c>
      <c r="I545" s="0" t="s">
        <v>6284</v>
      </c>
      <c r="J545" s="0" t="s">
        <v>6285</v>
      </c>
      <c r="K545" s="0" t="s">
        <v>5260</v>
      </c>
    </row>
    <row r="546" customFormat="false" ht="12.8" hidden="false" customHeight="false" outlineLevel="0" collapsed="false">
      <c r="A546" s="0" t="s">
        <v>6292</v>
      </c>
      <c r="B546" s="0" t="s">
        <v>6293</v>
      </c>
      <c r="C546" s="0" t="s">
        <v>276</v>
      </c>
      <c r="D546" s="0" t="s">
        <v>5061</v>
      </c>
      <c r="E546" s="0" t="s">
        <v>5062</v>
      </c>
      <c r="F546" s="0" t="s">
        <v>5062</v>
      </c>
      <c r="G546" s="0" t="s">
        <v>1883</v>
      </c>
      <c r="H546" s="0" t="s">
        <v>1884</v>
      </c>
      <c r="I546" s="0" t="s">
        <v>6284</v>
      </c>
      <c r="J546" s="0" t="s">
        <v>6285</v>
      </c>
      <c r="K546" s="0" t="s">
        <v>5260</v>
      </c>
    </row>
    <row r="547" customFormat="false" ht="12.8" hidden="false" customHeight="false" outlineLevel="0" collapsed="false">
      <c r="A547" s="0" t="s">
        <v>6294</v>
      </c>
      <c r="B547" s="0" t="s">
        <v>6295</v>
      </c>
      <c r="C547" s="0" t="s">
        <v>32</v>
      </c>
      <c r="D547" s="0" t="s">
        <v>5023</v>
      </c>
      <c r="E547" s="0" t="s">
        <v>5024</v>
      </c>
      <c r="F547" s="0" t="s">
        <v>5024</v>
      </c>
      <c r="G547" s="0" t="s">
        <v>1883</v>
      </c>
      <c r="H547" s="0" t="s">
        <v>1884</v>
      </c>
      <c r="I547" s="0" t="s">
        <v>6296</v>
      </c>
      <c r="J547" s="0" t="s">
        <v>6297</v>
      </c>
      <c r="K547" s="0" t="s">
        <v>6298</v>
      </c>
    </row>
    <row r="548" customFormat="false" ht="12.8" hidden="false" customHeight="false" outlineLevel="0" collapsed="false">
      <c r="A548" s="0" t="s">
        <v>6299</v>
      </c>
      <c r="B548" s="0" t="s">
        <v>6300</v>
      </c>
      <c r="C548" s="0" t="s">
        <v>32</v>
      </c>
      <c r="D548" s="0" t="s">
        <v>5023</v>
      </c>
      <c r="E548" s="0" t="s">
        <v>5024</v>
      </c>
      <c r="F548" s="0" t="s">
        <v>5024</v>
      </c>
      <c r="G548" s="0" t="s">
        <v>1883</v>
      </c>
      <c r="H548" s="0" t="s">
        <v>1884</v>
      </c>
      <c r="I548" s="0" t="s">
        <v>6296</v>
      </c>
      <c r="J548" s="0" t="s">
        <v>6297</v>
      </c>
      <c r="K548" s="0" t="s">
        <v>6298</v>
      </c>
    </row>
    <row r="549" customFormat="false" ht="12.8" hidden="false" customHeight="false" outlineLevel="0" collapsed="false">
      <c r="A549" s="0" t="s">
        <v>6301</v>
      </c>
      <c r="B549" s="0" t="s">
        <v>6302</v>
      </c>
      <c r="C549" s="0" t="s">
        <v>32</v>
      </c>
      <c r="D549" s="0" t="s">
        <v>5023</v>
      </c>
      <c r="E549" s="0" t="s">
        <v>5024</v>
      </c>
      <c r="F549" s="0" t="s">
        <v>5024</v>
      </c>
      <c r="G549" s="0" t="s">
        <v>1883</v>
      </c>
      <c r="H549" s="0" t="s">
        <v>1884</v>
      </c>
      <c r="I549" s="0" t="s">
        <v>6296</v>
      </c>
      <c r="J549" s="0" t="s">
        <v>6297</v>
      </c>
      <c r="K549" s="0" t="s">
        <v>6298</v>
      </c>
    </row>
    <row r="550" customFormat="false" ht="12.8" hidden="false" customHeight="false" outlineLevel="0" collapsed="false">
      <c r="A550" s="0" t="s">
        <v>6303</v>
      </c>
      <c r="B550" s="0" t="s">
        <v>6304</v>
      </c>
      <c r="C550" s="0" t="s">
        <v>32</v>
      </c>
      <c r="D550" s="0" t="s">
        <v>5061</v>
      </c>
      <c r="E550" s="0" t="s">
        <v>5062</v>
      </c>
      <c r="F550" s="0" t="s">
        <v>5062</v>
      </c>
      <c r="G550" s="0" t="s">
        <v>1883</v>
      </c>
      <c r="H550" s="0" t="s">
        <v>1884</v>
      </c>
      <c r="I550" s="0" t="s">
        <v>6296</v>
      </c>
      <c r="J550" s="0" t="s">
        <v>6297</v>
      </c>
      <c r="K550" s="0" t="s">
        <v>6298</v>
      </c>
    </row>
    <row r="551" customFormat="false" ht="12.8" hidden="false" customHeight="false" outlineLevel="0" collapsed="false">
      <c r="A551" s="0" t="s">
        <v>6305</v>
      </c>
      <c r="B551" s="0" t="s">
        <v>6306</v>
      </c>
      <c r="C551" s="0" t="s">
        <v>33</v>
      </c>
      <c r="D551" s="0" t="s">
        <v>5023</v>
      </c>
      <c r="E551" s="0" t="s">
        <v>5024</v>
      </c>
      <c r="F551" s="0" t="s">
        <v>5024</v>
      </c>
      <c r="G551" s="0" t="s">
        <v>1883</v>
      </c>
      <c r="H551" s="0" t="s">
        <v>1884</v>
      </c>
      <c r="I551" s="0" t="s">
        <v>6307</v>
      </c>
      <c r="J551" s="0" t="s">
        <v>6308</v>
      </c>
      <c r="K551" s="0" t="s">
        <v>5260</v>
      </c>
    </row>
    <row r="552" customFormat="false" ht="12.8" hidden="false" customHeight="false" outlineLevel="0" collapsed="false">
      <c r="A552" s="0" t="s">
        <v>6309</v>
      </c>
      <c r="B552" s="0" t="s">
        <v>6310</v>
      </c>
      <c r="C552" s="0" t="s">
        <v>33</v>
      </c>
      <c r="D552" s="0" t="s">
        <v>5023</v>
      </c>
      <c r="E552" s="0" t="s">
        <v>5024</v>
      </c>
      <c r="F552" s="0" t="s">
        <v>5024</v>
      </c>
      <c r="G552" s="0" t="s">
        <v>1883</v>
      </c>
      <c r="H552" s="0" t="s">
        <v>1884</v>
      </c>
      <c r="I552" s="0" t="s">
        <v>6307</v>
      </c>
      <c r="J552" s="0" t="s">
        <v>6308</v>
      </c>
      <c r="K552" s="0" t="s">
        <v>5260</v>
      </c>
    </row>
    <row r="553" customFormat="false" ht="12.8" hidden="false" customHeight="false" outlineLevel="0" collapsed="false">
      <c r="A553" s="0" t="s">
        <v>6311</v>
      </c>
      <c r="B553" s="0" t="s">
        <v>6312</v>
      </c>
      <c r="C553" s="0" t="s">
        <v>33</v>
      </c>
      <c r="D553" s="0" t="s">
        <v>5023</v>
      </c>
      <c r="E553" s="0" t="s">
        <v>5024</v>
      </c>
      <c r="F553" s="0" t="s">
        <v>5024</v>
      </c>
      <c r="G553" s="0" t="s">
        <v>1883</v>
      </c>
      <c r="H553" s="0" t="s">
        <v>1884</v>
      </c>
      <c r="I553" s="0" t="s">
        <v>6307</v>
      </c>
      <c r="J553" s="0" t="s">
        <v>6308</v>
      </c>
      <c r="K553" s="0" t="s">
        <v>5260</v>
      </c>
    </row>
    <row r="554" customFormat="false" ht="12.8" hidden="false" customHeight="false" outlineLevel="0" collapsed="false">
      <c r="A554" s="0" t="s">
        <v>6313</v>
      </c>
      <c r="B554" s="0" t="s">
        <v>6314</v>
      </c>
      <c r="C554" s="0" t="s">
        <v>33</v>
      </c>
      <c r="D554" s="0" t="s">
        <v>5061</v>
      </c>
      <c r="E554" s="0" t="s">
        <v>5062</v>
      </c>
      <c r="F554" s="0" t="s">
        <v>5062</v>
      </c>
      <c r="G554" s="0" t="s">
        <v>1883</v>
      </c>
      <c r="H554" s="0" t="s">
        <v>1884</v>
      </c>
      <c r="I554" s="0" t="s">
        <v>6307</v>
      </c>
      <c r="J554" s="0" t="s">
        <v>6308</v>
      </c>
      <c r="K554" s="0" t="s">
        <v>5260</v>
      </c>
    </row>
    <row r="555" customFormat="false" ht="12.8" hidden="false" customHeight="false" outlineLevel="0" collapsed="false">
      <c r="A555" s="0" t="s">
        <v>6315</v>
      </c>
      <c r="B555" s="0" t="s">
        <v>6316</v>
      </c>
      <c r="C555" s="0" t="s">
        <v>419</v>
      </c>
      <c r="D555" s="0" t="s">
        <v>5023</v>
      </c>
      <c r="E555" s="0" t="s">
        <v>5024</v>
      </c>
      <c r="F555" s="0" t="s">
        <v>5024</v>
      </c>
      <c r="G555" s="0" t="s">
        <v>1883</v>
      </c>
      <c r="H555" s="0" t="s">
        <v>1884</v>
      </c>
      <c r="I555" s="0" t="s">
        <v>6317</v>
      </c>
      <c r="J555" s="0" t="s">
        <v>6318</v>
      </c>
      <c r="K555" s="0" t="s">
        <v>5260</v>
      </c>
    </row>
    <row r="556" customFormat="false" ht="12.8" hidden="false" customHeight="false" outlineLevel="0" collapsed="false">
      <c r="A556" s="0" t="s">
        <v>6319</v>
      </c>
      <c r="B556" s="0" t="s">
        <v>6320</v>
      </c>
      <c r="C556" s="0" t="s">
        <v>419</v>
      </c>
      <c r="D556" s="0" t="s">
        <v>5023</v>
      </c>
      <c r="E556" s="0" t="s">
        <v>5024</v>
      </c>
      <c r="F556" s="0" t="s">
        <v>5024</v>
      </c>
      <c r="G556" s="0" t="s">
        <v>1883</v>
      </c>
      <c r="H556" s="0" t="s">
        <v>1884</v>
      </c>
      <c r="I556" s="0" t="s">
        <v>6317</v>
      </c>
      <c r="J556" s="0" t="s">
        <v>6318</v>
      </c>
      <c r="K556" s="0" t="s">
        <v>5260</v>
      </c>
    </row>
    <row r="557" customFormat="false" ht="12.8" hidden="false" customHeight="false" outlineLevel="0" collapsed="false">
      <c r="A557" s="0" t="s">
        <v>6321</v>
      </c>
      <c r="B557" s="0" t="s">
        <v>6322</v>
      </c>
      <c r="C557" s="0" t="s">
        <v>419</v>
      </c>
      <c r="D557" s="0" t="s">
        <v>5057</v>
      </c>
      <c r="E557" s="0" t="s">
        <v>5058</v>
      </c>
      <c r="F557" s="0" t="s">
        <v>5058</v>
      </c>
      <c r="G557" s="0" t="s">
        <v>1883</v>
      </c>
      <c r="H557" s="0" t="s">
        <v>1884</v>
      </c>
      <c r="I557" s="0" t="s">
        <v>6317</v>
      </c>
      <c r="J557" s="0" t="s">
        <v>6318</v>
      </c>
      <c r="K557" s="0" t="s">
        <v>5260</v>
      </c>
    </row>
    <row r="558" customFormat="false" ht="12.8" hidden="false" customHeight="false" outlineLevel="0" collapsed="false">
      <c r="A558" s="0" t="s">
        <v>6323</v>
      </c>
      <c r="B558" s="0" t="s">
        <v>6324</v>
      </c>
      <c r="C558" s="0" t="s">
        <v>419</v>
      </c>
      <c r="D558" s="0" t="s">
        <v>5061</v>
      </c>
      <c r="E558" s="0" t="s">
        <v>5062</v>
      </c>
      <c r="F558" s="0" t="s">
        <v>5062</v>
      </c>
      <c r="G558" s="0" t="s">
        <v>1883</v>
      </c>
      <c r="H558" s="0" t="s">
        <v>1884</v>
      </c>
      <c r="I558" s="0" t="s">
        <v>6317</v>
      </c>
      <c r="J558" s="0" t="s">
        <v>6318</v>
      </c>
      <c r="K558" s="0" t="s">
        <v>5260</v>
      </c>
    </row>
    <row r="559" customFormat="false" ht="12.8" hidden="false" customHeight="false" outlineLevel="0" collapsed="false">
      <c r="A559" s="0" t="s">
        <v>6325</v>
      </c>
      <c r="B559" s="0" t="s">
        <v>6326</v>
      </c>
      <c r="C559" s="0" t="s">
        <v>419</v>
      </c>
      <c r="D559" s="0" t="s">
        <v>5023</v>
      </c>
      <c r="E559" s="0" t="s">
        <v>5024</v>
      </c>
      <c r="F559" s="0" t="s">
        <v>5024</v>
      </c>
      <c r="G559" s="0" t="s">
        <v>1883</v>
      </c>
      <c r="H559" s="0" t="s">
        <v>1884</v>
      </c>
      <c r="I559" s="0" t="s">
        <v>6317</v>
      </c>
      <c r="J559" s="0" t="s">
        <v>6318</v>
      </c>
      <c r="K559" s="0" t="s">
        <v>5260</v>
      </c>
    </row>
    <row r="560" customFormat="false" ht="12.8" hidden="false" customHeight="false" outlineLevel="0" collapsed="false">
      <c r="A560" s="0" t="s">
        <v>6327</v>
      </c>
      <c r="B560" s="0" t="s">
        <v>6328</v>
      </c>
      <c r="C560" s="0" t="s">
        <v>49</v>
      </c>
      <c r="D560" s="0" t="s">
        <v>5023</v>
      </c>
      <c r="E560" s="0" t="s">
        <v>5024</v>
      </c>
      <c r="F560" s="0" t="s">
        <v>5024</v>
      </c>
      <c r="G560" s="0" t="s">
        <v>1883</v>
      </c>
      <c r="H560" s="0" t="s">
        <v>2100</v>
      </c>
      <c r="I560" s="0" t="s">
        <v>6329</v>
      </c>
      <c r="J560" s="0" t="s">
        <v>6330</v>
      </c>
      <c r="K560" s="444" t="s">
        <v>6331</v>
      </c>
    </row>
    <row r="561" customFormat="false" ht="12.8" hidden="false" customHeight="false" outlineLevel="0" collapsed="false">
      <c r="A561" s="0" t="s">
        <v>6332</v>
      </c>
      <c r="B561" s="0" t="s">
        <v>6333</v>
      </c>
      <c r="C561" s="0" t="s">
        <v>49</v>
      </c>
      <c r="D561" s="0" t="s">
        <v>5023</v>
      </c>
      <c r="E561" s="0" t="s">
        <v>5024</v>
      </c>
      <c r="F561" s="0" t="s">
        <v>5024</v>
      </c>
      <c r="G561" s="0" t="s">
        <v>1883</v>
      </c>
      <c r="H561" s="0" t="s">
        <v>2100</v>
      </c>
      <c r="I561" s="0" t="s">
        <v>6329</v>
      </c>
      <c r="J561" s="0" t="s">
        <v>6330</v>
      </c>
      <c r="K561" s="444" t="s">
        <v>6331</v>
      </c>
    </row>
    <row r="562" customFormat="false" ht="12.8" hidden="false" customHeight="false" outlineLevel="0" collapsed="false">
      <c r="A562" s="0" t="s">
        <v>6334</v>
      </c>
      <c r="B562" s="0" t="s">
        <v>6335</v>
      </c>
      <c r="C562" s="0" t="s">
        <v>49</v>
      </c>
      <c r="D562" s="0" t="s">
        <v>5023</v>
      </c>
      <c r="E562" s="0" t="s">
        <v>5024</v>
      </c>
      <c r="F562" s="0" t="s">
        <v>5024</v>
      </c>
      <c r="G562" s="0" t="s">
        <v>1883</v>
      </c>
      <c r="H562" s="0" t="s">
        <v>2100</v>
      </c>
      <c r="I562" s="0" t="s">
        <v>6329</v>
      </c>
      <c r="J562" s="0" t="s">
        <v>6330</v>
      </c>
      <c r="K562" s="444" t="s">
        <v>6331</v>
      </c>
    </row>
    <row r="563" customFormat="false" ht="12.8" hidden="false" customHeight="false" outlineLevel="0" collapsed="false">
      <c r="A563" s="0" t="s">
        <v>6336</v>
      </c>
      <c r="B563" s="0" t="s">
        <v>6337</v>
      </c>
      <c r="C563" s="0" t="s">
        <v>49</v>
      </c>
      <c r="D563" s="0" t="s">
        <v>5023</v>
      </c>
      <c r="E563" s="0" t="s">
        <v>5024</v>
      </c>
      <c r="F563" s="0" t="s">
        <v>5024</v>
      </c>
      <c r="G563" s="0" t="s">
        <v>1883</v>
      </c>
      <c r="H563" s="0" t="s">
        <v>2100</v>
      </c>
      <c r="I563" s="0" t="s">
        <v>6329</v>
      </c>
      <c r="J563" s="0" t="s">
        <v>6330</v>
      </c>
      <c r="K563" s="444" t="s">
        <v>6331</v>
      </c>
    </row>
    <row r="564" customFormat="false" ht="12.8" hidden="false" customHeight="false" outlineLevel="0" collapsed="false">
      <c r="A564" s="0" t="s">
        <v>6338</v>
      </c>
      <c r="B564" s="0" t="s">
        <v>6339</v>
      </c>
      <c r="C564" s="0" t="s">
        <v>49</v>
      </c>
      <c r="D564" s="0" t="s">
        <v>5023</v>
      </c>
      <c r="E564" s="0" t="s">
        <v>5024</v>
      </c>
      <c r="F564" s="0" t="s">
        <v>5024</v>
      </c>
      <c r="G564" s="0" t="s">
        <v>1883</v>
      </c>
      <c r="H564" s="0" t="s">
        <v>2100</v>
      </c>
      <c r="I564" s="0" t="s">
        <v>6329</v>
      </c>
      <c r="J564" s="0" t="s">
        <v>6330</v>
      </c>
      <c r="K564" s="444" t="s">
        <v>6331</v>
      </c>
    </row>
    <row r="565" customFormat="false" ht="12.8" hidden="false" customHeight="false" outlineLevel="0" collapsed="false">
      <c r="A565" s="0" t="s">
        <v>6340</v>
      </c>
      <c r="B565" s="0" t="s">
        <v>6341</v>
      </c>
      <c r="C565" s="0" t="s">
        <v>49</v>
      </c>
      <c r="D565" s="0" t="s">
        <v>5061</v>
      </c>
      <c r="E565" s="0" t="s">
        <v>5062</v>
      </c>
      <c r="F565" s="0" t="s">
        <v>5062</v>
      </c>
      <c r="G565" s="0" t="s">
        <v>1883</v>
      </c>
      <c r="H565" s="0" t="s">
        <v>2100</v>
      </c>
      <c r="I565" s="0" t="s">
        <v>6329</v>
      </c>
      <c r="J565" s="0" t="s">
        <v>6330</v>
      </c>
      <c r="K565" s="444" t="s">
        <v>6331</v>
      </c>
    </row>
    <row r="566" customFormat="false" ht="12.8" hidden="false" customHeight="false" outlineLevel="0" collapsed="false">
      <c r="A566" s="0" t="s">
        <v>6342</v>
      </c>
      <c r="B566" s="0" t="s">
        <v>6343</v>
      </c>
      <c r="C566" s="0" t="s">
        <v>49</v>
      </c>
      <c r="D566" s="0" t="s">
        <v>5023</v>
      </c>
      <c r="E566" s="0" t="s">
        <v>5024</v>
      </c>
      <c r="F566" s="0" t="s">
        <v>5024</v>
      </c>
      <c r="G566" s="0" t="s">
        <v>1883</v>
      </c>
      <c r="H566" s="0" t="s">
        <v>2100</v>
      </c>
      <c r="I566" s="0" t="s">
        <v>6329</v>
      </c>
      <c r="J566" s="0" t="s">
        <v>6330</v>
      </c>
      <c r="K566" s="444" t="s">
        <v>6331</v>
      </c>
    </row>
    <row r="567" customFormat="false" ht="12.8" hidden="false" customHeight="false" outlineLevel="0" collapsed="false">
      <c r="A567" s="0" t="s">
        <v>6344</v>
      </c>
      <c r="B567" s="0" t="s">
        <v>6345</v>
      </c>
      <c r="C567" s="0" t="s">
        <v>49</v>
      </c>
      <c r="D567" s="0" t="s">
        <v>5023</v>
      </c>
      <c r="E567" s="0" t="s">
        <v>5024</v>
      </c>
      <c r="F567" s="0" t="s">
        <v>5024</v>
      </c>
      <c r="G567" s="0" t="s">
        <v>1883</v>
      </c>
      <c r="H567" s="0" t="s">
        <v>2100</v>
      </c>
      <c r="I567" s="0" t="s">
        <v>6329</v>
      </c>
      <c r="J567" s="0" t="s">
        <v>6330</v>
      </c>
      <c r="K567" s="444" t="s">
        <v>6331</v>
      </c>
    </row>
    <row r="568" customFormat="false" ht="12.8" hidden="false" customHeight="false" outlineLevel="0" collapsed="false">
      <c r="A568" s="0" t="s">
        <v>6346</v>
      </c>
      <c r="B568" s="0" t="s">
        <v>6347</v>
      </c>
      <c r="C568" s="0" t="s">
        <v>49</v>
      </c>
      <c r="D568" s="0" t="s">
        <v>5023</v>
      </c>
      <c r="E568" s="0" t="s">
        <v>5024</v>
      </c>
      <c r="F568" s="0" t="s">
        <v>5024</v>
      </c>
      <c r="G568" s="0" t="s">
        <v>1883</v>
      </c>
      <c r="H568" s="0" t="s">
        <v>2100</v>
      </c>
      <c r="I568" s="0" t="s">
        <v>6329</v>
      </c>
      <c r="J568" s="0" t="s">
        <v>6330</v>
      </c>
      <c r="K568" s="444" t="s">
        <v>6331</v>
      </c>
    </row>
    <row r="569" customFormat="false" ht="12.8" hidden="false" customHeight="false" outlineLevel="0" collapsed="false">
      <c r="A569" s="0" t="s">
        <v>6348</v>
      </c>
      <c r="B569" s="0" t="s">
        <v>6349</v>
      </c>
      <c r="C569" s="0" t="s">
        <v>49</v>
      </c>
      <c r="D569" s="0" t="s">
        <v>5057</v>
      </c>
      <c r="E569" s="0" t="s">
        <v>5058</v>
      </c>
      <c r="F569" s="0" t="s">
        <v>5058</v>
      </c>
      <c r="G569" s="0" t="s">
        <v>1883</v>
      </c>
      <c r="H569" s="0" t="s">
        <v>2100</v>
      </c>
      <c r="I569" s="0" t="s">
        <v>6329</v>
      </c>
      <c r="J569" s="0" t="s">
        <v>6330</v>
      </c>
      <c r="K569" s="444" t="s">
        <v>6331</v>
      </c>
    </row>
    <row r="570" customFormat="false" ht="12.8" hidden="false" customHeight="false" outlineLevel="0" collapsed="false">
      <c r="A570" s="0" t="s">
        <v>6350</v>
      </c>
      <c r="B570" s="0" t="s">
        <v>6351</v>
      </c>
      <c r="C570" s="0" t="s">
        <v>56</v>
      </c>
      <c r="D570" s="0" t="s">
        <v>5057</v>
      </c>
      <c r="E570" s="0" t="s">
        <v>5058</v>
      </c>
      <c r="F570" s="0" t="s">
        <v>5058</v>
      </c>
      <c r="G570" s="0" t="s">
        <v>1883</v>
      </c>
      <c r="H570" s="0" t="s">
        <v>2100</v>
      </c>
      <c r="I570" s="0" t="s">
        <v>6352</v>
      </c>
      <c r="J570" s="0" t="s">
        <v>6353</v>
      </c>
      <c r="K570" s="0" t="s">
        <v>6354</v>
      </c>
    </row>
    <row r="571" customFormat="false" ht="12.8" hidden="false" customHeight="false" outlineLevel="0" collapsed="false">
      <c r="A571" s="0" t="s">
        <v>6355</v>
      </c>
      <c r="B571" s="0" t="s">
        <v>6356</v>
      </c>
      <c r="C571" s="0" t="s">
        <v>56</v>
      </c>
      <c r="D571" s="0" t="s">
        <v>5061</v>
      </c>
      <c r="E571" s="0" t="s">
        <v>5062</v>
      </c>
      <c r="F571" s="0" t="s">
        <v>5062</v>
      </c>
      <c r="G571" s="0" t="s">
        <v>1883</v>
      </c>
      <c r="H571" s="0" t="s">
        <v>2100</v>
      </c>
      <c r="I571" s="0" t="s">
        <v>6352</v>
      </c>
      <c r="J571" s="0" t="s">
        <v>6353</v>
      </c>
      <c r="K571" s="0" t="s">
        <v>6354</v>
      </c>
    </row>
    <row r="572" customFormat="false" ht="12.8" hidden="false" customHeight="false" outlineLevel="0" collapsed="false">
      <c r="A572" s="0" t="s">
        <v>6357</v>
      </c>
      <c r="B572" s="0" t="s">
        <v>6358</v>
      </c>
      <c r="C572" s="0" t="s">
        <v>56</v>
      </c>
      <c r="D572" s="0" t="s">
        <v>5023</v>
      </c>
      <c r="E572" s="0" t="s">
        <v>5024</v>
      </c>
      <c r="F572" s="0" t="s">
        <v>5024</v>
      </c>
      <c r="G572" s="0" t="s">
        <v>1883</v>
      </c>
      <c r="H572" s="0" t="s">
        <v>2100</v>
      </c>
      <c r="I572" s="0" t="s">
        <v>6352</v>
      </c>
      <c r="J572" s="0" t="s">
        <v>6353</v>
      </c>
      <c r="K572" s="0" t="s">
        <v>6354</v>
      </c>
    </row>
    <row r="573" customFormat="false" ht="12.8" hidden="false" customHeight="false" outlineLevel="0" collapsed="false">
      <c r="A573" s="0" t="s">
        <v>6359</v>
      </c>
      <c r="B573" s="0" t="s">
        <v>6360</v>
      </c>
      <c r="C573" s="0" t="s">
        <v>56</v>
      </c>
      <c r="D573" s="0" t="s">
        <v>5023</v>
      </c>
      <c r="E573" s="0" t="s">
        <v>5024</v>
      </c>
      <c r="F573" s="0" t="s">
        <v>5024</v>
      </c>
      <c r="G573" s="0" t="s">
        <v>1883</v>
      </c>
      <c r="H573" s="0" t="s">
        <v>2100</v>
      </c>
      <c r="I573" s="0" t="s">
        <v>6352</v>
      </c>
      <c r="J573" s="0" t="s">
        <v>6353</v>
      </c>
      <c r="K573" s="0" t="s">
        <v>6354</v>
      </c>
    </row>
    <row r="574" customFormat="false" ht="12.8" hidden="false" customHeight="false" outlineLevel="0" collapsed="false">
      <c r="A574" s="0" t="s">
        <v>6361</v>
      </c>
      <c r="B574" s="0" t="s">
        <v>6362</v>
      </c>
      <c r="C574" s="0" t="s">
        <v>56</v>
      </c>
      <c r="D574" s="0" t="s">
        <v>5023</v>
      </c>
      <c r="E574" s="0" t="s">
        <v>5024</v>
      </c>
      <c r="F574" s="0" t="s">
        <v>5024</v>
      </c>
      <c r="G574" s="0" t="s">
        <v>1883</v>
      </c>
      <c r="H574" s="0" t="s">
        <v>2100</v>
      </c>
      <c r="I574" s="0" t="s">
        <v>6352</v>
      </c>
      <c r="J574" s="0" t="s">
        <v>6353</v>
      </c>
      <c r="K574" s="0" t="s">
        <v>6354</v>
      </c>
    </row>
    <row r="575" customFormat="false" ht="12.8" hidden="false" customHeight="false" outlineLevel="0" collapsed="false">
      <c r="A575" s="0" t="s">
        <v>6363</v>
      </c>
      <c r="B575" s="0" t="s">
        <v>6364</v>
      </c>
      <c r="C575" s="0" t="s">
        <v>144</v>
      </c>
      <c r="D575" s="0" t="s">
        <v>5023</v>
      </c>
      <c r="E575" s="0" t="s">
        <v>5024</v>
      </c>
      <c r="F575" s="0" t="s">
        <v>5024</v>
      </c>
      <c r="G575" s="0" t="s">
        <v>1883</v>
      </c>
      <c r="H575" s="0" t="s">
        <v>2100</v>
      </c>
      <c r="I575" s="0" t="s">
        <v>6365</v>
      </c>
      <c r="J575" s="0" t="s">
        <v>6366</v>
      </c>
      <c r="K575" s="444" t="s">
        <v>6367</v>
      </c>
    </row>
    <row r="576" customFormat="false" ht="12.8" hidden="false" customHeight="false" outlineLevel="0" collapsed="false">
      <c r="A576" s="0" t="s">
        <v>6368</v>
      </c>
      <c r="B576" s="0" t="s">
        <v>6369</v>
      </c>
      <c r="C576" s="0" t="s">
        <v>144</v>
      </c>
      <c r="D576" s="0" t="s">
        <v>5023</v>
      </c>
      <c r="E576" s="0" t="s">
        <v>5024</v>
      </c>
      <c r="F576" s="0" t="s">
        <v>5024</v>
      </c>
      <c r="G576" s="0" t="s">
        <v>1883</v>
      </c>
      <c r="H576" s="0" t="s">
        <v>2100</v>
      </c>
      <c r="I576" s="0" t="s">
        <v>6365</v>
      </c>
      <c r="J576" s="0" t="s">
        <v>6366</v>
      </c>
      <c r="K576" s="444" t="s">
        <v>6367</v>
      </c>
    </row>
    <row r="577" customFormat="false" ht="12.8" hidden="false" customHeight="false" outlineLevel="0" collapsed="false">
      <c r="A577" s="0" t="s">
        <v>6370</v>
      </c>
      <c r="B577" s="0" t="s">
        <v>6371</v>
      </c>
      <c r="C577" s="0" t="s">
        <v>144</v>
      </c>
      <c r="D577" s="0" t="s">
        <v>5057</v>
      </c>
      <c r="E577" s="0" t="s">
        <v>5058</v>
      </c>
      <c r="F577" s="0" t="s">
        <v>5058</v>
      </c>
      <c r="G577" s="0" t="s">
        <v>1883</v>
      </c>
      <c r="H577" s="0" t="s">
        <v>2100</v>
      </c>
      <c r="I577" s="0" t="s">
        <v>6365</v>
      </c>
      <c r="J577" s="0" t="s">
        <v>6366</v>
      </c>
      <c r="K577" s="444" t="s">
        <v>6367</v>
      </c>
    </row>
    <row r="578" customFormat="false" ht="12.8" hidden="false" customHeight="false" outlineLevel="0" collapsed="false">
      <c r="A578" s="0" t="s">
        <v>6372</v>
      </c>
      <c r="B578" s="0" t="s">
        <v>6373</v>
      </c>
      <c r="C578" s="0" t="s">
        <v>144</v>
      </c>
      <c r="D578" s="0" t="s">
        <v>5023</v>
      </c>
      <c r="E578" s="0" t="s">
        <v>5024</v>
      </c>
      <c r="F578" s="0" t="s">
        <v>5024</v>
      </c>
      <c r="G578" s="0" t="s">
        <v>1883</v>
      </c>
      <c r="H578" s="0" t="s">
        <v>2100</v>
      </c>
      <c r="I578" s="0" t="s">
        <v>6365</v>
      </c>
      <c r="J578" s="0" t="s">
        <v>6366</v>
      </c>
      <c r="K578" s="444" t="s">
        <v>6367</v>
      </c>
    </row>
    <row r="579" customFormat="false" ht="12.8" hidden="false" customHeight="false" outlineLevel="0" collapsed="false">
      <c r="A579" s="0" t="s">
        <v>6374</v>
      </c>
      <c r="B579" s="0" t="s">
        <v>6375</v>
      </c>
      <c r="C579" s="0" t="s">
        <v>144</v>
      </c>
      <c r="D579" s="0" t="s">
        <v>5023</v>
      </c>
      <c r="E579" s="0" t="s">
        <v>5024</v>
      </c>
      <c r="F579" s="0" t="s">
        <v>5024</v>
      </c>
      <c r="G579" s="0" t="s">
        <v>1883</v>
      </c>
      <c r="H579" s="0" t="s">
        <v>2100</v>
      </c>
      <c r="I579" s="0" t="s">
        <v>6365</v>
      </c>
      <c r="J579" s="0" t="s">
        <v>6366</v>
      </c>
      <c r="K579" s="444" t="s">
        <v>6367</v>
      </c>
    </row>
    <row r="580" customFormat="false" ht="12.8" hidden="false" customHeight="false" outlineLevel="0" collapsed="false">
      <c r="A580" s="0" t="s">
        <v>6376</v>
      </c>
      <c r="B580" s="0" t="s">
        <v>6377</v>
      </c>
      <c r="C580" s="0" t="s">
        <v>144</v>
      </c>
      <c r="D580" s="0" t="s">
        <v>5023</v>
      </c>
      <c r="E580" s="0" t="s">
        <v>5024</v>
      </c>
      <c r="F580" s="0" t="s">
        <v>5024</v>
      </c>
      <c r="G580" s="0" t="s">
        <v>1883</v>
      </c>
      <c r="H580" s="0" t="s">
        <v>2100</v>
      </c>
      <c r="I580" s="0" t="s">
        <v>6365</v>
      </c>
      <c r="J580" s="0" t="s">
        <v>6366</v>
      </c>
      <c r="K580" s="444" t="s">
        <v>6367</v>
      </c>
    </row>
    <row r="581" customFormat="false" ht="12.8" hidden="false" customHeight="false" outlineLevel="0" collapsed="false">
      <c r="A581" s="0" t="s">
        <v>6378</v>
      </c>
      <c r="B581" s="0" t="s">
        <v>6379</v>
      </c>
      <c r="C581" s="0" t="s">
        <v>144</v>
      </c>
      <c r="D581" s="0" t="s">
        <v>5023</v>
      </c>
      <c r="E581" s="0" t="s">
        <v>5024</v>
      </c>
      <c r="F581" s="0" t="s">
        <v>5024</v>
      </c>
      <c r="G581" s="0" t="s">
        <v>1883</v>
      </c>
      <c r="H581" s="0" t="s">
        <v>2100</v>
      </c>
      <c r="I581" s="0" t="s">
        <v>6365</v>
      </c>
      <c r="J581" s="0" t="s">
        <v>6366</v>
      </c>
      <c r="K581" s="444" t="s">
        <v>6367</v>
      </c>
    </row>
    <row r="582" customFormat="false" ht="12.8" hidden="false" customHeight="false" outlineLevel="0" collapsed="false">
      <c r="A582" s="0" t="s">
        <v>6380</v>
      </c>
      <c r="B582" s="0" t="s">
        <v>6381</v>
      </c>
      <c r="C582" s="0" t="s">
        <v>144</v>
      </c>
      <c r="D582" s="0" t="s">
        <v>5061</v>
      </c>
      <c r="E582" s="0" t="s">
        <v>5062</v>
      </c>
      <c r="F582" s="0" t="s">
        <v>5062</v>
      </c>
      <c r="G582" s="0" t="s">
        <v>1883</v>
      </c>
      <c r="H582" s="0" t="s">
        <v>2100</v>
      </c>
      <c r="I582" s="0" t="s">
        <v>6365</v>
      </c>
      <c r="J582" s="0" t="s">
        <v>6366</v>
      </c>
      <c r="K582" s="444" t="s">
        <v>6367</v>
      </c>
    </row>
    <row r="583" customFormat="false" ht="12.8" hidden="false" customHeight="false" outlineLevel="0" collapsed="false">
      <c r="A583" s="0" t="s">
        <v>6382</v>
      </c>
      <c r="B583" s="0" t="s">
        <v>6383</v>
      </c>
      <c r="C583" s="0" t="s">
        <v>144</v>
      </c>
      <c r="D583" s="0" t="s">
        <v>5023</v>
      </c>
      <c r="E583" s="0" t="s">
        <v>5024</v>
      </c>
      <c r="F583" s="0" t="s">
        <v>5024</v>
      </c>
      <c r="G583" s="0" t="s">
        <v>1883</v>
      </c>
      <c r="H583" s="0" t="s">
        <v>2100</v>
      </c>
      <c r="I583" s="0" t="s">
        <v>6365</v>
      </c>
      <c r="J583" s="0" t="s">
        <v>6366</v>
      </c>
      <c r="K583" s="444" t="s">
        <v>6367</v>
      </c>
    </row>
    <row r="584" customFormat="false" ht="12.8" hidden="false" customHeight="false" outlineLevel="0" collapsed="false">
      <c r="A584" s="0" t="s">
        <v>6384</v>
      </c>
      <c r="B584" s="0" t="s">
        <v>6385</v>
      </c>
      <c r="C584" s="0" t="s">
        <v>144</v>
      </c>
      <c r="D584" s="0" t="s">
        <v>5023</v>
      </c>
      <c r="E584" s="0" t="s">
        <v>5024</v>
      </c>
      <c r="F584" s="0" t="s">
        <v>5024</v>
      </c>
      <c r="G584" s="0" t="s">
        <v>1883</v>
      </c>
      <c r="H584" s="0" t="s">
        <v>2100</v>
      </c>
      <c r="I584" s="0" t="s">
        <v>6365</v>
      </c>
      <c r="J584" s="0" t="s">
        <v>6366</v>
      </c>
      <c r="K584" s="444" t="s">
        <v>6367</v>
      </c>
    </row>
    <row r="585" customFormat="false" ht="12.8" hidden="false" customHeight="false" outlineLevel="0" collapsed="false">
      <c r="A585" s="0" t="s">
        <v>6386</v>
      </c>
      <c r="B585" s="0" t="s">
        <v>6387</v>
      </c>
      <c r="C585" s="0" t="s">
        <v>59</v>
      </c>
      <c r="D585" s="0" t="s">
        <v>5023</v>
      </c>
      <c r="E585" s="0" t="s">
        <v>5024</v>
      </c>
      <c r="F585" s="0" t="s">
        <v>5024</v>
      </c>
      <c r="G585" s="0" t="s">
        <v>1883</v>
      </c>
      <c r="H585" s="0" t="s">
        <v>1995</v>
      </c>
      <c r="I585" s="0" t="s">
        <v>6388</v>
      </c>
      <c r="J585" s="0" t="s">
        <v>6389</v>
      </c>
      <c r="K585" s="0" t="s">
        <v>5291</v>
      </c>
    </row>
    <row r="586" customFormat="false" ht="12.8" hidden="false" customHeight="false" outlineLevel="0" collapsed="false">
      <c r="A586" s="0" t="s">
        <v>6390</v>
      </c>
      <c r="B586" s="0" t="s">
        <v>6391</v>
      </c>
      <c r="C586" s="0" t="s">
        <v>59</v>
      </c>
      <c r="D586" s="0" t="s">
        <v>5023</v>
      </c>
      <c r="E586" s="0" t="s">
        <v>5024</v>
      </c>
      <c r="F586" s="0" t="s">
        <v>5024</v>
      </c>
      <c r="G586" s="0" t="s">
        <v>1883</v>
      </c>
      <c r="H586" s="0" t="s">
        <v>1995</v>
      </c>
      <c r="I586" s="0" t="s">
        <v>6388</v>
      </c>
      <c r="J586" s="0" t="s">
        <v>6389</v>
      </c>
      <c r="K586" s="0" t="s">
        <v>5291</v>
      </c>
    </row>
    <row r="587" customFormat="false" ht="12.8" hidden="false" customHeight="false" outlineLevel="0" collapsed="false">
      <c r="A587" s="0" t="s">
        <v>6392</v>
      </c>
      <c r="B587" s="0" t="s">
        <v>6393</v>
      </c>
      <c r="C587" s="0" t="s">
        <v>59</v>
      </c>
      <c r="D587" s="0" t="s">
        <v>5061</v>
      </c>
      <c r="E587" s="0" t="s">
        <v>5062</v>
      </c>
      <c r="F587" s="0" t="s">
        <v>5062</v>
      </c>
      <c r="G587" s="0" t="s">
        <v>1883</v>
      </c>
      <c r="H587" s="0" t="s">
        <v>1995</v>
      </c>
      <c r="I587" s="0" t="s">
        <v>6388</v>
      </c>
      <c r="J587" s="0" t="s">
        <v>6389</v>
      </c>
      <c r="K587" s="0" t="s">
        <v>5291</v>
      </c>
    </row>
    <row r="588" customFormat="false" ht="12.8" hidden="false" customHeight="false" outlineLevel="0" collapsed="false">
      <c r="A588" s="0" t="s">
        <v>6394</v>
      </c>
      <c r="B588" s="0" t="s">
        <v>6395</v>
      </c>
      <c r="C588" s="0" t="s">
        <v>59</v>
      </c>
      <c r="D588" s="0" t="s">
        <v>5023</v>
      </c>
      <c r="E588" s="0" t="s">
        <v>5024</v>
      </c>
      <c r="F588" s="0" t="s">
        <v>5024</v>
      </c>
      <c r="G588" s="0" t="s">
        <v>1883</v>
      </c>
      <c r="H588" s="0" t="s">
        <v>1995</v>
      </c>
      <c r="I588" s="0" t="s">
        <v>6388</v>
      </c>
      <c r="J588" s="0" t="s">
        <v>6389</v>
      </c>
      <c r="K588" s="0" t="s">
        <v>5291</v>
      </c>
    </row>
    <row r="589" customFormat="false" ht="12.8" hidden="false" customHeight="false" outlineLevel="0" collapsed="false">
      <c r="A589" s="0" t="s">
        <v>6396</v>
      </c>
      <c r="B589" s="0" t="s">
        <v>6397</v>
      </c>
      <c r="C589" s="0" t="s">
        <v>403</v>
      </c>
      <c r="D589" s="0" t="s">
        <v>5061</v>
      </c>
      <c r="E589" s="0" t="s">
        <v>5062</v>
      </c>
      <c r="F589" s="0" t="s">
        <v>5062</v>
      </c>
      <c r="G589" s="0" t="s">
        <v>1883</v>
      </c>
      <c r="H589" s="0" t="s">
        <v>1995</v>
      </c>
      <c r="I589" s="0" t="s">
        <v>6398</v>
      </c>
      <c r="J589" s="0" t="s">
        <v>6399</v>
      </c>
      <c r="K589" s="0" t="s">
        <v>5260</v>
      </c>
    </row>
    <row r="590" customFormat="false" ht="12.8" hidden="false" customHeight="false" outlineLevel="0" collapsed="false">
      <c r="A590" s="0" t="s">
        <v>6400</v>
      </c>
      <c r="B590" s="0" t="s">
        <v>6401</v>
      </c>
      <c r="C590" s="0" t="s">
        <v>403</v>
      </c>
      <c r="D590" s="0" t="s">
        <v>5057</v>
      </c>
      <c r="E590" s="0" t="s">
        <v>5058</v>
      </c>
      <c r="F590" s="0" t="s">
        <v>5058</v>
      </c>
      <c r="G590" s="0" t="s">
        <v>1883</v>
      </c>
      <c r="H590" s="0" t="s">
        <v>1995</v>
      </c>
      <c r="I590" s="0" t="s">
        <v>6398</v>
      </c>
      <c r="J590" s="0" t="s">
        <v>6399</v>
      </c>
      <c r="K590" s="0" t="s">
        <v>5260</v>
      </c>
    </row>
    <row r="591" customFormat="false" ht="12.8" hidden="false" customHeight="false" outlineLevel="0" collapsed="false">
      <c r="A591" s="0" t="s">
        <v>6402</v>
      </c>
      <c r="B591" s="0" t="s">
        <v>6403</v>
      </c>
      <c r="C591" s="0" t="s">
        <v>403</v>
      </c>
      <c r="D591" s="0" t="s">
        <v>5023</v>
      </c>
      <c r="E591" s="0" t="s">
        <v>5024</v>
      </c>
      <c r="F591" s="0" t="s">
        <v>5024</v>
      </c>
      <c r="G591" s="0" t="s">
        <v>1883</v>
      </c>
      <c r="H591" s="0" t="s">
        <v>1995</v>
      </c>
      <c r="I591" s="0" t="s">
        <v>6398</v>
      </c>
      <c r="J591" s="0" t="s">
        <v>6399</v>
      </c>
      <c r="K591" s="0" t="s">
        <v>5260</v>
      </c>
    </row>
    <row r="592" customFormat="false" ht="12.8" hidden="false" customHeight="false" outlineLevel="0" collapsed="false">
      <c r="A592" s="0" t="s">
        <v>6404</v>
      </c>
      <c r="B592" s="0" t="s">
        <v>6405</v>
      </c>
      <c r="C592" s="0" t="s">
        <v>403</v>
      </c>
      <c r="D592" s="0" t="s">
        <v>5023</v>
      </c>
      <c r="E592" s="0" t="s">
        <v>5024</v>
      </c>
      <c r="F592" s="0" t="s">
        <v>5024</v>
      </c>
      <c r="G592" s="0" t="s">
        <v>1883</v>
      </c>
      <c r="H592" s="0" t="s">
        <v>1995</v>
      </c>
      <c r="I592" s="0" t="s">
        <v>6398</v>
      </c>
      <c r="J592" s="0" t="s">
        <v>6399</v>
      </c>
      <c r="K592" s="0" t="s">
        <v>5260</v>
      </c>
    </row>
    <row r="593" customFormat="false" ht="12.8" hidden="false" customHeight="false" outlineLevel="0" collapsed="false">
      <c r="A593" s="0" t="s">
        <v>6406</v>
      </c>
      <c r="B593" s="0" t="s">
        <v>6407</v>
      </c>
      <c r="C593" s="0" t="s">
        <v>403</v>
      </c>
      <c r="D593" s="0" t="s">
        <v>5023</v>
      </c>
      <c r="E593" s="0" t="s">
        <v>5024</v>
      </c>
      <c r="F593" s="0" t="s">
        <v>5024</v>
      </c>
      <c r="G593" s="0" t="s">
        <v>1883</v>
      </c>
      <c r="H593" s="0" t="s">
        <v>1995</v>
      </c>
      <c r="I593" s="0" t="s">
        <v>6398</v>
      </c>
      <c r="J593" s="0" t="s">
        <v>6399</v>
      </c>
      <c r="K593" s="0" t="s">
        <v>5260</v>
      </c>
    </row>
    <row r="594" customFormat="false" ht="12.8" hidden="false" customHeight="false" outlineLevel="0" collapsed="false">
      <c r="A594" s="0" t="s">
        <v>6408</v>
      </c>
      <c r="B594" s="0" t="s">
        <v>6409</v>
      </c>
      <c r="C594" s="0" t="s">
        <v>77</v>
      </c>
      <c r="D594" s="0" t="s">
        <v>5061</v>
      </c>
      <c r="E594" s="0" t="s">
        <v>5062</v>
      </c>
      <c r="F594" s="0" t="s">
        <v>5062</v>
      </c>
      <c r="G594" s="0" t="s">
        <v>1883</v>
      </c>
      <c r="H594" s="0" t="s">
        <v>1995</v>
      </c>
      <c r="I594" s="0" t="s">
        <v>6410</v>
      </c>
      <c r="J594" s="0" t="s">
        <v>6411</v>
      </c>
      <c r="K594" s="0" t="s">
        <v>5260</v>
      </c>
    </row>
    <row r="595" customFormat="false" ht="12.8" hidden="false" customHeight="false" outlineLevel="0" collapsed="false">
      <c r="A595" s="0" t="s">
        <v>6412</v>
      </c>
      <c r="B595" s="0" t="s">
        <v>6413</v>
      </c>
      <c r="C595" s="0" t="s">
        <v>77</v>
      </c>
      <c r="D595" s="0" t="s">
        <v>5023</v>
      </c>
      <c r="E595" s="0" t="s">
        <v>5024</v>
      </c>
      <c r="F595" s="0" t="s">
        <v>5024</v>
      </c>
      <c r="G595" s="0" t="s">
        <v>1883</v>
      </c>
      <c r="H595" s="0" t="s">
        <v>1995</v>
      </c>
      <c r="I595" s="0" t="s">
        <v>6410</v>
      </c>
      <c r="J595" s="0" t="s">
        <v>6411</v>
      </c>
      <c r="K595" s="0" t="s">
        <v>5260</v>
      </c>
    </row>
    <row r="596" customFormat="false" ht="12.8" hidden="false" customHeight="false" outlineLevel="0" collapsed="false">
      <c r="A596" s="0" t="s">
        <v>6414</v>
      </c>
      <c r="B596" s="0" t="s">
        <v>6415</v>
      </c>
      <c r="C596" s="0" t="s">
        <v>77</v>
      </c>
      <c r="D596" s="0" t="s">
        <v>5023</v>
      </c>
      <c r="E596" s="0" t="s">
        <v>5024</v>
      </c>
      <c r="F596" s="0" t="s">
        <v>5024</v>
      </c>
      <c r="G596" s="0" t="s">
        <v>1883</v>
      </c>
      <c r="H596" s="0" t="s">
        <v>1995</v>
      </c>
      <c r="I596" s="0" t="s">
        <v>6410</v>
      </c>
      <c r="J596" s="0" t="s">
        <v>6411</v>
      </c>
      <c r="K596" s="0" t="s">
        <v>5260</v>
      </c>
    </row>
    <row r="597" customFormat="false" ht="12.8" hidden="false" customHeight="false" outlineLevel="0" collapsed="false">
      <c r="A597" s="0" t="s">
        <v>6416</v>
      </c>
      <c r="B597" s="0" t="s">
        <v>6417</v>
      </c>
      <c r="C597" s="0" t="s">
        <v>77</v>
      </c>
      <c r="D597" s="0" t="s">
        <v>5023</v>
      </c>
      <c r="E597" s="0" t="s">
        <v>5024</v>
      </c>
      <c r="F597" s="0" t="s">
        <v>5024</v>
      </c>
      <c r="G597" s="0" t="s">
        <v>1883</v>
      </c>
      <c r="H597" s="0" t="s">
        <v>1995</v>
      </c>
      <c r="I597" s="0" t="s">
        <v>6410</v>
      </c>
      <c r="J597" s="0" t="s">
        <v>6411</v>
      </c>
      <c r="K597" s="0" t="s">
        <v>5260</v>
      </c>
    </row>
    <row r="598" customFormat="false" ht="12.8" hidden="false" customHeight="false" outlineLevel="0" collapsed="false">
      <c r="A598" s="0" t="s">
        <v>6418</v>
      </c>
      <c r="B598" s="0" t="s">
        <v>6419</v>
      </c>
      <c r="C598" s="0" t="s">
        <v>77</v>
      </c>
      <c r="D598" s="0" t="s">
        <v>5057</v>
      </c>
      <c r="E598" s="0" t="s">
        <v>5058</v>
      </c>
      <c r="F598" s="0" t="s">
        <v>5058</v>
      </c>
      <c r="G598" s="0" t="s">
        <v>1883</v>
      </c>
      <c r="H598" s="0" t="s">
        <v>1995</v>
      </c>
      <c r="I598" s="0" t="s">
        <v>6410</v>
      </c>
      <c r="J598" s="0" t="s">
        <v>6411</v>
      </c>
      <c r="K598" s="0" t="s">
        <v>5260</v>
      </c>
    </row>
    <row r="599" customFormat="false" ht="12.8" hidden="false" customHeight="false" outlineLevel="0" collapsed="false">
      <c r="A599" s="0" t="s">
        <v>6420</v>
      </c>
      <c r="B599" s="0" t="s">
        <v>6421</v>
      </c>
      <c r="C599" s="0" t="s">
        <v>405</v>
      </c>
      <c r="D599" s="0" t="s">
        <v>5023</v>
      </c>
      <c r="E599" s="0" t="s">
        <v>5024</v>
      </c>
      <c r="F599" s="0" t="s">
        <v>5024</v>
      </c>
      <c r="G599" s="0" t="s">
        <v>1883</v>
      </c>
      <c r="H599" s="0" t="s">
        <v>2100</v>
      </c>
      <c r="I599" s="0" t="s">
        <v>6422</v>
      </c>
      <c r="J599" s="0" t="s">
        <v>6423</v>
      </c>
      <c r="K599" s="0" t="s">
        <v>6094</v>
      </c>
    </row>
    <row r="600" customFormat="false" ht="12.8" hidden="false" customHeight="false" outlineLevel="0" collapsed="false">
      <c r="A600" s="0" t="s">
        <v>6424</v>
      </c>
      <c r="B600" s="0" t="s">
        <v>6425</v>
      </c>
      <c r="C600" s="0" t="s">
        <v>405</v>
      </c>
      <c r="D600" s="0" t="s">
        <v>5023</v>
      </c>
      <c r="E600" s="0" t="s">
        <v>5024</v>
      </c>
      <c r="F600" s="0" t="s">
        <v>5024</v>
      </c>
      <c r="G600" s="0" t="s">
        <v>1883</v>
      </c>
      <c r="H600" s="0" t="s">
        <v>2100</v>
      </c>
      <c r="I600" s="0" t="s">
        <v>6422</v>
      </c>
      <c r="J600" s="0" t="s">
        <v>6423</v>
      </c>
      <c r="K600" s="0" t="s">
        <v>6094</v>
      </c>
    </row>
    <row r="601" customFormat="false" ht="12.8" hidden="false" customHeight="false" outlineLevel="0" collapsed="false">
      <c r="A601" s="0" t="s">
        <v>6426</v>
      </c>
      <c r="B601" s="0" t="s">
        <v>6427</v>
      </c>
      <c r="C601" s="0" t="s">
        <v>405</v>
      </c>
      <c r="D601" s="0" t="s">
        <v>5023</v>
      </c>
      <c r="E601" s="0" t="s">
        <v>5024</v>
      </c>
      <c r="F601" s="0" t="s">
        <v>5024</v>
      </c>
      <c r="G601" s="0" t="s">
        <v>1883</v>
      </c>
      <c r="H601" s="0" t="s">
        <v>2100</v>
      </c>
      <c r="I601" s="0" t="s">
        <v>6422</v>
      </c>
      <c r="J601" s="0" t="s">
        <v>6423</v>
      </c>
      <c r="K601" s="0" t="s">
        <v>6094</v>
      </c>
    </row>
    <row r="602" customFormat="false" ht="12.8" hidden="false" customHeight="false" outlineLevel="0" collapsed="false">
      <c r="A602" s="0" t="s">
        <v>6428</v>
      </c>
      <c r="B602" s="0" t="s">
        <v>6429</v>
      </c>
      <c r="C602" s="0" t="s">
        <v>405</v>
      </c>
      <c r="D602" s="0" t="s">
        <v>5061</v>
      </c>
      <c r="E602" s="0" t="s">
        <v>5062</v>
      </c>
      <c r="F602" s="0" t="s">
        <v>5062</v>
      </c>
      <c r="G602" s="0" t="s">
        <v>1883</v>
      </c>
      <c r="H602" s="0" t="s">
        <v>2100</v>
      </c>
      <c r="I602" s="0" t="s">
        <v>6422</v>
      </c>
      <c r="J602" s="0" t="s">
        <v>6423</v>
      </c>
      <c r="K602" s="0" t="s">
        <v>6094</v>
      </c>
    </row>
    <row r="603" customFormat="false" ht="12.8" hidden="false" customHeight="false" outlineLevel="0" collapsed="false">
      <c r="A603" s="0" t="s">
        <v>6430</v>
      </c>
      <c r="B603" s="0" t="s">
        <v>6431</v>
      </c>
      <c r="C603" s="0" t="s">
        <v>10</v>
      </c>
      <c r="D603" s="0" t="s">
        <v>5061</v>
      </c>
      <c r="E603" s="0" t="s">
        <v>5062</v>
      </c>
      <c r="F603" s="0" t="s">
        <v>5062</v>
      </c>
      <c r="G603" s="0" t="s">
        <v>1883</v>
      </c>
      <c r="H603" s="0" t="s">
        <v>2100</v>
      </c>
      <c r="I603" s="0" t="s">
        <v>6432</v>
      </c>
      <c r="J603" s="0" t="s">
        <v>6433</v>
      </c>
      <c r="K603" s="0" t="s">
        <v>5260</v>
      </c>
    </row>
    <row r="604" customFormat="false" ht="12.8" hidden="false" customHeight="false" outlineLevel="0" collapsed="false">
      <c r="A604" s="0" t="s">
        <v>6434</v>
      </c>
      <c r="B604" s="0" t="s">
        <v>6435</v>
      </c>
      <c r="C604" s="0" t="s">
        <v>10</v>
      </c>
      <c r="D604" s="0" t="s">
        <v>5057</v>
      </c>
      <c r="E604" s="0" t="s">
        <v>5058</v>
      </c>
      <c r="F604" s="0" t="s">
        <v>5058</v>
      </c>
      <c r="G604" s="0" t="s">
        <v>1883</v>
      </c>
      <c r="H604" s="0" t="s">
        <v>2100</v>
      </c>
      <c r="I604" s="0" t="s">
        <v>6432</v>
      </c>
      <c r="J604" s="0" t="s">
        <v>6433</v>
      </c>
      <c r="K604" s="0" t="s">
        <v>5260</v>
      </c>
    </row>
    <row r="605" customFormat="false" ht="12.8" hidden="false" customHeight="false" outlineLevel="0" collapsed="false">
      <c r="A605" s="0" t="s">
        <v>6436</v>
      </c>
      <c r="B605" s="0" t="s">
        <v>6437</v>
      </c>
      <c r="C605" s="0" t="s">
        <v>10</v>
      </c>
      <c r="D605" s="0" t="s">
        <v>5023</v>
      </c>
      <c r="E605" s="0" t="s">
        <v>5024</v>
      </c>
      <c r="F605" s="0" t="s">
        <v>5024</v>
      </c>
      <c r="G605" s="0" t="s">
        <v>1883</v>
      </c>
      <c r="H605" s="0" t="s">
        <v>2100</v>
      </c>
      <c r="I605" s="0" t="s">
        <v>6432</v>
      </c>
      <c r="J605" s="0" t="s">
        <v>6433</v>
      </c>
      <c r="K605" s="0" t="s">
        <v>5260</v>
      </c>
    </row>
    <row r="606" customFormat="false" ht="12.8" hidden="false" customHeight="false" outlineLevel="0" collapsed="false">
      <c r="A606" s="0" t="s">
        <v>6438</v>
      </c>
      <c r="B606" s="0" t="s">
        <v>6439</v>
      </c>
      <c r="C606" s="0" t="s">
        <v>10</v>
      </c>
      <c r="D606" s="0" t="s">
        <v>5023</v>
      </c>
      <c r="E606" s="0" t="s">
        <v>5024</v>
      </c>
      <c r="F606" s="0" t="s">
        <v>5024</v>
      </c>
      <c r="G606" s="0" t="s">
        <v>1883</v>
      </c>
      <c r="H606" s="0" t="s">
        <v>2100</v>
      </c>
      <c r="I606" s="0" t="s">
        <v>6432</v>
      </c>
      <c r="J606" s="0" t="s">
        <v>6433</v>
      </c>
      <c r="K606" s="0" t="s">
        <v>5260</v>
      </c>
    </row>
    <row r="607" customFormat="false" ht="12.8" hidden="false" customHeight="false" outlineLevel="0" collapsed="false">
      <c r="A607" s="0" t="s">
        <v>6440</v>
      </c>
      <c r="B607" s="0" t="s">
        <v>6441</v>
      </c>
      <c r="C607" s="0" t="s">
        <v>10</v>
      </c>
      <c r="D607" s="0" t="s">
        <v>5023</v>
      </c>
      <c r="E607" s="0" t="s">
        <v>5024</v>
      </c>
      <c r="F607" s="0" t="s">
        <v>5024</v>
      </c>
      <c r="G607" s="0" t="s">
        <v>1883</v>
      </c>
      <c r="H607" s="0" t="s">
        <v>2100</v>
      </c>
      <c r="I607" s="0" t="s">
        <v>6432</v>
      </c>
      <c r="J607" s="0" t="s">
        <v>6433</v>
      </c>
      <c r="K607" s="0" t="s">
        <v>5260</v>
      </c>
    </row>
    <row r="608" customFormat="false" ht="12.8" hidden="false" customHeight="false" outlineLevel="0" collapsed="false">
      <c r="A608" s="0" t="s">
        <v>6442</v>
      </c>
      <c r="B608" s="0" t="s">
        <v>6443</v>
      </c>
      <c r="C608" s="0" t="s">
        <v>404</v>
      </c>
      <c r="D608" s="0" t="s">
        <v>5023</v>
      </c>
      <c r="E608" s="0" t="s">
        <v>5024</v>
      </c>
      <c r="F608" s="0" t="s">
        <v>5024</v>
      </c>
      <c r="G608" s="0" t="s">
        <v>1883</v>
      </c>
      <c r="H608" s="0" t="s">
        <v>2100</v>
      </c>
      <c r="I608" s="0" t="s">
        <v>6444</v>
      </c>
      <c r="J608" s="0" t="s">
        <v>6445</v>
      </c>
      <c r="K608" s="444" t="s">
        <v>6446</v>
      </c>
    </row>
    <row r="609" customFormat="false" ht="12.8" hidden="false" customHeight="false" outlineLevel="0" collapsed="false">
      <c r="A609" s="0" t="s">
        <v>6447</v>
      </c>
      <c r="B609" s="0" t="s">
        <v>6448</v>
      </c>
      <c r="C609" s="0" t="s">
        <v>404</v>
      </c>
      <c r="D609" s="0" t="s">
        <v>5023</v>
      </c>
      <c r="E609" s="0" t="s">
        <v>5024</v>
      </c>
      <c r="F609" s="0" t="s">
        <v>5024</v>
      </c>
      <c r="G609" s="0" t="s">
        <v>1883</v>
      </c>
      <c r="H609" s="0" t="s">
        <v>2100</v>
      </c>
      <c r="I609" s="0" t="s">
        <v>6444</v>
      </c>
      <c r="J609" s="0" t="s">
        <v>6445</v>
      </c>
      <c r="K609" s="444" t="s">
        <v>6446</v>
      </c>
    </row>
    <row r="610" customFormat="false" ht="12.8" hidden="false" customHeight="false" outlineLevel="0" collapsed="false">
      <c r="A610" s="0" t="s">
        <v>6449</v>
      </c>
      <c r="B610" s="0" t="s">
        <v>6450</v>
      </c>
      <c r="C610" s="0" t="s">
        <v>404</v>
      </c>
      <c r="D610" s="0" t="s">
        <v>5023</v>
      </c>
      <c r="E610" s="0" t="s">
        <v>5024</v>
      </c>
      <c r="F610" s="0" t="s">
        <v>5024</v>
      </c>
      <c r="G610" s="0" t="s">
        <v>1883</v>
      </c>
      <c r="H610" s="0" t="s">
        <v>2100</v>
      </c>
      <c r="I610" s="0" t="s">
        <v>6444</v>
      </c>
      <c r="J610" s="0" t="s">
        <v>6445</v>
      </c>
      <c r="K610" s="444" t="s">
        <v>6446</v>
      </c>
    </row>
    <row r="611" customFormat="false" ht="12.8" hidden="false" customHeight="false" outlineLevel="0" collapsed="false">
      <c r="A611" s="0" t="s">
        <v>6451</v>
      </c>
      <c r="B611" s="0" t="s">
        <v>6452</v>
      </c>
      <c r="C611" s="0" t="s">
        <v>404</v>
      </c>
      <c r="D611" s="0" t="s">
        <v>5023</v>
      </c>
      <c r="E611" s="0" t="s">
        <v>5024</v>
      </c>
      <c r="F611" s="0" t="s">
        <v>5024</v>
      </c>
      <c r="G611" s="0" t="s">
        <v>1883</v>
      </c>
      <c r="H611" s="0" t="s">
        <v>2100</v>
      </c>
      <c r="I611" s="0" t="s">
        <v>6444</v>
      </c>
      <c r="J611" s="0" t="s">
        <v>6445</v>
      </c>
      <c r="K611" s="444" t="s">
        <v>6446</v>
      </c>
    </row>
    <row r="612" customFormat="false" ht="12.8" hidden="false" customHeight="false" outlineLevel="0" collapsed="false">
      <c r="A612" s="0" t="s">
        <v>6453</v>
      </c>
      <c r="B612" s="0" t="s">
        <v>6454</v>
      </c>
      <c r="C612" s="0" t="s">
        <v>404</v>
      </c>
      <c r="D612" s="0" t="s">
        <v>5023</v>
      </c>
      <c r="E612" s="0" t="s">
        <v>5024</v>
      </c>
      <c r="F612" s="0" t="s">
        <v>5024</v>
      </c>
      <c r="G612" s="0" t="s">
        <v>1883</v>
      </c>
      <c r="H612" s="0" t="s">
        <v>2100</v>
      </c>
      <c r="I612" s="0" t="s">
        <v>6444</v>
      </c>
      <c r="J612" s="0" t="s">
        <v>6445</v>
      </c>
      <c r="K612" s="444" t="s">
        <v>6446</v>
      </c>
    </row>
    <row r="613" customFormat="false" ht="12.8" hidden="false" customHeight="false" outlineLevel="0" collapsed="false">
      <c r="A613" s="0" t="s">
        <v>6455</v>
      </c>
      <c r="B613" s="0" t="s">
        <v>6456</v>
      </c>
      <c r="C613" s="0" t="s">
        <v>404</v>
      </c>
      <c r="D613" s="0" t="s">
        <v>5023</v>
      </c>
      <c r="E613" s="0" t="s">
        <v>5024</v>
      </c>
      <c r="F613" s="0" t="s">
        <v>5024</v>
      </c>
      <c r="G613" s="0" t="s">
        <v>1883</v>
      </c>
      <c r="H613" s="0" t="s">
        <v>2100</v>
      </c>
      <c r="I613" s="0" t="s">
        <v>6444</v>
      </c>
      <c r="J613" s="0" t="s">
        <v>6445</v>
      </c>
      <c r="K613" s="444" t="s">
        <v>6446</v>
      </c>
    </row>
    <row r="614" customFormat="false" ht="12.8" hidden="false" customHeight="false" outlineLevel="0" collapsed="false">
      <c r="A614" s="0" t="s">
        <v>6457</v>
      </c>
      <c r="B614" s="0" t="s">
        <v>6458</v>
      </c>
      <c r="C614" s="0" t="s">
        <v>404</v>
      </c>
      <c r="D614" s="0" t="s">
        <v>5023</v>
      </c>
      <c r="E614" s="0" t="s">
        <v>5024</v>
      </c>
      <c r="F614" s="0" t="s">
        <v>5024</v>
      </c>
      <c r="G614" s="0" t="s">
        <v>1883</v>
      </c>
      <c r="H614" s="0" t="s">
        <v>2100</v>
      </c>
      <c r="I614" s="0" t="s">
        <v>6444</v>
      </c>
      <c r="J614" s="0" t="s">
        <v>6445</v>
      </c>
      <c r="K614" s="444" t="s">
        <v>6446</v>
      </c>
    </row>
    <row r="615" customFormat="false" ht="12.8" hidden="false" customHeight="false" outlineLevel="0" collapsed="false">
      <c r="A615" s="0" t="s">
        <v>6459</v>
      </c>
      <c r="B615" s="0" t="s">
        <v>6460</v>
      </c>
      <c r="C615" s="0" t="s">
        <v>404</v>
      </c>
      <c r="D615" s="0" t="s">
        <v>5023</v>
      </c>
      <c r="E615" s="0" t="s">
        <v>5024</v>
      </c>
      <c r="F615" s="0" t="s">
        <v>5024</v>
      </c>
      <c r="G615" s="0" t="s">
        <v>1883</v>
      </c>
      <c r="H615" s="0" t="s">
        <v>2100</v>
      </c>
      <c r="I615" s="0" t="s">
        <v>6444</v>
      </c>
      <c r="J615" s="0" t="s">
        <v>6445</v>
      </c>
      <c r="K615" s="444" t="s">
        <v>6446</v>
      </c>
    </row>
    <row r="616" customFormat="false" ht="12.8" hidden="false" customHeight="false" outlineLevel="0" collapsed="false">
      <c r="A616" s="0" t="s">
        <v>6461</v>
      </c>
      <c r="B616" s="0" t="s">
        <v>6462</v>
      </c>
      <c r="C616" s="0" t="s">
        <v>404</v>
      </c>
      <c r="D616" s="0" t="s">
        <v>5023</v>
      </c>
      <c r="E616" s="0" t="s">
        <v>5024</v>
      </c>
      <c r="F616" s="0" t="s">
        <v>5024</v>
      </c>
      <c r="G616" s="0" t="s">
        <v>1883</v>
      </c>
      <c r="H616" s="0" t="s">
        <v>2100</v>
      </c>
      <c r="I616" s="0" t="s">
        <v>6444</v>
      </c>
      <c r="J616" s="0" t="s">
        <v>6445</v>
      </c>
      <c r="K616" s="444" t="s">
        <v>6446</v>
      </c>
    </row>
    <row r="617" customFormat="false" ht="12.8" hidden="false" customHeight="false" outlineLevel="0" collapsed="false">
      <c r="A617" s="0" t="s">
        <v>6463</v>
      </c>
      <c r="B617" s="0" t="s">
        <v>6464</v>
      </c>
      <c r="C617" s="0" t="s">
        <v>404</v>
      </c>
      <c r="D617" s="0" t="s">
        <v>5023</v>
      </c>
      <c r="E617" s="0" t="s">
        <v>5024</v>
      </c>
      <c r="F617" s="0" t="s">
        <v>5024</v>
      </c>
      <c r="G617" s="0" t="s">
        <v>1883</v>
      </c>
      <c r="H617" s="0" t="s">
        <v>2100</v>
      </c>
      <c r="I617" s="0" t="s">
        <v>6444</v>
      </c>
      <c r="J617" s="0" t="s">
        <v>6445</v>
      </c>
      <c r="K617" s="444" t="s">
        <v>6446</v>
      </c>
    </row>
    <row r="618" customFormat="false" ht="12.8" hidden="false" customHeight="false" outlineLevel="0" collapsed="false">
      <c r="A618" s="0" t="s">
        <v>6465</v>
      </c>
      <c r="B618" s="0" t="s">
        <v>6466</v>
      </c>
      <c r="C618" s="0" t="s">
        <v>404</v>
      </c>
      <c r="D618" s="0" t="s">
        <v>5057</v>
      </c>
      <c r="E618" s="0" t="s">
        <v>5058</v>
      </c>
      <c r="F618" s="0" t="s">
        <v>5058</v>
      </c>
      <c r="G618" s="0" t="s">
        <v>1883</v>
      </c>
      <c r="H618" s="0" t="s">
        <v>2100</v>
      </c>
      <c r="I618" s="0" t="s">
        <v>6444</v>
      </c>
      <c r="J618" s="0" t="s">
        <v>6445</v>
      </c>
      <c r="K618" s="444" t="s">
        <v>6446</v>
      </c>
    </row>
    <row r="619" customFormat="false" ht="12.8" hidden="false" customHeight="false" outlineLevel="0" collapsed="false">
      <c r="A619" s="0" t="s">
        <v>6467</v>
      </c>
      <c r="B619" s="0" t="s">
        <v>6468</v>
      </c>
      <c r="C619" s="0" t="s">
        <v>404</v>
      </c>
      <c r="D619" s="0" t="s">
        <v>5061</v>
      </c>
      <c r="E619" s="0" t="s">
        <v>5062</v>
      </c>
      <c r="F619" s="0" t="s">
        <v>5062</v>
      </c>
      <c r="G619" s="0" t="s">
        <v>1883</v>
      </c>
      <c r="H619" s="0" t="s">
        <v>2100</v>
      </c>
      <c r="I619" s="0" t="s">
        <v>6444</v>
      </c>
      <c r="J619" s="0" t="s">
        <v>6445</v>
      </c>
      <c r="K619" s="444" t="s">
        <v>6446</v>
      </c>
    </row>
    <row r="620" customFormat="false" ht="12.8" hidden="false" customHeight="false" outlineLevel="0" collapsed="false">
      <c r="A620" s="0" t="s">
        <v>6469</v>
      </c>
      <c r="B620" s="0" t="s">
        <v>6470</v>
      </c>
      <c r="C620" s="0" t="s">
        <v>198</v>
      </c>
      <c r="D620" s="0" t="s">
        <v>5061</v>
      </c>
      <c r="E620" s="0" t="s">
        <v>5062</v>
      </c>
      <c r="F620" s="0" t="s">
        <v>5062</v>
      </c>
      <c r="G620" s="0" t="s">
        <v>1883</v>
      </c>
      <c r="H620" s="0" t="s">
        <v>2406</v>
      </c>
      <c r="I620" s="0" t="s">
        <v>6471</v>
      </c>
      <c r="J620" s="0" t="s">
        <v>6472</v>
      </c>
      <c r="K620" s="0" t="s">
        <v>5113</v>
      </c>
    </row>
    <row r="621" customFormat="false" ht="12.8" hidden="false" customHeight="false" outlineLevel="0" collapsed="false">
      <c r="A621" s="0" t="s">
        <v>6473</v>
      </c>
      <c r="B621" s="0" t="s">
        <v>6474</v>
      </c>
      <c r="C621" s="0" t="s">
        <v>198</v>
      </c>
      <c r="D621" s="0" t="s">
        <v>5057</v>
      </c>
      <c r="E621" s="0" t="s">
        <v>5058</v>
      </c>
      <c r="F621" s="0" t="s">
        <v>5058</v>
      </c>
      <c r="G621" s="0" t="s">
        <v>1883</v>
      </c>
      <c r="H621" s="0" t="s">
        <v>2406</v>
      </c>
      <c r="I621" s="0" t="s">
        <v>6471</v>
      </c>
      <c r="J621" s="0" t="s">
        <v>6472</v>
      </c>
      <c r="K621" s="0" t="s">
        <v>5113</v>
      </c>
    </row>
    <row r="622" customFormat="false" ht="12.8" hidden="false" customHeight="false" outlineLevel="0" collapsed="false">
      <c r="A622" s="0" t="s">
        <v>6475</v>
      </c>
      <c r="B622" s="0" t="s">
        <v>6476</v>
      </c>
      <c r="C622" s="0" t="s">
        <v>198</v>
      </c>
      <c r="D622" s="0" t="s">
        <v>5023</v>
      </c>
      <c r="E622" s="0" t="s">
        <v>5024</v>
      </c>
      <c r="F622" s="0" t="s">
        <v>5024</v>
      </c>
      <c r="G622" s="0" t="s">
        <v>1883</v>
      </c>
      <c r="H622" s="0" t="s">
        <v>2406</v>
      </c>
      <c r="I622" s="0" t="s">
        <v>6471</v>
      </c>
      <c r="J622" s="0" t="s">
        <v>6472</v>
      </c>
      <c r="K622" s="0" t="s">
        <v>5113</v>
      </c>
    </row>
    <row r="623" customFormat="false" ht="12.8" hidden="false" customHeight="false" outlineLevel="0" collapsed="false">
      <c r="A623" s="0" t="s">
        <v>6477</v>
      </c>
      <c r="B623" s="0" t="s">
        <v>6478</v>
      </c>
      <c r="C623" s="0" t="s">
        <v>198</v>
      </c>
      <c r="D623" s="0" t="s">
        <v>5023</v>
      </c>
      <c r="E623" s="0" t="s">
        <v>5024</v>
      </c>
      <c r="F623" s="0" t="s">
        <v>5024</v>
      </c>
      <c r="G623" s="0" t="s">
        <v>1883</v>
      </c>
      <c r="H623" s="0" t="s">
        <v>2406</v>
      </c>
      <c r="I623" s="0" t="s">
        <v>6471</v>
      </c>
      <c r="J623" s="0" t="s">
        <v>6472</v>
      </c>
      <c r="K623" s="0" t="s">
        <v>5113</v>
      </c>
    </row>
    <row r="624" customFormat="false" ht="12.8" hidden="false" customHeight="false" outlineLevel="0" collapsed="false">
      <c r="A624" s="0" t="s">
        <v>6479</v>
      </c>
      <c r="B624" s="0" t="s">
        <v>6480</v>
      </c>
      <c r="C624" s="0" t="s">
        <v>198</v>
      </c>
      <c r="D624" s="0" t="s">
        <v>5023</v>
      </c>
      <c r="E624" s="0" t="s">
        <v>5024</v>
      </c>
      <c r="F624" s="0" t="s">
        <v>5024</v>
      </c>
      <c r="G624" s="0" t="s">
        <v>1883</v>
      </c>
      <c r="H624" s="0" t="s">
        <v>2406</v>
      </c>
      <c r="I624" s="0" t="s">
        <v>6471</v>
      </c>
      <c r="J624" s="0" t="s">
        <v>6472</v>
      </c>
      <c r="K624" s="0" t="s">
        <v>5113</v>
      </c>
    </row>
    <row r="625" customFormat="false" ht="12.8" hidden="false" customHeight="false" outlineLevel="0" collapsed="false">
      <c r="A625" s="0" t="s">
        <v>6481</v>
      </c>
      <c r="B625" s="0" t="s">
        <v>6482</v>
      </c>
      <c r="C625" s="0" t="s">
        <v>416</v>
      </c>
      <c r="D625" s="0" t="s">
        <v>5061</v>
      </c>
      <c r="E625" s="0" t="s">
        <v>5062</v>
      </c>
      <c r="F625" s="0" t="s">
        <v>5062</v>
      </c>
      <c r="G625" s="0" t="s">
        <v>1883</v>
      </c>
      <c r="H625" s="0" t="s">
        <v>2233</v>
      </c>
      <c r="I625" s="0" t="s">
        <v>6483</v>
      </c>
      <c r="J625" s="0" t="s">
        <v>6484</v>
      </c>
      <c r="K625" s="0" t="s">
        <v>5260</v>
      </c>
    </row>
    <row r="626" customFormat="false" ht="12.8" hidden="false" customHeight="false" outlineLevel="0" collapsed="false">
      <c r="A626" s="0" t="s">
        <v>6485</v>
      </c>
      <c r="B626" s="0" t="s">
        <v>6486</v>
      </c>
      <c r="C626" s="0" t="s">
        <v>416</v>
      </c>
      <c r="D626" s="0" t="s">
        <v>5057</v>
      </c>
      <c r="E626" s="0" t="s">
        <v>5058</v>
      </c>
      <c r="F626" s="0" t="s">
        <v>5058</v>
      </c>
      <c r="G626" s="0" t="s">
        <v>1883</v>
      </c>
      <c r="H626" s="0" t="s">
        <v>2233</v>
      </c>
      <c r="I626" s="0" t="s">
        <v>6483</v>
      </c>
      <c r="J626" s="0" t="s">
        <v>6484</v>
      </c>
      <c r="K626" s="0" t="s">
        <v>5260</v>
      </c>
    </row>
    <row r="627" customFormat="false" ht="12.8" hidden="false" customHeight="false" outlineLevel="0" collapsed="false">
      <c r="A627" s="0" t="s">
        <v>6487</v>
      </c>
      <c r="B627" s="0" t="s">
        <v>6488</v>
      </c>
      <c r="C627" s="0" t="s">
        <v>416</v>
      </c>
      <c r="D627" s="0" t="s">
        <v>5023</v>
      </c>
      <c r="E627" s="0" t="s">
        <v>5024</v>
      </c>
      <c r="F627" s="0" t="s">
        <v>5024</v>
      </c>
      <c r="G627" s="0" t="s">
        <v>1883</v>
      </c>
      <c r="H627" s="0" t="s">
        <v>2233</v>
      </c>
      <c r="I627" s="0" t="s">
        <v>6483</v>
      </c>
      <c r="J627" s="0" t="s">
        <v>6484</v>
      </c>
      <c r="K627" s="0" t="s">
        <v>5260</v>
      </c>
    </row>
    <row r="628" customFormat="false" ht="12.8" hidden="false" customHeight="false" outlineLevel="0" collapsed="false">
      <c r="A628" s="0" t="s">
        <v>6489</v>
      </c>
      <c r="B628" s="0" t="s">
        <v>6490</v>
      </c>
      <c r="C628" s="0" t="s">
        <v>416</v>
      </c>
      <c r="D628" s="0" t="s">
        <v>5023</v>
      </c>
      <c r="E628" s="0" t="s">
        <v>5024</v>
      </c>
      <c r="F628" s="0" t="s">
        <v>5024</v>
      </c>
      <c r="G628" s="0" t="s">
        <v>1883</v>
      </c>
      <c r="H628" s="0" t="s">
        <v>2233</v>
      </c>
      <c r="I628" s="0" t="s">
        <v>6483</v>
      </c>
      <c r="J628" s="0" t="s">
        <v>6484</v>
      </c>
      <c r="K628" s="0" t="s">
        <v>5260</v>
      </c>
    </row>
    <row r="629" customFormat="false" ht="12.8" hidden="false" customHeight="false" outlineLevel="0" collapsed="false">
      <c r="A629" s="0" t="s">
        <v>6491</v>
      </c>
      <c r="B629" s="0" t="s">
        <v>6492</v>
      </c>
      <c r="C629" s="0" t="s">
        <v>416</v>
      </c>
      <c r="D629" s="0" t="s">
        <v>5023</v>
      </c>
      <c r="E629" s="0" t="s">
        <v>5024</v>
      </c>
      <c r="F629" s="0" t="s">
        <v>5024</v>
      </c>
      <c r="G629" s="0" t="s">
        <v>1883</v>
      </c>
      <c r="H629" s="0" t="s">
        <v>2233</v>
      </c>
      <c r="I629" s="0" t="s">
        <v>6483</v>
      </c>
      <c r="J629" s="0" t="s">
        <v>6484</v>
      </c>
      <c r="K629" s="0" t="s">
        <v>5260</v>
      </c>
    </row>
    <row r="630" customFormat="false" ht="12.8" hidden="false" customHeight="false" outlineLevel="0" collapsed="false">
      <c r="A630" s="0" t="s">
        <v>6493</v>
      </c>
      <c r="B630" s="0" t="s">
        <v>6494</v>
      </c>
      <c r="C630" s="0" t="s">
        <v>416</v>
      </c>
      <c r="D630" s="0" t="s">
        <v>5023</v>
      </c>
      <c r="E630" s="0" t="s">
        <v>5024</v>
      </c>
      <c r="F630" s="0" t="s">
        <v>5024</v>
      </c>
      <c r="G630" s="0" t="s">
        <v>1883</v>
      </c>
      <c r="H630" s="0" t="s">
        <v>2233</v>
      </c>
      <c r="I630" s="0" t="s">
        <v>6483</v>
      </c>
      <c r="J630" s="0" t="s">
        <v>6484</v>
      </c>
      <c r="K630" s="0" t="s">
        <v>5260</v>
      </c>
    </row>
    <row r="631" customFormat="false" ht="12.8" hidden="false" customHeight="false" outlineLevel="0" collapsed="false">
      <c r="A631" s="0" t="s">
        <v>6495</v>
      </c>
      <c r="B631" s="0" t="s">
        <v>6496</v>
      </c>
      <c r="C631" s="0" t="s">
        <v>416</v>
      </c>
      <c r="D631" s="0" t="s">
        <v>5023</v>
      </c>
      <c r="E631" s="0" t="s">
        <v>5024</v>
      </c>
      <c r="F631" s="0" t="s">
        <v>5024</v>
      </c>
      <c r="G631" s="0" t="s">
        <v>1883</v>
      </c>
      <c r="H631" s="0" t="s">
        <v>2233</v>
      </c>
      <c r="I631" s="0" t="s">
        <v>6483</v>
      </c>
      <c r="J631" s="0" t="s">
        <v>6484</v>
      </c>
      <c r="K631" s="0" t="s">
        <v>5260</v>
      </c>
    </row>
    <row r="632" customFormat="false" ht="12.8" hidden="false" customHeight="false" outlineLevel="0" collapsed="false">
      <c r="A632" s="0" t="s">
        <v>6497</v>
      </c>
      <c r="B632" s="0" t="s">
        <v>6498</v>
      </c>
      <c r="C632" s="0" t="s">
        <v>416</v>
      </c>
      <c r="D632" s="0" t="s">
        <v>5023</v>
      </c>
      <c r="E632" s="0" t="s">
        <v>5024</v>
      </c>
      <c r="F632" s="0" t="s">
        <v>5024</v>
      </c>
      <c r="G632" s="0" t="s">
        <v>1883</v>
      </c>
      <c r="H632" s="0" t="s">
        <v>2233</v>
      </c>
      <c r="I632" s="0" t="s">
        <v>6483</v>
      </c>
      <c r="J632" s="0" t="s">
        <v>6484</v>
      </c>
      <c r="K632" s="0" t="s">
        <v>5260</v>
      </c>
    </row>
    <row r="633" customFormat="false" ht="12.8" hidden="false" customHeight="false" outlineLevel="0" collapsed="false">
      <c r="A633" s="0" t="s">
        <v>6499</v>
      </c>
      <c r="B633" s="0" t="s">
        <v>6500</v>
      </c>
      <c r="C633" s="0" t="s">
        <v>179</v>
      </c>
      <c r="D633" s="0" t="s">
        <v>5023</v>
      </c>
      <c r="E633" s="0" t="s">
        <v>5024</v>
      </c>
      <c r="F633" s="0" t="s">
        <v>5024</v>
      </c>
      <c r="G633" s="0" t="s">
        <v>1883</v>
      </c>
      <c r="H633" s="0" t="s">
        <v>2233</v>
      </c>
      <c r="I633" s="0" t="s">
        <v>6501</v>
      </c>
      <c r="J633" s="0" t="s">
        <v>6502</v>
      </c>
      <c r="K633" s="444" t="s">
        <v>6503</v>
      </c>
    </row>
    <row r="634" customFormat="false" ht="12.8" hidden="false" customHeight="false" outlineLevel="0" collapsed="false">
      <c r="A634" s="0" t="s">
        <v>6504</v>
      </c>
      <c r="B634" s="0" t="s">
        <v>6505</v>
      </c>
      <c r="C634" s="0" t="s">
        <v>179</v>
      </c>
      <c r="D634" s="0" t="s">
        <v>5023</v>
      </c>
      <c r="E634" s="0" t="s">
        <v>5024</v>
      </c>
      <c r="F634" s="0" t="s">
        <v>5024</v>
      </c>
      <c r="G634" s="0" t="s">
        <v>1883</v>
      </c>
      <c r="H634" s="0" t="s">
        <v>2233</v>
      </c>
      <c r="I634" s="0" t="s">
        <v>6501</v>
      </c>
      <c r="J634" s="0" t="s">
        <v>6502</v>
      </c>
      <c r="K634" s="444" t="s">
        <v>6503</v>
      </c>
    </row>
    <row r="635" customFormat="false" ht="12.8" hidden="false" customHeight="false" outlineLevel="0" collapsed="false">
      <c r="A635" s="0" t="s">
        <v>6506</v>
      </c>
      <c r="B635" s="0" t="s">
        <v>6507</v>
      </c>
      <c r="C635" s="0" t="s">
        <v>179</v>
      </c>
      <c r="D635" s="0" t="s">
        <v>5023</v>
      </c>
      <c r="E635" s="0" t="s">
        <v>5024</v>
      </c>
      <c r="F635" s="0" t="s">
        <v>5024</v>
      </c>
      <c r="G635" s="0" t="s">
        <v>1883</v>
      </c>
      <c r="H635" s="0" t="s">
        <v>2233</v>
      </c>
      <c r="I635" s="0" t="s">
        <v>6501</v>
      </c>
      <c r="J635" s="0" t="s">
        <v>6502</v>
      </c>
      <c r="K635" s="444" t="s">
        <v>6503</v>
      </c>
    </row>
    <row r="636" customFormat="false" ht="12.8" hidden="false" customHeight="false" outlineLevel="0" collapsed="false">
      <c r="A636" s="0" t="s">
        <v>6508</v>
      </c>
      <c r="B636" s="0" t="s">
        <v>6509</v>
      </c>
      <c r="C636" s="0" t="s">
        <v>179</v>
      </c>
      <c r="D636" s="0" t="s">
        <v>5023</v>
      </c>
      <c r="E636" s="0" t="s">
        <v>5024</v>
      </c>
      <c r="F636" s="0" t="s">
        <v>5024</v>
      </c>
      <c r="G636" s="0" t="s">
        <v>1883</v>
      </c>
      <c r="H636" s="0" t="s">
        <v>2233</v>
      </c>
      <c r="I636" s="0" t="s">
        <v>6501</v>
      </c>
      <c r="J636" s="0" t="s">
        <v>6502</v>
      </c>
      <c r="K636" s="444" t="s">
        <v>6503</v>
      </c>
    </row>
    <row r="637" customFormat="false" ht="12.8" hidden="false" customHeight="false" outlineLevel="0" collapsed="false">
      <c r="A637" s="0" t="s">
        <v>6510</v>
      </c>
      <c r="B637" s="0" t="s">
        <v>6511</v>
      </c>
      <c r="C637" s="0" t="s">
        <v>179</v>
      </c>
      <c r="D637" s="0" t="s">
        <v>5023</v>
      </c>
      <c r="E637" s="0" t="s">
        <v>5024</v>
      </c>
      <c r="F637" s="0" t="s">
        <v>5024</v>
      </c>
      <c r="G637" s="0" t="s">
        <v>1883</v>
      </c>
      <c r="H637" s="0" t="s">
        <v>2233</v>
      </c>
      <c r="I637" s="0" t="s">
        <v>6501</v>
      </c>
      <c r="J637" s="0" t="s">
        <v>6502</v>
      </c>
      <c r="K637" s="444" t="s">
        <v>6503</v>
      </c>
    </row>
    <row r="638" customFormat="false" ht="12.8" hidden="false" customHeight="false" outlineLevel="0" collapsed="false">
      <c r="A638" s="0" t="s">
        <v>6512</v>
      </c>
      <c r="B638" s="0" t="s">
        <v>6513</v>
      </c>
      <c r="C638" s="0" t="s">
        <v>179</v>
      </c>
      <c r="D638" s="0" t="s">
        <v>5023</v>
      </c>
      <c r="E638" s="0" t="s">
        <v>5024</v>
      </c>
      <c r="F638" s="0" t="s">
        <v>5024</v>
      </c>
      <c r="G638" s="0" t="s">
        <v>1883</v>
      </c>
      <c r="H638" s="0" t="s">
        <v>2233</v>
      </c>
      <c r="I638" s="0" t="s">
        <v>6501</v>
      </c>
      <c r="J638" s="0" t="s">
        <v>6502</v>
      </c>
      <c r="K638" s="444" t="s">
        <v>6503</v>
      </c>
    </row>
    <row r="639" customFormat="false" ht="12.8" hidden="false" customHeight="false" outlineLevel="0" collapsed="false">
      <c r="A639" s="0" t="s">
        <v>6514</v>
      </c>
      <c r="B639" s="0" t="s">
        <v>6515</v>
      </c>
      <c r="C639" s="0" t="s">
        <v>179</v>
      </c>
      <c r="D639" s="0" t="s">
        <v>5023</v>
      </c>
      <c r="E639" s="0" t="s">
        <v>5024</v>
      </c>
      <c r="F639" s="0" t="s">
        <v>5024</v>
      </c>
      <c r="G639" s="0" t="s">
        <v>1883</v>
      </c>
      <c r="H639" s="0" t="s">
        <v>2233</v>
      </c>
      <c r="I639" s="0" t="s">
        <v>6501</v>
      </c>
      <c r="J639" s="0" t="s">
        <v>6502</v>
      </c>
      <c r="K639" s="444" t="s">
        <v>6503</v>
      </c>
    </row>
    <row r="640" customFormat="false" ht="12.8" hidden="false" customHeight="false" outlineLevel="0" collapsed="false">
      <c r="A640" s="0" t="s">
        <v>6516</v>
      </c>
      <c r="B640" s="0" t="s">
        <v>6517</v>
      </c>
      <c r="C640" s="0" t="s">
        <v>179</v>
      </c>
      <c r="D640" s="0" t="s">
        <v>5023</v>
      </c>
      <c r="E640" s="0" t="s">
        <v>5024</v>
      </c>
      <c r="F640" s="0" t="s">
        <v>5024</v>
      </c>
      <c r="G640" s="0" t="s">
        <v>1883</v>
      </c>
      <c r="H640" s="0" t="s">
        <v>2233</v>
      </c>
      <c r="I640" s="0" t="s">
        <v>6501</v>
      </c>
      <c r="J640" s="0" t="s">
        <v>6502</v>
      </c>
      <c r="K640" s="444" t="s">
        <v>6503</v>
      </c>
    </row>
    <row r="641" customFormat="false" ht="12.8" hidden="false" customHeight="false" outlineLevel="0" collapsed="false">
      <c r="A641" s="0" t="s">
        <v>6518</v>
      </c>
      <c r="B641" s="0" t="s">
        <v>6519</v>
      </c>
      <c r="C641" s="0" t="s">
        <v>179</v>
      </c>
      <c r="D641" s="0" t="s">
        <v>5023</v>
      </c>
      <c r="E641" s="0" t="s">
        <v>5024</v>
      </c>
      <c r="F641" s="0" t="s">
        <v>5024</v>
      </c>
      <c r="G641" s="0" t="s">
        <v>1883</v>
      </c>
      <c r="H641" s="0" t="s">
        <v>2233</v>
      </c>
      <c r="I641" s="0" t="s">
        <v>6501</v>
      </c>
      <c r="J641" s="0" t="s">
        <v>6502</v>
      </c>
      <c r="K641" s="444" t="s">
        <v>6503</v>
      </c>
    </row>
    <row r="642" customFormat="false" ht="12.8" hidden="false" customHeight="false" outlineLevel="0" collapsed="false">
      <c r="A642" s="0" t="s">
        <v>6520</v>
      </c>
      <c r="B642" s="0" t="s">
        <v>6521</v>
      </c>
      <c r="C642" s="0" t="s">
        <v>179</v>
      </c>
      <c r="D642" s="0" t="s">
        <v>5061</v>
      </c>
      <c r="E642" s="0" t="s">
        <v>5062</v>
      </c>
      <c r="F642" s="0" t="s">
        <v>5062</v>
      </c>
      <c r="G642" s="0" t="s">
        <v>1883</v>
      </c>
      <c r="H642" s="0" t="s">
        <v>2233</v>
      </c>
      <c r="I642" s="0" t="s">
        <v>6501</v>
      </c>
      <c r="J642" s="0" t="s">
        <v>6502</v>
      </c>
      <c r="K642" s="444" t="s">
        <v>6503</v>
      </c>
    </row>
    <row r="643" customFormat="false" ht="12.8" hidden="false" customHeight="false" outlineLevel="0" collapsed="false">
      <c r="A643" s="0" t="s">
        <v>6522</v>
      </c>
      <c r="B643" s="0" t="s">
        <v>6523</v>
      </c>
      <c r="C643" s="0" t="s">
        <v>179</v>
      </c>
      <c r="D643" s="0" t="s">
        <v>5023</v>
      </c>
      <c r="E643" s="0" t="s">
        <v>5024</v>
      </c>
      <c r="F643" s="0" t="s">
        <v>5024</v>
      </c>
      <c r="G643" s="0" t="s">
        <v>1883</v>
      </c>
      <c r="H643" s="0" t="s">
        <v>2233</v>
      </c>
      <c r="I643" s="0" t="s">
        <v>6501</v>
      </c>
      <c r="J643" s="0" t="s">
        <v>6502</v>
      </c>
      <c r="K643" s="444" t="s">
        <v>6503</v>
      </c>
    </row>
    <row r="644" customFormat="false" ht="12.8" hidden="false" customHeight="false" outlineLevel="0" collapsed="false">
      <c r="A644" s="0" t="s">
        <v>6524</v>
      </c>
      <c r="B644" s="0" t="s">
        <v>6525</v>
      </c>
      <c r="C644" s="0" t="s">
        <v>342</v>
      </c>
      <c r="D644" s="0" t="s">
        <v>5023</v>
      </c>
      <c r="E644" s="0" t="s">
        <v>5024</v>
      </c>
      <c r="F644" s="0" t="s">
        <v>5024</v>
      </c>
      <c r="G644" s="0" t="s">
        <v>1883</v>
      </c>
      <c r="H644" s="0" t="s">
        <v>2233</v>
      </c>
      <c r="I644" s="0" t="s">
        <v>6526</v>
      </c>
      <c r="J644" s="0" t="s">
        <v>6527</v>
      </c>
      <c r="K644" s="0" t="s">
        <v>5260</v>
      </c>
    </row>
    <row r="645" customFormat="false" ht="12.8" hidden="false" customHeight="false" outlineLevel="0" collapsed="false">
      <c r="A645" s="0" t="s">
        <v>6528</v>
      </c>
      <c r="B645" s="0" t="s">
        <v>6529</v>
      </c>
      <c r="C645" s="0" t="s">
        <v>342</v>
      </c>
      <c r="D645" s="0" t="s">
        <v>5023</v>
      </c>
      <c r="E645" s="0" t="s">
        <v>5024</v>
      </c>
      <c r="F645" s="0" t="s">
        <v>5024</v>
      </c>
      <c r="G645" s="0" t="s">
        <v>1883</v>
      </c>
      <c r="H645" s="0" t="s">
        <v>2233</v>
      </c>
      <c r="I645" s="0" t="s">
        <v>6526</v>
      </c>
      <c r="J645" s="0" t="s">
        <v>6527</v>
      </c>
      <c r="K645" s="0" t="s">
        <v>5260</v>
      </c>
    </row>
    <row r="646" customFormat="false" ht="12.8" hidden="false" customHeight="false" outlineLevel="0" collapsed="false">
      <c r="A646" s="0" t="s">
        <v>6530</v>
      </c>
      <c r="B646" s="0" t="s">
        <v>6531</v>
      </c>
      <c r="C646" s="0" t="s">
        <v>342</v>
      </c>
      <c r="D646" s="0" t="s">
        <v>5023</v>
      </c>
      <c r="E646" s="0" t="s">
        <v>5024</v>
      </c>
      <c r="F646" s="0" t="s">
        <v>5024</v>
      </c>
      <c r="G646" s="0" t="s">
        <v>1883</v>
      </c>
      <c r="H646" s="0" t="s">
        <v>2233</v>
      </c>
      <c r="I646" s="0" t="s">
        <v>6526</v>
      </c>
      <c r="J646" s="0" t="s">
        <v>6527</v>
      </c>
      <c r="K646" s="0" t="s">
        <v>5260</v>
      </c>
    </row>
    <row r="647" customFormat="false" ht="12.8" hidden="false" customHeight="false" outlineLevel="0" collapsed="false">
      <c r="A647" s="0" t="s">
        <v>6532</v>
      </c>
      <c r="B647" s="0" t="s">
        <v>6533</v>
      </c>
      <c r="C647" s="0" t="s">
        <v>342</v>
      </c>
      <c r="D647" s="0" t="s">
        <v>5023</v>
      </c>
      <c r="E647" s="0" t="s">
        <v>5024</v>
      </c>
      <c r="F647" s="0" t="s">
        <v>5024</v>
      </c>
      <c r="G647" s="0" t="s">
        <v>1883</v>
      </c>
      <c r="H647" s="0" t="s">
        <v>2233</v>
      </c>
      <c r="I647" s="0" t="s">
        <v>6526</v>
      </c>
      <c r="J647" s="0" t="s">
        <v>6527</v>
      </c>
      <c r="K647" s="0" t="s">
        <v>5260</v>
      </c>
    </row>
    <row r="648" customFormat="false" ht="12.8" hidden="false" customHeight="false" outlineLevel="0" collapsed="false">
      <c r="A648" s="0" t="s">
        <v>6534</v>
      </c>
      <c r="B648" s="0" t="s">
        <v>6535</v>
      </c>
      <c r="C648" s="0" t="s">
        <v>342</v>
      </c>
      <c r="D648" s="0" t="s">
        <v>5061</v>
      </c>
      <c r="E648" s="0" t="s">
        <v>5062</v>
      </c>
      <c r="F648" s="0" t="s">
        <v>5062</v>
      </c>
      <c r="G648" s="0" t="s">
        <v>1883</v>
      </c>
      <c r="H648" s="0" t="s">
        <v>2233</v>
      </c>
      <c r="I648" s="0" t="s">
        <v>6526</v>
      </c>
      <c r="J648" s="0" t="s">
        <v>6527</v>
      </c>
      <c r="K648" s="0" t="s">
        <v>5260</v>
      </c>
    </row>
    <row r="649" customFormat="false" ht="12.8" hidden="false" customHeight="false" outlineLevel="0" collapsed="false">
      <c r="A649" s="0" t="s">
        <v>6536</v>
      </c>
      <c r="B649" s="0" t="s">
        <v>6537</v>
      </c>
      <c r="C649" s="0" t="s">
        <v>343</v>
      </c>
      <c r="D649" s="0" t="s">
        <v>5023</v>
      </c>
      <c r="E649" s="0" t="s">
        <v>5024</v>
      </c>
      <c r="F649" s="0" t="s">
        <v>5024</v>
      </c>
      <c r="G649" s="0" t="s">
        <v>1883</v>
      </c>
      <c r="H649" s="0" t="s">
        <v>2233</v>
      </c>
      <c r="I649" s="0" t="s">
        <v>6538</v>
      </c>
      <c r="J649" s="0" t="s">
        <v>6539</v>
      </c>
      <c r="K649" s="0" t="s">
        <v>5260</v>
      </c>
    </row>
    <row r="650" customFormat="false" ht="12.8" hidden="false" customHeight="false" outlineLevel="0" collapsed="false">
      <c r="A650" s="0" t="s">
        <v>6540</v>
      </c>
      <c r="B650" s="0" t="s">
        <v>6541</v>
      </c>
      <c r="C650" s="0" t="s">
        <v>343</v>
      </c>
      <c r="D650" s="0" t="s">
        <v>5023</v>
      </c>
      <c r="E650" s="0" t="s">
        <v>5024</v>
      </c>
      <c r="F650" s="0" t="s">
        <v>5024</v>
      </c>
      <c r="G650" s="0" t="s">
        <v>1883</v>
      </c>
      <c r="H650" s="0" t="s">
        <v>2233</v>
      </c>
      <c r="I650" s="0" t="s">
        <v>6538</v>
      </c>
      <c r="J650" s="0" t="s">
        <v>6539</v>
      </c>
      <c r="K650" s="0" t="s">
        <v>5260</v>
      </c>
    </row>
    <row r="651" customFormat="false" ht="12.8" hidden="false" customHeight="false" outlineLevel="0" collapsed="false">
      <c r="A651" s="0" t="s">
        <v>6542</v>
      </c>
      <c r="B651" s="0" t="s">
        <v>6543</v>
      </c>
      <c r="C651" s="0" t="s">
        <v>343</v>
      </c>
      <c r="D651" s="0" t="s">
        <v>5023</v>
      </c>
      <c r="E651" s="0" t="s">
        <v>5024</v>
      </c>
      <c r="F651" s="0" t="s">
        <v>5024</v>
      </c>
      <c r="G651" s="0" t="s">
        <v>1883</v>
      </c>
      <c r="H651" s="0" t="s">
        <v>2233</v>
      </c>
      <c r="I651" s="0" t="s">
        <v>6538</v>
      </c>
      <c r="J651" s="0" t="s">
        <v>6539</v>
      </c>
      <c r="K651" s="0" t="s">
        <v>5260</v>
      </c>
    </row>
    <row r="652" customFormat="false" ht="12.8" hidden="false" customHeight="false" outlineLevel="0" collapsed="false">
      <c r="A652" s="0" t="s">
        <v>6544</v>
      </c>
      <c r="B652" s="0" t="s">
        <v>6545</v>
      </c>
      <c r="C652" s="0" t="s">
        <v>343</v>
      </c>
      <c r="D652" s="0" t="s">
        <v>5023</v>
      </c>
      <c r="E652" s="0" t="s">
        <v>5024</v>
      </c>
      <c r="F652" s="0" t="s">
        <v>5024</v>
      </c>
      <c r="G652" s="0" t="s">
        <v>1883</v>
      </c>
      <c r="H652" s="0" t="s">
        <v>2233</v>
      </c>
      <c r="I652" s="0" t="s">
        <v>6538</v>
      </c>
      <c r="J652" s="0" t="s">
        <v>6539</v>
      </c>
      <c r="K652" s="0" t="s">
        <v>5260</v>
      </c>
    </row>
    <row r="653" customFormat="false" ht="12.8" hidden="false" customHeight="false" outlineLevel="0" collapsed="false">
      <c r="A653" s="0" t="s">
        <v>6546</v>
      </c>
      <c r="B653" s="0" t="s">
        <v>6547</v>
      </c>
      <c r="C653" s="0" t="s">
        <v>343</v>
      </c>
      <c r="D653" s="0" t="s">
        <v>5023</v>
      </c>
      <c r="E653" s="0" t="s">
        <v>5024</v>
      </c>
      <c r="F653" s="0" t="s">
        <v>5024</v>
      </c>
      <c r="G653" s="0" t="s">
        <v>1883</v>
      </c>
      <c r="H653" s="0" t="s">
        <v>2233</v>
      </c>
      <c r="I653" s="0" t="s">
        <v>6538</v>
      </c>
      <c r="J653" s="0" t="s">
        <v>6539</v>
      </c>
      <c r="K653" s="0" t="s">
        <v>5260</v>
      </c>
    </row>
    <row r="654" customFormat="false" ht="12.8" hidden="false" customHeight="false" outlineLevel="0" collapsed="false">
      <c r="A654" s="0" t="s">
        <v>6548</v>
      </c>
      <c r="B654" s="0" t="s">
        <v>6549</v>
      </c>
      <c r="C654" s="0" t="s">
        <v>343</v>
      </c>
      <c r="D654" s="0" t="s">
        <v>5061</v>
      </c>
      <c r="E654" s="0" t="s">
        <v>5062</v>
      </c>
      <c r="F654" s="0" t="s">
        <v>5062</v>
      </c>
      <c r="G654" s="0" t="s">
        <v>1883</v>
      </c>
      <c r="H654" s="0" t="s">
        <v>2233</v>
      </c>
      <c r="I654" s="0" t="s">
        <v>6538</v>
      </c>
      <c r="J654" s="0" t="s">
        <v>6539</v>
      </c>
      <c r="K654" s="0" t="s">
        <v>5260</v>
      </c>
    </row>
    <row r="655" customFormat="false" ht="12.8" hidden="false" customHeight="false" outlineLevel="0" collapsed="false">
      <c r="A655" s="0" t="s">
        <v>6550</v>
      </c>
      <c r="B655" s="0" t="s">
        <v>6551</v>
      </c>
      <c r="C655" s="0" t="s">
        <v>343</v>
      </c>
      <c r="D655" s="0" t="s">
        <v>5057</v>
      </c>
      <c r="E655" s="0" t="s">
        <v>5058</v>
      </c>
      <c r="F655" s="0" t="s">
        <v>5058</v>
      </c>
      <c r="G655" s="0" t="s">
        <v>1883</v>
      </c>
      <c r="H655" s="0" t="s">
        <v>2233</v>
      </c>
      <c r="I655" s="0" t="s">
        <v>6538</v>
      </c>
      <c r="J655" s="0" t="s">
        <v>6539</v>
      </c>
      <c r="K655" s="0" t="s">
        <v>5260</v>
      </c>
    </row>
    <row r="656" customFormat="false" ht="12.8" hidden="false" customHeight="false" outlineLevel="0" collapsed="false">
      <c r="A656" s="0" t="s">
        <v>6552</v>
      </c>
      <c r="B656" s="0" t="s">
        <v>6553</v>
      </c>
      <c r="C656" s="0" t="s">
        <v>258</v>
      </c>
      <c r="D656" s="0" t="s">
        <v>5023</v>
      </c>
      <c r="E656" s="0" t="s">
        <v>5024</v>
      </c>
      <c r="F656" s="0" t="s">
        <v>5024</v>
      </c>
      <c r="G656" s="0" t="s">
        <v>1883</v>
      </c>
      <c r="H656" s="0" t="s">
        <v>2406</v>
      </c>
      <c r="I656" s="0" t="s">
        <v>6554</v>
      </c>
      <c r="J656" s="0" t="s">
        <v>6555</v>
      </c>
      <c r="K656" s="444" t="s">
        <v>6556</v>
      </c>
    </row>
    <row r="657" customFormat="false" ht="12.8" hidden="false" customHeight="false" outlineLevel="0" collapsed="false">
      <c r="A657" s="0" t="s">
        <v>6557</v>
      </c>
      <c r="B657" s="0" t="s">
        <v>6558</v>
      </c>
      <c r="C657" s="0" t="s">
        <v>258</v>
      </c>
      <c r="D657" s="0" t="s">
        <v>5023</v>
      </c>
      <c r="E657" s="0" t="s">
        <v>5024</v>
      </c>
      <c r="F657" s="0" t="s">
        <v>5024</v>
      </c>
      <c r="G657" s="0" t="s">
        <v>1883</v>
      </c>
      <c r="H657" s="0" t="s">
        <v>2406</v>
      </c>
      <c r="I657" s="0" t="s">
        <v>6554</v>
      </c>
      <c r="J657" s="0" t="s">
        <v>6555</v>
      </c>
      <c r="K657" s="444" t="s">
        <v>6556</v>
      </c>
    </row>
    <row r="658" customFormat="false" ht="12.8" hidden="false" customHeight="false" outlineLevel="0" collapsed="false">
      <c r="A658" s="0" t="s">
        <v>6559</v>
      </c>
      <c r="B658" s="0" t="s">
        <v>6560</v>
      </c>
      <c r="C658" s="0" t="s">
        <v>258</v>
      </c>
      <c r="D658" s="0" t="s">
        <v>5023</v>
      </c>
      <c r="E658" s="0" t="s">
        <v>5024</v>
      </c>
      <c r="F658" s="0" t="s">
        <v>5024</v>
      </c>
      <c r="G658" s="0" t="s">
        <v>1883</v>
      </c>
      <c r="H658" s="0" t="s">
        <v>2406</v>
      </c>
      <c r="I658" s="0" t="s">
        <v>6554</v>
      </c>
      <c r="J658" s="0" t="s">
        <v>6555</v>
      </c>
      <c r="K658" s="444" t="s">
        <v>6556</v>
      </c>
    </row>
    <row r="659" customFormat="false" ht="12.8" hidden="false" customHeight="false" outlineLevel="0" collapsed="false">
      <c r="A659" s="0" t="s">
        <v>6561</v>
      </c>
      <c r="B659" s="0" t="s">
        <v>6562</v>
      </c>
      <c r="C659" s="0" t="s">
        <v>258</v>
      </c>
      <c r="D659" s="0" t="s">
        <v>5023</v>
      </c>
      <c r="E659" s="0" t="s">
        <v>5024</v>
      </c>
      <c r="F659" s="0" t="s">
        <v>5024</v>
      </c>
      <c r="G659" s="0" t="s">
        <v>1883</v>
      </c>
      <c r="H659" s="0" t="s">
        <v>2406</v>
      </c>
      <c r="I659" s="0" t="s">
        <v>6554</v>
      </c>
      <c r="J659" s="0" t="s">
        <v>6555</v>
      </c>
      <c r="K659" s="444" t="s">
        <v>6556</v>
      </c>
    </row>
    <row r="660" customFormat="false" ht="12.8" hidden="false" customHeight="false" outlineLevel="0" collapsed="false">
      <c r="A660" s="0" t="s">
        <v>6563</v>
      </c>
      <c r="B660" s="0" t="s">
        <v>6564</v>
      </c>
      <c r="C660" s="0" t="s">
        <v>258</v>
      </c>
      <c r="D660" s="0" t="s">
        <v>5023</v>
      </c>
      <c r="E660" s="0" t="s">
        <v>5024</v>
      </c>
      <c r="F660" s="0" t="s">
        <v>5024</v>
      </c>
      <c r="G660" s="0" t="s">
        <v>1883</v>
      </c>
      <c r="H660" s="0" t="s">
        <v>2406</v>
      </c>
      <c r="I660" s="0" t="s">
        <v>6554</v>
      </c>
      <c r="J660" s="0" t="s">
        <v>6555</v>
      </c>
      <c r="K660" s="444" t="s">
        <v>6556</v>
      </c>
    </row>
    <row r="661" customFormat="false" ht="12.8" hidden="false" customHeight="false" outlineLevel="0" collapsed="false">
      <c r="A661" s="0" t="s">
        <v>6565</v>
      </c>
      <c r="B661" s="0" t="s">
        <v>6566</v>
      </c>
      <c r="C661" s="0" t="s">
        <v>258</v>
      </c>
      <c r="D661" s="0" t="s">
        <v>5023</v>
      </c>
      <c r="E661" s="0" t="s">
        <v>5024</v>
      </c>
      <c r="F661" s="0" t="s">
        <v>5024</v>
      </c>
      <c r="G661" s="0" t="s">
        <v>1883</v>
      </c>
      <c r="H661" s="0" t="s">
        <v>2406</v>
      </c>
      <c r="I661" s="0" t="s">
        <v>6554</v>
      </c>
      <c r="J661" s="0" t="s">
        <v>6555</v>
      </c>
      <c r="K661" s="444" t="s">
        <v>6556</v>
      </c>
    </row>
    <row r="662" customFormat="false" ht="12.8" hidden="false" customHeight="false" outlineLevel="0" collapsed="false">
      <c r="A662" s="0" t="s">
        <v>6567</v>
      </c>
      <c r="B662" s="0" t="s">
        <v>6568</v>
      </c>
      <c r="C662" s="0" t="s">
        <v>258</v>
      </c>
      <c r="D662" s="0" t="s">
        <v>5061</v>
      </c>
      <c r="E662" s="0" t="s">
        <v>5062</v>
      </c>
      <c r="F662" s="0" t="s">
        <v>5062</v>
      </c>
      <c r="G662" s="0" t="s">
        <v>1883</v>
      </c>
      <c r="H662" s="0" t="s">
        <v>2406</v>
      </c>
      <c r="I662" s="0" t="s">
        <v>6554</v>
      </c>
      <c r="J662" s="0" t="s">
        <v>6555</v>
      </c>
      <c r="K662" s="444" t="s">
        <v>6556</v>
      </c>
    </row>
    <row r="663" customFormat="false" ht="12.8" hidden="false" customHeight="false" outlineLevel="0" collapsed="false">
      <c r="A663" s="0" t="s">
        <v>6569</v>
      </c>
      <c r="B663" s="0" t="s">
        <v>6570</v>
      </c>
      <c r="C663" s="0" t="s">
        <v>258</v>
      </c>
      <c r="D663" s="0" t="s">
        <v>5023</v>
      </c>
      <c r="E663" s="0" t="s">
        <v>5024</v>
      </c>
      <c r="F663" s="0" t="s">
        <v>5024</v>
      </c>
      <c r="G663" s="0" t="s">
        <v>1883</v>
      </c>
      <c r="H663" s="0" t="s">
        <v>2406</v>
      </c>
      <c r="I663" s="0" t="s">
        <v>6554</v>
      </c>
      <c r="J663" s="0" t="s">
        <v>6555</v>
      </c>
      <c r="K663" s="444" t="s">
        <v>6556</v>
      </c>
    </row>
    <row r="664" customFormat="false" ht="12.8" hidden="false" customHeight="false" outlineLevel="0" collapsed="false">
      <c r="A664" s="0" t="s">
        <v>6571</v>
      </c>
      <c r="B664" s="0" t="s">
        <v>6572</v>
      </c>
      <c r="C664" s="0" t="s">
        <v>258</v>
      </c>
      <c r="D664" s="0" t="s">
        <v>5023</v>
      </c>
      <c r="E664" s="0" t="s">
        <v>5024</v>
      </c>
      <c r="F664" s="0" t="s">
        <v>5024</v>
      </c>
      <c r="G664" s="0" t="s">
        <v>1883</v>
      </c>
      <c r="H664" s="0" t="s">
        <v>2406</v>
      </c>
      <c r="I664" s="0" t="s">
        <v>6554</v>
      </c>
      <c r="J664" s="0" t="s">
        <v>6555</v>
      </c>
      <c r="K664" s="444" t="s">
        <v>6556</v>
      </c>
    </row>
    <row r="665" customFormat="false" ht="12.8" hidden="false" customHeight="false" outlineLevel="0" collapsed="false">
      <c r="A665" s="0" t="s">
        <v>6573</v>
      </c>
      <c r="B665" s="0" t="s">
        <v>6574</v>
      </c>
      <c r="C665" s="0" t="s">
        <v>258</v>
      </c>
      <c r="D665" s="0" t="s">
        <v>5023</v>
      </c>
      <c r="E665" s="0" t="s">
        <v>5024</v>
      </c>
      <c r="F665" s="0" t="s">
        <v>5024</v>
      </c>
      <c r="G665" s="0" t="s">
        <v>1883</v>
      </c>
      <c r="H665" s="0" t="s">
        <v>2406</v>
      </c>
      <c r="I665" s="0" t="s">
        <v>6554</v>
      </c>
      <c r="J665" s="0" t="s">
        <v>6555</v>
      </c>
      <c r="K665" s="444" t="s">
        <v>6556</v>
      </c>
    </row>
    <row r="666" customFormat="false" ht="12.8" hidden="false" customHeight="false" outlineLevel="0" collapsed="false">
      <c r="A666" s="0" t="s">
        <v>6575</v>
      </c>
      <c r="B666" s="0" t="s">
        <v>6576</v>
      </c>
      <c r="C666" s="0" t="s">
        <v>258</v>
      </c>
      <c r="D666" s="0" t="s">
        <v>5023</v>
      </c>
      <c r="E666" s="0" t="s">
        <v>5024</v>
      </c>
      <c r="F666" s="0" t="s">
        <v>5024</v>
      </c>
      <c r="G666" s="0" t="s">
        <v>1883</v>
      </c>
      <c r="H666" s="0" t="s">
        <v>2406</v>
      </c>
      <c r="I666" s="0" t="s">
        <v>6554</v>
      </c>
      <c r="J666" s="0" t="s">
        <v>6555</v>
      </c>
      <c r="K666" s="444" t="s">
        <v>6556</v>
      </c>
    </row>
    <row r="667" customFormat="false" ht="12.8" hidden="false" customHeight="false" outlineLevel="0" collapsed="false">
      <c r="A667" s="0" t="s">
        <v>6577</v>
      </c>
      <c r="B667" s="0" t="s">
        <v>6578</v>
      </c>
      <c r="C667" s="0" t="s">
        <v>258</v>
      </c>
      <c r="D667" s="0" t="s">
        <v>5023</v>
      </c>
      <c r="E667" s="0" t="s">
        <v>5024</v>
      </c>
      <c r="F667" s="0" t="s">
        <v>5024</v>
      </c>
      <c r="G667" s="0" t="s">
        <v>1883</v>
      </c>
      <c r="H667" s="0" t="s">
        <v>2406</v>
      </c>
      <c r="I667" s="0" t="s">
        <v>6554</v>
      </c>
      <c r="J667" s="0" t="s">
        <v>6555</v>
      </c>
      <c r="K667" s="444" t="s">
        <v>6556</v>
      </c>
    </row>
    <row r="668" customFormat="false" ht="12.8" hidden="false" customHeight="false" outlineLevel="0" collapsed="false">
      <c r="A668" s="0" t="s">
        <v>6579</v>
      </c>
      <c r="B668" s="0" t="s">
        <v>6580</v>
      </c>
      <c r="C668" s="0" t="s">
        <v>258</v>
      </c>
      <c r="D668" s="0" t="s">
        <v>5023</v>
      </c>
      <c r="E668" s="0" t="s">
        <v>5024</v>
      </c>
      <c r="F668" s="0" t="s">
        <v>5024</v>
      </c>
      <c r="G668" s="0" t="s">
        <v>1883</v>
      </c>
      <c r="H668" s="0" t="s">
        <v>2406</v>
      </c>
      <c r="I668" s="0" t="s">
        <v>6554</v>
      </c>
      <c r="J668" s="0" t="s">
        <v>6555</v>
      </c>
      <c r="K668" s="444" t="s">
        <v>6556</v>
      </c>
    </row>
    <row r="669" customFormat="false" ht="12.8" hidden="false" customHeight="false" outlineLevel="0" collapsed="false">
      <c r="A669" s="0" t="s">
        <v>6581</v>
      </c>
      <c r="B669" s="0" t="s">
        <v>6582</v>
      </c>
      <c r="C669" s="0" t="s">
        <v>258</v>
      </c>
      <c r="D669" s="0" t="s">
        <v>5023</v>
      </c>
      <c r="E669" s="0" t="s">
        <v>5024</v>
      </c>
      <c r="F669" s="0" t="s">
        <v>5024</v>
      </c>
      <c r="G669" s="0" t="s">
        <v>1883</v>
      </c>
      <c r="H669" s="0" t="s">
        <v>2406</v>
      </c>
      <c r="I669" s="0" t="s">
        <v>6554</v>
      </c>
      <c r="J669" s="0" t="s">
        <v>6555</v>
      </c>
      <c r="K669" s="444" t="s">
        <v>6556</v>
      </c>
    </row>
    <row r="670" customFormat="false" ht="12.8" hidden="false" customHeight="false" outlineLevel="0" collapsed="false">
      <c r="A670" s="0" t="s">
        <v>6583</v>
      </c>
      <c r="B670" s="0" t="s">
        <v>6584</v>
      </c>
      <c r="C670" s="0" t="s">
        <v>258</v>
      </c>
      <c r="D670" s="0" t="s">
        <v>5023</v>
      </c>
      <c r="E670" s="0" t="s">
        <v>5024</v>
      </c>
      <c r="F670" s="0" t="s">
        <v>5024</v>
      </c>
      <c r="G670" s="0" t="s">
        <v>1883</v>
      </c>
      <c r="H670" s="0" t="s">
        <v>2406</v>
      </c>
      <c r="I670" s="0" t="s">
        <v>6554</v>
      </c>
      <c r="J670" s="0" t="s">
        <v>6555</v>
      </c>
      <c r="K670" s="444" t="s">
        <v>6556</v>
      </c>
    </row>
    <row r="671" customFormat="false" ht="12.8" hidden="false" customHeight="false" outlineLevel="0" collapsed="false">
      <c r="A671" s="0" t="s">
        <v>6585</v>
      </c>
      <c r="B671" s="0" t="s">
        <v>6586</v>
      </c>
      <c r="C671" s="0" t="s">
        <v>258</v>
      </c>
      <c r="D671" s="0" t="s">
        <v>5023</v>
      </c>
      <c r="E671" s="0" t="s">
        <v>5024</v>
      </c>
      <c r="F671" s="0" t="s">
        <v>5024</v>
      </c>
      <c r="G671" s="0" t="s">
        <v>1883</v>
      </c>
      <c r="H671" s="0" t="s">
        <v>2406</v>
      </c>
      <c r="I671" s="0" t="s">
        <v>6554</v>
      </c>
      <c r="J671" s="0" t="s">
        <v>6555</v>
      </c>
      <c r="K671" s="444" t="s">
        <v>6556</v>
      </c>
    </row>
    <row r="672" customFormat="false" ht="12.8" hidden="false" customHeight="false" outlineLevel="0" collapsed="false">
      <c r="A672" s="0" t="s">
        <v>6587</v>
      </c>
      <c r="B672" s="0" t="s">
        <v>6588</v>
      </c>
      <c r="C672" s="0" t="s">
        <v>258</v>
      </c>
      <c r="D672" s="0" t="s">
        <v>5023</v>
      </c>
      <c r="E672" s="0" t="s">
        <v>5024</v>
      </c>
      <c r="F672" s="0" t="s">
        <v>5024</v>
      </c>
      <c r="G672" s="0" t="s">
        <v>1883</v>
      </c>
      <c r="H672" s="0" t="s">
        <v>2406</v>
      </c>
      <c r="I672" s="0" t="s">
        <v>6554</v>
      </c>
      <c r="J672" s="0" t="s">
        <v>6555</v>
      </c>
      <c r="K672" s="444" t="s">
        <v>6556</v>
      </c>
    </row>
    <row r="673" customFormat="false" ht="12.8" hidden="false" customHeight="false" outlineLevel="0" collapsed="false">
      <c r="A673" s="0" t="s">
        <v>6589</v>
      </c>
      <c r="B673" s="0" t="s">
        <v>6590</v>
      </c>
      <c r="C673" s="0" t="s">
        <v>258</v>
      </c>
      <c r="D673" s="0" t="s">
        <v>5057</v>
      </c>
      <c r="E673" s="0" t="s">
        <v>5058</v>
      </c>
      <c r="F673" s="0" t="s">
        <v>5058</v>
      </c>
      <c r="G673" s="0" t="s">
        <v>1883</v>
      </c>
      <c r="H673" s="0" t="s">
        <v>2406</v>
      </c>
      <c r="I673" s="0" t="s">
        <v>6554</v>
      </c>
      <c r="J673" s="0" t="s">
        <v>6555</v>
      </c>
      <c r="K673" s="444" t="s">
        <v>6556</v>
      </c>
    </row>
    <row r="674" customFormat="false" ht="12.8" hidden="false" customHeight="false" outlineLevel="0" collapsed="false">
      <c r="A674" s="0" t="s">
        <v>6591</v>
      </c>
      <c r="B674" s="0" t="s">
        <v>6592</v>
      </c>
      <c r="C674" s="0" t="s">
        <v>400</v>
      </c>
      <c r="D674" s="0" t="s">
        <v>5023</v>
      </c>
      <c r="E674" s="0" t="s">
        <v>5024</v>
      </c>
      <c r="F674" s="0" t="s">
        <v>5024</v>
      </c>
      <c r="G674" s="0" t="s">
        <v>1883</v>
      </c>
      <c r="H674" s="0" t="s">
        <v>2406</v>
      </c>
      <c r="I674" s="0" t="s">
        <v>6593</v>
      </c>
      <c r="J674" s="0" t="s">
        <v>6594</v>
      </c>
      <c r="K674" s="444" t="s">
        <v>6556</v>
      </c>
    </row>
    <row r="675" customFormat="false" ht="12.8" hidden="false" customHeight="false" outlineLevel="0" collapsed="false">
      <c r="A675" s="0" t="s">
        <v>6595</v>
      </c>
      <c r="B675" s="0" t="s">
        <v>6596</v>
      </c>
      <c r="C675" s="0" t="s">
        <v>400</v>
      </c>
      <c r="D675" s="0" t="s">
        <v>5057</v>
      </c>
      <c r="E675" s="0" t="s">
        <v>5058</v>
      </c>
      <c r="F675" s="0" t="s">
        <v>5058</v>
      </c>
      <c r="G675" s="0" t="s">
        <v>1883</v>
      </c>
      <c r="H675" s="0" t="s">
        <v>2406</v>
      </c>
      <c r="I675" s="0" t="s">
        <v>6593</v>
      </c>
      <c r="J675" s="0" t="s">
        <v>6594</v>
      </c>
      <c r="K675" s="444" t="s">
        <v>6556</v>
      </c>
    </row>
    <row r="676" customFormat="false" ht="12.8" hidden="false" customHeight="false" outlineLevel="0" collapsed="false">
      <c r="A676" s="0" t="s">
        <v>6597</v>
      </c>
      <c r="B676" s="0" t="s">
        <v>6598</v>
      </c>
      <c r="C676" s="0" t="s">
        <v>400</v>
      </c>
      <c r="D676" s="0" t="s">
        <v>5023</v>
      </c>
      <c r="E676" s="0" t="s">
        <v>5024</v>
      </c>
      <c r="F676" s="0" t="s">
        <v>5024</v>
      </c>
      <c r="G676" s="0" t="s">
        <v>1883</v>
      </c>
      <c r="H676" s="0" t="s">
        <v>2406</v>
      </c>
      <c r="I676" s="0" t="s">
        <v>6593</v>
      </c>
      <c r="J676" s="0" t="s">
        <v>6594</v>
      </c>
      <c r="K676" s="444" t="s">
        <v>6556</v>
      </c>
    </row>
    <row r="677" customFormat="false" ht="12.8" hidden="false" customHeight="false" outlineLevel="0" collapsed="false">
      <c r="A677" s="0" t="s">
        <v>6599</v>
      </c>
      <c r="B677" s="0" t="s">
        <v>6600</v>
      </c>
      <c r="C677" s="0" t="s">
        <v>400</v>
      </c>
      <c r="D677" s="0" t="s">
        <v>5023</v>
      </c>
      <c r="E677" s="0" t="s">
        <v>5024</v>
      </c>
      <c r="F677" s="0" t="s">
        <v>5024</v>
      </c>
      <c r="G677" s="0" t="s">
        <v>1883</v>
      </c>
      <c r="H677" s="0" t="s">
        <v>2406</v>
      </c>
      <c r="I677" s="0" t="s">
        <v>6593</v>
      </c>
      <c r="J677" s="0" t="s">
        <v>6594</v>
      </c>
      <c r="K677" s="444" t="s">
        <v>6556</v>
      </c>
    </row>
    <row r="678" customFormat="false" ht="12.8" hidden="false" customHeight="false" outlineLevel="0" collapsed="false">
      <c r="A678" s="0" t="s">
        <v>6601</v>
      </c>
      <c r="B678" s="0" t="s">
        <v>6602</v>
      </c>
      <c r="C678" s="0" t="s">
        <v>400</v>
      </c>
      <c r="D678" s="0" t="s">
        <v>5023</v>
      </c>
      <c r="E678" s="0" t="s">
        <v>5024</v>
      </c>
      <c r="F678" s="0" t="s">
        <v>5024</v>
      </c>
      <c r="G678" s="0" t="s">
        <v>1883</v>
      </c>
      <c r="H678" s="0" t="s">
        <v>2406</v>
      </c>
      <c r="I678" s="0" t="s">
        <v>6593</v>
      </c>
      <c r="J678" s="0" t="s">
        <v>6594</v>
      </c>
      <c r="K678" s="444" t="s">
        <v>6556</v>
      </c>
    </row>
    <row r="679" customFormat="false" ht="12.8" hidden="false" customHeight="false" outlineLevel="0" collapsed="false">
      <c r="A679" s="0" t="s">
        <v>6603</v>
      </c>
      <c r="B679" s="0" t="s">
        <v>6604</v>
      </c>
      <c r="C679" s="0" t="s">
        <v>400</v>
      </c>
      <c r="D679" s="0" t="s">
        <v>5023</v>
      </c>
      <c r="E679" s="0" t="s">
        <v>5024</v>
      </c>
      <c r="F679" s="0" t="s">
        <v>5024</v>
      </c>
      <c r="G679" s="0" t="s">
        <v>1883</v>
      </c>
      <c r="H679" s="0" t="s">
        <v>2406</v>
      </c>
      <c r="I679" s="0" t="s">
        <v>6593</v>
      </c>
      <c r="J679" s="0" t="s">
        <v>6594</v>
      </c>
      <c r="K679" s="444" t="s">
        <v>6556</v>
      </c>
    </row>
    <row r="680" customFormat="false" ht="12.8" hidden="false" customHeight="false" outlineLevel="0" collapsed="false">
      <c r="A680" s="0" t="s">
        <v>6605</v>
      </c>
      <c r="B680" s="0" t="s">
        <v>6606</v>
      </c>
      <c r="C680" s="0" t="s">
        <v>400</v>
      </c>
      <c r="D680" s="0" t="s">
        <v>5023</v>
      </c>
      <c r="E680" s="0" t="s">
        <v>5024</v>
      </c>
      <c r="F680" s="0" t="s">
        <v>5024</v>
      </c>
      <c r="G680" s="0" t="s">
        <v>1883</v>
      </c>
      <c r="H680" s="0" t="s">
        <v>2406</v>
      </c>
      <c r="I680" s="0" t="s">
        <v>6593</v>
      </c>
      <c r="J680" s="0" t="s">
        <v>6594</v>
      </c>
      <c r="K680" s="444" t="s">
        <v>6556</v>
      </c>
    </row>
    <row r="681" customFormat="false" ht="12.8" hidden="false" customHeight="false" outlineLevel="0" collapsed="false">
      <c r="A681" s="0" t="s">
        <v>6607</v>
      </c>
      <c r="B681" s="0" t="s">
        <v>6608</v>
      </c>
      <c r="C681" s="0" t="s">
        <v>400</v>
      </c>
      <c r="D681" s="0" t="s">
        <v>5023</v>
      </c>
      <c r="E681" s="0" t="s">
        <v>5024</v>
      </c>
      <c r="F681" s="0" t="s">
        <v>5024</v>
      </c>
      <c r="G681" s="0" t="s">
        <v>1883</v>
      </c>
      <c r="H681" s="0" t="s">
        <v>2406</v>
      </c>
      <c r="I681" s="0" t="s">
        <v>6593</v>
      </c>
      <c r="J681" s="0" t="s">
        <v>6594</v>
      </c>
      <c r="K681" s="444" t="s">
        <v>6556</v>
      </c>
    </row>
    <row r="682" customFormat="false" ht="12.8" hidden="false" customHeight="false" outlineLevel="0" collapsed="false">
      <c r="A682" s="0" t="s">
        <v>6609</v>
      </c>
      <c r="B682" s="0" t="s">
        <v>6610</v>
      </c>
      <c r="C682" s="0" t="s">
        <v>400</v>
      </c>
      <c r="D682" s="0" t="s">
        <v>5061</v>
      </c>
      <c r="E682" s="0" t="s">
        <v>5062</v>
      </c>
      <c r="F682" s="0" t="s">
        <v>5062</v>
      </c>
      <c r="G682" s="0" t="s">
        <v>1883</v>
      </c>
      <c r="H682" s="0" t="s">
        <v>2406</v>
      </c>
      <c r="I682" s="0" t="s">
        <v>6593</v>
      </c>
      <c r="J682" s="0" t="s">
        <v>6594</v>
      </c>
      <c r="K682" s="444" t="s">
        <v>6556</v>
      </c>
    </row>
    <row r="683" customFormat="false" ht="12.8" hidden="false" customHeight="false" outlineLevel="0" collapsed="false">
      <c r="A683" s="0" t="s">
        <v>6611</v>
      </c>
      <c r="B683" s="0" t="s">
        <v>6612</v>
      </c>
      <c r="C683" s="0" t="s">
        <v>400</v>
      </c>
      <c r="D683" s="0" t="s">
        <v>5023</v>
      </c>
      <c r="E683" s="0" t="s">
        <v>5024</v>
      </c>
      <c r="F683" s="0" t="s">
        <v>5024</v>
      </c>
      <c r="G683" s="0" t="s">
        <v>1883</v>
      </c>
      <c r="H683" s="0" t="s">
        <v>2406</v>
      </c>
      <c r="I683" s="0" t="s">
        <v>6593</v>
      </c>
      <c r="J683" s="0" t="s">
        <v>6594</v>
      </c>
      <c r="K683" s="444" t="s">
        <v>6556</v>
      </c>
    </row>
    <row r="684" customFormat="false" ht="12.8" hidden="false" customHeight="false" outlineLevel="0" collapsed="false">
      <c r="A684" s="0" t="s">
        <v>6613</v>
      </c>
      <c r="B684" s="0" t="s">
        <v>6614</v>
      </c>
      <c r="C684" s="0" t="s">
        <v>341</v>
      </c>
      <c r="D684" s="0" t="s">
        <v>5061</v>
      </c>
      <c r="E684" s="0" t="s">
        <v>5062</v>
      </c>
      <c r="F684" s="0" t="s">
        <v>5062</v>
      </c>
      <c r="G684" s="0" t="s">
        <v>1883</v>
      </c>
      <c r="H684" s="0" t="s">
        <v>2233</v>
      </c>
      <c r="I684" s="0" t="s">
        <v>6615</v>
      </c>
      <c r="J684" s="0" t="s">
        <v>6616</v>
      </c>
      <c r="K684" s="444" t="s">
        <v>6617</v>
      </c>
    </row>
    <row r="685" customFormat="false" ht="12.8" hidden="false" customHeight="false" outlineLevel="0" collapsed="false">
      <c r="A685" s="0" t="s">
        <v>6618</v>
      </c>
      <c r="B685" s="0" t="s">
        <v>6619</v>
      </c>
      <c r="C685" s="0" t="s">
        <v>341</v>
      </c>
      <c r="D685" s="0" t="s">
        <v>5023</v>
      </c>
      <c r="E685" s="0" t="s">
        <v>5024</v>
      </c>
      <c r="F685" s="0" t="s">
        <v>5024</v>
      </c>
      <c r="G685" s="0" t="s">
        <v>1883</v>
      </c>
      <c r="H685" s="0" t="s">
        <v>2233</v>
      </c>
      <c r="I685" s="0" t="s">
        <v>6615</v>
      </c>
      <c r="J685" s="0" t="s">
        <v>6616</v>
      </c>
      <c r="K685" s="444" t="s">
        <v>6617</v>
      </c>
    </row>
    <row r="686" customFormat="false" ht="12.8" hidden="false" customHeight="false" outlineLevel="0" collapsed="false">
      <c r="A686" s="0" t="s">
        <v>6620</v>
      </c>
      <c r="B686" s="0" t="s">
        <v>6621</v>
      </c>
      <c r="C686" s="0" t="s">
        <v>341</v>
      </c>
      <c r="D686" s="0" t="s">
        <v>5023</v>
      </c>
      <c r="E686" s="0" t="s">
        <v>5024</v>
      </c>
      <c r="F686" s="0" t="s">
        <v>5024</v>
      </c>
      <c r="G686" s="0" t="s">
        <v>1883</v>
      </c>
      <c r="H686" s="0" t="s">
        <v>2233</v>
      </c>
      <c r="I686" s="0" t="s">
        <v>6615</v>
      </c>
      <c r="J686" s="0" t="s">
        <v>6616</v>
      </c>
      <c r="K686" s="444" t="s">
        <v>6617</v>
      </c>
    </row>
    <row r="687" customFormat="false" ht="12.8" hidden="false" customHeight="false" outlineLevel="0" collapsed="false">
      <c r="A687" s="0" t="s">
        <v>6622</v>
      </c>
      <c r="B687" s="0" t="s">
        <v>6623</v>
      </c>
      <c r="C687" s="0" t="s">
        <v>341</v>
      </c>
      <c r="D687" s="0" t="s">
        <v>5023</v>
      </c>
      <c r="E687" s="0" t="s">
        <v>5024</v>
      </c>
      <c r="F687" s="0" t="s">
        <v>5024</v>
      </c>
      <c r="G687" s="0" t="s">
        <v>1883</v>
      </c>
      <c r="H687" s="0" t="s">
        <v>2233</v>
      </c>
      <c r="I687" s="0" t="s">
        <v>6615</v>
      </c>
      <c r="J687" s="0" t="s">
        <v>6616</v>
      </c>
      <c r="K687" s="444" t="s">
        <v>6617</v>
      </c>
    </row>
    <row r="688" customFormat="false" ht="12.8" hidden="false" customHeight="false" outlineLevel="0" collapsed="false">
      <c r="A688" s="0" t="s">
        <v>6624</v>
      </c>
      <c r="B688" s="0" t="s">
        <v>6625</v>
      </c>
      <c r="C688" s="0" t="s">
        <v>341</v>
      </c>
      <c r="D688" s="0" t="s">
        <v>5023</v>
      </c>
      <c r="E688" s="0" t="s">
        <v>5024</v>
      </c>
      <c r="F688" s="0" t="s">
        <v>5024</v>
      </c>
      <c r="G688" s="0" t="s">
        <v>1883</v>
      </c>
      <c r="H688" s="0" t="s">
        <v>2233</v>
      </c>
      <c r="I688" s="0" t="s">
        <v>6615</v>
      </c>
      <c r="J688" s="0" t="s">
        <v>6616</v>
      </c>
      <c r="K688" s="444" t="s">
        <v>6617</v>
      </c>
    </row>
    <row r="689" customFormat="false" ht="12.8" hidden="false" customHeight="false" outlineLevel="0" collapsed="false">
      <c r="A689" s="0" t="s">
        <v>6626</v>
      </c>
      <c r="B689" s="0" t="s">
        <v>6627</v>
      </c>
      <c r="C689" s="0" t="s">
        <v>341</v>
      </c>
      <c r="D689" s="0" t="s">
        <v>5023</v>
      </c>
      <c r="E689" s="0" t="s">
        <v>5024</v>
      </c>
      <c r="F689" s="0" t="s">
        <v>5024</v>
      </c>
      <c r="G689" s="0" t="s">
        <v>1883</v>
      </c>
      <c r="H689" s="0" t="s">
        <v>2233</v>
      </c>
      <c r="I689" s="0" t="s">
        <v>6615</v>
      </c>
      <c r="J689" s="0" t="s">
        <v>6616</v>
      </c>
      <c r="K689" s="444" t="s">
        <v>6617</v>
      </c>
    </row>
    <row r="690" customFormat="false" ht="12.8" hidden="false" customHeight="false" outlineLevel="0" collapsed="false">
      <c r="A690" s="0" t="s">
        <v>6628</v>
      </c>
      <c r="B690" s="0" t="s">
        <v>6629</v>
      </c>
      <c r="C690" s="0" t="s">
        <v>341</v>
      </c>
      <c r="D690" s="0" t="s">
        <v>5023</v>
      </c>
      <c r="E690" s="0" t="s">
        <v>5024</v>
      </c>
      <c r="F690" s="0" t="s">
        <v>5024</v>
      </c>
      <c r="G690" s="0" t="s">
        <v>1883</v>
      </c>
      <c r="H690" s="0" t="s">
        <v>2233</v>
      </c>
      <c r="I690" s="0" t="s">
        <v>6615</v>
      </c>
      <c r="J690" s="0" t="s">
        <v>6616</v>
      </c>
      <c r="K690" s="444" t="s">
        <v>6617</v>
      </c>
    </row>
    <row r="691" customFormat="false" ht="12.8" hidden="false" customHeight="false" outlineLevel="0" collapsed="false">
      <c r="A691" s="0" t="s">
        <v>6630</v>
      </c>
      <c r="B691" s="0" t="s">
        <v>6631</v>
      </c>
      <c r="C691" s="0" t="s">
        <v>341</v>
      </c>
      <c r="D691" s="0" t="s">
        <v>5023</v>
      </c>
      <c r="E691" s="0" t="s">
        <v>5024</v>
      </c>
      <c r="F691" s="0" t="s">
        <v>5024</v>
      </c>
      <c r="G691" s="0" t="s">
        <v>1883</v>
      </c>
      <c r="H691" s="0" t="s">
        <v>2233</v>
      </c>
      <c r="I691" s="0" t="s">
        <v>6615</v>
      </c>
      <c r="J691" s="0" t="s">
        <v>6616</v>
      </c>
      <c r="K691" s="444" t="s">
        <v>6617</v>
      </c>
    </row>
    <row r="692" customFormat="false" ht="12.8" hidden="false" customHeight="false" outlineLevel="0" collapsed="false">
      <c r="A692" s="0" t="s">
        <v>6632</v>
      </c>
      <c r="B692" s="0" t="s">
        <v>6633</v>
      </c>
      <c r="C692" s="0" t="s">
        <v>341</v>
      </c>
      <c r="D692" s="0" t="s">
        <v>5023</v>
      </c>
      <c r="E692" s="0" t="s">
        <v>5024</v>
      </c>
      <c r="F692" s="0" t="s">
        <v>5024</v>
      </c>
      <c r="G692" s="0" t="s">
        <v>1883</v>
      </c>
      <c r="H692" s="0" t="s">
        <v>2233</v>
      </c>
      <c r="I692" s="0" t="s">
        <v>6615</v>
      </c>
      <c r="J692" s="0" t="s">
        <v>6616</v>
      </c>
      <c r="K692" s="444" t="s">
        <v>6617</v>
      </c>
    </row>
    <row r="693" customFormat="false" ht="12.8" hidden="false" customHeight="false" outlineLevel="0" collapsed="false">
      <c r="A693" s="0" t="s">
        <v>6634</v>
      </c>
      <c r="B693" s="0" t="s">
        <v>6635</v>
      </c>
      <c r="C693" s="0" t="s">
        <v>341</v>
      </c>
      <c r="D693" s="0" t="s">
        <v>5023</v>
      </c>
      <c r="E693" s="0" t="s">
        <v>5024</v>
      </c>
      <c r="F693" s="0" t="s">
        <v>5024</v>
      </c>
      <c r="G693" s="0" t="s">
        <v>1883</v>
      </c>
      <c r="H693" s="0" t="s">
        <v>2233</v>
      </c>
      <c r="I693" s="0" t="s">
        <v>6615</v>
      </c>
      <c r="J693" s="0" t="s">
        <v>6616</v>
      </c>
      <c r="K693" s="444" t="s">
        <v>6617</v>
      </c>
    </row>
    <row r="694" customFormat="false" ht="12.8" hidden="false" customHeight="false" outlineLevel="0" collapsed="false">
      <c r="A694" s="0" t="s">
        <v>6636</v>
      </c>
      <c r="B694" s="0" t="s">
        <v>6637</v>
      </c>
      <c r="C694" s="0" t="s">
        <v>13</v>
      </c>
      <c r="D694" s="0" t="s">
        <v>5061</v>
      </c>
      <c r="E694" s="0" t="s">
        <v>5062</v>
      </c>
      <c r="F694" s="0" t="s">
        <v>5062</v>
      </c>
      <c r="G694" s="0" t="s">
        <v>2515</v>
      </c>
      <c r="H694" s="0" t="s">
        <v>2516</v>
      </c>
      <c r="I694" s="0" t="s">
        <v>6638</v>
      </c>
      <c r="J694" s="0" t="s">
        <v>6639</v>
      </c>
      <c r="K694" s="0" t="s">
        <v>6298</v>
      </c>
    </row>
    <row r="695" customFormat="false" ht="12.8" hidden="false" customHeight="false" outlineLevel="0" collapsed="false">
      <c r="A695" s="0" t="s">
        <v>6640</v>
      </c>
      <c r="B695" s="0" t="s">
        <v>6641</v>
      </c>
      <c r="C695" s="0" t="s">
        <v>13</v>
      </c>
      <c r="D695" s="0" t="s">
        <v>5023</v>
      </c>
      <c r="E695" s="0" t="s">
        <v>5024</v>
      </c>
      <c r="F695" s="0" t="s">
        <v>5024</v>
      </c>
      <c r="G695" s="0" t="s">
        <v>2515</v>
      </c>
      <c r="H695" s="0" t="s">
        <v>2516</v>
      </c>
      <c r="I695" s="0" t="s">
        <v>6638</v>
      </c>
      <c r="J695" s="0" t="s">
        <v>6639</v>
      </c>
      <c r="K695" s="0" t="s">
        <v>6298</v>
      </c>
    </row>
    <row r="696" customFormat="false" ht="12.8" hidden="false" customHeight="false" outlineLevel="0" collapsed="false">
      <c r="A696" s="0" t="s">
        <v>6642</v>
      </c>
      <c r="B696" s="0" t="s">
        <v>6643</v>
      </c>
      <c r="C696" s="0" t="s">
        <v>13</v>
      </c>
      <c r="D696" s="0" t="s">
        <v>5023</v>
      </c>
      <c r="E696" s="0" t="s">
        <v>5024</v>
      </c>
      <c r="F696" s="0" t="s">
        <v>5024</v>
      </c>
      <c r="G696" s="0" t="s">
        <v>2515</v>
      </c>
      <c r="H696" s="0" t="s">
        <v>2516</v>
      </c>
      <c r="I696" s="0" t="s">
        <v>6638</v>
      </c>
      <c r="J696" s="0" t="s">
        <v>6639</v>
      </c>
      <c r="K696" s="0" t="s">
        <v>6298</v>
      </c>
    </row>
    <row r="697" customFormat="false" ht="12.8" hidden="false" customHeight="false" outlineLevel="0" collapsed="false">
      <c r="A697" s="0" t="s">
        <v>6644</v>
      </c>
      <c r="B697" s="0" t="s">
        <v>6645</v>
      </c>
      <c r="C697" s="0" t="s">
        <v>13</v>
      </c>
      <c r="D697" s="0" t="s">
        <v>5057</v>
      </c>
      <c r="E697" s="0" t="s">
        <v>5058</v>
      </c>
      <c r="F697" s="0" t="s">
        <v>5058</v>
      </c>
      <c r="G697" s="0" t="s">
        <v>2515</v>
      </c>
      <c r="H697" s="0" t="s">
        <v>2516</v>
      </c>
      <c r="I697" s="0" t="s">
        <v>6638</v>
      </c>
      <c r="J697" s="0" t="s">
        <v>6639</v>
      </c>
      <c r="K697" s="0" t="s">
        <v>6298</v>
      </c>
    </row>
    <row r="698" customFormat="false" ht="12.8" hidden="false" customHeight="false" outlineLevel="0" collapsed="false">
      <c r="A698" s="0" t="s">
        <v>6646</v>
      </c>
      <c r="B698" s="0" t="s">
        <v>6647</v>
      </c>
      <c r="C698" s="0" t="s">
        <v>82</v>
      </c>
      <c r="D698" s="0" t="s">
        <v>5023</v>
      </c>
      <c r="E698" s="0" t="s">
        <v>5024</v>
      </c>
      <c r="F698" s="0" t="s">
        <v>5024</v>
      </c>
      <c r="G698" s="0" t="s">
        <v>2515</v>
      </c>
      <c r="H698" s="0" t="s">
        <v>2516</v>
      </c>
      <c r="I698" s="0" t="s">
        <v>6648</v>
      </c>
      <c r="J698" s="0" t="s">
        <v>6649</v>
      </c>
      <c r="K698" s="0" t="s">
        <v>6650</v>
      </c>
    </row>
    <row r="699" customFormat="false" ht="12.8" hidden="false" customHeight="false" outlineLevel="0" collapsed="false">
      <c r="A699" s="0" t="s">
        <v>6651</v>
      </c>
      <c r="B699" s="0" t="s">
        <v>6652</v>
      </c>
      <c r="C699" s="0" t="s">
        <v>82</v>
      </c>
      <c r="D699" s="0" t="s">
        <v>5023</v>
      </c>
      <c r="E699" s="0" t="s">
        <v>5024</v>
      </c>
      <c r="F699" s="0" t="s">
        <v>5024</v>
      </c>
      <c r="G699" s="0" t="s">
        <v>2515</v>
      </c>
      <c r="H699" s="0" t="s">
        <v>2516</v>
      </c>
      <c r="I699" s="0" t="s">
        <v>6648</v>
      </c>
      <c r="J699" s="0" t="s">
        <v>6649</v>
      </c>
      <c r="K699" s="0" t="s">
        <v>6650</v>
      </c>
    </row>
    <row r="700" customFormat="false" ht="12.8" hidden="false" customHeight="false" outlineLevel="0" collapsed="false">
      <c r="A700" s="0" t="s">
        <v>6653</v>
      </c>
      <c r="B700" s="0" t="s">
        <v>6654</v>
      </c>
      <c r="C700" s="0" t="s">
        <v>82</v>
      </c>
      <c r="D700" s="0" t="s">
        <v>5057</v>
      </c>
      <c r="E700" s="0" t="s">
        <v>5058</v>
      </c>
      <c r="F700" s="0" t="s">
        <v>5058</v>
      </c>
      <c r="G700" s="0" t="s">
        <v>2515</v>
      </c>
      <c r="H700" s="0" t="s">
        <v>2516</v>
      </c>
      <c r="I700" s="0" t="s">
        <v>6648</v>
      </c>
      <c r="J700" s="0" t="s">
        <v>6649</v>
      </c>
      <c r="K700" s="0" t="s">
        <v>6650</v>
      </c>
    </row>
    <row r="701" customFormat="false" ht="12.8" hidden="false" customHeight="false" outlineLevel="0" collapsed="false">
      <c r="A701" s="0" t="s">
        <v>6655</v>
      </c>
      <c r="B701" s="0" t="s">
        <v>6656</v>
      </c>
      <c r="C701" s="0" t="s">
        <v>82</v>
      </c>
      <c r="D701" s="0" t="s">
        <v>5061</v>
      </c>
      <c r="E701" s="0" t="s">
        <v>5062</v>
      </c>
      <c r="F701" s="0" t="s">
        <v>5062</v>
      </c>
      <c r="G701" s="0" t="s">
        <v>2515</v>
      </c>
      <c r="H701" s="0" t="s">
        <v>2516</v>
      </c>
      <c r="I701" s="0" t="s">
        <v>6648</v>
      </c>
      <c r="J701" s="0" t="s">
        <v>6649</v>
      </c>
      <c r="K701" s="0" t="s">
        <v>6650</v>
      </c>
    </row>
    <row r="702" customFormat="false" ht="12.8" hidden="false" customHeight="false" outlineLevel="0" collapsed="false">
      <c r="A702" s="0" t="s">
        <v>6657</v>
      </c>
      <c r="B702" s="0" t="s">
        <v>6658</v>
      </c>
      <c r="C702" s="0" t="s">
        <v>82</v>
      </c>
      <c r="D702" s="0" t="s">
        <v>5023</v>
      </c>
      <c r="E702" s="0" t="s">
        <v>5024</v>
      </c>
      <c r="F702" s="0" t="s">
        <v>5024</v>
      </c>
      <c r="G702" s="0" t="s">
        <v>2515</v>
      </c>
      <c r="H702" s="0" t="s">
        <v>2516</v>
      </c>
      <c r="I702" s="0" t="s">
        <v>6648</v>
      </c>
      <c r="J702" s="0" t="s">
        <v>6649</v>
      </c>
      <c r="K702" s="0" t="s">
        <v>6650</v>
      </c>
    </row>
    <row r="703" customFormat="false" ht="12.8" hidden="false" customHeight="false" outlineLevel="0" collapsed="false">
      <c r="A703" s="0" t="s">
        <v>6659</v>
      </c>
      <c r="B703" s="0" t="s">
        <v>6660</v>
      </c>
      <c r="C703" s="0" t="s">
        <v>82</v>
      </c>
      <c r="D703" s="0" t="s">
        <v>5023</v>
      </c>
      <c r="E703" s="0" t="s">
        <v>5024</v>
      </c>
      <c r="F703" s="0" t="s">
        <v>5024</v>
      </c>
      <c r="G703" s="0" t="s">
        <v>2515</v>
      </c>
      <c r="H703" s="0" t="s">
        <v>2516</v>
      </c>
      <c r="I703" s="0" t="s">
        <v>6648</v>
      </c>
      <c r="J703" s="0" t="s">
        <v>6649</v>
      </c>
      <c r="K703" s="0" t="s">
        <v>6650</v>
      </c>
    </row>
    <row r="704" customFormat="false" ht="12.8" hidden="false" customHeight="false" outlineLevel="0" collapsed="false">
      <c r="A704" s="0" t="s">
        <v>6661</v>
      </c>
      <c r="B704" s="0" t="s">
        <v>6662</v>
      </c>
      <c r="C704" s="0" t="s">
        <v>82</v>
      </c>
      <c r="D704" s="0" t="s">
        <v>5023</v>
      </c>
      <c r="E704" s="0" t="s">
        <v>5024</v>
      </c>
      <c r="F704" s="0" t="s">
        <v>5024</v>
      </c>
      <c r="G704" s="0" t="s">
        <v>2515</v>
      </c>
      <c r="H704" s="0" t="s">
        <v>2516</v>
      </c>
      <c r="I704" s="0" t="s">
        <v>6648</v>
      </c>
      <c r="J704" s="0" t="s">
        <v>6649</v>
      </c>
      <c r="K704" s="0" t="s">
        <v>6650</v>
      </c>
    </row>
    <row r="705" customFormat="false" ht="12.8" hidden="false" customHeight="false" outlineLevel="0" collapsed="false">
      <c r="A705" s="0" t="s">
        <v>6663</v>
      </c>
      <c r="B705" s="0" t="s">
        <v>6664</v>
      </c>
      <c r="C705" s="0" t="s">
        <v>82</v>
      </c>
      <c r="D705" s="0" t="s">
        <v>5023</v>
      </c>
      <c r="E705" s="0" t="s">
        <v>5024</v>
      </c>
      <c r="F705" s="0" t="s">
        <v>5024</v>
      </c>
      <c r="G705" s="0" t="s">
        <v>2515</v>
      </c>
      <c r="H705" s="0" t="s">
        <v>2516</v>
      </c>
      <c r="I705" s="0" t="s">
        <v>6648</v>
      </c>
      <c r="J705" s="0" t="s">
        <v>6649</v>
      </c>
      <c r="K705" s="0" t="s">
        <v>6650</v>
      </c>
    </row>
    <row r="706" customFormat="false" ht="12.8" hidden="false" customHeight="false" outlineLevel="0" collapsed="false">
      <c r="A706" s="0" t="s">
        <v>6665</v>
      </c>
      <c r="B706" s="0" t="s">
        <v>6666</v>
      </c>
      <c r="C706" s="0" t="s">
        <v>109</v>
      </c>
      <c r="D706" s="0" t="s">
        <v>5023</v>
      </c>
      <c r="E706" s="0" t="s">
        <v>5024</v>
      </c>
      <c r="F706" s="0" t="s">
        <v>5024</v>
      </c>
      <c r="G706" s="0" t="s">
        <v>2515</v>
      </c>
      <c r="H706" s="0" t="s">
        <v>2755</v>
      </c>
      <c r="I706" s="0" t="s">
        <v>6667</v>
      </c>
      <c r="J706" s="0" t="s">
        <v>6668</v>
      </c>
      <c r="K706" s="0" t="s">
        <v>6298</v>
      </c>
    </row>
    <row r="707" customFormat="false" ht="12.8" hidden="false" customHeight="false" outlineLevel="0" collapsed="false">
      <c r="A707" s="0" t="s">
        <v>6669</v>
      </c>
      <c r="B707" s="0" t="s">
        <v>6670</v>
      </c>
      <c r="C707" s="0" t="s">
        <v>109</v>
      </c>
      <c r="D707" s="0" t="s">
        <v>5023</v>
      </c>
      <c r="E707" s="0" t="s">
        <v>5024</v>
      </c>
      <c r="F707" s="0" t="s">
        <v>5024</v>
      </c>
      <c r="G707" s="0" t="s">
        <v>2515</v>
      </c>
      <c r="H707" s="0" t="s">
        <v>2755</v>
      </c>
      <c r="I707" s="0" t="s">
        <v>6667</v>
      </c>
      <c r="J707" s="0" t="s">
        <v>6668</v>
      </c>
      <c r="K707" s="0" t="s">
        <v>6298</v>
      </c>
    </row>
    <row r="708" customFormat="false" ht="12.8" hidden="false" customHeight="false" outlineLevel="0" collapsed="false">
      <c r="A708" s="0" t="s">
        <v>6671</v>
      </c>
      <c r="B708" s="0" t="s">
        <v>6672</v>
      </c>
      <c r="C708" s="0" t="s">
        <v>109</v>
      </c>
      <c r="D708" s="0" t="s">
        <v>5061</v>
      </c>
      <c r="E708" s="0" t="s">
        <v>5062</v>
      </c>
      <c r="F708" s="0" t="s">
        <v>5062</v>
      </c>
      <c r="G708" s="0" t="s">
        <v>2515</v>
      </c>
      <c r="H708" s="0" t="s">
        <v>2755</v>
      </c>
      <c r="I708" s="0" t="s">
        <v>6667</v>
      </c>
      <c r="J708" s="0" t="s">
        <v>6668</v>
      </c>
      <c r="K708" s="0" t="s">
        <v>6298</v>
      </c>
    </row>
    <row r="709" customFormat="false" ht="12.8" hidden="false" customHeight="false" outlineLevel="0" collapsed="false">
      <c r="A709" s="0" t="s">
        <v>6673</v>
      </c>
      <c r="B709" s="0" t="s">
        <v>6674</v>
      </c>
      <c r="C709" s="0" t="s">
        <v>109</v>
      </c>
      <c r="D709" s="0" t="s">
        <v>5057</v>
      </c>
      <c r="E709" s="0" t="s">
        <v>5058</v>
      </c>
      <c r="F709" s="0" t="s">
        <v>5058</v>
      </c>
      <c r="G709" s="0" t="s">
        <v>2515</v>
      </c>
      <c r="H709" s="0" t="s">
        <v>2755</v>
      </c>
      <c r="I709" s="0" t="s">
        <v>6667</v>
      </c>
      <c r="J709" s="0" t="s">
        <v>6668</v>
      </c>
      <c r="K709" s="0" t="s">
        <v>6298</v>
      </c>
    </row>
    <row r="710" customFormat="false" ht="12.8" hidden="false" customHeight="false" outlineLevel="0" collapsed="false">
      <c r="A710" s="0" t="s">
        <v>6675</v>
      </c>
      <c r="B710" s="0" t="s">
        <v>6676</v>
      </c>
      <c r="C710" s="0" t="s">
        <v>111</v>
      </c>
      <c r="D710" s="0" t="s">
        <v>5023</v>
      </c>
      <c r="E710" s="0" t="s">
        <v>5024</v>
      </c>
      <c r="F710" s="0" t="s">
        <v>5024</v>
      </c>
      <c r="G710" s="0" t="s">
        <v>2515</v>
      </c>
      <c r="H710" s="0" t="s">
        <v>2755</v>
      </c>
      <c r="I710" s="0" t="s">
        <v>6677</v>
      </c>
      <c r="J710" s="0" t="s">
        <v>6678</v>
      </c>
      <c r="K710" s="0" t="s">
        <v>5260</v>
      </c>
    </row>
    <row r="711" customFormat="false" ht="12.8" hidden="false" customHeight="false" outlineLevel="0" collapsed="false">
      <c r="A711" s="0" t="s">
        <v>6679</v>
      </c>
      <c r="B711" s="0" t="s">
        <v>6680</v>
      </c>
      <c r="C711" s="0" t="s">
        <v>111</v>
      </c>
      <c r="D711" s="0" t="s">
        <v>5023</v>
      </c>
      <c r="E711" s="0" t="s">
        <v>5024</v>
      </c>
      <c r="F711" s="0" t="s">
        <v>5024</v>
      </c>
      <c r="G711" s="0" t="s">
        <v>2515</v>
      </c>
      <c r="H711" s="0" t="s">
        <v>2755</v>
      </c>
      <c r="I711" s="0" t="s">
        <v>6677</v>
      </c>
      <c r="J711" s="0" t="s">
        <v>6678</v>
      </c>
      <c r="K711" s="0" t="s">
        <v>5260</v>
      </c>
    </row>
    <row r="712" customFormat="false" ht="12.8" hidden="false" customHeight="false" outlineLevel="0" collapsed="false">
      <c r="A712" s="0" t="s">
        <v>6681</v>
      </c>
      <c r="B712" s="0" t="s">
        <v>6682</v>
      </c>
      <c r="C712" s="0" t="s">
        <v>111</v>
      </c>
      <c r="D712" s="0" t="s">
        <v>5023</v>
      </c>
      <c r="E712" s="0" t="s">
        <v>5024</v>
      </c>
      <c r="F712" s="0" t="s">
        <v>5024</v>
      </c>
      <c r="G712" s="0" t="s">
        <v>2515</v>
      </c>
      <c r="H712" s="0" t="s">
        <v>2755</v>
      </c>
      <c r="I712" s="0" t="s">
        <v>6677</v>
      </c>
      <c r="J712" s="0" t="s">
        <v>6678</v>
      </c>
      <c r="K712" s="0" t="s">
        <v>5260</v>
      </c>
    </row>
    <row r="713" customFormat="false" ht="12.8" hidden="false" customHeight="false" outlineLevel="0" collapsed="false">
      <c r="A713" s="0" t="s">
        <v>6683</v>
      </c>
      <c r="B713" s="0" t="s">
        <v>6684</v>
      </c>
      <c r="C713" s="0" t="s">
        <v>111</v>
      </c>
      <c r="D713" s="0" t="s">
        <v>5057</v>
      </c>
      <c r="E713" s="0" t="s">
        <v>5058</v>
      </c>
      <c r="F713" s="0" t="s">
        <v>5058</v>
      </c>
      <c r="G713" s="0" t="s">
        <v>2515</v>
      </c>
      <c r="H713" s="0" t="s">
        <v>2755</v>
      </c>
      <c r="I713" s="0" t="s">
        <v>6677</v>
      </c>
      <c r="J713" s="0" t="s">
        <v>6678</v>
      </c>
      <c r="K713" s="0" t="s">
        <v>5260</v>
      </c>
    </row>
    <row r="714" customFormat="false" ht="12.8" hidden="false" customHeight="false" outlineLevel="0" collapsed="false">
      <c r="A714" s="0" t="s">
        <v>6685</v>
      </c>
      <c r="B714" s="0" t="s">
        <v>6686</v>
      </c>
      <c r="C714" s="0" t="s">
        <v>111</v>
      </c>
      <c r="D714" s="0" t="s">
        <v>5061</v>
      </c>
      <c r="E714" s="0" t="s">
        <v>5062</v>
      </c>
      <c r="F714" s="0" t="s">
        <v>5062</v>
      </c>
      <c r="G714" s="0" t="s">
        <v>2515</v>
      </c>
      <c r="H714" s="0" t="s">
        <v>2755</v>
      </c>
      <c r="I714" s="0" t="s">
        <v>6677</v>
      </c>
      <c r="J714" s="0" t="s">
        <v>6678</v>
      </c>
      <c r="K714" s="0" t="s">
        <v>5260</v>
      </c>
    </row>
    <row r="715" customFormat="false" ht="12.8" hidden="false" customHeight="false" outlineLevel="0" collapsed="false">
      <c r="A715" s="0" t="s">
        <v>6687</v>
      </c>
      <c r="B715" s="0" t="s">
        <v>6688</v>
      </c>
      <c r="C715" s="0" t="s">
        <v>146</v>
      </c>
      <c r="D715" s="0" t="s">
        <v>5023</v>
      </c>
      <c r="E715" s="0" t="s">
        <v>5024</v>
      </c>
      <c r="F715" s="0" t="s">
        <v>5024</v>
      </c>
      <c r="G715" s="0" t="s">
        <v>2515</v>
      </c>
      <c r="H715" s="0" t="s">
        <v>2755</v>
      </c>
      <c r="I715" s="0" t="s">
        <v>6689</v>
      </c>
      <c r="J715" s="0" t="s">
        <v>6690</v>
      </c>
      <c r="K715" s="0" t="s">
        <v>5260</v>
      </c>
    </row>
    <row r="716" customFormat="false" ht="12.8" hidden="false" customHeight="false" outlineLevel="0" collapsed="false">
      <c r="A716" s="0" t="s">
        <v>6691</v>
      </c>
      <c r="B716" s="0" t="s">
        <v>6692</v>
      </c>
      <c r="C716" s="0" t="s">
        <v>146</v>
      </c>
      <c r="D716" s="0" t="s">
        <v>5023</v>
      </c>
      <c r="E716" s="0" t="s">
        <v>5024</v>
      </c>
      <c r="F716" s="0" t="s">
        <v>5024</v>
      </c>
      <c r="G716" s="0" t="s">
        <v>2515</v>
      </c>
      <c r="H716" s="0" t="s">
        <v>2755</v>
      </c>
      <c r="I716" s="0" t="s">
        <v>6689</v>
      </c>
      <c r="J716" s="0" t="s">
        <v>6690</v>
      </c>
      <c r="K716" s="0" t="s">
        <v>5260</v>
      </c>
    </row>
    <row r="717" customFormat="false" ht="12.8" hidden="false" customHeight="false" outlineLevel="0" collapsed="false">
      <c r="A717" s="0" t="s">
        <v>6693</v>
      </c>
      <c r="B717" s="0" t="s">
        <v>6694</v>
      </c>
      <c r="C717" s="0" t="s">
        <v>146</v>
      </c>
      <c r="D717" s="0" t="s">
        <v>5061</v>
      </c>
      <c r="E717" s="0" t="s">
        <v>5062</v>
      </c>
      <c r="F717" s="0" t="s">
        <v>5062</v>
      </c>
      <c r="G717" s="0" t="s">
        <v>2515</v>
      </c>
      <c r="H717" s="0" t="s">
        <v>2755</v>
      </c>
      <c r="I717" s="0" t="s">
        <v>6689</v>
      </c>
      <c r="J717" s="0" t="s">
        <v>6690</v>
      </c>
      <c r="K717" s="0" t="s">
        <v>5260</v>
      </c>
    </row>
    <row r="718" customFormat="false" ht="12.8" hidden="false" customHeight="false" outlineLevel="0" collapsed="false">
      <c r="A718" s="0" t="s">
        <v>6695</v>
      </c>
      <c r="B718" s="0" t="s">
        <v>6696</v>
      </c>
      <c r="C718" s="0" t="s">
        <v>146</v>
      </c>
      <c r="D718" s="0" t="s">
        <v>5057</v>
      </c>
      <c r="E718" s="0" t="s">
        <v>5058</v>
      </c>
      <c r="F718" s="0" t="s">
        <v>5058</v>
      </c>
      <c r="G718" s="0" t="s">
        <v>2515</v>
      </c>
      <c r="H718" s="0" t="s">
        <v>2755</v>
      </c>
      <c r="I718" s="0" t="s">
        <v>6689</v>
      </c>
      <c r="J718" s="0" t="s">
        <v>6690</v>
      </c>
      <c r="K718" s="0" t="s">
        <v>5260</v>
      </c>
    </row>
    <row r="719" customFormat="false" ht="12.8" hidden="false" customHeight="false" outlineLevel="0" collapsed="false">
      <c r="A719" s="0" t="s">
        <v>6697</v>
      </c>
      <c r="B719" s="0" t="s">
        <v>6698</v>
      </c>
      <c r="C719" s="0" t="s">
        <v>193</v>
      </c>
      <c r="D719" s="0" t="s">
        <v>5023</v>
      </c>
      <c r="E719" s="0" t="s">
        <v>5024</v>
      </c>
      <c r="F719" s="0" t="s">
        <v>5024</v>
      </c>
      <c r="G719" s="0" t="s">
        <v>2515</v>
      </c>
      <c r="H719" s="0" t="s">
        <v>2645</v>
      </c>
      <c r="I719" s="0" t="s">
        <v>6699</v>
      </c>
      <c r="J719" s="0" t="s">
        <v>6700</v>
      </c>
      <c r="K719" s="0" t="s">
        <v>5260</v>
      </c>
    </row>
    <row r="720" customFormat="false" ht="12.8" hidden="false" customHeight="false" outlineLevel="0" collapsed="false">
      <c r="A720" s="0" t="s">
        <v>6701</v>
      </c>
      <c r="B720" s="0" t="s">
        <v>6702</v>
      </c>
      <c r="C720" s="0" t="s">
        <v>193</v>
      </c>
      <c r="D720" s="0" t="s">
        <v>5023</v>
      </c>
      <c r="E720" s="0" t="s">
        <v>5024</v>
      </c>
      <c r="F720" s="0" t="s">
        <v>5024</v>
      </c>
      <c r="G720" s="0" t="s">
        <v>2515</v>
      </c>
      <c r="H720" s="0" t="s">
        <v>2645</v>
      </c>
      <c r="I720" s="0" t="s">
        <v>6699</v>
      </c>
      <c r="J720" s="0" t="s">
        <v>6700</v>
      </c>
      <c r="K720" s="0" t="s">
        <v>5260</v>
      </c>
    </row>
    <row r="721" customFormat="false" ht="12.8" hidden="false" customHeight="false" outlineLevel="0" collapsed="false">
      <c r="A721" s="0" t="s">
        <v>6703</v>
      </c>
      <c r="B721" s="0" t="s">
        <v>6704</v>
      </c>
      <c r="C721" s="0" t="s">
        <v>193</v>
      </c>
      <c r="D721" s="0" t="s">
        <v>5057</v>
      </c>
      <c r="E721" s="0" t="s">
        <v>5058</v>
      </c>
      <c r="F721" s="0" t="s">
        <v>5058</v>
      </c>
      <c r="G721" s="0" t="s">
        <v>2515</v>
      </c>
      <c r="H721" s="0" t="s">
        <v>2645</v>
      </c>
      <c r="I721" s="0" t="s">
        <v>6699</v>
      </c>
      <c r="J721" s="0" t="s">
        <v>6700</v>
      </c>
      <c r="K721" s="0" t="s">
        <v>5260</v>
      </c>
    </row>
    <row r="722" customFormat="false" ht="12.8" hidden="false" customHeight="false" outlineLevel="0" collapsed="false">
      <c r="A722" s="0" t="s">
        <v>6705</v>
      </c>
      <c r="B722" s="0" t="s">
        <v>6706</v>
      </c>
      <c r="C722" s="0" t="s">
        <v>193</v>
      </c>
      <c r="D722" s="0" t="s">
        <v>5061</v>
      </c>
      <c r="E722" s="0" t="s">
        <v>5062</v>
      </c>
      <c r="F722" s="0" t="s">
        <v>5062</v>
      </c>
      <c r="G722" s="0" t="s">
        <v>2515</v>
      </c>
      <c r="H722" s="0" t="s">
        <v>2645</v>
      </c>
      <c r="I722" s="0" t="s">
        <v>6699</v>
      </c>
      <c r="J722" s="0" t="s">
        <v>6700</v>
      </c>
      <c r="K722" s="0" t="s">
        <v>5260</v>
      </c>
    </row>
    <row r="723" customFormat="false" ht="12.8" hidden="false" customHeight="false" outlineLevel="0" collapsed="false">
      <c r="A723" s="0" t="s">
        <v>6707</v>
      </c>
      <c r="B723" s="0" t="s">
        <v>6708</v>
      </c>
      <c r="C723" s="0" t="s">
        <v>299</v>
      </c>
      <c r="D723" s="0" t="s">
        <v>5023</v>
      </c>
      <c r="E723" s="0" t="s">
        <v>5024</v>
      </c>
      <c r="F723" s="0" t="s">
        <v>5024</v>
      </c>
      <c r="G723" s="0" t="s">
        <v>2515</v>
      </c>
      <c r="H723" s="0" t="s">
        <v>2755</v>
      </c>
      <c r="I723" s="0" t="s">
        <v>6709</v>
      </c>
      <c r="J723" s="0" t="s">
        <v>6710</v>
      </c>
      <c r="K723" s="0" t="s">
        <v>6298</v>
      </c>
    </row>
    <row r="724" customFormat="false" ht="12.8" hidden="false" customHeight="false" outlineLevel="0" collapsed="false">
      <c r="A724" s="0" t="s">
        <v>6711</v>
      </c>
      <c r="B724" s="0" t="s">
        <v>6712</v>
      </c>
      <c r="C724" s="0" t="s">
        <v>299</v>
      </c>
      <c r="D724" s="0" t="s">
        <v>5023</v>
      </c>
      <c r="E724" s="0" t="s">
        <v>5024</v>
      </c>
      <c r="F724" s="0" t="s">
        <v>5024</v>
      </c>
      <c r="G724" s="0" t="s">
        <v>2515</v>
      </c>
      <c r="H724" s="0" t="s">
        <v>2755</v>
      </c>
      <c r="I724" s="0" t="s">
        <v>6709</v>
      </c>
      <c r="J724" s="0" t="s">
        <v>6710</v>
      </c>
      <c r="K724" s="0" t="s">
        <v>6298</v>
      </c>
    </row>
    <row r="725" customFormat="false" ht="12.8" hidden="false" customHeight="false" outlineLevel="0" collapsed="false">
      <c r="A725" s="0" t="s">
        <v>6713</v>
      </c>
      <c r="B725" s="0" t="s">
        <v>6714</v>
      </c>
      <c r="C725" s="0" t="s">
        <v>299</v>
      </c>
      <c r="D725" s="0" t="s">
        <v>5057</v>
      </c>
      <c r="E725" s="0" t="s">
        <v>5058</v>
      </c>
      <c r="F725" s="0" t="s">
        <v>5058</v>
      </c>
      <c r="G725" s="0" t="s">
        <v>2515</v>
      </c>
      <c r="H725" s="0" t="s">
        <v>2755</v>
      </c>
      <c r="I725" s="0" t="s">
        <v>6709</v>
      </c>
      <c r="J725" s="0" t="s">
        <v>6710</v>
      </c>
      <c r="K725" s="0" t="s">
        <v>6298</v>
      </c>
    </row>
    <row r="726" customFormat="false" ht="12.8" hidden="false" customHeight="false" outlineLevel="0" collapsed="false">
      <c r="A726" s="0" t="s">
        <v>6715</v>
      </c>
      <c r="B726" s="0" t="s">
        <v>6716</v>
      </c>
      <c r="C726" s="0" t="s">
        <v>299</v>
      </c>
      <c r="D726" s="0" t="s">
        <v>5061</v>
      </c>
      <c r="E726" s="0" t="s">
        <v>5062</v>
      </c>
      <c r="F726" s="0" t="s">
        <v>5062</v>
      </c>
      <c r="G726" s="0" t="s">
        <v>2515</v>
      </c>
      <c r="H726" s="0" t="s">
        <v>2755</v>
      </c>
      <c r="I726" s="0" t="s">
        <v>6709</v>
      </c>
      <c r="J726" s="0" t="s">
        <v>6710</v>
      </c>
      <c r="K726" s="0" t="s">
        <v>6298</v>
      </c>
    </row>
    <row r="727" customFormat="false" ht="12.8" hidden="false" customHeight="false" outlineLevel="0" collapsed="false">
      <c r="A727" s="0" t="s">
        <v>6717</v>
      </c>
      <c r="B727" s="0" t="s">
        <v>6718</v>
      </c>
      <c r="C727" s="0" t="s">
        <v>387</v>
      </c>
      <c r="D727" s="0" t="s">
        <v>5061</v>
      </c>
      <c r="E727" s="0" t="s">
        <v>5062</v>
      </c>
      <c r="F727" s="0" t="s">
        <v>5062</v>
      </c>
      <c r="G727" s="0" t="s">
        <v>2515</v>
      </c>
      <c r="H727" s="0" t="s">
        <v>2755</v>
      </c>
      <c r="I727" s="0" t="s">
        <v>6719</v>
      </c>
      <c r="J727" s="0" t="s">
        <v>6720</v>
      </c>
      <c r="K727" s="0" t="s">
        <v>6650</v>
      </c>
    </row>
    <row r="728" customFormat="false" ht="12.8" hidden="false" customHeight="false" outlineLevel="0" collapsed="false">
      <c r="A728" s="0" t="s">
        <v>6721</v>
      </c>
      <c r="B728" s="0" t="s">
        <v>6722</v>
      </c>
      <c r="C728" s="0" t="s">
        <v>387</v>
      </c>
      <c r="D728" s="0" t="s">
        <v>5057</v>
      </c>
      <c r="E728" s="0" t="s">
        <v>5058</v>
      </c>
      <c r="F728" s="0" t="s">
        <v>5058</v>
      </c>
      <c r="G728" s="0" t="s">
        <v>2515</v>
      </c>
      <c r="H728" s="0" t="s">
        <v>2755</v>
      </c>
      <c r="I728" s="0" t="s">
        <v>6719</v>
      </c>
      <c r="J728" s="0" t="s">
        <v>6720</v>
      </c>
      <c r="K728" s="0" t="s">
        <v>6650</v>
      </c>
    </row>
    <row r="729" customFormat="false" ht="12.8" hidden="false" customHeight="false" outlineLevel="0" collapsed="false">
      <c r="A729" s="0" t="s">
        <v>6723</v>
      </c>
      <c r="B729" s="0" t="s">
        <v>6724</v>
      </c>
      <c r="C729" s="0" t="s">
        <v>387</v>
      </c>
      <c r="D729" s="0" t="s">
        <v>5023</v>
      </c>
      <c r="E729" s="0" t="s">
        <v>5024</v>
      </c>
      <c r="F729" s="0" t="s">
        <v>5024</v>
      </c>
      <c r="G729" s="0" t="s">
        <v>2515</v>
      </c>
      <c r="H729" s="0" t="s">
        <v>2755</v>
      </c>
      <c r="I729" s="0" t="s">
        <v>6719</v>
      </c>
      <c r="J729" s="0" t="s">
        <v>6720</v>
      </c>
      <c r="K729" s="0" t="s">
        <v>6650</v>
      </c>
    </row>
    <row r="730" customFormat="false" ht="12.8" hidden="false" customHeight="false" outlineLevel="0" collapsed="false">
      <c r="A730" s="0" t="s">
        <v>6725</v>
      </c>
      <c r="B730" s="0" t="s">
        <v>6726</v>
      </c>
      <c r="C730" s="0" t="s">
        <v>387</v>
      </c>
      <c r="D730" s="0" t="s">
        <v>5023</v>
      </c>
      <c r="E730" s="0" t="s">
        <v>5024</v>
      </c>
      <c r="F730" s="0" t="s">
        <v>5024</v>
      </c>
      <c r="G730" s="0" t="s">
        <v>2515</v>
      </c>
      <c r="H730" s="0" t="s">
        <v>2755</v>
      </c>
      <c r="I730" s="0" t="s">
        <v>6719</v>
      </c>
      <c r="J730" s="0" t="s">
        <v>6720</v>
      </c>
      <c r="K730" s="0" t="s">
        <v>6650</v>
      </c>
    </row>
    <row r="731" customFormat="false" ht="12.8" hidden="false" customHeight="false" outlineLevel="0" collapsed="false">
      <c r="A731" s="0" t="s">
        <v>6727</v>
      </c>
      <c r="B731" s="0" t="s">
        <v>6728</v>
      </c>
      <c r="C731" s="0" t="s">
        <v>387</v>
      </c>
      <c r="D731" s="0" t="s">
        <v>5023</v>
      </c>
      <c r="E731" s="0" t="s">
        <v>5024</v>
      </c>
      <c r="F731" s="0" t="s">
        <v>5024</v>
      </c>
      <c r="G731" s="0" t="s">
        <v>2515</v>
      </c>
      <c r="H731" s="0" t="s">
        <v>2755</v>
      </c>
      <c r="I731" s="0" t="s">
        <v>6719</v>
      </c>
      <c r="J731" s="0" t="s">
        <v>6720</v>
      </c>
      <c r="K731" s="0" t="s">
        <v>6650</v>
      </c>
    </row>
    <row r="732" customFormat="false" ht="12.8" hidden="false" customHeight="false" outlineLevel="0" collapsed="false">
      <c r="A732" s="0" t="s">
        <v>6729</v>
      </c>
      <c r="B732" s="0" t="s">
        <v>6730</v>
      </c>
      <c r="C732" s="0" t="s">
        <v>387</v>
      </c>
      <c r="D732" s="0" t="s">
        <v>5023</v>
      </c>
      <c r="E732" s="0" t="s">
        <v>5024</v>
      </c>
      <c r="F732" s="0" t="s">
        <v>5024</v>
      </c>
      <c r="G732" s="0" t="s">
        <v>2515</v>
      </c>
      <c r="H732" s="0" t="s">
        <v>2755</v>
      </c>
      <c r="I732" s="0" t="s">
        <v>6719</v>
      </c>
      <c r="J732" s="0" t="s">
        <v>6720</v>
      </c>
      <c r="K732" s="0" t="s">
        <v>6650</v>
      </c>
    </row>
    <row r="733" customFormat="false" ht="12.8" hidden="false" customHeight="false" outlineLevel="0" collapsed="false">
      <c r="A733" s="0" t="s">
        <v>6731</v>
      </c>
      <c r="B733" s="0" t="s">
        <v>6732</v>
      </c>
      <c r="C733" s="0" t="s">
        <v>294</v>
      </c>
      <c r="D733" s="0" t="s">
        <v>5023</v>
      </c>
      <c r="E733" s="0" t="s">
        <v>5024</v>
      </c>
      <c r="F733" s="0" t="s">
        <v>5024</v>
      </c>
      <c r="G733" s="0" t="s">
        <v>2515</v>
      </c>
      <c r="H733" s="0" t="s">
        <v>2645</v>
      </c>
      <c r="I733" s="0" t="s">
        <v>6733</v>
      </c>
      <c r="J733" s="0" t="s">
        <v>6734</v>
      </c>
      <c r="K733" s="0" t="s">
        <v>5260</v>
      </c>
    </row>
    <row r="734" customFormat="false" ht="12.8" hidden="false" customHeight="false" outlineLevel="0" collapsed="false">
      <c r="A734" s="0" t="s">
        <v>6735</v>
      </c>
      <c r="B734" s="0" t="s">
        <v>6736</v>
      </c>
      <c r="C734" s="0" t="s">
        <v>294</v>
      </c>
      <c r="D734" s="0" t="s">
        <v>5023</v>
      </c>
      <c r="E734" s="0" t="s">
        <v>5024</v>
      </c>
      <c r="F734" s="0" t="s">
        <v>5024</v>
      </c>
      <c r="G734" s="0" t="s">
        <v>2515</v>
      </c>
      <c r="H734" s="0" t="s">
        <v>2645</v>
      </c>
      <c r="I734" s="0" t="s">
        <v>6733</v>
      </c>
      <c r="J734" s="0" t="s">
        <v>6734</v>
      </c>
      <c r="K734" s="0" t="s">
        <v>5260</v>
      </c>
    </row>
    <row r="735" customFormat="false" ht="12.8" hidden="false" customHeight="false" outlineLevel="0" collapsed="false">
      <c r="A735" s="0" t="s">
        <v>6737</v>
      </c>
      <c r="B735" s="0" t="s">
        <v>6738</v>
      </c>
      <c r="C735" s="0" t="s">
        <v>294</v>
      </c>
      <c r="D735" s="0" t="s">
        <v>5057</v>
      </c>
      <c r="E735" s="0" t="s">
        <v>5058</v>
      </c>
      <c r="F735" s="0" t="s">
        <v>5058</v>
      </c>
      <c r="G735" s="0" t="s">
        <v>2515</v>
      </c>
      <c r="H735" s="0" t="s">
        <v>2645</v>
      </c>
      <c r="I735" s="0" t="s">
        <v>6733</v>
      </c>
      <c r="J735" s="0" t="s">
        <v>6734</v>
      </c>
      <c r="K735" s="0" t="s">
        <v>5260</v>
      </c>
    </row>
    <row r="736" customFormat="false" ht="12.8" hidden="false" customHeight="false" outlineLevel="0" collapsed="false">
      <c r="A736" s="0" t="s">
        <v>6739</v>
      </c>
      <c r="B736" s="0" t="s">
        <v>6740</v>
      </c>
      <c r="C736" s="0" t="s">
        <v>294</v>
      </c>
      <c r="D736" s="0" t="s">
        <v>5061</v>
      </c>
      <c r="E736" s="0" t="s">
        <v>5062</v>
      </c>
      <c r="F736" s="0" t="s">
        <v>5062</v>
      </c>
      <c r="G736" s="0" t="s">
        <v>2515</v>
      </c>
      <c r="H736" s="0" t="s">
        <v>2645</v>
      </c>
      <c r="I736" s="0" t="s">
        <v>6733</v>
      </c>
      <c r="J736" s="0" t="s">
        <v>6734</v>
      </c>
      <c r="K736" s="0" t="s">
        <v>5260</v>
      </c>
    </row>
    <row r="737" customFormat="false" ht="12.8" hidden="false" customHeight="false" outlineLevel="0" collapsed="false">
      <c r="A737" s="0" t="s">
        <v>6741</v>
      </c>
      <c r="B737" s="0" t="s">
        <v>6742</v>
      </c>
      <c r="C737" s="0" t="s">
        <v>412</v>
      </c>
      <c r="D737" s="0" t="s">
        <v>5061</v>
      </c>
      <c r="E737" s="0" t="s">
        <v>5062</v>
      </c>
      <c r="F737" s="0" t="s">
        <v>5062</v>
      </c>
      <c r="G737" s="0" t="s">
        <v>2515</v>
      </c>
      <c r="H737" s="0" t="s">
        <v>2755</v>
      </c>
      <c r="I737" s="0" t="s">
        <v>6743</v>
      </c>
      <c r="J737" s="0" t="s">
        <v>6744</v>
      </c>
      <c r="K737" s="0" t="s">
        <v>5260</v>
      </c>
    </row>
    <row r="738" customFormat="false" ht="12.8" hidden="false" customHeight="false" outlineLevel="0" collapsed="false">
      <c r="A738" s="0" t="s">
        <v>6745</v>
      </c>
      <c r="B738" s="0" t="s">
        <v>6746</v>
      </c>
      <c r="C738" s="0" t="s">
        <v>412</v>
      </c>
      <c r="D738" s="0" t="s">
        <v>5057</v>
      </c>
      <c r="E738" s="0" t="s">
        <v>5058</v>
      </c>
      <c r="F738" s="0" t="s">
        <v>5058</v>
      </c>
      <c r="G738" s="0" t="s">
        <v>2515</v>
      </c>
      <c r="H738" s="0" t="s">
        <v>2755</v>
      </c>
      <c r="I738" s="0" t="s">
        <v>6743</v>
      </c>
      <c r="J738" s="0" t="s">
        <v>6744</v>
      </c>
      <c r="K738" s="0" t="s">
        <v>5260</v>
      </c>
    </row>
    <row r="739" customFormat="false" ht="12.8" hidden="false" customHeight="false" outlineLevel="0" collapsed="false">
      <c r="A739" s="0" t="s">
        <v>6747</v>
      </c>
      <c r="B739" s="0" t="s">
        <v>6748</v>
      </c>
      <c r="C739" s="0" t="s">
        <v>412</v>
      </c>
      <c r="D739" s="0" t="s">
        <v>5023</v>
      </c>
      <c r="E739" s="0" t="s">
        <v>5024</v>
      </c>
      <c r="F739" s="0" t="s">
        <v>5024</v>
      </c>
      <c r="G739" s="0" t="s">
        <v>2515</v>
      </c>
      <c r="H739" s="0" t="s">
        <v>2755</v>
      </c>
      <c r="I739" s="0" t="s">
        <v>6743</v>
      </c>
      <c r="J739" s="0" t="s">
        <v>6744</v>
      </c>
      <c r="K739" s="0" t="s">
        <v>5260</v>
      </c>
    </row>
    <row r="740" customFormat="false" ht="12.8" hidden="false" customHeight="false" outlineLevel="0" collapsed="false">
      <c r="A740" s="0" t="s">
        <v>6749</v>
      </c>
      <c r="B740" s="0" t="s">
        <v>6750</v>
      </c>
      <c r="C740" s="0" t="s">
        <v>412</v>
      </c>
      <c r="D740" s="0" t="s">
        <v>5023</v>
      </c>
      <c r="E740" s="0" t="s">
        <v>5024</v>
      </c>
      <c r="F740" s="0" t="s">
        <v>5024</v>
      </c>
      <c r="G740" s="0" t="s">
        <v>2515</v>
      </c>
      <c r="H740" s="0" t="s">
        <v>2755</v>
      </c>
      <c r="I740" s="0" t="s">
        <v>6743</v>
      </c>
      <c r="J740" s="0" t="s">
        <v>6744</v>
      </c>
      <c r="K740" s="0" t="s">
        <v>5260</v>
      </c>
    </row>
    <row r="741" customFormat="false" ht="12.8" hidden="false" customHeight="false" outlineLevel="0" collapsed="false">
      <c r="A741" s="0" t="s">
        <v>6751</v>
      </c>
      <c r="B741" s="0" t="s">
        <v>6752</v>
      </c>
      <c r="C741" s="0" t="s">
        <v>412</v>
      </c>
      <c r="D741" s="0" t="s">
        <v>5023</v>
      </c>
      <c r="E741" s="0" t="s">
        <v>5024</v>
      </c>
      <c r="F741" s="0" t="s">
        <v>5024</v>
      </c>
      <c r="G741" s="0" t="s">
        <v>2515</v>
      </c>
      <c r="H741" s="0" t="s">
        <v>2755</v>
      </c>
      <c r="I741" s="0" t="s">
        <v>6743</v>
      </c>
      <c r="J741" s="0" t="s">
        <v>6744</v>
      </c>
      <c r="K741" s="0" t="s">
        <v>5260</v>
      </c>
    </row>
    <row r="742" customFormat="false" ht="12.8" hidden="false" customHeight="false" outlineLevel="0" collapsed="false">
      <c r="A742" s="0" t="s">
        <v>6753</v>
      </c>
      <c r="B742" s="0" t="s">
        <v>6754</v>
      </c>
      <c r="C742" s="0" t="s">
        <v>50</v>
      </c>
      <c r="D742" s="0" t="s">
        <v>5023</v>
      </c>
      <c r="E742" s="0" t="s">
        <v>5024</v>
      </c>
      <c r="F742" s="0" t="s">
        <v>5024</v>
      </c>
      <c r="G742" s="0" t="s">
        <v>2515</v>
      </c>
      <c r="H742" s="0" t="s">
        <v>2862</v>
      </c>
      <c r="I742" s="0" t="s">
        <v>6755</v>
      </c>
      <c r="J742" s="0" t="s">
        <v>6756</v>
      </c>
      <c r="K742" s="0" t="s">
        <v>6298</v>
      </c>
      <c r="L742" s="0" t="s">
        <v>6757</v>
      </c>
    </row>
    <row r="743" customFormat="false" ht="12.8" hidden="false" customHeight="false" outlineLevel="0" collapsed="false">
      <c r="A743" s="0" t="s">
        <v>6758</v>
      </c>
      <c r="B743" s="0" t="s">
        <v>6759</v>
      </c>
      <c r="C743" s="0" t="s">
        <v>50</v>
      </c>
      <c r="D743" s="0" t="s">
        <v>5057</v>
      </c>
      <c r="E743" s="0" t="s">
        <v>5058</v>
      </c>
      <c r="F743" s="0" t="s">
        <v>5058</v>
      </c>
      <c r="G743" s="0" t="s">
        <v>2515</v>
      </c>
      <c r="H743" s="0" t="s">
        <v>2862</v>
      </c>
      <c r="I743" s="0" t="s">
        <v>6755</v>
      </c>
      <c r="J743" s="0" t="s">
        <v>6756</v>
      </c>
      <c r="K743" s="0" t="s">
        <v>6298</v>
      </c>
      <c r="L743" s="0" t="s">
        <v>6757</v>
      </c>
    </row>
    <row r="744" customFormat="false" ht="12.8" hidden="false" customHeight="false" outlineLevel="0" collapsed="false">
      <c r="A744" s="0" t="s">
        <v>6760</v>
      </c>
      <c r="B744" s="0" t="s">
        <v>6761</v>
      </c>
      <c r="C744" s="0" t="s">
        <v>50</v>
      </c>
      <c r="D744" s="0" t="s">
        <v>5023</v>
      </c>
      <c r="E744" s="0" t="s">
        <v>5024</v>
      </c>
      <c r="F744" s="0" t="s">
        <v>5024</v>
      </c>
      <c r="G744" s="0" t="s">
        <v>2515</v>
      </c>
      <c r="H744" s="0" t="s">
        <v>2862</v>
      </c>
      <c r="I744" s="0" t="s">
        <v>6755</v>
      </c>
      <c r="J744" s="0" t="s">
        <v>6756</v>
      </c>
      <c r="K744" s="0" t="s">
        <v>6298</v>
      </c>
      <c r="L744" s="0" t="s">
        <v>6757</v>
      </c>
    </row>
    <row r="745" customFormat="false" ht="12.8" hidden="false" customHeight="false" outlineLevel="0" collapsed="false">
      <c r="A745" s="0" t="s">
        <v>6762</v>
      </c>
      <c r="B745" s="0" t="s">
        <v>6763</v>
      </c>
      <c r="C745" s="0" t="s">
        <v>50</v>
      </c>
      <c r="D745" s="0" t="s">
        <v>5061</v>
      </c>
      <c r="E745" s="0" t="s">
        <v>5062</v>
      </c>
      <c r="F745" s="0" t="s">
        <v>5062</v>
      </c>
      <c r="G745" s="0" t="s">
        <v>2515</v>
      </c>
      <c r="H745" s="0" t="s">
        <v>2862</v>
      </c>
      <c r="I745" s="0" t="s">
        <v>6755</v>
      </c>
      <c r="J745" s="0" t="s">
        <v>6756</v>
      </c>
      <c r="K745" s="0" t="s">
        <v>6298</v>
      </c>
      <c r="L745" s="0" t="s">
        <v>6757</v>
      </c>
    </row>
    <row r="746" customFormat="false" ht="12.8" hidden="false" customHeight="false" outlineLevel="0" collapsed="false">
      <c r="A746" s="0" t="s">
        <v>6764</v>
      </c>
      <c r="B746" s="0" t="s">
        <v>6765</v>
      </c>
      <c r="C746" s="0" t="s">
        <v>101</v>
      </c>
      <c r="D746" s="0" t="s">
        <v>5023</v>
      </c>
      <c r="E746" s="0" t="s">
        <v>5024</v>
      </c>
      <c r="F746" s="0" t="s">
        <v>5024</v>
      </c>
      <c r="G746" s="0" t="s">
        <v>2515</v>
      </c>
      <c r="H746" s="0" t="s">
        <v>2516</v>
      </c>
      <c r="I746" s="0" t="s">
        <v>6766</v>
      </c>
      <c r="J746" s="0" t="s">
        <v>6767</v>
      </c>
      <c r="K746" s="0" t="s">
        <v>6650</v>
      </c>
    </row>
    <row r="747" customFormat="false" ht="12.8" hidden="false" customHeight="false" outlineLevel="0" collapsed="false">
      <c r="A747" s="0" t="s">
        <v>6768</v>
      </c>
      <c r="B747" s="0" t="s">
        <v>6769</v>
      </c>
      <c r="C747" s="0" t="s">
        <v>101</v>
      </c>
      <c r="D747" s="0" t="s">
        <v>5023</v>
      </c>
      <c r="E747" s="0" t="s">
        <v>5024</v>
      </c>
      <c r="F747" s="0" t="s">
        <v>5024</v>
      </c>
      <c r="G747" s="0" t="s">
        <v>2515</v>
      </c>
      <c r="H747" s="0" t="s">
        <v>2516</v>
      </c>
      <c r="I747" s="0" t="s">
        <v>6766</v>
      </c>
      <c r="J747" s="0" t="s">
        <v>6767</v>
      </c>
      <c r="K747" s="0" t="s">
        <v>6650</v>
      </c>
    </row>
    <row r="748" customFormat="false" ht="12.8" hidden="false" customHeight="false" outlineLevel="0" collapsed="false">
      <c r="A748" s="0" t="s">
        <v>6770</v>
      </c>
      <c r="B748" s="0" t="s">
        <v>6771</v>
      </c>
      <c r="C748" s="0" t="s">
        <v>101</v>
      </c>
      <c r="D748" s="0" t="s">
        <v>5023</v>
      </c>
      <c r="E748" s="0" t="s">
        <v>5024</v>
      </c>
      <c r="F748" s="0" t="s">
        <v>5024</v>
      </c>
      <c r="G748" s="0" t="s">
        <v>2515</v>
      </c>
      <c r="H748" s="0" t="s">
        <v>2516</v>
      </c>
      <c r="I748" s="0" t="s">
        <v>6766</v>
      </c>
      <c r="J748" s="0" t="s">
        <v>6767</v>
      </c>
      <c r="K748" s="0" t="s">
        <v>6650</v>
      </c>
    </row>
    <row r="749" customFormat="false" ht="12.8" hidden="false" customHeight="false" outlineLevel="0" collapsed="false">
      <c r="A749" s="0" t="s">
        <v>6772</v>
      </c>
      <c r="B749" s="0" t="s">
        <v>6773</v>
      </c>
      <c r="C749" s="0" t="s">
        <v>101</v>
      </c>
      <c r="D749" s="0" t="s">
        <v>5023</v>
      </c>
      <c r="E749" s="0" t="s">
        <v>5024</v>
      </c>
      <c r="F749" s="0" t="s">
        <v>5024</v>
      </c>
      <c r="G749" s="0" t="s">
        <v>2515</v>
      </c>
      <c r="H749" s="0" t="s">
        <v>2516</v>
      </c>
      <c r="I749" s="0" t="s">
        <v>6766</v>
      </c>
      <c r="J749" s="0" t="s">
        <v>6767</v>
      </c>
      <c r="K749" s="0" t="s">
        <v>6650</v>
      </c>
    </row>
    <row r="750" customFormat="false" ht="12.8" hidden="false" customHeight="false" outlineLevel="0" collapsed="false">
      <c r="A750" s="0" t="s">
        <v>6774</v>
      </c>
      <c r="B750" s="0" t="s">
        <v>6775</v>
      </c>
      <c r="C750" s="0" t="s">
        <v>101</v>
      </c>
      <c r="D750" s="0" t="s">
        <v>5023</v>
      </c>
      <c r="E750" s="0" t="s">
        <v>5024</v>
      </c>
      <c r="F750" s="0" t="s">
        <v>5024</v>
      </c>
      <c r="G750" s="0" t="s">
        <v>2515</v>
      </c>
      <c r="H750" s="0" t="s">
        <v>2516</v>
      </c>
      <c r="I750" s="0" t="s">
        <v>6766</v>
      </c>
      <c r="J750" s="0" t="s">
        <v>6767</v>
      </c>
      <c r="K750" s="0" t="s">
        <v>6650</v>
      </c>
    </row>
    <row r="751" customFormat="false" ht="12.8" hidden="false" customHeight="false" outlineLevel="0" collapsed="false">
      <c r="A751" s="0" t="s">
        <v>6776</v>
      </c>
      <c r="B751" s="0" t="s">
        <v>6777</v>
      </c>
      <c r="C751" s="0" t="s">
        <v>101</v>
      </c>
      <c r="D751" s="0" t="s">
        <v>5023</v>
      </c>
      <c r="E751" s="0" t="s">
        <v>5024</v>
      </c>
      <c r="F751" s="0" t="s">
        <v>5024</v>
      </c>
      <c r="G751" s="0" t="s">
        <v>2515</v>
      </c>
      <c r="H751" s="0" t="s">
        <v>2516</v>
      </c>
      <c r="I751" s="0" t="s">
        <v>6766</v>
      </c>
      <c r="J751" s="0" t="s">
        <v>6767</v>
      </c>
      <c r="K751" s="0" t="s">
        <v>6650</v>
      </c>
    </row>
    <row r="752" customFormat="false" ht="12.8" hidden="false" customHeight="false" outlineLevel="0" collapsed="false">
      <c r="A752" s="0" t="s">
        <v>6778</v>
      </c>
      <c r="B752" s="0" t="s">
        <v>6779</v>
      </c>
      <c r="C752" s="0" t="s">
        <v>101</v>
      </c>
      <c r="D752" s="0" t="s">
        <v>5057</v>
      </c>
      <c r="E752" s="0" t="s">
        <v>5058</v>
      </c>
      <c r="F752" s="0" t="s">
        <v>5058</v>
      </c>
      <c r="G752" s="0" t="s">
        <v>2515</v>
      </c>
      <c r="H752" s="0" t="s">
        <v>2516</v>
      </c>
      <c r="I752" s="0" t="s">
        <v>6766</v>
      </c>
      <c r="J752" s="0" t="s">
        <v>6767</v>
      </c>
      <c r="K752" s="0" t="s">
        <v>6650</v>
      </c>
    </row>
    <row r="753" customFormat="false" ht="12.8" hidden="false" customHeight="false" outlineLevel="0" collapsed="false">
      <c r="A753" s="0" t="s">
        <v>6780</v>
      </c>
      <c r="B753" s="0" t="s">
        <v>6781</v>
      </c>
      <c r="C753" s="0" t="s">
        <v>101</v>
      </c>
      <c r="D753" s="0" t="s">
        <v>5061</v>
      </c>
      <c r="E753" s="0" t="s">
        <v>5062</v>
      </c>
      <c r="F753" s="0" t="s">
        <v>5062</v>
      </c>
      <c r="G753" s="0" t="s">
        <v>2515</v>
      </c>
      <c r="H753" s="0" t="s">
        <v>2516</v>
      </c>
      <c r="I753" s="0" t="s">
        <v>6766</v>
      </c>
      <c r="J753" s="0" t="s">
        <v>6767</v>
      </c>
      <c r="K753" s="0" t="s">
        <v>6650</v>
      </c>
    </row>
    <row r="754" customFormat="false" ht="12.8" hidden="false" customHeight="false" outlineLevel="0" collapsed="false">
      <c r="A754" s="0" t="s">
        <v>6782</v>
      </c>
      <c r="B754" s="0" t="s">
        <v>6783</v>
      </c>
      <c r="C754" s="0" t="s">
        <v>101</v>
      </c>
      <c r="D754" s="0" t="s">
        <v>5057</v>
      </c>
      <c r="E754" s="0" t="s">
        <v>5058</v>
      </c>
      <c r="F754" s="0" t="s">
        <v>5058</v>
      </c>
      <c r="G754" s="0" t="s">
        <v>2515</v>
      </c>
      <c r="H754" s="0" t="s">
        <v>2516</v>
      </c>
      <c r="I754" s="0" t="s">
        <v>6766</v>
      </c>
      <c r="J754" s="0" t="s">
        <v>6767</v>
      </c>
      <c r="K754" s="0" t="s">
        <v>6650</v>
      </c>
    </row>
    <row r="755" customFormat="false" ht="12.8" hidden="false" customHeight="false" outlineLevel="0" collapsed="false">
      <c r="A755" s="0" t="s">
        <v>6784</v>
      </c>
      <c r="B755" s="0" t="s">
        <v>6785</v>
      </c>
      <c r="C755" s="0" t="s">
        <v>108</v>
      </c>
      <c r="D755" s="0" t="s">
        <v>5057</v>
      </c>
      <c r="E755" s="0" t="s">
        <v>5058</v>
      </c>
      <c r="F755" s="0" t="s">
        <v>5058</v>
      </c>
      <c r="G755" s="0" t="s">
        <v>2515</v>
      </c>
      <c r="H755" s="0" t="s">
        <v>2862</v>
      </c>
      <c r="I755" s="0" t="s">
        <v>6786</v>
      </c>
      <c r="J755" s="0" t="s">
        <v>6787</v>
      </c>
      <c r="K755" s="0" t="s">
        <v>6298</v>
      </c>
    </row>
    <row r="756" customFormat="false" ht="12.8" hidden="false" customHeight="false" outlineLevel="0" collapsed="false">
      <c r="A756" s="0" t="s">
        <v>6788</v>
      </c>
      <c r="B756" s="0" t="s">
        <v>6789</v>
      </c>
      <c r="C756" s="0" t="s">
        <v>108</v>
      </c>
      <c r="D756" s="0" t="s">
        <v>5023</v>
      </c>
      <c r="E756" s="0" t="s">
        <v>5024</v>
      </c>
      <c r="F756" s="0" t="s">
        <v>5024</v>
      </c>
      <c r="G756" s="0" t="s">
        <v>2515</v>
      </c>
      <c r="H756" s="0" t="s">
        <v>2862</v>
      </c>
      <c r="I756" s="0" t="s">
        <v>6786</v>
      </c>
      <c r="J756" s="0" t="s">
        <v>6787</v>
      </c>
      <c r="K756" s="0" t="s">
        <v>6298</v>
      </c>
    </row>
    <row r="757" customFormat="false" ht="12.8" hidden="false" customHeight="false" outlineLevel="0" collapsed="false">
      <c r="A757" s="0" t="s">
        <v>6790</v>
      </c>
      <c r="B757" s="0" t="s">
        <v>6791</v>
      </c>
      <c r="C757" s="0" t="s">
        <v>108</v>
      </c>
      <c r="D757" s="0" t="s">
        <v>5061</v>
      </c>
      <c r="E757" s="0" t="s">
        <v>5062</v>
      </c>
      <c r="F757" s="0" t="s">
        <v>5062</v>
      </c>
      <c r="G757" s="0" t="s">
        <v>2515</v>
      </c>
      <c r="H757" s="0" t="s">
        <v>2862</v>
      </c>
      <c r="I757" s="0" t="s">
        <v>6786</v>
      </c>
      <c r="J757" s="0" t="s">
        <v>6787</v>
      </c>
      <c r="K757" s="0" t="s">
        <v>6298</v>
      </c>
    </row>
    <row r="758" customFormat="false" ht="12.8" hidden="false" customHeight="false" outlineLevel="0" collapsed="false">
      <c r="A758" s="0" t="s">
        <v>6792</v>
      </c>
      <c r="B758" s="0" t="s">
        <v>6793</v>
      </c>
      <c r="C758" s="0" t="s">
        <v>108</v>
      </c>
      <c r="D758" s="0" t="s">
        <v>5023</v>
      </c>
      <c r="E758" s="0" t="s">
        <v>5024</v>
      </c>
      <c r="F758" s="0" t="s">
        <v>5024</v>
      </c>
      <c r="G758" s="0" t="s">
        <v>2515</v>
      </c>
      <c r="H758" s="0" t="s">
        <v>2862</v>
      </c>
      <c r="I758" s="0" t="s">
        <v>6786</v>
      </c>
      <c r="J758" s="0" t="s">
        <v>6787</v>
      </c>
      <c r="K758" s="0" t="s">
        <v>6298</v>
      </c>
    </row>
    <row r="759" customFormat="false" ht="12.8" hidden="false" customHeight="false" outlineLevel="0" collapsed="false">
      <c r="A759" s="0" t="s">
        <v>6794</v>
      </c>
      <c r="B759" s="0" t="s">
        <v>6795</v>
      </c>
      <c r="C759" s="0" t="s">
        <v>108</v>
      </c>
      <c r="D759" s="0" t="s">
        <v>5023</v>
      </c>
      <c r="E759" s="0" t="s">
        <v>5024</v>
      </c>
      <c r="F759" s="0" t="s">
        <v>5024</v>
      </c>
      <c r="G759" s="0" t="s">
        <v>2515</v>
      </c>
      <c r="H759" s="0" t="s">
        <v>2862</v>
      </c>
      <c r="I759" s="0" t="s">
        <v>6786</v>
      </c>
      <c r="J759" s="0" t="s">
        <v>6787</v>
      </c>
      <c r="K759" s="0" t="s">
        <v>6298</v>
      </c>
    </row>
    <row r="760" customFormat="false" ht="12.8" hidden="false" customHeight="false" outlineLevel="0" collapsed="false">
      <c r="A760" s="0" t="s">
        <v>6796</v>
      </c>
      <c r="B760" s="0" t="s">
        <v>6797</v>
      </c>
      <c r="C760" s="0" t="s">
        <v>110</v>
      </c>
      <c r="D760" s="0" t="s">
        <v>5023</v>
      </c>
      <c r="E760" s="0" t="s">
        <v>5024</v>
      </c>
      <c r="F760" s="0" t="s">
        <v>5024</v>
      </c>
      <c r="G760" s="0" t="s">
        <v>2515</v>
      </c>
      <c r="H760" s="0" t="s">
        <v>2516</v>
      </c>
      <c r="I760" s="0" t="s">
        <v>6798</v>
      </c>
      <c r="J760" s="0" t="s">
        <v>6799</v>
      </c>
      <c r="K760" s="0" t="s">
        <v>5260</v>
      </c>
    </row>
    <row r="761" customFormat="false" ht="12.8" hidden="false" customHeight="false" outlineLevel="0" collapsed="false">
      <c r="A761" s="0" t="s">
        <v>6800</v>
      </c>
      <c r="B761" s="0" t="s">
        <v>6801</v>
      </c>
      <c r="C761" s="0" t="s">
        <v>110</v>
      </c>
      <c r="D761" s="0" t="s">
        <v>5023</v>
      </c>
      <c r="E761" s="0" t="s">
        <v>5024</v>
      </c>
      <c r="F761" s="0" t="s">
        <v>5024</v>
      </c>
      <c r="G761" s="0" t="s">
        <v>2515</v>
      </c>
      <c r="H761" s="0" t="s">
        <v>2516</v>
      </c>
      <c r="I761" s="0" t="s">
        <v>6798</v>
      </c>
      <c r="J761" s="0" t="s">
        <v>6799</v>
      </c>
      <c r="K761" s="0" t="s">
        <v>5260</v>
      </c>
    </row>
    <row r="762" customFormat="false" ht="12.8" hidden="false" customHeight="false" outlineLevel="0" collapsed="false">
      <c r="A762" s="0" t="s">
        <v>6802</v>
      </c>
      <c r="B762" s="0" t="s">
        <v>6803</v>
      </c>
      <c r="C762" s="0" t="s">
        <v>110</v>
      </c>
      <c r="D762" s="0" t="s">
        <v>5061</v>
      </c>
      <c r="E762" s="0" t="s">
        <v>5062</v>
      </c>
      <c r="F762" s="0" t="s">
        <v>5062</v>
      </c>
      <c r="G762" s="0" t="s">
        <v>2515</v>
      </c>
      <c r="H762" s="0" t="s">
        <v>2516</v>
      </c>
      <c r="I762" s="0" t="s">
        <v>6798</v>
      </c>
      <c r="J762" s="0" t="s">
        <v>6799</v>
      </c>
      <c r="K762" s="0" t="s">
        <v>5260</v>
      </c>
    </row>
    <row r="763" customFormat="false" ht="12.8" hidden="false" customHeight="false" outlineLevel="0" collapsed="false">
      <c r="A763" s="0" t="s">
        <v>6804</v>
      </c>
      <c r="B763" s="0" t="s">
        <v>6805</v>
      </c>
      <c r="C763" s="0" t="s">
        <v>110</v>
      </c>
      <c r="D763" s="0" t="s">
        <v>5023</v>
      </c>
      <c r="E763" s="0" t="s">
        <v>5024</v>
      </c>
      <c r="F763" s="0" t="s">
        <v>5024</v>
      </c>
      <c r="G763" s="0" t="s">
        <v>2515</v>
      </c>
      <c r="H763" s="0" t="s">
        <v>2516</v>
      </c>
      <c r="I763" s="0" t="s">
        <v>6798</v>
      </c>
      <c r="J763" s="0" t="s">
        <v>6799</v>
      </c>
      <c r="K763" s="0" t="s">
        <v>5260</v>
      </c>
    </row>
    <row r="764" customFormat="false" ht="12.8" hidden="false" customHeight="false" outlineLevel="0" collapsed="false">
      <c r="A764" s="0" t="s">
        <v>6806</v>
      </c>
      <c r="B764" s="0" t="s">
        <v>6807</v>
      </c>
      <c r="C764" s="0" t="s">
        <v>110</v>
      </c>
      <c r="D764" s="0" t="s">
        <v>5057</v>
      </c>
      <c r="E764" s="0" t="s">
        <v>5058</v>
      </c>
      <c r="F764" s="0" t="s">
        <v>5058</v>
      </c>
      <c r="G764" s="0" t="s">
        <v>2515</v>
      </c>
      <c r="H764" s="0" t="s">
        <v>2516</v>
      </c>
      <c r="I764" s="0" t="s">
        <v>6798</v>
      </c>
      <c r="J764" s="0" t="s">
        <v>6799</v>
      </c>
      <c r="K764" s="0" t="s">
        <v>5260</v>
      </c>
    </row>
    <row r="765" customFormat="false" ht="12.8" hidden="false" customHeight="false" outlineLevel="0" collapsed="false">
      <c r="A765" s="0" t="s">
        <v>6808</v>
      </c>
      <c r="B765" s="0" t="s">
        <v>6809</v>
      </c>
      <c r="C765" s="0" t="s">
        <v>153</v>
      </c>
      <c r="D765" s="0" t="s">
        <v>5023</v>
      </c>
      <c r="E765" s="0" t="s">
        <v>5024</v>
      </c>
      <c r="F765" s="0" t="s">
        <v>5024</v>
      </c>
      <c r="G765" s="0" t="s">
        <v>2515</v>
      </c>
      <c r="H765" s="0" t="s">
        <v>2516</v>
      </c>
      <c r="I765" s="0" t="s">
        <v>6810</v>
      </c>
      <c r="J765" s="0" t="s">
        <v>6811</v>
      </c>
      <c r="K765" s="0" t="s">
        <v>5260</v>
      </c>
    </row>
    <row r="766" customFormat="false" ht="12.8" hidden="false" customHeight="false" outlineLevel="0" collapsed="false">
      <c r="A766" s="0" t="s">
        <v>6812</v>
      </c>
      <c r="B766" s="0" t="s">
        <v>6813</v>
      </c>
      <c r="C766" s="0" t="s">
        <v>153</v>
      </c>
      <c r="D766" s="0" t="s">
        <v>5023</v>
      </c>
      <c r="E766" s="0" t="s">
        <v>5024</v>
      </c>
      <c r="F766" s="0" t="s">
        <v>5024</v>
      </c>
      <c r="G766" s="0" t="s">
        <v>2515</v>
      </c>
      <c r="H766" s="0" t="s">
        <v>2516</v>
      </c>
      <c r="I766" s="0" t="s">
        <v>6810</v>
      </c>
      <c r="J766" s="0" t="s">
        <v>6811</v>
      </c>
      <c r="K766" s="0" t="s">
        <v>5260</v>
      </c>
    </row>
    <row r="767" customFormat="false" ht="12.8" hidden="false" customHeight="false" outlineLevel="0" collapsed="false">
      <c r="A767" s="0" t="s">
        <v>6814</v>
      </c>
      <c r="B767" s="0" t="s">
        <v>6815</v>
      </c>
      <c r="C767" s="0" t="s">
        <v>153</v>
      </c>
      <c r="D767" s="0" t="s">
        <v>5023</v>
      </c>
      <c r="E767" s="0" t="s">
        <v>5024</v>
      </c>
      <c r="F767" s="0" t="s">
        <v>5024</v>
      </c>
      <c r="G767" s="0" t="s">
        <v>2515</v>
      </c>
      <c r="H767" s="0" t="s">
        <v>2516</v>
      </c>
      <c r="I767" s="0" t="s">
        <v>6810</v>
      </c>
      <c r="J767" s="0" t="s">
        <v>6811</v>
      </c>
      <c r="K767" s="0" t="s">
        <v>5260</v>
      </c>
    </row>
    <row r="768" customFormat="false" ht="12.8" hidden="false" customHeight="false" outlineLevel="0" collapsed="false">
      <c r="A768" s="0" t="s">
        <v>6816</v>
      </c>
      <c r="B768" s="0" t="s">
        <v>6817</v>
      </c>
      <c r="C768" s="0" t="s">
        <v>153</v>
      </c>
      <c r="D768" s="0" t="s">
        <v>5057</v>
      </c>
      <c r="E768" s="0" t="s">
        <v>5058</v>
      </c>
      <c r="F768" s="0" t="s">
        <v>5058</v>
      </c>
      <c r="G768" s="0" t="s">
        <v>2515</v>
      </c>
      <c r="H768" s="0" t="s">
        <v>2516</v>
      </c>
      <c r="I768" s="0" t="s">
        <v>6810</v>
      </c>
      <c r="J768" s="0" t="s">
        <v>6811</v>
      </c>
      <c r="K768" s="0" t="s">
        <v>5260</v>
      </c>
    </row>
    <row r="769" customFormat="false" ht="12.8" hidden="false" customHeight="false" outlineLevel="0" collapsed="false">
      <c r="A769" s="0" t="s">
        <v>6818</v>
      </c>
      <c r="B769" s="0" t="s">
        <v>6819</v>
      </c>
      <c r="C769" s="0" t="s">
        <v>153</v>
      </c>
      <c r="D769" s="0" t="s">
        <v>5061</v>
      </c>
      <c r="E769" s="0" t="s">
        <v>5062</v>
      </c>
      <c r="F769" s="0" t="s">
        <v>5062</v>
      </c>
      <c r="G769" s="0" t="s">
        <v>2515</v>
      </c>
      <c r="H769" s="0" t="s">
        <v>2516</v>
      </c>
      <c r="I769" s="0" t="s">
        <v>6810</v>
      </c>
      <c r="J769" s="0" t="s">
        <v>6811</v>
      </c>
      <c r="K769" s="0" t="s">
        <v>5260</v>
      </c>
    </row>
    <row r="770" customFormat="false" ht="12.8" hidden="false" customHeight="false" outlineLevel="0" collapsed="false">
      <c r="A770" s="0" t="s">
        <v>6820</v>
      </c>
      <c r="B770" s="0" t="s">
        <v>6821</v>
      </c>
      <c r="C770" s="0" t="s">
        <v>255</v>
      </c>
      <c r="D770" s="0" t="s">
        <v>5023</v>
      </c>
      <c r="E770" s="0" t="s">
        <v>5024</v>
      </c>
      <c r="F770" s="0" t="s">
        <v>5024</v>
      </c>
      <c r="G770" s="0" t="s">
        <v>2515</v>
      </c>
      <c r="H770" s="0" t="s">
        <v>2862</v>
      </c>
      <c r="I770" s="0" t="s">
        <v>6822</v>
      </c>
      <c r="J770" s="0" t="s">
        <v>6823</v>
      </c>
      <c r="K770" s="0" t="s">
        <v>5260</v>
      </c>
    </row>
    <row r="771" customFormat="false" ht="12.8" hidden="false" customHeight="false" outlineLevel="0" collapsed="false">
      <c r="A771" s="0" t="s">
        <v>6824</v>
      </c>
      <c r="B771" s="0" t="s">
        <v>6825</v>
      </c>
      <c r="C771" s="0" t="s">
        <v>255</v>
      </c>
      <c r="D771" s="0" t="s">
        <v>5023</v>
      </c>
      <c r="E771" s="0" t="s">
        <v>5024</v>
      </c>
      <c r="F771" s="0" t="s">
        <v>5024</v>
      </c>
      <c r="G771" s="0" t="s">
        <v>2515</v>
      </c>
      <c r="H771" s="0" t="s">
        <v>2862</v>
      </c>
      <c r="I771" s="0" t="s">
        <v>6822</v>
      </c>
      <c r="J771" s="0" t="s">
        <v>6823</v>
      </c>
      <c r="K771" s="0" t="s">
        <v>5260</v>
      </c>
    </row>
    <row r="772" customFormat="false" ht="12.8" hidden="false" customHeight="false" outlineLevel="0" collapsed="false">
      <c r="A772" s="0" t="s">
        <v>6826</v>
      </c>
      <c r="B772" s="0" t="s">
        <v>6827</v>
      </c>
      <c r="C772" s="0" t="s">
        <v>255</v>
      </c>
      <c r="D772" s="0" t="s">
        <v>5057</v>
      </c>
      <c r="E772" s="0" t="s">
        <v>5058</v>
      </c>
      <c r="F772" s="0" t="s">
        <v>5058</v>
      </c>
      <c r="G772" s="0" t="s">
        <v>2515</v>
      </c>
      <c r="H772" s="0" t="s">
        <v>2862</v>
      </c>
      <c r="I772" s="0" t="s">
        <v>6822</v>
      </c>
      <c r="J772" s="0" t="s">
        <v>6823</v>
      </c>
      <c r="K772" s="0" t="s">
        <v>5260</v>
      </c>
    </row>
    <row r="773" customFormat="false" ht="12.8" hidden="false" customHeight="false" outlineLevel="0" collapsed="false">
      <c r="A773" s="0" t="s">
        <v>6828</v>
      </c>
      <c r="B773" s="0" t="s">
        <v>6829</v>
      </c>
      <c r="C773" s="0" t="s">
        <v>255</v>
      </c>
      <c r="D773" s="0" t="s">
        <v>5061</v>
      </c>
      <c r="E773" s="0" t="s">
        <v>5062</v>
      </c>
      <c r="F773" s="0" t="s">
        <v>5062</v>
      </c>
      <c r="G773" s="0" t="s">
        <v>2515</v>
      </c>
      <c r="H773" s="0" t="s">
        <v>2862</v>
      </c>
      <c r="I773" s="0" t="s">
        <v>6822</v>
      </c>
      <c r="J773" s="0" t="s">
        <v>6823</v>
      </c>
      <c r="K773" s="0" t="s">
        <v>5260</v>
      </c>
    </row>
    <row r="774" customFormat="false" ht="12.8" hidden="false" customHeight="false" outlineLevel="0" collapsed="false">
      <c r="A774" s="0" t="s">
        <v>6830</v>
      </c>
      <c r="B774" s="0" t="s">
        <v>6831</v>
      </c>
      <c r="C774" s="0" t="s">
        <v>298</v>
      </c>
      <c r="D774" s="0" t="s">
        <v>5023</v>
      </c>
      <c r="E774" s="0" t="s">
        <v>5024</v>
      </c>
      <c r="F774" s="0" t="s">
        <v>5024</v>
      </c>
      <c r="G774" s="0" t="s">
        <v>2515</v>
      </c>
      <c r="H774" s="0" t="s">
        <v>2755</v>
      </c>
      <c r="I774" s="0" t="s">
        <v>6832</v>
      </c>
      <c r="J774" s="0" t="s">
        <v>6833</v>
      </c>
      <c r="K774" s="0" t="s">
        <v>5260</v>
      </c>
    </row>
    <row r="775" customFormat="false" ht="12.8" hidden="false" customHeight="false" outlineLevel="0" collapsed="false">
      <c r="A775" s="0" t="s">
        <v>6834</v>
      </c>
      <c r="B775" s="0" t="s">
        <v>6835</v>
      </c>
      <c r="C775" s="0" t="s">
        <v>298</v>
      </c>
      <c r="D775" s="0" t="s">
        <v>5023</v>
      </c>
      <c r="E775" s="0" t="s">
        <v>5024</v>
      </c>
      <c r="F775" s="0" t="s">
        <v>5024</v>
      </c>
      <c r="G775" s="0" t="s">
        <v>2515</v>
      </c>
      <c r="H775" s="0" t="s">
        <v>2755</v>
      </c>
      <c r="I775" s="0" t="s">
        <v>6832</v>
      </c>
      <c r="J775" s="0" t="s">
        <v>6833</v>
      </c>
      <c r="K775" s="0" t="s">
        <v>5260</v>
      </c>
    </row>
    <row r="776" customFormat="false" ht="12.8" hidden="false" customHeight="false" outlineLevel="0" collapsed="false">
      <c r="A776" s="0" t="s">
        <v>6836</v>
      </c>
      <c r="B776" s="0" t="s">
        <v>6837</v>
      </c>
      <c r="C776" s="0" t="s">
        <v>298</v>
      </c>
      <c r="D776" s="0" t="s">
        <v>5023</v>
      </c>
      <c r="E776" s="0" t="s">
        <v>5024</v>
      </c>
      <c r="F776" s="0" t="s">
        <v>5024</v>
      </c>
      <c r="G776" s="0" t="s">
        <v>2515</v>
      </c>
      <c r="H776" s="0" t="s">
        <v>2755</v>
      </c>
      <c r="I776" s="0" t="s">
        <v>6832</v>
      </c>
      <c r="J776" s="0" t="s">
        <v>6833</v>
      </c>
      <c r="K776" s="0" t="s">
        <v>5260</v>
      </c>
    </row>
    <row r="777" customFormat="false" ht="12.8" hidden="false" customHeight="false" outlineLevel="0" collapsed="false">
      <c r="A777" s="0" t="s">
        <v>6838</v>
      </c>
      <c r="B777" s="0" t="s">
        <v>6839</v>
      </c>
      <c r="C777" s="0" t="s">
        <v>298</v>
      </c>
      <c r="D777" s="0" t="s">
        <v>5057</v>
      </c>
      <c r="E777" s="0" t="s">
        <v>5058</v>
      </c>
      <c r="F777" s="0" t="s">
        <v>5058</v>
      </c>
      <c r="G777" s="0" t="s">
        <v>2515</v>
      </c>
      <c r="H777" s="0" t="s">
        <v>2755</v>
      </c>
      <c r="I777" s="0" t="s">
        <v>6832</v>
      </c>
      <c r="J777" s="0" t="s">
        <v>6833</v>
      </c>
      <c r="K777" s="0" t="s">
        <v>5260</v>
      </c>
    </row>
    <row r="778" customFormat="false" ht="12.8" hidden="false" customHeight="false" outlineLevel="0" collapsed="false">
      <c r="A778" s="0" t="s">
        <v>6840</v>
      </c>
      <c r="B778" s="0" t="s">
        <v>6841</v>
      </c>
      <c r="C778" s="0" t="s">
        <v>298</v>
      </c>
      <c r="D778" s="0" t="s">
        <v>5061</v>
      </c>
      <c r="E778" s="0" t="s">
        <v>5062</v>
      </c>
      <c r="F778" s="0" t="s">
        <v>5062</v>
      </c>
      <c r="G778" s="0" t="s">
        <v>2515</v>
      </c>
      <c r="H778" s="0" t="s">
        <v>2755</v>
      </c>
      <c r="I778" s="0" t="s">
        <v>6832</v>
      </c>
      <c r="J778" s="0" t="s">
        <v>6833</v>
      </c>
      <c r="K778" s="0" t="s">
        <v>5260</v>
      </c>
    </row>
    <row r="779" customFormat="false" ht="12.8" hidden="false" customHeight="false" outlineLevel="0" collapsed="false">
      <c r="A779" s="0" t="s">
        <v>6842</v>
      </c>
      <c r="B779" s="0" t="s">
        <v>6843</v>
      </c>
      <c r="C779" s="0" t="s">
        <v>332</v>
      </c>
      <c r="D779" s="0" t="s">
        <v>5023</v>
      </c>
      <c r="E779" s="0" t="s">
        <v>5024</v>
      </c>
      <c r="F779" s="0" t="s">
        <v>5024</v>
      </c>
      <c r="G779" s="0" t="s">
        <v>2515</v>
      </c>
      <c r="H779" s="0" t="s">
        <v>2516</v>
      </c>
      <c r="I779" s="0" t="s">
        <v>6844</v>
      </c>
      <c r="J779" s="0" t="s">
        <v>6845</v>
      </c>
      <c r="K779" s="0" t="s">
        <v>5260</v>
      </c>
    </row>
    <row r="780" customFormat="false" ht="12.8" hidden="false" customHeight="false" outlineLevel="0" collapsed="false">
      <c r="A780" s="0" t="s">
        <v>6846</v>
      </c>
      <c r="B780" s="0" t="s">
        <v>6847</v>
      </c>
      <c r="C780" s="0" t="s">
        <v>332</v>
      </c>
      <c r="D780" s="0" t="s">
        <v>5023</v>
      </c>
      <c r="E780" s="0" t="s">
        <v>5024</v>
      </c>
      <c r="F780" s="0" t="s">
        <v>5024</v>
      </c>
      <c r="G780" s="0" t="s">
        <v>2515</v>
      </c>
      <c r="H780" s="0" t="s">
        <v>2516</v>
      </c>
      <c r="I780" s="0" t="s">
        <v>6844</v>
      </c>
      <c r="J780" s="0" t="s">
        <v>6845</v>
      </c>
      <c r="K780" s="0" t="s">
        <v>5260</v>
      </c>
    </row>
    <row r="781" customFormat="false" ht="12.8" hidden="false" customHeight="false" outlineLevel="0" collapsed="false">
      <c r="A781" s="0" t="s">
        <v>6848</v>
      </c>
      <c r="B781" s="0" t="s">
        <v>6849</v>
      </c>
      <c r="C781" s="0" t="s">
        <v>332</v>
      </c>
      <c r="D781" s="0" t="s">
        <v>5061</v>
      </c>
      <c r="E781" s="0" t="s">
        <v>5062</v>
      </c>
      <c r="F781" s="0" t="s">
        <v>5062</v>
      </c>
      <c r="G781" s="0" t="s">
        <v>2515</v>
      </c>
      <c r="H781" s="0" t="s">
        <v>2516</v>
      </c>
      <c r="I781" s="0" t="s">
        <v>6844</v>
      </c>
      <c r="J781" s="0" t="s">
        <v>6845</v>
      </c>
      <c r="K781" s="0" t="s">
        <v>5260</v>
      </c>
    </row>
    <row r="782" customFormat="false" ht="12.8" hidden="false" customHeight="false" outlineLevel="0" collapsed="false">
      <c r="A782" s="0" t="s">
        <v>6850</v>
      </c>
      <c r="B782" s="0" t="s">
        <v>6851</v>
      </c>
      <c r="C782" s="0" t="s">
        <v>332</v>
      </c>
      <c r="D782" s="0" t="s">
        <v>5057</v>
      </c>
      <c r="E782" s="0" t="s">
        <v>5058</v>
      </c>
      <c r="F782" s="0" t="s">
        <v>5058</v>
      </c>
      <c r="G782" s="0" t="s">
        <v>2515</v>
      </c>
      <c r="H782" s="0" t="s">
        <v>2516</v>
      </c>
      <c r="I782" s="0" t="s">
        <v>6844</v>
      </c>
      <c r="J782" s="0" t="s">
        <v>6845</v>
      </c>
      <c r="K782" s="0" t="s">
        <v>5260</v>
      </c>
    </row>
    <row r="783" customFormat="false" ht="12.8" hidden="false" customHeight="false" outlineLevel="0" collapsed="false">
      <c r="A783" s="0" t="s">
        <v>6852</v>
      </c>
      <c r="B783" s="0" t="s">
        <v>6853</v>
      </c>
      <c r="C783" s="0" t="s">
        <v>332</v>
      </c>
      <c r="D783" s="0" t="s">
        <v>5023</v>
      </c>
      <c r="E783" s="0" t="s">
        <v>5024</v>
      </c>
      <c r="F783" s="0" t="s">
        <v>5024</v>
      </c>
      <c r="G783" s="0" t="s">
        <v>2515</v>
      </c>
      <c r="H783" s="0" t="s">
        <v>2516</v>
      </c>
      <c r="I783" s="0" t="s">
        <v>6844</v>
      </c>
      <c r="J783" s="0" t="s">
        <v>6845</v>
      </c>
      <c r="K783" s="0" t="s">
        <v>5260</v>
      </c>
    </row>
    <row r="784" customFormat="false" ht="12.8" hidden="false" customHeight="false" outlineLevel="0" collapsed="false">
      <c r="A784" s="0" t="s">
        <v>6854</v>
      </c>
      <c r="B784" s="0" t="s">
        <v>6855</v>
      </c>
      <c r="C784" s="0" t="s">
        <v>392</v>
      </c>
      <c r="D784" s="0" t="s">
        <v>5061</v>
      </c>
      <c r="E784" s="0" t="s">
        <v>5062</v>
      </c>
      <c r="F784" s="0" t="s">
        <v>5062</v>
      </c>
      <c r="G784" s="0" t="s">
        <v>2515</v>
      </c>
      <c r="H784" s="0" t="s">
        <v>2862</v>
      </c>
      <c r="I784" s="0" t="s">
        <v>6856</v>
      </c>
      <c r="J784" s="0" t="s">
        <v>6857</v>
      </c>
      <c r="K784" s="0" t="s">
        <v>5260</v>
      </c>
    </row>
    <row r="785" customFormat="false" ht="12.8" hidden="false" customHeight="false" outlineLevel="0" collapsed="false">
      <c r="A785" s="0" t="s">
        <v>6858</v>
      </c>
      <c r="B785" s="0" t="s">
        <v>6859</v>
      </c>
      <c r="C785" s="0" t="s">
        <v>392</v>
      </c>
      <c r="D785" s="0" t="s">
        <v>5057</v>
      </c>
      <c r="E785" s="0" t="s">
        <v>5058</v>
      </c>
      <c r="F785" s="0" t="s">
        <v>5058</v>
      </c>
      <c r="G785" s="0" t="s">
        <v>2515</v>
      </c>
      <c r="H785" s="0" t="s">
        <v>2862</v>
      </c>
      <c r="I785" s="0" t="s">
        <v>6856</v>
      </c>
      <c r="J785" s="0" t="s">
        <v>6857</v>
      </c>
      <c r="K785" s="0" t="s">
        <v>5260</v>
      </c>
    </row>
    <row r="786" customFormat="false" ht="12.8" hidden="false" customHeight="false" outlineLevel="0" collapsed="false">
      <c r="A786" s="0" t="s">
        <v>6860</v>
      </c>
      <c r="B786" s="0" t="s">
        <v>6861</v>
      </c>
      <c r="C786" s="0" t="s">
        <v>392</v>
      </c>
      <c r="D786" s="0" t="s">
        <v>5023</v>
      </c>
      <c r="E786" s="0" t="s">
        <v>5024</v>
      </c>
      <c r="F786" s="0" t="s">
        <v>5024</v>
      </c>
      <c r="G786" s="0" t="s">
        <v>2515</v>
      </c>
      <c r="H786" s="0" t="s">
        <v>2862</v>
      </c>
      <c r="I786" s="0" t="s">
        <v>6856</v>
      </c>
      <c r="J786" s="0" t="s">
        <v>6857</v>
      </c>
      <c r="K786" s="0" t="s">
        <v>5260</v>
      </c>
    </row>
    <row r="787" customFormat="false" ht="12.8" hidden="false" customHeight="false" outlineLevel="0" collapsed="false">
      <c r="A787" s="0" t="s">
        <v>6862</v>
      </c>
      <c r="B787" s="0" t="s">
        <v>6863</v>
      </c>
      <c r="C787" s="0" t="s">
        <v>392</v>
      </c>
      <c r="D787" s="0" t="s">
        <v>5023</v>
      </c>
      <c r="E787" s="0" t="s">
        <v>5024</v>
      </c>
      <c r="F787" s="0" t="s">
        <v>5024</v>
      </c>
      <c r="G787" s="0" t="s">
        <v>2515</v>
      </c>
      <c r="H787" s="0" t="s">
        <v>2862</v>
      </c>
      <c r="I787" s="0" t="s">
        <v>6856</v>
      </c>
      <c r="J787" s="0" t="s">
        <v>6857</v>
      </c>
      <c r="K787" s="0" t="s">
        <v>5260</v>
      </c>
    </row>
    <row r="788" customFormat="false" ht="12.8" hidden="false" customHeight="false" outlineLevel="0" collapsed="false">
      <c r="A788" s="0" t="s">
        <v>6864</v>
      </c>
      <c r="B788" s="0" t="s">
        <v>6865</v>
      </c>
      <c r="C788" s="0" t="s">
        <v>393</v>
      </c>
      <c r="D788" s="0" t="s">
        <v>5023</v>
      </c>
      <c r="E788" s="0" t="s">
        <v>5024</v>
      </c>
      <c r="F788" s="0" t="s">
        <v>5024</v>
      </c>
      <c r="G788" s="0" t="s">
        <v>2515</v>
      </c>
      <c r="H788" s="0" t="s">
        <v>2516</v>
      </c>
      <c r="I788" s="0" t="s">
        <v>6866</v>
      </c>
      <c r="J788" s="0" t="s">
        <v>6867</v>
      </c>
      <c r="K788" s="0" t="s">
        <v>5260</v>
      </c>
    </row>
    <row r="789" customFormat="false" ht="12.8" hidden="false" customHeight="false" outlineLevel="0" collapsed="false">
      <c r="A789" s="0" t="s">
        <v>6868</v>
      </c>
      <c r="B789" s="0" t="s">
        <v>6869</v>
      </c>
      <c r="C789" s="0" t="s">
        <v>393</v>
      </c>
      <c r="D789" s="0" t="s">
        <v>5023</v>
      </c>
      <c r="E789" s="0" t="s">
        <v>5024</v>
      </c>
      <c r="F789" s="0" t="s">
        <v>5024</v>
      </c>
      <c r="G789" s="0" t="s">
        <v>2515</v>
      </c>
      <c r="H789" s="0" t="s">
        <v>2516</v>
      </c>
      <c r="I789" s="0" t="s">
        <v>6866</v>
      </c>
      <c r="J789" s="0" t="s">
        <v>6867</v>
      </c>
      <c r="K789" s="0" t="s">
        <v>5260</v>
      </c>
    </row>
    <row r="790" customFormat="false" ht="12.8" hidden="false" customHeight="false" outlineLevel="0" collapsed="false">
      <c r="A790" s="0" t="s">
        <v>6870</v>
      </c>
      <c r="B790" s="0" t="s">
        <v>6871</v>
      </c>
      <c r="C790" s="0" t="s">
        <v>393</v>
      </c>
      <c r="D790" s="0" t="s">
        <v>5023</v>
      </c>
      <c r="E790" s="0" t="s">
        <v>5024</v>
      </c>
      <c r="F790" s="0" t="s">
        <v>5024</v>
      </c>
      <c r="G790" s="0" t="s">
        <v>2515</v>
      </c>
      <c r="H790" s="0" t="s">
        <v>2516</v>
      </c>
      <c r="I790" s="0" t="s">
        <v>6866</v>
      </c>
      <c r="J790" s="0" t="s">
        <v>6867</v>
      </c>
      <c r="K790" s="0" t="s">
        <v>5260</v>
      </c>
    </row>
    <row r="791" customFormat="false" ht="12.8" hidden="false" customHeight="false" outlineLevel="0" collapsed="false">
      <c r="A791" s="0" t="s">
        <v>6872</v>
      </c>
      <c r="B791" s="0" t="s">
        <v>6873</v>
      </c>
      <c r="C791" s="0" t="s">
        <v>393</v>
      </c>
      <c r="D791" s="0" t="s">
        <v>5023</v>
      </c>
      <c r="E791" s="0" t="s">
        <v>5024</v>
      </c>
      <c r="F791" s="0" t="s">
        <v>5024</v>
      </c>
      <c r="G791" s="0" t="s">
        <v>2515</v>
      </c>
      <c r="H791" s="0" t="s">
        <v>2516</v>
      </c>
      <c r="I791" s="0" t="s">
        <v>6866</v>
      </c>
      <c r="J791" s="0" t="s">
        <v>6867</v>
      </c>
      <c r="K791" s="0" t="s">
        <v>5260</v>
      </c>
    </row>
    <row r="792" customFormat="false" ht="12.8" hidden="false" customHeight="false" outlineLevel="0" collapsed="false">
      <c r="A792" s="0" t="s">
        <v>6874</v>
      </c>
      <c r="B792" s="0" t="s">
        <v>6875</v>
      </c>
      <c r="C792" s="0" t="s">
        <v>393</v>
      </c>
      <c r="D792" s="0" t="s">
        <v>5057</v>
      </c>
      <c r="E792" s="0" t="s">
        <v>5058</v>
      </c>
      <c r="F792" s="0" t="s">
        <v>5058</v>
      </c>
      <c r="G792" s="0" t="s">
        <v>2515</v>
      </c>
      <c r="H792" s="0" t="s">
        <v>2516</v>
      </c>
      <c r="I792" s="0" t="s">
        <v>6866</v>
      </c>
      <c r="J792" s="0" t="s">
        <v>6867</v>
      </c>
      <c r="K792" s="0" t="s">
        <v>5260</v>
      </c>
    </row>
    <row r="793" customFormat="false" ht="12.8" hidden="false" customHeight="false" outlineLevel="0" collapsed="false">
      <c r="A793" s="0" t="s">
        <v>6876</v>
      </c>
      <c r="B793" s="0" t="s">
        <v>6877</v>
      </c>
      <c r="C793" s="0" t="s">
        <v>393</v>
      </c>
      <c r="D793" s="0" t="s">
        <v>5061</v>
      </c>
      <c r="E793" s="0" t="s">
        <v>5062</v>
      </c>
      <c r="F793" s="0" t="s">
        <v>5062</v>
      </c>
      <c r="G793" s="0" t="s">
        <v>2515</v>
      </c>
      <c r="H793" s="0" t="s">
        <v>2516</v>
      </c>
      <c r="I793" s="0" t="s">
        <v>6866</v>
      </c>
      <c r="J793" s="0" t="s">
        <v>6867</v>
      </c>
      <c r="K793" s="0" t="s">
        <v>5260</v>
      </c>
    </row>
    <row r="794" customFormat="false" ht="12.8" hidden="false" customHeight="false" outlineLevel="0" collapsed="false">
      <c r="A794" s="0" t="s">
        <v>6878</v>
      </c>
      <c r="B794" s="0" t="s">
        <v>6879</v>
      </c>
      <c r="C794" s="0" t="s">
        <v>418</v>
      </c>
      <c r="D794" s="0" t="s">
        <v>5061</v>
      </c>
      <c r="E794" s="0" t="s">
        <v>5062</v>
      </c>
      <c r="F794" s="0" t="s">
        <v>5062</v>
      </c>
      <c r="G794" s="0" t="s">
        <v>2515</v>
      </c>
      <c r="H794" s="0" t="s">
        <v>2862</v>
      </c>
      <c r="I794" s="0" t="s">
        <v>6880</v>
      </c>
      <c r="J794" s="0" t="s">
        <v>6881</v>
      </c>
      <c r="K794" s="0" t="s">
        <v>6650</v>
      </c>
    </row>
    <row r="795" customFormat="false" ht="12.8" hidden="false" customHeight="false" outlineLevel="0" collapsed="false">
      <c r="A795" s="0" t="s">
        <v>6882</v>
      </c>
      <c r="B795" s="0" t="s">
        <v>6883</v>
      </c>
      <c r="C795" s="0" t="s">
        <v>418</v>
      </c>
      <c r="D795" s="0" t="s">
        <v>5023</v>
      </c>
      <c r="E795" s="0" t="s">
        <v>5024</v>
      </c>
      <c r="F795" s="0" t="s">
        <v>5024</v>
      </c>
      <c r="G795" s="0" t="s">
        <v>2515</v>
      </c>
      <c r="H795" s="0" t="s">
        <v>2862</v>
      </c>
      <c r="I795" s="0" t="s">
        <v>6880</v>
      </c>
      <c r="J795" s="0" t="s">
        <v>6881</v>
      </c>
      <c r="K795" s="0" t="s">
        <v>6650</v>
      </c>
    </row>
    <row r="796" customFormat="false" ht="12.8" hidden="false" customHeight="false" outlineLevel="0" collapsed="false">
      <c r="A796" s="0" t="s">
        <v>6884</v>
      </c>
      <c r="B796" s="0" t="s">
        <v>6885</v>
      </c>
      <c r="C796" s="0" t="s">
        <v>418</v>
      </c>
      <c r="D796" s="0" t="s">
        <v>5023</v>
      </c>
      <c r="E796" s="0" t="s">
        <v>5024</v>
      </c>
      <c r="F796" s="0" t="s">
        <v>5024</v>
      </c>
      <c r="G796" s="0" t="s">
        <v>2515</v>
      </c>
      <c r="H796" s="0" t="s">
        <v>2862</v>
      </c>
      <c r="I796" s="0" t="s">
        <v>6880</v>
      </c>
      <c r="J796" s="0" t="s">
        <v>6881</v>
      </c>
      <c r="K796" s="0" t="s">
        <v>6650</v>
      </c>
    </row>
    <row r="797" customFormat="false" ht="12.8" hidden="false" customHeight="false" outlineLevel="0" collapsed="false">
      <c r="A797" s="0" t="s">
        <v>6886</v>
      </c>
      <c r="B797" s="0" t="s">
        <v>6887</v>
      </c>
      <c r="C797" s="0" t="s">
        <v>418</v>
      </c>
      <c r="D797" s="0" t="s">
        <v>5023</v>
      </c>
      <c r="E797" s="0" t="s">
        <v>5024</v>
      </c>
      <c r="F797" s="0" t="s">
        <v>5024</v>
      </c>
      <c r="G797" s="0" t="s">
        <v>2515</v>
      </c>
      <c r="H797" s="0" t="s">
        <v>2862</v>
      </c>
      <c r="I797" s="0" t="s">
        <v>6880</v>
      </c>
      <c r="J797" s="0" t="s">
        <v>6881</v>
      </c>
      <c r="K797" s="0" t="s">
        <v>6650</v>
      </c>
    </row>
    <row r="798" customFormat="false" ht="12.8" hidden="false" customHeight="false" outlineLevel="0" collapsed="false">
      <c r="A798" s="0" t="s">
        <v>6888</v>
      </c>
      <c r="B798" s="0" t="s">
        <v>6889</v>
      </c>
      <c r="C798" s="0" t="s">
        <v>418</v>
      </c>
      <c r="D798" s="0" t="s">
        <v>5023</v>
      </c>
      <c r="E798" s="0" t="s">
        <v>5024</v>
      </c>
      <c r="F798" s="0" t="s">
        <v>5024</v>
      </c>
      <c r="G798" s="0" t="s">
        <v>2515</v>
      </c>
      <c r="H798" s="0" t="s">
        <v>2862</v>
      </c>
      <c r="I798" s="0" t="s">
        <v>6880</v>
      </c>
      <c r="J798" s="0" t="s">
        <v>6881</v>
      </c>
      <c r="K798" s="0" t="s">
        <v>6650</v>
      </c>
    </row>
    <row r="799" customFormat="false" ht="12.8" hidden="false" customHeight="false" outlineLevel="0" collapsed="false">
      <c r="A799" s="0" t="s">
        <v>6890</v>
      </c>
      <c r="B799" s="0" t="s">
        <v>6891</v>
      </c>
      <c r="C799" s="0" t="s">
        <v>418</v>
      </c>
      <c r="D799" s="0" t="s">
        <v>5023</v>
      </c>
      <c r="E799" s="0" t="s">
        <v>5024</v>
      </c>
      <c r="F799" s="0" t="s">
        <v>5024</v>
      </c>
      <c r="G799" s="0" t="s">
        <v>2515</v>
      </c>
      <c r="H799" s="0" t="s">
        <v>2862</v>
      </c>
      <c r="I799" s="0" t="s">
        <v>6880</v>
      </c>
      <c r="J799" s="0" t="s">
        <v>6881</v>
      </c>
      <c r="K799" s="0" t="s">
        <v>6650</v>
      </c>
    </row>
    <row r="800" customFormat="false" ht="12.8" hidden="false" customHeight="false" outlineLevel="0" collapsed="false">
      <c r="A800" s="0" t="s">
        <v>6892</v>
      </c>
      <c r="B800" s="0" t="s">
        <v>6893</v>
      </c>
      <c r="C800" s="0" t="s">
        <v>3</v>
      </c>
      <c r="D800" s="0" t="s">
        <v>5023</v>
      </c>
      <c r="E800" s="0" t="s">
        <v>5024</v>
      </c>
      <c r="F800" s="0" t="s">
        <v>5024</v>
      </c>
      <c r="G800" s="0" t="s">
        <v>2515</v>
      </c>
      <c r="H800" s="0" t="s">
        <v>2516</v>
      </c>
      <c r="I800" s="0" t="s">
        <v>6894</v>
      </c>
      <c r="J800" s="0" t="s">
        <v>6895</v>
      </c>
      <c r="K800" s="0" t="s">
        <v>6298</v>
      </c>
    </row>
    <row r="801" customFormat="false" ht="12.8" hidden="false" customHeight="false" outlineLevel="0" collapsed="false">
      <c r="A801" s="0" t="s">
        <v>6896</v>
      </c>
      <c r="B801" s="0" t="s">
        <v>6897</v>
      </c>
      <c r="C801" s="0" t="s">
        <v>3</v>
      </c>
      <c r="D801" s="0" t="s">
        <v>5023</v>
      </c>
      <c r="E801" s="0" t="s">
        <v>5024</v>
      </c>
      <c r="F801" s="0" t="s">
        <v>5024</v>
      </c>
      <c r="G801" s="0" t="s">
        <v>2515</v>
      </c>
      <c r="H801" s="0" t="s">
        <v>2516</v>
      </c>
      <c r="I801" s="0" t="s">
        <v>6894</v>
      </c>
      <c r="J801" s="0" t="s">
        <v>6895</v>
      </c>
      <c r="K801" s="0" t="s">
        <v>6298</v>
      </c>
    </row>
    <row r="802" customFormat="false" ht="12.8" hidden="false" customHeight="false" outlineLevel="0" collapsed="false">
      <c r="A802" s="0" t="s">
        <v>6898</v>
      </c>
      <c r="B802" s="0" t="s">
        <v>6899</v>
      </c>
      <c r="C802" s="0" t="s">
        <v>3</v>
      </c>
      <c r="D802" s="0" t="s">
        <v>5057</v>
      </c>
      <c r="E802" s="0" t="s">
        <v>5058</v>
      </c>
      <c r="F802" s="0" t="s">
        <v>5058</v>
      </c>
      <c r="G802" s="0" t="s">
        <v>2515</v>
      </c>
      <c r="H802" s="0" t="s">
        <v>2516</v>
      </c>
      <c r="I802" s="0" t="s">
        <v>6894</v>
      </c>
      <c r="J802" s="0" t="s">
        <v>6895</v>
      </c>
      <c r="K802" s="0" t="s">
        <v>6298</v>
      </c>
    </row>
    <row r="803" customFormat="false" ht="12.8" hidden="false" customHeight="false" outlineLevel="0" collapsed="false">
      <c r="A803" s="0" t="s">
        <v>6900</v>
      </c>
      <c r="B803" s="0" t="s">
        <v>6901</v>
      </c>
      <c r="C803" s="0" t="s">
        <v>3</v>
      </c>
      <c r="D803" s="0" t="s">
        <v>5061</v>
      </c>
      <c r="E803" s="0" t="s">
        <v>5062</v>
      </c>
      <c r="F803" s="0" t="s">
        <v>5062</v>
      </c>
      <c r="G803" s="0" t="s">
        <v>2515</v>
      </c>
      <c r="H803" s="0" t="s">
        <v>2516</v>
      </c>
      <c r="I803" s="0" t="s">
        <v>6894</v>
      </c>
      <c r="J803" s="0" t="s">
        <v>6895</v>
      </c>
      <c r="K803" s="0" t="s">
        <v>6298</v>
      </c>
    </row>
    <row r="804" customFormat="false" ht="12.8" hidden="false" customHeight="false" outlineLevel="0" collapsed="false">
      <c r="A804" s="0" t="s">
        <v>6902</v>
      </c>
      <c r="B804" s="0" t="s">
        <v>6903</v>
      </c>
      <c r="C804" s="0" t="s">
        <v>57</v>
      </c>
      <c r="D804" s="0" t="s">
        <v>5023</v>
      </c>
      <c r="E804" s="0" t="s">
        <v>5024</v>
      </c>
      <c r="F804" s="0" t="s">
        <v>5024</v>
      </c>
      <c r="G804" s="0" t="s">
        <v>2515</v>
      </c>
      <c r="H804" s="0" t="s">
        <v>2645</v>
      </c>
      <c r="I804" s="0" t="s">
        <v>6904</v>
      </c>
      <c r="J804" s="0" t="s">
        <v>6905</v>
      </c>
      <c r="K804" s="0" t="s">
        <v>6650</v>
      </c>
    </row>
    <row r="805" customFormat="false" ht="12.8" hidden="false" customHeight="false" outlineLevel="0" collapsed="false">
      <c r="A805" s="0" t="s">
        <v>6906</v>
      </c>
      <c r="B805" s="0" t="s">
        <v>6907</v>
      </c>
      <c r="C805" s="0" t="s">
        <v>57</v>
      </c>
      <c r="D805" s="0" t="s">
        <v>5023</v>
      </c>
      <c r="E805" s="0" t="s">
        <v>5024</v>
      </c>
      <c r="F805" s="0" t="s">
        <v>5024</v>
      </c>
      <c r="G805" s="0" t="s">
        <v>2515</v>
      </c>
      <c r="H805" s="0" t="s">
        <v>2645</v>
      </c>
      <c r="I805" s="0" t="s">
        <v>6904</v>
      </c>
      <c r="J805" s="0" t="s">
        <v>6905</v>
      </c>
      <c r="K805" s="0" t="s">
        <v>6650</v>
      </c>
    </row>
    <row r="806" customFormat="false" ht="12.8" hidden="false" customHeight="false" outlineLevel="0" collapsed="false">
      <c r="A806" s="0" t="s">
        <v>6908</v>
      </c>
      <c r="B806" s="0" t="s">
        <v>6909</v>
      </c>
      <c r="C806" s="0" t="s">
        <v>57</v>
      </c>
      <c r="D806" s="0" t="s">
        <v>5061</v>
      </c>
      <c r="E806" s="0" t="s">
        <v>5062</v>
      </c>
      <c r="F806" s="0" t="s">
        <v>5062</v>
      </c>
      <c r="G806" s="0" t="s">
        <v>2515</v>
      </c>
      <c r="H806" s="0" t="s">
        <v>2645</v>
      </c>
      <c r="I806" s="0" t="s">
        <v>6904</v>
      </c>
      <c r="J806" s="0" t="s">
        <v>6905</v>
      </c>
      <c r="K806" s="0" t="s">
        <v>6650</v>
      </c>
    </row>
    <row r="807" customFormat="false" ht="12.8" hidden="false" customHeight="false" outlineLevel="0" collapsed="false">
      <c r="A807" s="0" t="s">
        <v>6910</v>
      </c>
      <c r="B807" s="0" t="s">
        <v>6911</v>
      </c>
      <c r="C807" s="0" t="s">
        <v>57</v>
      </c>
      <c r="D807" s="0" t="s">
        <v>5023</v>
      </c>
      <c r="E807" s="0" t="s">
        <v>5024</v>
      </c>
      <c r="F807" s="0" t="s">
        <v>5024</v>
      </c>
      <c r="G807" s="0" t="s">
        <v>2515</v>
      </c>
      <c r="H807" s="0" t="s">
        <v>2645</v>
      </c>
      <c r="I807" s="0" t="s">
        <v>6904</v>
      </c>
      <c r="J807" s="0" t="s">
        <v>6905</v>
      </c>
      <c r="K807" s="0" t="s">
        <v>6650</v>
      </c>
    </row>
    <row r="808" customFormat="false" ht="12.8" hidden="false" customHeight="false" outlineLevel="0" collapsed="false">
      <c r="A808" s="0" t="s">
        <v>6912</v>
      </c>
      <c r="B808" s="0" t="s">
        <v>6913</v>
      </c>
      <c r="C808" s="0" t="s">
        <v>57</v>
      </c>
      <c r="D808" s="0" t="s">
        <v>5023</v>
      </c>
      <c r="E808" s="0" t="s">
        <v>5024</v>
      </c>
      <c r="F808" s="0" t="s">
        <v>5024</v>
      </c>
      <c r="G808" s="0" t="s">
        <v>2515</v>
      </c>
      <c r="H808" s="0" t="s">
        <v>2645</v>
      </c>
      <c r="I808" s="0" t="s">
        <v>6904</v>
      </c>
      <c r="J808" s="0" t="s">
        <v>6905</v>
      </c>
      <c r="K808" s="0" t="s">
        <v>6650</v>
      </c>
    </row>
    <row r="809" customFormat="false" ht="12.8" hidden="false" customHeight="false" outlineLevel="0" collapsed="false">
      <c r="A809" s="0" t="s">
        <v>6914</v>
      </c>
      <c r="B809" s="0" t="s">
        <v>6915</v>
      </c>
      <c r="C809" s="0" t="s">
        <v>57</v>
      </c>
      <c r="D809" s="0" t="s">
        <v>5057</v>
      </c>
      <c r="E809" s="0" t="s">
        <v>5058</v>
      </c>
      <c r="F809" s="0" t="s">
        <v>5058</v>
      </c>
      <c r="G809" s="0" t="s">
        <v>2515</v>
      </c>
      <c r="H809" s="0" t="s">
        <v>2645</v>
      </c>
      <c r="I809" s="0" t="s">
        <v>6904</v>
      </c>
      <c r="J809" s="0" t="s">
        <v>6905</v>
      </c>
      <c r="K809" s="0" t="s">
        <v>6650</v>
      </c>
    </row>
    <row r="810" customFormat="false" ht="12.8" hidden="false" customHeight="false" outlineLevel="0" collapsed="false">
      <c r="A810" s="0" t="s">
        <v>6916</v>
      </c>
      <c r="B810" s="0" t="s">
        <v>6917</v>
      </c>
      <c r="C810" s="0" t="s">
        <v>70</v>
      </c>
      <c r="D810" s="0" t="s">
        <v>5023</v>
      </c>
      <c r="E810" s="0" t="s">
        <v>5024</v>
      </c>
      <c r="F810" s="0" t="s">
        <v>5024</v>
      </c>
      <c r="G810" s="0" t="s">
        <v>3278</v>
      </c>
      <c r="H810" s="0" t="s">
        <v>3279</v>
      </c>
      <c r="I810" s="0" t="s">
        <v>6918</v>
      </c>
      <c r="J810" s="0" t="s">
        <v>6919</v>
      </c>
      <c r="K810" s="0" t="s">
        <v>5260</v>
      </c>
    </row>
    <row r="811" customFormat="false" ht="12.8" hidden="false" customHeight="false" outlineLevel="0" collapsed="false">
      <c r="A811" s="0" t="s">
        <v>6920</v>
      </c>
      <c r="B811" s="0" t="s">
        <v>6921</v>
      </c>
      <c r="C811" s="0" t="s">
        <v>70</v>
      </c>
      <c r="D811" s="0" t="s">
        <v>5023</v>
      </c>
      <c r="E811" s="0" t="s">
        <v>5024</v>
      </c>
      <c r="F811" s="0" t="s">
        <v>5024</v>
      </c>
      <c r="G811" s="0" t="s">
        <v>3278</v>
      </c>
      <c r="H811" s="0" t="s">
        <v>3279</v>
      </c>
      <c r="I811" s="0" t="s">
        <v>6918</v>
      </c>
      <c r="J811" s="0" t="s">
        <v>6919</v>
      </c>
      <c r="K811" s="0" t="s">
        <v>5260</v>
      </c>
    </row>
    <row r="812" customFormat="false" ht="12.8" hidden="false" customHeight="false" outlineLevel="0" collapsed="false">
      <c r="A812" s="0" t="s">
        <v>6922</v>
      </c>
      <c r="B812" s="0" t="s">
        <v>6923</v>
      </c>
      <c r="C812" s="0" t="s">
        <v>70</v>
      </c>
      <c r="D812" s="0" t="s">
        <v>5023</v>
      </c>
      <c r="E812" s="0" t="s">
        <v>5024</v>
      </c>
      <c r="F812" s="0" t="s">
        <v>5024</v>
      </c>
      <c r="G812" s="0" t="s">
        <v>3278</v>
      </c>
      <c r="H812" s="0" t="s">
        <v>3279</v>
      </c>
      <c r="I812" s="0" t="s">
        <v>6918</v>
      </c>
      <c r="J812" s="0" t="s">
        <v>6919</v>
      </c>
      <c r="K812" s="0" t="s">
        <v>5260</v>
      </c>
    </row>
    <row r="813" customFormat="false" ht="12.8" hidden="false" customHeight="false" outlineLevel="0" collapsed="false">
      <c r="A813" s="0" t="s">
        <v>6924</v>
      </c>
      <c r="B813" s="0" t="s">
        <v>6925</v>
      </c>
      <c r="C813" s="0" t="s">
        <v>70</v>
      </c>
      <c r="D813" s="0" t="s">
        <v>5023</v>
      </c>
      <c r="E813" s="0" t="s">
        <v>5024</v>
      </c>
      <c r="F813" s="0" t="s">
        <v>5024</v>
      </c>
      <c r="G813" s="0" t="s">
        <v>3278</v>
      </c>
      <c r="H813" s="0" t="s">
        <v>3279</v>
      </c>
      <c r="I813" s="0" t="s">
        <v>6918</v>
      </c>
      <c r="J813" s="0" t="s">
        <v>6919</v>
      </c>
      <c r="K813" s="0" t="s">
        <v>5260</v>
      </c>
    </row>
    <row r="814" customFormat="false" ht="12.8" hidden="false" customHeight="false" outlineLevel="0" collapsed="false">
      <c r="A814" s="0" t="s">
        <v>6926</v>
      </c>
      <c r="B814" s="0" t="s">
        <v>6927</v>
      </c>
      <c r="C814" s="0" t="s">
        <v>70</v>
      </c>
      <c r="D814" s="0" t="s">
        <v>5061</v>
      </c>
      <c r="E814" s="0" t="s">
        <v>5062</v>
      </c>
      <c r="F814" s="0" t="s">
        <v>5062</v>
      </c>
      <c r="G814" s="0" t="s">
        <v>3278</v>
      </c>
      <c r="H814" s="0" t="s">
        <v>3279</v>
      </c>
      <c r="I814" s="0" t="s">
        <v>6918</v>
      </c>
      <c r="J814" s="0" t="s">
        <v>6919</v>
      </c>
      <c r="K814" s="0" t="s">
        <v>5260</v>
      </c>
    </row>
    <row r="815" customFormat="false" ht="12.8" hidden="false" customHeight="false" outlineLevel="0" collapsed="false">
      <c r="A815" s="0" t="s">
        <v>6928</v>
      </c>
      <c r="B815" s="0" t="s">
        <v>6929</v>
      </c>
      <c r="C815" s="0" t="s">
        <v>70</v>
      </c>
      <c r="D815" s="0" t="s">
        <v>5057</v>
      </c>
      <c r="E815" s="0" t="s">
        <v>5058</v>
      </c>
      <c r="F815" s="0" t="s">
        <v>5058</v>
      </c>
      <c r="G815" s="0" t="s">
        <v>3278</v>
      </c>
      <c r="H815" s="0" t="s">
        <v>3279</v>
      </c>
      <c r="I815" s="0" t="s">
        <v>6918</v>
      </c>
      <c r="J815" s="0" t="s">
        <v>6919</v>
      </c>
      <c r="K815" s="0" t="s">
        <v>5260</v>
      </c>
    </row>
    <row r="816" customFormat="false" ht="12.8" hidden="false" customHeight="false" outlineLevel="0" collapsed="false">
      <c r="A816" s="0" t="s">
        <v>6930</v>
      </c>
      <c r="B816" s="0" t="s">
        <v>6931</v>
      </c>
      <c r="C816" s="0" t="s">
        <v>112</v>
      </c>
      <c r="D816" s="0" t="s">
        <v>5061</v>
      </c>
      <c r="E816" s="0" t="s">
        <v>5062</v>
      </c>
      <c r="F816" s="0" t="s">
        <v>5062</v>
      </c>
      <c r="G816" s="0" t="s">
        <v>2515</v>
      </c>
      <c r="H816" s="0" t="s">
        <v>2862</v>
      </c>
      <c r="I816" s="0" t="s">
        <v>6932</v>
      </c>
      <c r="J816" s="0" t="s">
        <v>6933</v>
      </c>
      <c r="K816" s="0" t="s">
        <v>5260</v>
      </c>
    </row>
    <row r="817" customFormat="false" ht="12.8" hidden="false" customHeight="false" outlineLevel="0" collapsed="false">
      <c r="A817" s="0" t="s">
        <v>6934</v>
      </c>
      <c r="B817" s="0" t="s">
        <v>6935</v>
      </c>
      <c r="C817" s="0" t="s">
        <v>112</v>
      </c>
      <c r="D817" s="0" t="s">
        <v>5023</v>
      </c>
      <c r="E817" s="0" t="s">
        <v>5024</v>
      </c>
      <c r="F817" s="0" t="s">
        <v>5024</v>
      </c>
      <c r="G817" s="0" t="s">
        <v>2515</v>
      </c>
      <c r="H817" s="0" t="s">
        <v>2862</v>
      </c>
      <c r="I817" s="0" t="s">
        <v>6932</v>
      </c>
      <c r="J817" s="0" t="s">
        <v>6933</v>
      </c>
      <c r="K817" s="0" t="s">
        <v>5260</v>
      </c>
    </row>
    <row r="818" customFormat="false" ht="12.8" hidden="false" customHeight="false" outlineLevel="0" collapsed="false">
      <c r="A818" s="0" t="s">
        <v>6936</v>
      </c>
      <c r="B818" s="0" t="s">
        <v>6937</v>
      </c>
      <c r="C818" s="0" t="s">
        <v>112</v>
      </c>
      <c r="D818" s="0" t="s">
        <v>5023</v>
      </c>
      <c r="E818" s="0" t="s">
        <v>5024</v>
      </c>
      <c r="F818" s="0" t="s">
        <v>5024</v>
      </c>
      <c r="G818" s="0" t="s">
        <v>2515</v>
      </c>
      <c r="H818" s="0" t="s">
        <v>2862</v>
      </c>
      <c r="I818" s="0" t="s">
        <v>6932</v>
      </c>
      <c r="J818" s="0" t="s">
        <v>6933</v>
      </c>
      <c r="K818" s="0" t="s">
        <v>5260</v>
      </c>
    </row>
    <row r="819" customFormat="false" ht="12.8" hidden="false" customHeight="false" outlineLevel="0" collapsed="false">
      <c r="A819" s="0" t="s">
        <v>6938</v>
      </c>
      <c r="B819" s="0" t="s">
        <v>6939</v>
      </c>
      <c r="C819" s="0" t="s">
        <v>112</v>
      </c>
      <c r="D819" s="0" t="s">
        <v>5057</v>
      </c>
      <c r="E819" s="0" t="s">
        <v>5058</v>
      </c>
      <c r="F819" s="0" t="s">
        <v>5058</v>
      </c>
      <c r="G819" s="0" t="s">
        <v>2515</v>
      </c>
      <c r="H819" s="0" t="s">
        <v>2862</v>
      </c>
      <c r="I819" s="0" t="s">
        <v>6932</v>
      </c>
      <c r="J819" s="0" t="s">
        <v>6933</v>
      </c>
      <c r="K819" s="0" t="s">
        <v>5260</v>
      </c>
    </row>
    <row r="820" customFormat="false" ht="12.8" hidden="false" customHeight="false" outlineLevel="0" collapsed="false">
      <c r="A820" s="0" t="s">
        <v>6940</v>
      </c>
      <c r="B820" s="0" t="s">
        <v>6941</v>
      </c>
      <c r="C820" s="0" t="s">
        <v>113</v>
      </c>
      <c r="D820" s="0" t="s">
        <v>5061</v>
      </c>
      <c r="E820" s="0" t="s">
        <v>5062</v>
      </c>
      <c r="F820" s="0" t="s">
        <v>5062</v>
      </c>
      <c r="G820" s="0" t="s">
        <v>2515</v>
      </c>
      <c r="H820" s="0" t="s">
        <v>2862</v>
      </c>
      <c r="I820" s="0" t="s">
        <v>6942</v>
      </c>
      <c r="J820" s="0" t="s">
        <v>6943</v>
      </c>
      <c r="K820" s="0" t="s">
        <v>5260</v>
      </c>
    </row>
    <row r="821" customFormat="false" ht="12.8" hidden="false" customHeight="false" outlineLevel="0" collapsed="false">
      <c r="A821" s="0" t="s">
        <v>6944</v>
      </c>
      <c r="B821" s="0" t="s">
        <v>6945</v>
      </c>
      <c r="C821" s="0" t="s">
        <v>113</v>
      </c>
      <c r="D821" s="0" t="s">
        <v>5057</v>
      </c>
      <c r="E821" s="0" t="s">
        <v>5058</v>
      </c>
      <c r="F821" s="0" t="s">
        <v>5058</v>
      </c>
      <c r="G821" s="0" t="s">
        <v>2515</v>
      </c>
      <c r="H821" s="0" t="s">
        <v>2862</v>
      </c>
      <c r="I821" s="0" t="s">
        <v>6942</v>
      </c>
      <c r="J821" s="0" t="s">
        <v>6943</v>
      </c>
      <c r="K821" s="0" t="s">
        <v>5260</v>
      </c>
    </row>
    <row r="822" customFormat="false" ht="12.8" hidden="false" customHeight="false" outlineLevel="0" collapsed="false">
      <c r="A822" s="0" t="s">
        <v>6946</v>
      </c>
      <c r="B822" s="0" t="s">
        <v>6947</v>
      </c>
      <c r="C822" s="0" t="s">
        <v>113</v>
      </c>
      <c r="D822" s="0" t="s">
        <v>5023</v>
      </c>
      <c r="E822" s="0" t="s">
        <v>5024</v>
      </c>
      <c r="F822" s="0" t="s">
        <v>5024</v>
      </c>
      <c r="G822" s="0" t="s">
        <v>2515</v>
      </c>
      <c r="H822" s="0" t="s">
        <v>2862</v>
      </c>
      <c r="I822" s="0" t="s">
        <v>6942</v>
      </c>
      <c r="J822" s="0" t="s">
        <v>6943</v>
      </c>
      <c r="K822" s="0" t="s">
        <v>5260</v>
      </c>
    </row>
    <row r="823" customFormat="false" ht="12.8" hidden="false" customHeight="false" outlineLevel="0" collapsed="false">
      <c r="A823" s="0" t="s">
        <v>6948</v>
      </c>
      <c r="B823" s="0" t="s">
        <v>6949</v>
      </c>
      <c r="C823" s="0" t="s">
        <v>113</v>
      </c>
      <c r="D823" s="0" t="s">
        <v>5023</v>
      </c>
      <c r="E823" s="0" t="s">
        <v>5024</v>
      </c>
      <c r="F823" s="0" t="s">
        <v>5024</v>
      </c>
      <c r="G823" s="0" t="s">
        <v>2515</v>
      </c>
      <c r="H823" s="0" t="s">
        <v>2862</v>
      </c>
      <c r="I823" s="0" t="s">
        <v>6942</v>
      </c>
      <c r="J823" s="0" t="s">
        <v>6943</v>
      </c>
      <c r="K823" s="0" t="s">
        <v>5260</v>
      </c>
    </row>
    <row r="824" customFormat="false" ht="12.8" hidden="false" customHeight="false" outlineLevel="0" collapsed="false">
      <c r="A824" s="0" t="s">
        <v>6950</v>
      </c>
      <c r="B824" s="0" t="s">
        <v>6951</v>
      </c>
      <c r="C824" s="0" t="s">
        <v>154</v>
      </c>
      <c r="D824" s="0" t="s">
        <v>5061</v>
      </c>
      <c r="E824" s="0" t="s">
        <v>5062</v>
      </c>
      <c r="F824" s="0" t="s">
        <v>5062</v>
      </c>
      <c r="G824" s="0" t="s">
        <v>2515</v>
      </c>
      <c r="H824" s="0" t="s">
        <v>2516</v>
      </c>
      <c r="I824" s="0" t="s">
        <v>6952</v>
      </c>
      <c r="J824" s="0" t="s">
        <v>6953</v>
      </c>
      <c r="K824" s="0" t="s">
        <v>5260</v>
      </c>
    </row>
    <row r="825" customFormat="false" ht="12.8" hidden="false" customHeight="false" outlineLevel="0" collapsed="false">
      <c r="A825" s="0" t="s">
        <v>6954</v>
      </c>
      <c r="B825" s="0" t="s">
        <v>6955</v>
      </c>
      <c r="C825" s="0" t="s">
        <v>154</v>
      </c>
      <c r="D825" s="0" t="s">
        <v>5023</v>
      </c>
      <c r="E825" s="0" t="s">
        <v>5024</v>
      </c>
      <c r="F825" s="0" t="s">
        <v>5024</v>
      </c>
      <c r="G825" s="0" t="s">
        <v>2515</v>
      </c>
      <c r="H825" s="0" t="s">
        <v>2516</v>
      </c>
      <c r="I825" s="0" t="s">
        <v>6952</v>
      </c>
      <c r="J825" s="0" t="s">
        <v>6953</v>
      </c>
      <c r="K825" s="0" t="s">
        <v>5260</v>
      </c>
    </row>
    <row r="826" customFormat="false" ht="12.8" hidden="false" customHeight="false" outlineLevel="0" collapsed="false">
      <c r="A826" s="0" t="s">
        <v>6956</v>
      </c>
      <c r="B826" s="0" t="s">
        <v>6957</v>
      </c>
      <c r="C826" s="0" t="s">
        <v>154</v>
      </c>
      <c r="D826" s="0" t="s">
        <v>5023</v>
      </c>
      <c r="E826" s="0" t="s">
        <v>5024</v>
      </c>
      <c r="F826" s="0" t="s">
        <v>5024</v>
      </c>
      <c r="G826" s="0" t="s">
        <v>2515</v>
      </c>
      <c r="H826" s="0" t="s">
        <v>2516</v>
      </c>
      <c r="I826" s="0" t="s">
        <v>6952</v>
      </c>
      <c r="J826" s="0" t="s">
        <v>6953</v>
      </c>
      <c r="K826" s="0" t="s">
        <v>5260</v>
      </c>
    </row>
    <row r="827" customFormat="false" ht="12.8" hidden="false" customHeight="false" outlineLevel="0" collapsed="false">
      <c r="A827" s="0" t="s">
        <v>6958</v>
      </c>
      <c r="B827" s="0" t="s">
        <v>6959</v>
      </c>
      <c r="C827" s="0" t="s">
        <v>206</v>
      </c>
      <c r="D827" s="0" t="s">
        <v>5023</v>
      </c>
      <c r="E827" s="0" t="s">
        <v>5024</v>
      </c>
      <c r="F827" s="0" t="s">
        <v>5024</v>
      </c>
      <c r="G827" s="0" t="s">
        <v>2515</v>
      </c>
      <c r="H827" s="0" t="s">
        <v>2645</v>
      </c>
      <c r="I827" s="0" t="s">
        <v>6960</v>
      </c>
      <c r="J827" s="0" t="s">
        <v>6961</v>
      </c>
      <c r="K827" s="0" t="s">
        <v>5260</v>
      </c>
    </row>
    <row r="828" customFormat="false" ht="12.8" hidden="false" customHeight="false" outlineLevel="0" collapsed="false">
      <c r="A828" s="0" t="s">
        <v>6962</v>
      </c>
      <c r="B828" s="0" t="s">
        <v>6963</v>
      </c>
      <c r="C828" s="0" t="s">
        <v>206</v>
      </c>
      <c r="D828" s="0" t="s">
        <v>5057</v>
      </c>
      <c r="E828" s="0" t="s">
        <v>5058</v>
      </c>
      <c r="F828" s="0" t="s">
        <v>5058</v>
      </c>
      <c r="G828" s="0" t="s">
        <v>2515</v>
      </c>
      <c r="H828" s="0" t="s">
        <v>2645</v>
      </c>
      <c r="I828" s="0" t="s">
        <v>6960</v>
      </c>
      <c r="J828" s="0" t="s">
        <v>6961</v>
      </c>
      <c r="K828" s="0" t="s">
        <v>5260</v>
      </c>
    </row>
    <row r="829" customFormat="false" ht="12.8" hidden="false" customHeight="false" outlineLevel="0" collapsed="false">
      <c r="A829" s="0" t="s">
        <v>6964</v>
      </c>
      <c r="B829" s="0" t="s">
        <v>6965</v>
      </c>
      <c r="C829" s="0" t="s">
        <v>206</v>
      </c>
      <c r="D829" s="0" t="s">
        <v>5061</v>
      </c>
      <c r="E829" s="0" t="s">
        <v>5062</v>
      </c>
      <c r="F829" s="0" t="s">
        <v>5062</v>
      </c>
      <c r="G829" s="0" t="s">
        <v>2515</v>
      </c>
      <c r="H829" s="0" t="s">
        <v>2645</v>
      </c>
      <c r="I829" s="0" t="s">
        <v>6960</v>
      </c>
      <c r="J829" s="0" t="s">
        <v>6961</v>
      </c>
      <c r="K829" s="0" t="s">
        <v>5260</v>
      </c>
    </row>
    <row r="830" customFormat="false" ht="12.8" hidden="false" customHeight="false" outlineLevel="0" collapsed="false">
      <c r="A830" s="0" t="s">
        <v>6966</v>
      </c>
      <c r="B830" s="0" t="s">
        <v>6967</v>
      </c>
      <c r="C830" s="0" t="s">
        <v>206</v>
      </c>
      <c r="D830" s="0" t="s">
        <v>5023</v>
      </c>
      <c r="E830" s="0" t="s">
        <v>5024</v>
      </c>
      <c r="F830" s="0" t="s">
        <v>5024</v>
      </c>
      <c r="G830" s="0" t="s">
        <v>2515</v>
      </c>
      <c r="H830" s="0" t="s">
        <v>2645</v>
      </c>
      <c r="I830" s="0" t="s">
        <v>6960</v>
      </c>
      <c r="J830" s="0" t="s">
        <v>6961</v>
      </c>
      <c r="K830" s="0" t="s">
        <v>5260</v>
      </c>
    </row>
    <row r="831" customFormat="false" ht="12.8" hidden="false" customHeight="false" outlineLevel="0" collapsed="false">
      <c r="A831" s="0" t="s">
        <v>6968</v>
      </c>
      <c r="B831" s="0" t="s">
        <v>6969</v>
      </c>
      <c r="C831" s="0" t="s">
        <v>263</v>
      </c>
      <c r="D831" s="0" t="s">
        <v>5023</v>
      </c>
      <c r="E831" s="0" t="s">
        <v>5024</v>
      </c>
      <c r="F831" s="0" t="s">
        <v>5024</v>
      </c>
      <c r="G831" s="0" t="s">
        <v>3278</v>
      </c>
      <c r="H831" s="0" t="s">
        <v>3279</v>
      </c>
      <c r="I831" s="0" t="s">
        <v>6970</v>
      </c>
      <c r="J831" s="0" t="s">
        <v>6971</v>
      </c>
      <c r="K831" s="0" t="s">
        <v>5260</v>
      </c>
    </row>
    <row r="832" customFormat="false" ht="12.8" hidden="false" customHeight="false" outlineLevel="0" collapsed="false">
      <c r="A832" s="0" t="s">
        <v>6972</v>
      </c>
      <c r="B832" s="0" t="s">
        <v>6973</v>
      </c>
      <c r="C832" s="0" t="s">
        <v>263</v>
      </c>
      <c r="D832" s="0" t="s">
        <v>5023</v>
      </c>
      <c r="E832" s="0" t="s">
        <v>5024</v>
      </c>
      <c r="F832" s="0" t="s">
        <v>5024</v>
      </c>
      <c r="G832" s="0" t="s">
        <v>3278</v>
      </c>
      <c r="H832" s="0" t="s">
        <v>3279</v>
      </c>
      <c r="I832" s="0" t="s">
        <v>6970</v>
      </c>
      <c r="J832" s="0" t="s">
        <v>6971</v>
      </c>
      <c r="K832" s="0" t="s">
        <v>5260</v>
      </c>
    </row>
    <row r="833" customFormat="false" ht="12.8" hidden="false" customHeight="false" outlineLevel="0" collapsed="false">
      <c r="A833" s="0" t="s">
        <v>6974</v>
      </c>
      <c r="B833" s="0" t="s">
        <v>6975</v>
      </c>
      <c r="C833" s="0" t="s">
        <v>263</v>
      </c>
      <c r="D833" s="0" t="s">
        <v>5023</v>
      </c>
      <c r="E833" s="0" t="s">
        <v>5024</v>
      </c>
      <c r="F833" s="0" t="s">
        <v>5024</v>
      </c>
      <c r="G833" s="0" t="s">
        <v>3278</v>
      </c>
      <c r="H833" s="0" t="s">
        <v>3279</v>
      </c>
      <c r="I833" s="0" t="s">
        <v>6970</v>
      </c>
      <c r="J833" s="0" t="s">
        <v>6971</v>
      </c>
      <c r="K833" s="0" t="s">
        <v>5260</v>
      </c>
    </row>
    <row r="834" customFormat="false" ht="12.8" hidden="false" customHeight="false" outlineLevel="0" collapsed="false">
      <c r="A834" s="0" t="s">
        <v>6976</v>
      </c>
      <c r="B834" s="0" t="s">
        <v>6977</v>
      </c>
      <c r="C834" s="0" t="s">
        <v>263</v>
      </c>
      <c r="D834" s="0" t="s">
        <v>5061</v>
      </c>
      <c r="E834" s="0" t="s">
        <v>5062</v>
      </c>
      <c r="F834" s="0" t="s">
        <v>5062</v>
      </c>
      <c r="G834" s="0" t="s">
        <v>3278</v>
      </c>
      <c r="H834" s="0" t="s">
        <v>3279</v>
      </c>
      <c r="I834" s="0" t="s">
        <v>6970</v>
      </c>
      <c r="J834" s="0" t="s">
        <v>6971</v>
      </c>
      <c r="K834" s="0" t="s">
        <v>5260</v>
      </c>
    </row>
    <row r="835" customFormat="false" ht="12.8" hidden="false" customHeight="false" outlineLevel="0" collapsed="false">
      <c r="A835" s="0" t="s">
        <v>6978</v>
      </c>
      <c r="B835" s="0" t="s">
        <v>6979</v>
      </c>
      <c r="C835" s="0" t="s">
        <v>263</v>
      </c>
      <c r="D835" s="0" t="s">
        <v>5057</v>
      </c>
      <c r="E835" s="0" t="s">
        <v>5058</v>
      </c>
      <c r="F835" s="0" t="s">
        <v>5058</v>
      </c>
      <c r="G835" s="0" t="s">
        <v>3278</v>
      </c>
      <c r="H835" s="0" t="s">
        <v>3279</v>
      </c>
      <c r="I835" s="0" t="s">
        <v>6970</v>
      </c>
      <c r="J835" s="0" t="s">
        <v>6971</v>
      </c>
      <c r="K835" s="0" t="s">
        <v>5260</v>
      </c>
    </row>
    <row r="836" customFormat="false" ht="12.8" hidden="false" customHeight="false" outlineLevel="0" collapsed="false">
      <c r="A836" s="0" t="s">
        <v>6980</v>
      </c>
      <c r="B836" s="0" t="s">
        <v>6981</v>
      </c>
      <c r="C836" s="0" t="s">
        <v>263</v>
      </c>
      <c r="D836" s="0" t="s">
        <v>5023</v>
      </c>
      <c r="E836" s="0" t="s">
        <v>5024</v>
      </c>
      <c r="F836" s="0" t="s">
        <v>5024</v>
      </c>
      <c r="G836" s="0" t="s">
        <v>3278</v>
      </c>
      <c r="H836" s="0" t="s">
        <v>3279</v>
      </c>
      <c r="I836" s="0" t="s">
        <v>6970</v>
      </c>
      <c r="J836" s="0" t="s">
        <v>6971</v>
      </c>
      <c r="K836" s="0" t="s">
        <v>5260</v>
      </c>
    </row>
    <row r="837" customFormat="false" ht="12.8" hidden="false" customHeight="false" outlineLevel="0" collapsed="false">
      <c r="A837" s="0" t="s">
        <v>6982</v>
      </c>
      <c r="B837" s="0" t="s">
        <v>6983</v>
      </c>
      <c r="C837" s="0" t="s">
        <v>263</v>
      </c>
      <c r="D837" s="0" t="s">
        <v>5023</v>
      </c>
      <c r="E837" s="0" t="s">
        <v>5024</v>
      </c>
      <c r="F837" s="0" t="s">
        <v>5024</v>
      </c>
      <c r="G837" s="0" t="s">
        <v>3278</v>
      </c>
      <c r="H837" s="0" t="s">
        <v>3279</v>
      </c>
      <c r="I837" s="0" t="s">
        <v>6970</v>
      </c>
      <c r="J837" s="0" t="s">
        <v>6971</v>
      </c>
      <c r="K837" s="0" t="s">
        <v>5260</v>
      </c>
    </row>
    <row r="838" customFormat="false" ht="12.8" hidden="false" customHeight="false" outlineLevel="0" collapsed="false">
      <c r="A838" s="0" t="s">
        <v>6984</v>
      </c>
      <c r="B838" s="0" t="s">
        <v>6985</v>
      </c>
      <c r="C838" s="0" t="s">
        <v>263</v>
      </c>
      <c r="D838" s="0" t="s">
        <v>5023</v>
      </c>
      <c r="E838" s="0" t="s">
        <v>5024</v>
      </c>
      <c r="F838" s="0" t="s">
        <v>5024</v>
      </c>
      <c r="G838" s="0" t="s">
        <v>3278</v>
      </c>
      <c r="H838" s="0" t="s">
        <v>3279</v>
      </c>
      <c r="I838" s="0" t="s">
        <v>6970</v>
      </c>
      <c r="J838" s="0" t="s">
        <v>6971</v>
      </c>
      <c r="K838" s="0" t="s">
        <v>5260</v>
      </c>
    </row>
    <row r="839" customFormat="false" ht="12.8" hidden="false" customHeight="false" outlineLevel="0" collapsed="false">
      <c r="A839" s="0" t="s">
        <v>6986</v>
      </c>
      <c r="B839" s="0" t="s">
        <v>6987</v>
      </c>
      <c r="C839" s="0" t="s">
        <v>263</v>
      </c>
      <c r="D839" s="0" t="s">
        <v>5023</v>
      </c>
      <c r="E839" s="0" t="s">
        <v>5024</v>
      </c>
      <c r="F839" s="0" t="s">
        <v>5024</v>
      </c>
      <c r="G839" s="0" t="s">
        <v>3278</v>
      </c>
      <c r="H839" s="0" t="s">
        <v>3279</v>
      </c>
      <c r="I839" s="0" t="s">
        <v>6970</v>
      </c>
      <c r="J839" s="0" t="s">
        <v>6971</v>
      </c>
      <c r="K839" s="0" t="s">
        <v>5260</v>
      </c>
    </row>
    <row r="840" customFormat="false" ht="12.8" hidden="false" customHeight="false" outlineLevel="0" collapsed="false">
      <c r="A840" s="0" t="s">
        <v>6988</v>
      </c>
      <c r="B840" s="0" t="s">
        <v>6989</v>
      </c>
      <c r="C840" s="0" t="s">
        <v>292</v>
      </c>
      <c r="D840" s="0" t="s">
        <v>5023</v>
      </c>
      <c r="E840" s="0" t="s">
        <v>5024</v>
      </c>
      <c r="F840" s="0" t="s">
        <v>5024</v>
      </c>
      <c r="G840" s="0" t="s">
        <v>2515</v>
      </c>
      <c r="H840" s="0" t="s">
        <v>2862</v>
      </c>
      <c r="I840" s="0" t="s">
        <v>6990</v>
      </c>
      <c r="J840" s="0" t="s">
        <v>6991</v>
      </c>
      <c r="K840" s="0" t="s">
        <v>5260</v>
      </c>
    </row>
    <row r="841" customFormat="false" ht="12.8" hidden="false" customHeight="false" outlineLevel="0" collapsed="false">
      <c r="A841" s="0" t="s">
        <v>6992</v>
      </c>
      <c r="B841" s="0" t="s">
        <v>6993</v>
      </c>
      <c r="C841" s="0" t="s">
        <v>292</v>
      </c>
      <c r="D841" s="0" t="s">
        <v>5061</v>
      </c>
      <c r="E841" s="0" t="s">
        <v>5062</v>
      </c>
      <c r="F841" s="0" t="s">
        <v>5062</v>
      </c>
      <c r="G841" s="0" t="s">
        <v>2515</v>
      </c>
      <c r="H841" s="0" t="s">
        <v>2862</v>
      </c>
      <c r="I841" s="0" t="s">
        <v>6990</v>
      </c>
      <c r="J841" s="0" t="s">
        <v>6991</v>
      </c>
      <c r="K841" s="0" t="s">
        <v>5260</v>
      </c>
    </row>
    <row r="842" customFormat="false" ht="12.8" hidden="false" customHeight="false" outlineLevel="0" collapsed="false">
      <c r="A842" s="0" t="s">
        <v>6994</v>
      </c>
      <c r="B842" s="0" t="s">
        <v>6995</v>
      </c>
      <c r="C842" s="0" t="s">
        <v>292</v>
      </c>
      <c r="D842" s="0" t="s">
        <v>5057</v>
      </c>
      <c r="E842" s="0" t="s">
        <v>5058</v>
      </c>
      <c r="F842" s="0" t="s">
        <v>5058</v>
      </c>
      <c r="G842" s="0" t="s">
        <v>2515</v>
      </c>
      <c r="H842" s="0" t="s">
        <v>2862</v>
      </c>
      <c r="I842" s="0" t="s">
        <v>6990</v>
      </c>
      <c r="J842" s="0" t="s">
        <v>6991</v>
      </c>
      <c r="K842" s="0" t="s">
        <v>5260</v>
      </c>
    </row>
    <row r="843" customFormat="false" ht="12.8" hidden="false" customHeight="false" outlineLevel="0" collapsed="false">
      <c r="A843" s="0" t="s">
        <v>6996</v>
      </c>
      <c r="B843" s="0" t="s">
        <v>6997</v>
      </c>
      <c r="C843" s="0" t="s">
        <v>338</v>
      </c>
      <c r="D843" s="0" t="s">
        <v>5061</v>
      </c>
      <c r="E843" s="0" t="s">
        <v>5062</v>
      </c>
      <c r="F843" s="0" t="s">
        <v>5062</v>
      </c>
      <c r="G843" s="0" t="s">
        <v>2515</v>
      </c>
      <c r="H843" s="0" t="s">
        <v>2862</v>
      </c>
      <c r="I843" s="0" t="s">
        <v>6998</v>
      </c>
      <c r="J843" s="0" t="s">
        <v>6999</v>
      </c>
      <c r="K843" s="0" t="s">
        <v>5260</v>
      </c>
    </row>
    <row r="844" customFormat="false" ht="12.8" hidden="false" customHeight="false" outlineLevel="0" collapsed="false">
      <c r="A844" s="0" t="s">
        <v>7000</v>
      </c>
      <c r="B844" s="0" t="s">
        <v>7001</v>
      </c>
      <c r="C844" s="0" t="s">
        <v>338</v>
      </c>
      <c r="D844" s="0" t="s">
        <v>5057</v>
      </c>
      <c r="E844" s="0" t="s">
        <v>5058</v>
      </c>
      <c r="F844" s="0" t="s">
        <v>5058</v>
      </c>
      <c r="G844" s="0" t="s">
        <v>2515</v>
      </c>
      <c r="H844" s="0" t="s">
        <v>2862</v>
      </c>
      <c r="I844" s="0" t="s">
        <v>6998</v>
      </c>
      <c r="J844" s="0" t="s">
        <v>6999</v>
      </c>
      <c r="K844" s="0" t="s">
        <v>5260</v>
      </c>
    </row>
    <row r="845" customFormat="false" ht="12.8" hidden="false" customHeight="false" outlineLevel="0" collapsed="false">
      <c r="A845" s="0" t="s">
        <v>7002</v>
      </c>
      <c r="B845" s="0" t="s">
        <v>7003</v>
      </c>
      <c r="C845" s="0" t="s">
        <v>338</v>
      </c>
      <c r="D845" s="0" t="s">
        <v>5023</v>
      </c>
      <c r="E845" s="0" t="s">
        <v>5024</v>
      </c>
      <c r="F845" s="0" t="s">
        <v>5024</v>
      </c>
      <c r="G845" s="0" t="s">
        <v>2515</v>
      </c>
      <c r="H845" s="0" t="s">
        <v>2862</v>
      </c>
      <c r="I845" s="0" t="s">
        <v>6998</v>
      </c>
      <c r="J845" s="0" t="s">
        <v>6999</v>
      </c>
      <c r="K845" s="0" t="s">
        <v>5260</v>
      </c>
    </row>
    <row r="846" customFormat="false" ht="12.8" hidden="false" customHeight="false" outlineLevel="0" collapsed="false">
      <c r="A846" s="0" t="s">
        <v>7004</v>
      </c>
      <c r="B846" s="0" t="s">
        <v>7005</v>
      </c>
      <c r="C846" s="0" t="s">
        <v>338</v>
      </c>
      <c r="D846" s="0" t="s">
        <v>5023</v>
      </c>
      <c r="E846" s="0" t="s">
        <v>5024</v>
      </c>
      <c r="F846" s="0" t="s">
        <v>5024</v>
      </c>
      <c r="G846" s="0" t="s">
        <v>2515</v>
      </c>
      <c r="H846" s="0" t="s">
        <v>2862</v>
      </c>
      <c r="I846" s="0" t="s">
        <v>6998</v>
      </c>
      <c r="J846" s="0" t="s">
        <v>6999</v>
      </c>
      <c r="K846" s="0" t="s">
        <v>5260</v>
      </c>
    </row>
    <row r="847" customFormat="false" ht="12.8" hidden="false" customHeight="false" outlineLevel="0" collapsed="false">
      <c r="A847" s="0" t="s">
        <v>7006</v>
      </c>
      <c r="B847" s="0" t="s">
        <v>7007</v>
      </c>
      <c r="C847" s="0" t="s">
        <v>42</v>
      </c>
      <c r="D847" s="0" t="s">
        <v>5061</v>
      </c>
      <c r="E847" s="0" t="s">
        <v>5062</v>
      </c>
      <c r="F847" s="0" t="s">
        <v>5062</v>
      </c>
      <c r="G847" s="0" t="s">
        <v>2515</v>
      </c>
      <c r="H847" s="0" t="s">
        <v>3144</v>
      </c>
      <c r="I847" s="0" t="s">
        <v>7008</v>
      </c>
      <c r="J847" s="0" t="s">
        <v>7009</v>
      </c>
      <c r="K847" s="0" t="s">
        <v>5260</v>
      </c>
    </row>
    <row r="848" customFormat="false" ht="12.8" hidden="false" customHeight="false" outlineLevel="0" collapsed="false">
      <c r="A848" s="0" t="s">
        <v>7010</v>
      </c>
      <c r="B848" s="0" t="s">
        <v>7011</v>
      </c>
      <c r="C848" s="0" t="s">
        <v>42</v>
      </c>
      <c r="D848" s="0" t="s">
        <v>5023</v>
      </c>
      <c r="E848" s="0" t="s">
        <v>5024</v>
      </c>
      <c r="F848" s="0" t="s">
        <v>5024</v>
      </c>
      <c r="G848" s="0" t="s">
        <v>2515</v>
      </c>
      <c r="H848" s="0" t="s">
        <v>3144</v>
      </c>
      <c r="I848" s="0" t="s">
        <v>7008</v>
      </c>
      <c r="J848" s="0" t="s">
        <v>7009</v>
      </c>
      <c r="K848" s="0" t="s">
        <v>5260</v>
      </c>
    </row>
    <row r="849" customFormat="false" ht="12.8" hidden="false" customHeight="false" outlineLevel="0" collapsed="false">
      <c r="A849" s="0" t="s">
        <v>7012</v>
      </c>
      <c r="B849" s="0" t="s">
        <v>7013</v>
      </c>
      <c r="C849" s="0" t="s">
        <v>42</v>
      </c>
      <c r="D849" s="0" t="s">
        <v>5023</v>
      </c>
      <c r="E849" s="0" t="s">
        <v>5024</v>
      </c>
      <c r="F849" s="0" t="s">
        <v>5024</v>
      </c>
      <c r="G849" s="0" t="s">
        <v>2515</v>
      </c>
      <c r="H849" s="0" t="s">
        <v>3144</v>
      </c>
      <c r="I849" s="0" t="s">
        <v>7008</v>
      </c>
      <c r="J849" s="0" t="s">
        <v>7009</v>
      </c>
      <c r="K849" s="0" t="s">
        <v>5260</v>
      </c>
    </row>
    <row r="850" customFormat="false" ht="12.8" hidden="false" customHeight="false" outlineLevel="0" collapsed="false">
      <c r="A850" s="0" t="s">
        <v>7014</v>
      </c>
      <c r="B850" s="0" t="s">
        <v>7015</v>
      </c>
      <c r="C850" s="0" t="s">
        <v>81</v>
      </c>
      <c r="D850" s="0" t="s">
        <v>5023</v>
      </c>
      <c r="E850" s="0" t="s">
        <v>5024</v>
      </c>
      <c r="F850" s="0" t="s">
        <v>5024</v>
      </c>
      <c r="G850" s="0" t="s">
        <v>2515</v>
      </c>
      <c r="H850" s="0" t="s">
        <v>3002</v>
      </c>
      <c r="I850" s="0" t="s">
        <v>7016</v>
      </c>
      <c r="J850" s="0" t="s">
        <v>7017</v>
      </c>
      <c r="K850" s="0" t="s">
        <v>5291</v>
      </c>
    </row>
    <row r="851" customFormat="false" ht="12.8" hidden="false" customHeight="false" outlineLevel="0" collapsed="false">
      <c r="A851" s="0" t="s">
        <v>7018</v>
      </c>
      <c r="B851" s="0" t="s">
        <v>7019</v>
      </c>
      <c r="C851" s="0" t="s">
        <v>81</v>
      </c>
      <c r="D851" s="0" t="s">
        <v>5023</v>
      </c>
      <c r="E851" s="0" t="s">
        <v>5024</v>
      </c>
      <c r="F851" s="0" t="s">
        <v>5024</v>
      </c>
      <c r="G851" s="0" t="s">
        <v>2515</v>
      </c>
      <c r="H851" s="0" t="s">
        <v>3002</v>
      </c>
      <c r="I851" s="0" t="s">
        <v>7016</v>
      </c>
      <c r="J851" s="0" t="s">
        <v>7017</v>
      </c>
      <c r="K851" s="0" t="s">
        <v>5291</v>
      </c>
    </row>
    <row r="852" customFormat="false" ht="12.8" hidden="false" customHeight="false" outlineLevel="0" collapsed="false">
      <c r="A852" s="0" t="s">
        <v>7020</v>
      </c>
      <c r="B852" s="0" t="s">
        <v>7021</v>
      </c>
      <c r="C852" s="0" t="s">
        <v>81</v>
      </c>
      <c r="D852" s="0" t="s">
        <v>5057</v>
      </c>
      <c r="E852" s="0" t="s">
        <v>5058</v>
      </c>
      <c r="F852" s="0" t="s">
        <v>5058</v>
      </c>
      <c r="G852" s="0" t="s">
        <v>2515</v>
      </c>
      <c r="H852" s="0" t="s">
        <v>3002</v>
      </c>
      <c r="I852" s="0" t="s">
        <v>7016</v>
      </c>
      <c r="J852" s="0" t="s">
        <v>7017</v>
      </c>
      <c r="K852" s="0" t="s">
        <v>5291</v>
      </c>
    </row>
    <row r="853" customFormat="false" ht="12.8" hidden="false" customHeight="false" outlineLevel="0" collapsed="false">
      <c r="A853" s="0" t="s">
        <v>7022</v>
      </c>
      <c r="B853" s="0" t="s">
        <v>7023</v>
      </c>
      <c r="C853" s="0" t="s">
        <v>81</v>
      </c>
      <c r="D853" s="0" t="s">
        <v>5061</v>
      </c>
      <c r="E853" s="0" t="s">
        <v>5062</v>
      </c>
      <c r="F853" s="0" t="s">
        <v>5062</v>
      </c>
      <c r="G853" s="0" t="s">
        <v>2515</v>
      </c>
      <c r="H853" s="0" t="s">
        <v>3002</v>
      </c>
      <c r="I853" s="0" t="s">
        <v>7016</v>
      </c>
      <c r="J853" s="0" t="s">
        <v>7017</v>
      </c>
      <c r="K853" s="0" t="s">
        <v>5291</v>
      </c>
    </row>
    <row r="854" customFormat="false" ht="12.8" hidden="false" customHeight="false" outlineLevel="0" collapsed="false">
      <c r="A854" s="0" t="s">
        <v>7024</v>
      </c>
      <c r="B854" s="0" t="s">
        <v>7025</v>
      </c>
      <c r="C854" s="0" t="s">
        <v>81</v>
      </c>
      <c r="D854" s="0" t="s">
        <v>5023</v>
      </c>
      <c r="E854" s="0" t="s">
        <v>5024</v>
      </c>
      <c r="F854" s="0" t="s">
        <v>5024</v>
      </c>
      <c r="G854" s="0" t="s">
        <v>2515</v>
      </c>
      <c r="H854" s="0" t="s">
        <v>3002</v>
      </c>
      <c r="I854" s="0" t="s">
        <v>7016</v>
      </c>
      <c r="J854" s="0" t="s">
        <v>7017</v>
      </c>
      <c r="K854" s="0" t="s">
        <v>5291</v>
      </c>
    </row>
    <row r="855" customFormat="false" ht="12.8" hidden="false" customHeight="false" outlineLevel="0" collapsed="false">
      <c r="A855" s="0" t="s">
        <v>7026</v>
      </c>
      <c r="B855" s="0" t="s">
        <v>7027</v>
      </c>
      <c r="C855" s="0" t="s">
        <v>90</v>
      </c>
      <c r="D855" s="0" t="s">
        <v>5023</v>
      </c>
      <c r="E855" s="0" t="s">
        <v>5024</v>
      </c>
      <c r="F855" s="0" t="s">
        <v>5024</v>
      </c>
      <c r="G855" s="0" t="s">
        <v>3278</v>
      </c>
      <c r="H855" s="0" t="s">
        <v>3434</v>
      </c>
      <c r="I855" s="0" t="s">
        <v>7028</v>
      </c>
      <c r="J855" s="0" t="s">
        <v>7029</v>
      </c>
      <c r="K855" s="0" t="s">
        <v>6650</v>
      </c>
    </row>
    <row r="856" customFormat="false" ht="12.8" hidden="false" customHeight="false" outlineLevel="0" collapsed="false">
      <c r="A856" s="0" t="s">
        <v>7030</v>
      </c>
      <c r="B856" s="0" t="s">
        <v>7031</v>
      </c>
      <c r="C856" s="0" t="s">
        <v>90</v>
      </c>
      <c r="D856" s="0" t="s">
        <v>5023</v>
      </c>
      <c r="E856" s="0" t="s">
        <v>5024</v>
      </c>
      <c r="F856" s="0" t="s">
        <v>5024</v>
      </c>
      <c r="G856" s="0" t="s">
        <v>3278</v>
      </c>
      <c r="H856" s="0" t="s">
        <v>3434</v>
      </c>
      <c r="I856" s="0" t="s">
        <v>7028</v>
      </c>
      <c r="J856" s="0" t="s">
        <v>7029</v>
      </c>
      <c r="K856" s="0" t="s">
        <v>6650</v>
      </c>
    </row>
    <row r="857" customFormat="false" ht="12.8" hidden="false" customHeight="false" outlineLevel="0" collapsed="false">
      <c r="A857" s="0" t="s">
        <v>7032</v>
      </c>
      <c r="B857" s="0" t="s">
        <v>7033</v>
      </c>
      <c r="C857" s="0" t="s">
        <v>90</v>
      </c>
      <c r="D857" s="0" t="s">
        <v>5023</v>
      </c>
      <c r="E857" s="0" t="s">
        <v>5024</v>
      </c>
      <c r="F857" s="0" t="s">
        <v>5024</v>
      </c>
      <c r="G857" s="0" t="s">
        <v>3278</v>
      </c>
      <c r="H857" s="0" t="s">
        <v>3434</v>
      </c>
      <c r="I857" s="0" t="s">
        <v>7028</v>
      </c>
      <c r="J857" s="0" t="s">
        <v>7029</v>
      </c>
      <c r="K857" s="0" t="s">
        <v>6650</v>
      </c>
    </row>
    <row r="858" customFormat="false" ht="12.8" hidden="false" customHeight="false" outlineLevel="0" collapsed="false">
      <c r="A858" s="0" t="s">
        <v>7034</v>
      </c>
      <c r="B858" s="0" t="s">
        <v>7035</v>
      </c>
      <c r="C858" s="0" t="s">
        <v>90</v>
      </c>
      <c r="D858" s="0" t="s">
        <v>5023</v>
      </c>
      <c r="E858" s="0" t="s">
        <v>5024</v>
      </c>
      <c r="F858" s="0" t="s">
        <v>5024</v>
      </c>
      <c r="G858" s="0" t="s">
        <v>3278</v>
      </c>
      <c r="H858" s="0" t="s">
        <v>3434</v>
      </c>
      <c r="I858" s="0" t="s">
        <v>7028</v>
      </c>
      <c r="J858" s="0" t="s">
        <v>7029</v>
      </c>
      <c r="K858" s="0" t="s">
        <v>6650</v>
      </c>
    </row>
    <row r="859" customFormat="false" ht="12.8" hidden="false" customHeight="false" outlineLevel="0" collapsed="false">
      <c r="A859" s="0" t="s">
        <v>7036</v>
      </c>
      <c r="B859" s="0" t="s">
        <v>7037</v>
      </c>
      <c r="C859" s="0" t="s">
        <v>90</v>
      </c>
      <c r="D859" s="0" t="s">
        <v>5061</v>
      </c>
      <c r="E859" s="0" t="s">
        <v>5062</v>
      </c>
      <c r="F859" s="0" t="s">
        <v>5062</v>
      </c>
      <c r="G859" s="0" t="s">
        <v>3278</v>
      </c>
      <c r="H859" s="0" t="s">
        <v>3434</v>
      </c>
      <c r="I859" s="0" t="s">
        <v>7028</v>
      </c>
      <c r="J859" s="0" t="s">
        <v>7029</v>
      </c>
      <c r="K859" s="0" t="s">
        <v>6650</v>
      </c>
    </row>
    <row r="860" customFormat="false" ht="12.8" hidden="false" customHeight="false" outlineLevel="0" collapsed="false">
      <c r="A860" s="0" t="s">
        <v>7038</v>
      </c>
      <c r="B860" s="0" t="s">
        <v>7039</v>
      </c>
      <c r="C860" s="0" t="s">
        <v>90</v>
      </c>
      <c r="D860" s="0" t="s">
        <v>5023</v>
      </c>
      <c r="E860" s="0" t="s">
        <v>5024</v>
      </c>
      <c r="F860" s="0" t="s">
        <v>5024</v>
      </c>
      <c r="G860" s="0" t="s">
        <v>3278</v>
      </c>
      <c r="H860" s="0" t="s">
        <v>3434</v>
      </c>
      <c r="I860" s="0" t="s">
        <v>7028</v>
      </c>
      <c r="J860" s="0" t="s">
        <v>7029</v>
      </c>
      <c r="K860" s="0" t="s">
        <v>6650</v>
      </c>
    </row>
    <row r="861" customFormat="false" ht="12.8" hidden="false" customHeight="false" outlineLevel="0" collapsed="false">
      <c r="A861" s="0" t="s">
        <v>7040</v>
      </c>
      <c r="B861" s="0" t="s">
        <v>7041</v>
      </c>
      <c r="C861" s="0" t="s">
        <v>100</v>
      </c>
      <c r="D861" s="0" t="s">
        <v>5023</v>
      </c>
      <c r="E861" s="0" t="s">
        <v>5024</v>
      </c>
      <c r="F861" s="0" t="s">
        <v>5024</v>
      </c>
      <c r="G861" s="0" t="s">
        <v>2515</v>
      </c>
      <c r="H861" s="0" t="s">
        <v>3144</v>
      </c>
      <c r="I861" s="0" t="s">
        <v>7042</v>
      </c>
      <c r="J861" s="0" t="s">
        <v>7043</v>
      </c>
      <c r="K861" s="0" t="s">
        <v>7044</v>
      </c>
    </row>
    <row r="862" customFormat="false" ht="12.8" hidden="false" customHeight="false" outlineLevel="0" collapsed="false">
      <c r="A862" s="0" t="s">
        <v>7045</v>
      </c>
      <c r="B862" s="0" t="s">
        <v>7046</v>
      </c>
      <c r="C862" s="0" t="s">
        <v>100</v>
      </c>
      <c r="D862" s="0" t="s">
        <v>5023</v>
      </c>
      <c r="E862" s="0" t="s">
        <v>5024</v>
      </c>
      <c r="F862" s="0" t="s">
        <v>5024</v>
      </c>
      <c r="G862" s="0" t="s">
        <v>2515</v>
      </c>
      <c r="H862" s="0" t="s">
        <v>3144</v>
      </c>
      <c r="I862" s="0" t="s">
        <v>7042</v>
      </c>
      <c r="J862" s="0" t="s">
        <v>7043</v>
      </c>
      <c r="K862" s="0" t="s">
        <v>7044</v>
      </c>
    </row>
    <row r="863" customFormat="false" ht="12.8" hidden="false" customHeight="false" outlineLevel="0" collapsed="false">
      <c r="A863" s="0" t="s">
        <v>7047</v>
      </c>
      <c r="B863" s="0" t="s">
        <v>7048</v>
      </c>
      <c r="C863" s="0" t="s">
        <v>100</v>
      </c>
      <c r="D863" s="0" t="s">
        <v>5023</v>
      </c>
      <c r="E863" s="0" t="s">
        <v>5024</v>
      </c>
      <c r="F863" s="0" t="s">
        <v>5024</v>
      </c>
      <c r="G863" s="0" t="s">
        <v>2515</v>
      </c>
      <c r="H863" s="0" t="s">
        <v>3144</v>
      </c>
      <c r="I863" s="0" t="s">
        <v>7042</v>
      </c>
      <c r="J863" s="0" t="s">
        <v>7043</v>
      </c>
      <c r="K863" s="0" t="s">
        <v>7044</v>
      </c>
    </row>
    <row r="864" customFormat="false" ht="12.8" hidden="false" customHeight="false" outlineLevel="0" collapsed="false">
      <c r="A864" s="0" t="s">
        <v>7049</v>
      </c>
      <c r="B864" s="0" t="s">
        <v>7050</v>
      </c>
      <c r="C864" s="0" t="s">
        <v>100</v>
      </c>
      <c r="D864" s="0" t="s">
        <v>5023</v>
      </c>
      <c r="E864" s="0" t="s">
        <v>5024</v>
      </c>
      <c r="F864" s="0" t="s">
        <v>5024</v>
      </c>
      <c r="G864" s="0" t="s">
        <v>2515</v>
      </c>
      <c r="H864" s="0" t="s">
        <v>3144</v>
      </c>
      <c r="I864" s="0" t="s">
        <v>7042</v>
      </c>
      <c r="J864" s="0" t="s">
        <v>7043</v>
      </c>
      <c r="K864" s="0" t="s">
        <v>7044</v>
      </c>
    </row>
    <row r="865" customFormat="false" ht="12.8" hidden="false" customHeight="false" outlineLevel="0" collapsed="false">
      <c r="A865" s="0" t="s">
        <v>7051</v>
      </c>
      <c r="B865" s="0" t="s">
        <v>7052</v>
      </c>
      <c r="C865" s="0" t="s">
        <v>100</v>
      </c>
      <c r="D865" s="0" t="s">
        <v>5023</v>
      </c>
      <c r="E865" s="0" t="s">
        <v>5024</v>
      </c>
      <c r="F865" s="0" t="s">
        <v>5024</v>
      </c>
      <c r="G865" s="0" t="s">
        <v>2515</v>
      </c>
      <c r="H865" s="0" t="s">
        <v>3144</v>
      </c>
      <c r="I865" s="0" t="s">
        <v>7042</v>
      </c>
      <c r="J865" s="0" t="s">
        <v>7043</v>
      </c>
      <c r="K865" s="0" t="s">
        <v>7044</v>
      </c>
    </row>
    <row r="866" customFormat="false" ht="12.8" hidden="false" customHeight="false" outlineLevel="0" collapsed="false">
      <c r="A866" s="0" t="s">
        <v>7053</v>
      </c>
      <c r="B866" s="0" t="s">
        <v>7054</v>
      </c>
      <c r="C866" s="0" t="s">
        <v>100</v>
      </c>
      <c r="D866" s="0" t="s">
        <v>5023</v>
      </c>
      <c r="E866" s="0" t="s">
        <v>5024</v>
      </c>
      <c r="F866" s="0" t="s">
        <v>5024</v>
      </c>
      <c r="G866" s="0" t="s">
        <v>2515</v>
      </c>
      <c r="H866" s="0" t="s">
        <v>3144</v>
      </c>
      <c r="I866" s="0" t="s">
        <v>7042</v>
      </c>
      <c r="J866" s="0" t="s">
        <v>7043</v>
      </c>
      <c r="K866" s="0" t="s">
        <v>7044</v>
      </c>
    </row>
    <row r="867" customFormat="false" ht="12.8" hidden="false" customHeight="false" outlineLevel="0" collapsed="false">
      <c r="A867" s="0" t="s">
        <v>7055</v>
      </c>
      <c r="B867" s="0" t="s">
        <v>7056</v>
      </c>
      <c r="C867" s="0" t="s">
        <v>100</v>
      </c>
      <c r="D867" s="0" t="s">
        <v>5061</v>
      </c>
      <c r="E867" s="0" t="s">
        <v>5062</v>
      </c>
      <c r="F867" s="0" t="s">
        <v>5062</v>
      </c>
      <c r="G867" s="0" t="s">
        <v>2515</v>
      </c>
      <c r="H867" s="0" t="s">
        <v>3144</v>
      </c>
      <c r="I867" s="0" t="s">
        <v>7042</v>
      </c>
      <c r="J867" s="0" t="s">
        <v>7043</v>
      </c>
      <c r="K867" s="0" t="s">
        <v>7044</v>
      </c>
    </row>
    <row r="868" customFormat="false" ht="12.8" hidden="false" customHeight="false" outlineLevel="0" collapsed="false">
      <c r="A868" s="0" t="s">
        <v>7057</v>
      </c>
      <c r="B868" s="0" t="s">
        <v>7058</v>
      </c>
      <c r="C868" s="0" t="s">
        <v>147</v>
      </c>
      <c r="D868" s="0" t="s">
        <v>5061</v>
      </c>
      <c r="E868" s="0" t="s">
        <v>5062</v>
      </c>
      <c r="F868" s="0" t="s">
        <v>5062</v>
      </c>
      <c r="G868" s="0" t="s">
        <v>2515</v>
      </c>
      <c r="H868" s="0" t="s">
        <v>3002</v>
      </c>
      <c r="I868" s="0" t="s">
        <v>7059</v>
      </c>
      <c r="J868" s="0" t="s">
        <v>7060</v>
      </c>
      <c r="K868" s="0" t="s">
        <v>5260</v>
      </c>
    </row>
    <row r="869" customFormat="false" ht="12.8" hidden="false" customHeight="false" outlineLevel="0" collapsed="false">
      <c r="A869" s="0" t="s">
        <v>7061</v>
      </c>
      <c r="B869" s="0" t="s">
        <v>7062</v>
      </c>
      <c r="C869" s="0" t="s">
        <v>147</v>
      </c>
      <c r="D869" s="0" t="s">
        <v>5023</v>
      </c>
      <c r="E869" s="0" t="s">
        <v>5024</v>
      </c>
      <c r="F869" s="0" t="s">
        <v>5024</v>
      </c>
      <c r="G869" s="0" t="s">
        <v>2515</v>
      </c>
      <c r="H869" s="0" t="s">
        <v>3002</v>
      </c>
      <c r="I869" s="0" t="s">
        <v>7059</v>
      </c>
      <c r="J869" s="0" t="s">
        <v>7060</v>
      </c>
      <c r="K869" s="0" t="s">
        <v>5260</v>
      </c>
    </row>
    <row r="870" customFormat="false" ht="12.8" hidden="false" customHeight="false" outlineLevel="0" collapsed="false">
      <c r="A870" s="0" t="s">
        <v>7063</v>
      </c>
      <c r="B870" s="0" t="s">
        <v>7064</v>
      </c>
      <c r="C870" s="0" t="s">
        <v>147</v>
      </c>
      <c r="D870" s="0" t="s">
        <v>5023</v>
      </c>
      <c r="E870" s="0" t="s">
        <v>5024</v>
      </c>
      <c r="F870" s="0" t="s">
        <v>5024</v>
      </c>
      <c r="G870" s="0" t="s">
        <v>2515</v>
      </c>
      <c r="H870" s="0" t="s">
        <v>3002</v>
      </c>
      <c r="I870" s="0" t="s">
        <v>7059</v>
      </c>
      <c r="J870" s="0" t="s">
        <v>7060</v>
      </c>
      <c r="K870" s="0" t="s">
        <v>5260</v>
      </c>
    </row>
    <row r="871" customFormat="false" ht="12.8" hidden="false" customHeight="false" outlineLevel="0" collapsed="false">
      <c r="A871" s="0" t="s">
        <v>7065</v>
      </c>
      <c r="B871" s="0" t="s">
        <v>7066</v>
      </c>
      <c r="C871" s="0" t="s">
        <v>147</v>
      </c>
      <c r="D871" s="0" t="s">
        <v>5023</v>
      </c>
      <c r="E871" s="0" t="s">
        <v>5024</v>
      </c>
      <c r="F871" s="0" t="s">
        <v>5024</v>
      </c>
      <c r="G871" s="0" t="s">
        <v>2515</v>
      </c>
      <c r="H871" s="0" t="s">
        <v>3002</v>
      </c>
      <c r="I871" s="0" t="s">
        <v>7059</v>
      </c>
      <c r="J871" s="0" t="s">
        <v>7060</v>
      </c>
      <c r="K871" s="0" t="s">
        <v>5260</v>
      </c>
    </row>
    <row r="872" customFormat="false" ht="12.8" hidden="false" customHeight="false" outlineLevel="0" collapsed="false">
      <c r="A872" s="0" t="s">
        <v>7067</v>
      </c>
      <c r="B872" s="0" t="s">
        <v>7068</v>
      </c>
      <c r="C872" s="0" t="s">
        <v>232</v>
      </c>
      <c r="D872" s="0" t="s">
        <v>5023</v>
      </c>
      <c r="E872" s="0" t="s">
        <v>5024</v>
      </c>
      <c r="F872" s="0" t="s">
        <v>5024</v>
      </c>
      <c r="G872" s="0" t="s">
        <v>3278</v>
      </c>
      <c r="H872" s="0" t="s">
        <v>3434</v>
      </c>
      <c r="I872" s="0" t="s">
        <v>7069</v>
      </c>
      <c r="J872" s="0" t="s">
        <v>7070</v>
      </c>
      <c r="K872" s="0" t="s">
        <v>5260</v>
      </c>
    </row>
    <row r="873" customFormat="false" ht="12.8" hidden="false" customHeight="false" outlineLevel="0" collapsed="false">
      <c r="A873" s="0" t="s">
        <v>7071</v>
      </c>
      <c r="B873" s="0" t="s">
        <v>7072</v>
      </c>
      <c r="C873" s="0" t="s">
        <v>232</v>
      </c>
      <c r="D873" s="0" t="s">
        <v>5023</v>
      </c>
      <c r="E873" s="0" t="s">
        <v>5024</v>
      </c>
      <c r="F873" s="0" t="s">
        <v>5024</v>
      </c>
      <c r="G873" s="0" t="s">
        <v>3278</v>
      </c>
      <c r="H873" s="0" t="s">
        <v>3434</v>
      </c>
      <c r="I873" s="0" t="s">
        <v>7069</v>
      </c>
      <c r="J873" s="0" t="s">
        <v>7070</v>
      </c>
      <c r="K873" s="0" t="s">
        <v>5260</v>
      </c>
    </row>
    <row r="874" customFormat="false" ht="12.8" hidden="false" customHeight="false" outlineLevel="0" collapsed="false">
      <c r="A874" s="0" t="s">
        <v>7073</v>
      </c>
      <c r="B874" s="0" t="s">
        <v>7074</v>
      </c>
      <c r="C874" s="0" t="s">
        <v>232</v>
      </c>
      <c r="D874" s="0" t="s">
        <v>5023</v>
      </c>
      <c r="E874" s="0" t="s">
        <v>5024</v>
      </c>
      <c r="F874" s="0" t="s">
        <v>5024</v>
      </c>
      <c r="G874" s="0" t="s">
        <v>3278</v>
      </c>
      <c r="H874" s="0" t="s">
        <v>3434</v>
      </c>
      <c r="I874" s="0" t="s">
        <v>7069</v>
      </c>
      <c r="J874" s="0" t="s">
        <v>7070</v>
      </c>
      <c r="K874" s="0" t="s">
        <v>5260</v>
      </c>
    </row>
    <row r="875" customFormat="false" ht="12.8" hidden="false" customHeight="false" outlineLevel="0" collapsed="false">
      <c r="A875" s="0" t="s">
        <v>7075</v>
      </c>
      <c r="B875" s="0" t="s">
        <v>7076</v>
      </c>
      <c r="C875" s="0" t="s">
        <v>232</v>
      </c>
      <c r="D875" s="0" t="s">
        <v>5023</v>
      </c>
      <c r="E875" s="0" t="s">
        <v>5024</v>
      </c>
      <c r="F875" s="0" t="s">
        <v>5024</v>
      </c>
      <c r="G875" s="0" t="s">
        <v>3278</v>
      </c>
      <c r="H875" s="0" t="s">
        <v>3434</v>
      </c>
      <c r="I875" s="0" t="s">
        <v>7069</v>
      </c>
      <c r="J875" s="0" t="s">
        <v>7070</v>
      </c>
      <c r="K875" s="0" t="s">
        <v>5260</v>
      </c>
    </row>
    <row r="876" customFormat="false" ht="12.8" hidden="false" customHeight="false" outlineLevel="0" collapsed="false">
      <c r="A876" s="0" t="s">
        <v>7077</v>
      </c>
      <c r="B876" s="0" t="s">
        <v>7078</v>
      </c>
      <c r="C876" s="0" t="s">
        <v>232</v>
      </c>
      <c r="D876" s="0" t="s">
        <v>5061</v>
      </c>
      <c r="E876" s="0" t="s">
        <v>5062</v>
      </c>
      <c r="F876" s="0" t="s">
        <v>5062</v>
      </c>
      <c r="G876" s="0" t="s">
        <v>3278</v>
      </c>
      <c r="H876" s="0" t="s">
        <v>3434</v>
      </c>
      <c r="I876" s="0" t="s">
        <v>7069</v>
      </c>
      <c r="J876" s="0" t="s">
        <v>7070</v>
      </c>
      <c r="K876" s="0" t="s">
        <v>5260</v>
      </c>
    </row>
    <row r="877" customFormat="false" ht="12.8" hidden="false" customHeight="false" outlineLevel="0" collapsed="false">
      <c r="A877" s="0" t="s">
        <v>7079</v>
      </c>
      <c r="B877" s="0" t="s">
        <v>7080</v>
      </c>
      <c r="C877" s="0" t="s">
        <v>318</v>
      </c>
      <c r="D877" s="0" t="s">
        <v>5061</v>
      </c>
      <c r="E877" s="0" t="s">
        <v>5062</v>
      </c>
      <c r="F877" s="0" t="s">
        <v>5062</v>
      </c>
      <c r="G877" s="0" t="s">
        <v>2515</v>
      </c>
      <c r="H877" s="0" t="s">
        <v>3002</v>
      </c>
      <c r="I877" s="0" t="s">
        <v>7081</v>
      </c>
      <c r="J877" s="0" t="s">
        <v>7082</v>
      </c>
      <c r="K877" s="0" t="s">
        <v>7044</v>
      </c>
    </row>
    <row r="878" customFormat="false" ht="12.8" hidden="false" customHeight="false" outlineLevel="0" collapsed="false">
      <c r="A878" s="0" t="s">
        <v>7083</v>
      </c>
      <c r="B878" s="0" t="s">
        <v>7084</v>
      </c>
      <c r="C878" s="0" t="s">
        <v>318</v>
      </c>
      <c r="D878" s="0" t="s">
        <v>5057</v>
      </c>
      <c r="E878" s="0" t="s">
        <v>5058</v>
      </c>
      <c r="F878" s="0" t="s">
        <v>5058</v>
      </c>
      <c r="G878" s="0" t="s">
        <v>2515</v>
      </c>
      <c r="H878" s="0" t="s">
        <v>3002</v>
      </c>
      <c r="I878" s="0" t="s">
        <v>7081</v>
      </c>
      <c r="J878" s="0" t="s">
        <v>7082</v>
      </c>
      <c r="K878" s="0" t="s">
        <v>7044</v>
      </c>
    </row>
    <row r="879" customFormat="false" ht="12.8" hidden="false" customHeight="false" outlineLevel="0" collapsed="false">
      <c r="A879" s="0" t="s">
        <v>7085</v>
      </c>
      <c r="B879" s="0" t="s">
        <v>7086</v>
      </c>
      <c r="C879" s="0" t="s">
        <v>318</v>
      </c>
      <c r="D879" s="0" t="s">
        <v>5023</v>
      </c>
      <c r="E879" s="0" t="s">
        <v>5024</v>
      </c>
      <c r="F879" s="0" t="s">
        <v>5024</v>
      </c>
      <c r="G879" s="0" t="s">
        <v>2515</v>
      </c>
      <c r="H879" s="0" t="s">
        <v>3002</v>
      </c>
      <c r="I879" s="0" t="s">
        <v>7081</v>
      </c>
      <c r="J879" s="0" t="s">
        <v>7082</v>
      </c>
      <c r="K879" s="0" t="s">
        <v>7044</v>
      </c>
    </row>
    <row r="880" customFormat="false" ht="12.8" hidden="false" customHeight="false" outlineLevel="0" collapsed="false">
      <c r="A880" s="0" t="s">
        <v>7087</v>
      </c>
      <c r="B880" s="0" t="s">
        <v>7088</v>
      </c>
      <c r="C880" s="0" t="s">
        <v>318</v>
      </c>
      <c r="D880" s="0" t="s">
        <v>5023</v>
      </c>
      <c r="E880" s="0" t="s">
        <v>5024</v>
      </c>
      <c r="F880" s="0" t="s">
        <v>5024</v>
      </c>
      <c r="G880" s="0" t="s">
        <v>2515</v>
      </c>
      <c r="H880" s="0" t="s">
        <v>3002</v>
      </c>
      <c r="I880" s="0" t="s">
        <v>7081</v>
      </c>
      <c r="J880" s="0" t="s">
        <v>7082</v>
      </c>
      <c r="K880" s="0" t="s">
        <v>7044</v>
      </c>
    </row>
    <row r="881" customFormat="false" ht="12.8" hidden="false" customHeight="false" outlineLevel="0" collapsed="false">
      <c r="A881" s="0" t="s">
        <v>7089</v>
      </c>
      <c r="B881" s="0" t="s">
        <v>7090</v>
      </c>
      <c r="C881" s="0" t="s">
        <v>318</v>
      </c>
      <c r="D881" s="0" t="s">
        <v>5023</v>
      </c>
      <c r="E881" s="0" t="s">
        <v>5024</v>
      </c>
      <c r="F881" s="0" t="s">
        <v>5024</v>
      </c>
      <c r="G881" s="0" t="s">
        <v>2515</v>
      </c>
      <c r="H881" s="0" t="s">
        <v>3002</v>
      </c>
      <c r="I881" s="0" t="s">
        <v>7081</v>
      </c>
      <c r="J881" s="0" t="s">
        <v>7082</v>
      </c>
      <c r="K881" s="0" t="s">
        <v>7044</v>
      </c>
    </row>
    <row r="882" customFormat="false" ht="12.8" hidden="false" customHeight="false" outlineLevel="0" collapsed="false">
      <c r="A882" s="0" t="s">
        <v>7091</v>
      </c>
      <c r="B882" s="0" t="s">
        <v>7092</v>
      </c>
      <c r="C882" s="0" t="s">
        <v>318</v>
      </c>
      <c r="D882" s="0" t="s">
        <v>5023</v>
      </c>
      <c r="E882" s="0" t="s">
        <v>5024</v>
      </c>
      <c r="F882" s="0" t="s">
        <v>5024</v>
      </c>
      <c r="G882" s="0" t="s">
        <v>2515</v>
      </c>
      <c r="H882" s="0" t="s">
        <v>3002</v>
      </c>
      <c r="I882" s="0" t="s">
        <v>7081</v>
      </c>
      <c r="J882" s="0" t="s">
        <v>7082</v>
      </c>
      <c r="K882" s="0" t="s">
        <v>7044</v>
      </c>
    </row>
    <row r="883" customFormat="false" ht="12.8" hidden="false" customHeight="false" outlineLevel="0" collapsed="false">
      <c r="A883" s="0" t="s">
        <v>7093</v>
      </c>
      <c r="B883" s="0" t="s">
        <v>7094</v>
      </c>
      <c r="C883" s="0" t="s">
        <v>318</v>
      </c>
      <c r="D883" s="0" t="s">
        <v>5023</v>
      </c>
      <c r="E883" s="0" t="s">
        <v>5024</v>
      </c>
      <c r="F883" s="0" t="s">
        <v>5024</v>
      </c>
      <c r="G883" s="0" t="s">
        <v>2515</v>
      </c>
      <c r="H883" s="0" t="s">
        <v>3002</v>
      </c>
      <c r="I883" s="0" t="s">
        <v>7081</v>
      </c>
      <c r="J883" s="0" t="s">
        <v>7082</v>
      </c>
      <c r="K883" s="0" t="s">
        <v>7044</v>
      </c>
    </row>
    <row r="884" customFormat="false" ht="12.8" hidden="false" customHeight="false" outlineLevel="0" collapsed="false">
      <c r="A884" s="0" t="s">
        <v>7095</v>
      </c>
      <c r="B884" s="0" t="s">
        <v>7096</v>
      </c>
      <c r="C884" s="0" t="s">
        <v>318</v>
      </c>
      <c r="D884" s="0" t="s">
        <v>5023</v>
      </c>
      <c r="E884" s="0" t="s">
        <v>5024</v>
      </c>
      <c r="F884" s="0" t="s">
        <v>5024</v>
      </c>
      <c r="G884" s="0" t="s">
        <v>2515</v>
      </c>
      <c r="H884" s="0" t="s">
        <v>3002</v>
      </c>
      <c r="I884" s="0" t="s">
        <v>7081</v>
      </c>
      <c r="J884" s="0" t="s">
        <v>7082</v>
      </c>
      <c r="K884" s="0" t="s">
        <v>7044</v>
      </c>
    </row>
    <row r="885" customFormat="false" ht="12.8" hidden="false" customHeight="false" outlineLevel="0" collapsed="false">
      <c r="A885" s="0" t="s">
        <v>7097</v>
      </c>
      <c r="B885" s="0" t="s">
        <v>7098</v>
      </c>
      <c r="C885" s="0" t="s">
        <v>337</v>
      </c>
      <c r="D885" s="0" t="s">
        <v>5023</v>
      </c>
      <c r="E885" s="0" t="s">
        <v>5024</v>
      </c>
      <c r="F885" s="0" t="s">
        <v>5024</v>
      </c>
      <c r="G885" s="0" t="s">
        <v>3278</v>
      </c>
      <c r="H885" s="0" t="s">
        <v>3434</v>
      </c>
      <c r="I885" s="0" t="s">
        <v>7099</v>
      </c>
      <c r="J885" s="0" t="s">
        <v>7100</v>
      </c>
      <c r="K885" s="0" t="s">
        <v>5260</v>
      </c>
    </row>
    <row r="886" customFormat="false" ht="12.8" hidden="false" customHeight="false" outlineLevel="0" collapsed="false">
      <c r="A886" s="0" t="s">
        <v>7101</v>
      </c>
      <c r="B886" s="0" t="s">
        <v>7102</v>
      </c>
      <c r="C886" s="0" t="s">
        <v>337</v>
      </c>
      <c r="D886" s="0" t="s">
        <v>5023</v>
      </c>
      <c r="E886" s="0" t="s">
        <v>5024</v>
      </c>
      <c r="F886" s="0" t="s">
        <v>5024</v>
      </c>
      <c r="G886" s="0" t="s">
        <v>3278</v>
      </c>
      <c r="H886" s="0" t="s">
        <v>3434</v>
      </c>
      <c r="I886" s="0" t="s">
        <v>7099</v>
      </c>
      <c r="J886" s="0" t="s">
        <v>7100</v>
      </c>
      <c r="K886" s="0" t="s">
        <v>5260</v>
      </c>
    </row>
    <row r="887" customFormat="false" ht="12.8" hidden="false" customHeight="false" outlineLevel="0" collapsed="false">
      <c r="A887" s="0" t="s">
        <v>7103</v>
      </c>
      <c r="B887" s="0" t="s">
        <v>7104</v>
      </c>
      <c r="C887" s="0" t="s">
        <v>337</v>
      </c>
      <c r="D887" s="0" t="s">
        <v>5023</v>
      </c>
      <c r="E887" s="0" t="s">
        <v>5024</v>
      </c>
      <c r="F887" s="0" t="s">
        <v>5024</v>
      </c>
      <c r="G887" s="0" t="s">
        <v>3278</v>
      </c>
      <c r="H887" s="0" t="s">
        <v>3434</v>
      </c>
      <c r="I887" s="0" t="s">
        <v>7099</v>
      </c>
      <c r="J887" s="0" t="s">
        <v>7100</v>
      </c>
      <c r="K887" s="0" t="s">
        <v>5260</v>
      </c>
    </row>
    <row r="888" customFormat="false" ht="12.8" hidden="false" customHeight="false" outlineLevel="0" collapsed="false">
      <c r="A888" s="0" t="s">
        <v>7105</v>
      </c>
      <c r="B888" s="0" t="s">
        <v>7106</v>
      </c>
      <c r="C888" s="0" t="s">
        <v>337</v>
      </c>
      <c r="D888" s="0" t="s">
        <v>5057</v>
      </c>
      <c r="E888" s="0" t="s">
        <v>5058</v>
      </c>
      <c r="F888" s="0" t="s">
        <v>5058</v>
      </c>
      <c r="G888" s="0" t="s">
        <v>3278</v>
      </c>
      <c r="H888" s="0" t="s">
        <v>3434</v>
      </c>
      <c r="I888" s="0" t="s">
        <v>7099</v>
      </c>
      <c r="J888" s="0" t="s">
        <v>7100</v>
      </c>
      <c r="K888" s="0" t="s">
        <v>5260</v>
      </c>
    </row>
    <row r="889" customFormat="false" ht="12.8" hidden="false" customHeight="false" outlineLevel="0" collapsed="false">
      <c r="A889" s="0" t="s">
        <v>7107</v>
      </c>
      <c r="B889" s="0" t="s">
        <v>7108</v>
      </c>
      <c r="C889" s="0" t="s">
        <v>337</v>
      </c>
      <c r="D889" s="0" t="s">
        <v>5061</v>
      </c>
      <c r="E889" s="0" t="s">
        <v>5062</v>
      </c>
      <c r="F889" s="0" t="s">
        <v>5062</v>
      </c>
      <c r="G889" s="0" t="s">
        <v>3278</v>
      </c>
      <c r="H889" s="0" t="s">
        <v>3434</v>
      </c>
      <c r="I889" s="0" t="s">
        <v>7099</v>
      </c>
      <c r="J889" s="0" t="s">
        <v>7100</v>
      </c>
      <c r="K889" s="0" t="s">
        <v>5260</v>
      </c>
    </row>
    <row r="890" customFormat="false" ht="12.8" hidden="false" customHeight="false" outlineLevel="0" collapsed="false">
      <c r="A890" s="0" t="s">
        <v>7109</v>
      </c>
      <c r="B890" s="0" t="s">
        <v>7110</v>
      </c>
      <c r="C890" s="0" t="s">
        <v>374</v>
      </c>
      <c r="D890" s="0" t="s">
        <v>5061</v>
      </c>
      <c r="E890" s="0" t="s">
        <v>5062</v>
      </c>
      <c r="F890" s="0" t="s">
        <v>5062</v>
      </c>
      <c r="G890" s="0" t="s">
        <v>2515</v>
      </c>
      <c r="H890" s="0" t="s">
        <v>3002</v>
      </c>
      <c r="I890" s="0" t="s">
        <v>7111</v>
      </c>
      <c r="J890" s="0" t="s">
        <v>7112</v>
      </c>
      <c r="K890" s="0" t="s">
        <v>5260</v>
      </c>
    </row>
    <row r="891" customFormat="false" ht="12.8" hidden="false" customHeight="false" outlineLevel="0" collapsed="false">
      <c r="A891" s="0" t="s">
        <v>7113</v>
      </c>
      <c r="B891" s="0" t="s">
        <v>7114</v>
      </c>
      <c r="C891" s="0" t="s">
        <v>374</v>
      </c>
      <c r="D891" s="0" t="s">
        <v>5023</v>
      </c>
      <c r="E891" s="0" t="s">
        <v>5024</v>
      </c>
      <c r="F891" s="0" t="s">
        <v>5024</v>
      </c>
      <c r="G891" s="0" t="s">
        <v>2515</v>
      </c>
      <c r="H891" s="0" t="s">
        <v>3002</v>
      </c>
      <c r="I891" s="0" t="s">
        <v>7111</v>
      </c>
      <c r="J891" s="0" t="s">
        <v>7112</v>
      </c>
      <c r="K891" s="0" t="s">
        <v>5260</v>
      </c>
    </row>
    <row r="892" customFormat="false" ht="12.8" hidden="false" customHeight="false" outlineLevel="0" collapsed="false">
      <c r="A892" s="0" t="s">
        <v>7115</v>
      </c>
      <c r="B892" s="0" t="s">
        <v>7116</v>
      </c>
      <c r="C892" s="0" t="s">
        <v>374</v>
      </c>
      <c r="D892" s="0" t="s">
        <v>5023</v>
      </c>
      <c r="E892" s="0" t="s">
        <v>5024</v>
      </c>
      <c r="F892" s="0" t="s">
        <v>5024</v>
      </c>
      <c r="G892" s="0" t="s">
        <v>2515</v>
      </c>
      <c r="H892" s="0" t="s">
        <v>3002</v>
      </c>
      <c r="I892" s="0" t="s">
        <v>7111</v>
      </c>
      <c r="J892" s="0" t="s">
        <v>7112</v>
      </c>
      <c r="K892" s="0" t="s">
        <v>5260</v>
      </c>
    </row>
    <row r="893" customFormat="false" ht="12.8" hidden="false" customHeight="false" outlineLevel="0" collapsed="false">
      <c r="A893" s="0" t="s">
        <v>7117</v>
      </c>
      <c r="B893" s="0" t="s">
        <v>7118</v>
      </c>
      <c r="C893" s="0" t="s">
        <v>374</v>
      </c>
      <c r="D893" s="0" t="s">
        <v>5023</v>
      </c>
      <c r="E893" s="0" t="s">
        <v>5024</v>
      </c>
      <c r="F893" s="0" t="s">
        <v>5024</v>
      </c>
      <c r="G893" s="0" t="s">
        <v>2515</v>
      </c>
      <c r="H893" s="0" t="s">
        <v>3002</v>
      </c>
      <c r="I893" s="0" t="s">
        <v>7111</v>
      </c>
      <c r="J893" s="0" t="s">
        <v>7112</v>
      </c>
      <c r="K893" s="0" t="s">
        <v>5260</v>
      </c>
    </row>
    <row r="894" customFormat="false" ht="12.8" hidden="false" customHeight="false" outlineLevel="0" collapsed="false">
      <c r="A894" s="0" t="s">
        <v>7119</v>
      </c>
      <c r="B894" s="0" t="s">
        <v>7120</v>
      </c>
      <c r="C894" s="0" t="s">
        <v>374</v>
      </c>
      <c r="D894" s="0" t="s">
        <v>5023</v>
      </c>
      <c r="E894" s="0" t="s">
        <v>5024</v>
      </c>
      <c r="F894" s="0" t="s">
        <v>5024</v>
      </c>
      <c r="G894" s="0" t="s">
        <v>2515</v>
      </c>
      <c r="H894" s="0" t="s">
        <v>3002</v>
      </c>
      <c r="I894" s="0" t="s">
        <v>7111</v>
      </c>
      <c r="J894" s="0" t="s">
        <v>7112</v>
      </c>
      <c r="K894" s="0" t="s">
        <v>5260</v>
      </c>
    </row>
    <row r="895" customFormat="false" ht="12.8" hidden="false" customHeight="false" outlineLevel="0" collapsed="false">
      <c r="A895" s="0" t="s">
        <v>7121</v>
      </c>
      <c r="B895" s="0" t="s">
        <v>7122</v>
      </c>
      <c r="C895" s="0" t="s">
        <v>374</v>
      </c>
      <c r="D895" s="0" t="s">
        <v>5023</v>
      </c>
      <c r="E895" s="0" t="s">
        <v>5024</v>
      </c>
      <c r="F895" s="0" t="s">
        <v>5024</v>
      </c>
      <c r="G895" s="0" t="s">
        <v>2515</v>
      </c>
      <c r="H895" s="0" t="s">
        <v>3002</v>
      </c>
      <c r="I895" s="0" t="s">
        <v>7111</v>
      </c>
      <c r="J895" s="0" t="s">
        <v>7112</v>
      </c>
      <c r="K895" s="0" t="s">
        <v>5260</v>
      </c>
    </row>
    <row r="896" customFormat="false" ht="12.8" hidden="false" customHeight="false" outlineLevel="0" collapsed="false">
      <c r="A896" s="0" t="s">
        <v>7123</v>
      </c>
      <c r="B896" s="0" t="s">
        <v>7124</v>
      </c>
      <c r="C896" s="0" t="s">
        <v>399</v>
      </c>
      <c r="D896" s="0" t="s">
        <v>5023</v>
      </c>
      <c r="E896" s="0" t="s">
        <v>5024</v>
      </c>
      <c r="F896" s="0" t="s">
        <v>5024</v>
      </c>
      <c r="G896" s="0" t="s">
        <v>2515</v>
      </c>
      <c r="H896" s="0" t="s">
        <v>3144</v>
      </c>
      <c r="I896" s="0" t="s">
        <v>7125</v>
      </c>
      <c r="J896" s="0" t="s">
        <v>7126</v>
      </c>
      <c r="K896" s="0" t="s">
        <v>5260</v>
      </c>
    </row>
    <row r="897" customFormat="false" ht="12.8" hidden="false" customHeight="false" outlineLevel="0" collapsed="false">
      <c r="A897" s="0" t="s">
        <v>7127</v>
      </c>
      <c r="B897" s="0" t="s">
        <v>7128</v>
      </c>
      <c r="C897" s="0" t="s">
        <v>399</v>
      </c>
      <c r="D897" s="0" t="s">
        <v>5023</v>
      </c>
      <c r="E897" s="0" t="s">
        <v>5024</v>
      </c>
      <c r="F897" s="0" t="s">
        <v>5024</v>
      </c>
      <c r="G897" s="0" t="s">
        <v>2515</v>
      </c>
      <c r="H897" s="0" t="s">
        <v>3144</v>
      </c>
      <c r="I897" s="0" t="s">
        <v>7125</v>
      </c>
      <c r="J897" s="0" t="s">
        <v>7126</v>
      </c>
      <c r="K897" s="0" t="s">
        <v>5260</v>
      </c>
    </row>
    <row r="898" customFormat="false" ht="12.8" hidden="false" customHeight="false" outlineLevel="0" collapsed="false">
      <c r="A898" s="0" t="s">
        <v>7129</v>
      </c>
      <c r="B898" s="0" t="s">
        <v>7130</v>
      </c>
      <c r="C898" s="0" t="s">
        <v>399</v>
      </c>
      <c r="D898" s="0" t="s">
        <v>5023</v>
      </c>
      <c r="E898" s="0" t="s">
        <v>5024</v>
      </c>
      <c r="F898" s="0" t="s">
        <v>5024</v>
      </c>
      <c r="G898" s="0" t="s">
        <v>2515</v>
      </c>
      <c r="H898" s="0" t="s">
        <v>3144</v>
      </c>
      <c r="I898" s="0" t="s">
        <v>7125</v>
      </c>
      <c r="J898" s="0" t="s">
        <v>7126</v>
      </c>
      <c r="K898" s="0" t="s">
        <v>5260</v>
      </c>
    </row>
    <row r="899" customFormat="false" ht="12.8" hidden="false" customHeight="false" outlineLevel="0" collapsed="false">
      <c r="A899" s="0" t="s">
        <v>7131</v>
      </c>
      <c r="B899" s="0" t="s">
        <v>7132</v>
      </c>
      <c r="C899" s="0" t="s">
        <v>399</v>
      </c>
      <c r="D899" s="0" t="s">
        <v>5061</v>
      </c>
      <c r="E899" s="0" t="s">
        <v>5062</v>
      </c>
      <c r="F899" s="0" t="s">
        <v>5062</v>
      </c>
      <c r="G899" s="0" t="s">
        <v>2515</v>
      </c>
      <c r="H899" s="0" t="s">
        <v>3144</v>
      </c>
      <c r="I899" s="0" t="s">
        <v>7125</v>
      </c>
      <c r="J899" s="0" t="s">
        <v>7126</v>
      </c>
      <c r="K899" s="0" t="s">
        <v>5260</v>
      </c>
    </row>
    <row r="900" customFormat="false" ht="12.8" hidden="false" customHeight="false" outlineLevel="0" collapsed="false">
      <c r="A900" s="0" t="s">
        <v>7133</v>
      </c>
      <c r="B900" s="0" t="s">
        <v>7134</v>
      </c>
      <c r="C900" s="0" t="s">
        <v>399</v>
      </c>
      <c r="D900" s="0" t="s">
        <v>5057</v>
      </c>
      <c r="E900" s="0" t="s">
        <v>5058</v>
      </c>
      <c r="F900" s="0" t="s">
        <v>5058</v>
      </c>
      <c r="G900" s="0" t="s">
        <v>2515</v>
      </c>
      <c r="H900" s="0" t="s">
        <v>3144</v>
      </c>
      <c r="I900" s="0" t="s">
        <v>7125</v>
      </c>
      <c r="J900" s="0" t="s">
        <v>7126</v>
      </c>
      <c r="K900" s="0" t="s">
        <v>5260</v>
      </c>
    </row>
    <row r="901" customFormat="false" ht="12.8" hidden="false" customHeight="false" outlineLevel="0" collapsed="false">
      <c r="A901" s="0" t="s">
        <v>7135</v>
      </c>
      <c r="B901" s="0" t="s">
        <v>7136</v>
      </c>
      <c r="C901" s="0" t="s">
        <v>62</v>
      </c>
      <c r="D901" s="0" t="s">
        <v>5061</v>
      </c>
      <c r="E901" s="0" t="s">
        <v>5062</v>
      </c>
      <c r="F901" s="0" t="s">
        <v>5062</v>
      </c>
      <c r="G901" s="0" t="s">
        <v>1883</v>
      </c>
      <c r="H901" s="0" t="s">
        <v>1995</v>
      </c>
      <c r="I901" s="0" t="s">
        <v>7137</v>
      </c>
      <c r="J901" s="0" t="s">
        <v>7138</v>
      </c>
      <c r="K901" s="444" t="s">
        <v>7139</v>
      </c>
    </row>
    <row r="902" customFormat="false" ht="12.8" hidden="false" customHeight="false" outlineLevel="0" collapsed="false">
      <c r="A902" s="0" t="s">
        <v>7140</v>
      </c>
      <c r="B902" s="0" t="s">
        <v>7141</v>
      </c>
      <c r="C902" s="0" t="s">
        <v>62</v>
      </c>
      <c r="D902" s="0" t="s">
        <v>5057</v>
      </c>
      <c r="E902" s="0" t="s">
        <v>5058</v>
      </c>
      <c r="F902" s="0" t="s">
        <v>5058</v>
      </c>
      <c r="G902" s="0" t="s">
        <v>1883</v>
      </c>
      <c r="H902" s="0" t="s">
        <v>1995</v>
      </c>
      <c r="I902" s="0" t="s">
        <v>7137</v>
      </c>
      <c r="J902" s="0" t="s">
        <v>7138</v>
      </c>
      <c r="K902" s="444" t="s">
        <v>7139</v>
      </c>
    </row>
    <row r="903" customFormat="false" ht="12.8" hidden="false" customHeight="false" outlineLevel="0" collapsed="false">
      <c r="A903" s="0" t="s">
        <v>7142</v>
      </c>
      <c r="B903" s="0" t="s">
        <v>7143</v>
      </c>
      <c r="C903" s="0" t="s">
        <v>62</v>
      </c>
      <c r="D903" s="0" t="s">
        <v>5023</v>
      </c>
      <c r="E903" s="0" t="s">
        <v>5024</v>
      </c>
      <c r="F903" s="0" t="s">
        <v>5024</v>
      </c>
      <c r="G903" s="0" t="s">
        <v>1883</v>
      </c>
      <c r="H903" s="0" t="s">
        <v>1995</v>
      </c>
      <c r="I903" s="0" t="s">
        <v>7137</v>
      </c>
      <c r="J903" s="0" t="s">
        <v>7138</v>
      </c>
      <c r="K903" s="444" t="s">
        <v>7139</v>
      </c>
    </row>
    <row r="904" customFormat="false" ht="12.8" hidden="false" customHeight="false" outlineLevel="0" collapsed="false">
      <c r="A904" s="0" t="s">
        <v>7144</v>
      </c>
      <c r="B904" s="0" t="s">
        <v>7145</v>
      </c>
      <c r="C904" s="0" t="s">
        <v>62</v>
      </c>
      <c r="D904" s="0" t="s">
        <v>5023</v>
      </c>
      <c r="E904" s="0" t="s">
        <v>5024</v>
      </c>
      <c r="F904" s="0" t="s">
        <v>5024</v>
      </c>
      <c r="G904" s="0" t="s">
        <v>1883</v>
      </c>
      <c r="H904" s="0" t="s">
        <v>1995</v>
      </c>
      <c r="I904" s="0" t="s">
        <v>7137</v>
      </c>
      <c r="J904" s="0" t="s">
        <v>7138</v>
      </c>
      <c r="K904" s="444" t="s">
        <v>7139</v>
      </c>
    </row>
    <row r="905" customFormat="false" ht="12.8" hidden="false" customHeight="false" outlineLevel="0" collapsed="false">
      <c r="A905" s="0" t="s">
        <v>7146</v>
      </c>
      <c r="B905" s="0" t="s">
        <v>7147</v>
      </c>
      <c r="C905" s="0" t="s">
        <v>62</v>
      </c>
      <c r="D905" s="0" t="s">
        <v>5023</v>
      </c>
      <c r="E905" s="0" t="s">
        <v>5024</v>
      </c>
      <c r="F905" s="0" t="s">
        <v>5024</v>
      </c>
      <c r="G905" s="0" t="s">
        <v>1883</v>
      </c>
      <c r="H905" s="0" t="s">
        <v>1995</v>
      </c>
      <c r="I905" s="0" t="s">
        <v>7137</v>
      </c>
      <c r="J905" s="0" t="s">
        <v>7138</v>
      </c>
      <c r="K905" s="444" t="s">
        <v>7139</v>
      </c>
    </row>
    <row r="906" customFormat="false" ht="12.8" hidden="false" customHeight="false" outlineLevel="0" collapsed="false">
      <c r="A906" s="0" t="s">
        <v>7148</v>
      </c>
      <c r="B906" s="0" t="s">
        <v>7149</v>
      </c>
      <c r="C906" s="0" t="s">
        <v>62</v>
      </c>
      <c r="D906" s="0" t="s">
        <v>5023</v>
      </c>
      <c r="E906" s="0" t="s">
        <v>5024</v>
      </c>
      <c r="F906" s="0" t="s">
        <v>5024</v>
      </c>
      <c r="G906" s="0" t="s">
        <v>1883</v>
      </c>
      <c r="H906" s="0" t="s">
        <v>1995</v>
      </c>
      <c r="I906" s="0" t="s">
        <v>7137</v>
      </c>
      <c r="J906" s="0" t="s">
        <v>7138</v>
      </c>
      <c r="K906" s="444" t="s">
        <v>7139</v>
      </c>
    </row>
    <row r="907" customFormat="false" ht="12.8" hidden="false" customHeight="false" outlineLevel="0" collapsed="false">
      <c r="A907" s="0" t="s">
        <v>7150</v>
      </c>
      <c r="B907" s="0" t="s">
        <v>7151</v>
      </c>
      <c r="C907" s="0" t="s">
        <v>62</v>
      </c>
      <c r="D907" s="0" t="s">
        <v>5023</v>
      </c>
      <c r="E907" s="0" t="s">
        <v>5024</v>
      </c>
      <c r="F907" s="0" t="s">
        <v>5024</v>
      </c>
      <c r="G907" s="0" t="s">
        <v>1883</v>
      </c>
      <c r="H907" s="0" t="s">
        <v>1995</v>
      </c>
      <c r="I907" s="0" t="s">
        <v>7137</v>
      </c>
      <c r="J907" s="0" t="s">
        <v>7138</v>
      </c>
      <c r="K907" s="444" t="s">
        <v>7139</v>
      </c>
    </row>
    <row r="908" customFormat="false" ht="12.8" hidden="false" customHeight="false" outlineLevel="0" collapsed="false">
      <c r="A908" s="0" t="s">
        <v>7152</v>
      </c>
      <c r="B908" s="0" t="s">
        <v>7153</v>
      </c>
      <c r="C908" s="0" t="s">
        <v>62</v>
      </c>
      <c r="D908" s="0" t="s">
        <v>5023</v>
      </c>
      <c r="E908" s="0" t="s">
        <v>5024</v>
      </c>
      <c r="F908" s="0" t="s">
        <v>5024</v>
      </c>
      <c r="G908" s="0" t="s">
        <v>1883</v>
      </c>
      <c r="H908" s="0" t="s">
        <v>1995</v>
      </c>
      <c r="I908" s="0" t="s">
        <v>7137</v>
      </c>
      <c r="J908" s="0" t="s">
        <v>7138</v>
      </c>
      <c r="K908" s="444" t="s">
        <v>7139</v>
      </c>
    </row>
    <row r="909" customFormat="false" ht="12.8" hidden="false" customHeight="false" outlineLevel="0" collapsed="false">
      <c r="A909" s="0" t="s">
        <v>7154</v>
      </c>
      <c r="B909" s="0" t="s">
        <v>7155</v>
      </c>
      <c r="C909" s="0" t="s">
        <v>62</v>
      </c>
      <c r="D909" s="0" t="s">
        <v>5023</v>
      </c>
      <c r="E909" s="0" t="s">
        <v>5024</v>
      </c>
      <c r="F909" s="0" t="s">
        <v>5024</v>
      </c>
      <c r="G909" s="0" t="s">
        <v>1883</v>
      </c>
      <c r="H909" s="0" t="s">
        <v>1995</v>
      </c>
      <c r="I909" s="0" t="s">
        <v>7137</v>
      </c>
      <c r="J909" s="0" t="s">
        <v>7138</v>
      </c>
      <c r="K909" s="444" t="s">
        <v>7139</v>
      </c>
    </row>
    <row r="910" customFormat="false" ht="12.8" hidden="false" customHeight="false" outlineLevel="0" collapsed="false">
      <c r="A910" s="0" t="s">
        <v>7156</v>
      </c>
      <c r="B910" s="0" t="s">
        <v>7157</v>
      </c>
      <c r="C910" s="0" t="s">
        <v>62</v>
      </c>
      <c r="D910" s="0" t="s">
        <v>5023</v>
      </c>
      <c r="E910" s="0" t="s">
        <v>5024</v>
      </c>
      <c r="F910" s="0" t="s">
        <v>5024</v>
      </c>
      <c r="G910" s="0" t="s">
        <v>1883</v>
      </c>
      <c r="H910" s="0" t="s">
        <v>1995</v>
      </c>
      <c r="I910" s="0" t="s">
        <v>7137</v>
      </c>
      <c r="J910" s="0" t="s">
        <v>7138</v>
      </c>
      <c r="K910" s="444" t="s">
        <v>7139</v>
      </c>
    </row>
    <row r="911" customFormat="false" ht="12.8" hidden="false" customHeight="false" outlineLevel="0" collapsed="false">
      <c r="A911" s="0" t="s">
        <v>7158</v>
      </c>
      <c r="B911" s="0" t="s">
        <v>7159</v>
      </c>
      <c r="C911" s="0" t="s">
        <v>62</v>
      </c>
      <c r="D911" s="0" t="s">
        <v>5023</v>
      </c>
      <c r="E911" s="0" t="s">
        <v>5024</v>
      </c>
      <c r="F911" s="0" t="s">
        <v>5024</v>
      </c>
      <c r="G911" s="0" t="s">
        <v>1883</v>
      </c>
      <c r="H911" s="0" t="s">
        <v>1995</v>
      </c>
      <c r="I911" s="0" t="s">
        <v>7137</v>
      </c>
      <c r="J911" s="0" t="s">
        <v>7138</v>
      </c>
      <c r="K911" s="444" t="s">
        <v>7139</v>
      </c>
    </row>
    <row r="912" customFormat="false" ht="12.8" hidden="false" customHeight="false" outlineLevel="0" collapsed="false">
      <c r="A912" s="0" t="s">
        <v>7160</v>
      </c>
      <c r="B912" s="0" t="s">
        <v>7161</v>
      </c>
      <c r="C912" s="0" t="s">
        <v>62</v>
      </c>
      <c r="D912" s="0" t="s">
        <v>5023</v>
      </c>
      <c r="E912" s="0" t="s">
        <v>5024</v>
      </c>
      <c r="F912" s="0" t="s">
        <v>5024</v>
      </c>
      <c r="G912" s="0" t="s">
        <v>1883</v>
      </c>
      <c r="H912" s="0" t="s">
        <v>1995</v>
      </c>
      <c r="I912" s="0" t="s">
        <v>7137</v>
      </c>
      <c r="J912" s="0" t="s">
        <v>7138</v>
      </c>
      <c r="K912" s="444" t="s">
        <v>7139</v>
      </c>
    </row>
    <row r="913" customFormat="false" ht="12.8" hidden="false" customHeight="false" outlineLevel="0" collapsed="false">
      <c r="A913" s="0" t="s">
        <v>7162</v>
      </c>
      <c r="B913" s="0" t="s">
        <v>7163</v>
      </c>
      <c r="C913" s="0" t="s">
        <v>62</v>
      </c>
      <c r="D913" s="0" t="s">
        <v>5023</v>
      </c>
      <c r="E913" s="0" t="s">
        <v>5024</v>
      </c>
      <c r="F913" s="0" t="s">
        <v>5024</v>
      </c>
      <c r="G913" s="0" t="s">
        <v>1883</v>
      </c>
      <c r="H913" s="0" t="s">
        <v>1995</v>
      </c>
      <c r="I913" s="0" t="s">
        <v>7137</v>
      </c>
      <c r="J913" s="0" t="s">
        <v>7138</v>
      </c>
      <c r="K913" s="444" t="s">
        <v>7139</v>
      </c>
    </row>
    <row r="914" customFormat="false" ht="12.8" hidden="false" customHeight="false" outlineLevel="0" collapsed="false">
      <c r="A914" s="0" t="s">
        <v>7164</v>
      </c>
      <c r="B914" s="0" t="s">
        <v>7165</v>
      </c>
      <c r="C914" s="0" t="s">
        <v>62</v>
      </c>
      <c r="D914" s="0" t="s">
        <v>5023</v>
      </c>
      <c r="E914" s="0" t="s">
        <v>5024</v>
      </c>
      <c r="F914" s="0" t="s">
        <v>5024</v>
      </c>
      <c r="G914" s="0" t="s">
        <v>1883</v>
      </c>
      <c r="H914" s="0" t="s">
        <v>1995</v>
      </c>
      <c r="I914" s="0" t="s">
        <v>7137</v>
      </c>
      <c r="J914" s="0" t="s">
        <v>7138</v>
      </c>
      <c r="K914" s="444" t="s">
        <v>7139</v>
      </c>
    </row>
    <row r="915" customFormat="false" ht="12.8" hidden="false" customHeight="false" outlineLevel="0" collapsed="false">
      <c r="A915" s="0" t="s">
        <v>7166</v>
      </c>
      <c r="B915" s="0" t="s">
        <v>7167</v>
      </c>
      <c r="C915" s="0" t="s">
        <v>62</v>
      </c>
      <c r="D915" s="0" t="s">
        <v>5023</v>
      </c>
      <c r="E915" s="0" t="s">
        <v>5024</v>
      </c>
      <c r="F915" s="0" t="s">
        <v>5024</v>
      </c>
      <c r="G915" s="0" t="s">
        <v>1883</v>
      </c>
      <c r="H915" s="0" t="s">
        <v>1995</v>
      </c>
      <c r="I915" s="0" t="s">
        <v>7137</v>
      </c>
      <c r="J915" s="0" t="s">
        <v>7138</v>
      </c>
      <c r="K915" s="444" t="s">
        <v>7139</v>
      </c>
    </row>
    <row r="916" customFormat="false" ht="12.8" hidden="false" customHeight="false" outlineLevel="0" collapsed="false">
      <c r="A916" s="0" t="s">
        <v>7168</v>
      </c>
      <c r="B916" s="0" t="s">
        <v>7169</v>
      </c>
      <c r="C916" s="0" t="s">
        <v>62</v>
      </c>
      <c r="D916" s="0" t="s">
        <v>5023</v>
      </c>
      <c r="E916" s="0" t="s">
        <v>5024</v>
      </c>
      <c r="F916" s="0" t="s">
        <v>5024</v>
      </c>
      <c r="G916" s="0" t="s">
        <v>1883</v>
      </c>
      <c r="H916" s="0" t="s">
        <v>1995</v>
      </c>
      <c r="I916" s="0" t="s">
        <v>7137</v>
      </c>
      <c r="J916" s="0" t="s">
        <v>7138</v>
      </c>
      <c r="K916" s="444" t="s">
        <v>7139</v>
      </c>
    </row>
    <row r="917" customFormat="false" ht="12.8" hidden="false" customHeight="false" outlineLevel="0" collapsed="false">
      <c r="A917" s="0" t="s">
        <v>7170</v>
      </c>
      <c r="B917" s="0" t="s">
        <v>7171</v>
      </c>
      <c r="C917" s="0" t="s">
        <v>62</v>
      </c>
      <c r="D917" s="0" t="s">
        <v>5023</v>
      </c>
      <c r="E917" s="0" t="s">
        <v>5024</v>
      </c>
      <c r="F917" s="0" t="s">
        <v>5024</v>
      </c>
      <c r="G917" s="0" t="s">
        <v>1883</v>
      </c>
      <c r="H917" s="0" t="s">
        <v>1995</v>
      </c>
      <c r="I917" s="0" t="s">
        <v>7137</v>
      </c>
      <c r="J917" s="0" t="s">
        <v>7138</v>
      </c>
      <c r="K917" s="444" t="s">
        <v>7139</v>
      </c>
    </row>
    <row r="918" customFormat="false" ht="12.8" hidden="false" customHeight="false" outlineLevel="0" collapsed="false">
      <c r="A918" s="0" t="s">
        <v>7172</v>
      </c>
      <c r="B918" s="0" t="s">
        <v>7173</v>
      </c>
      <c r="C918" s="0" t="s">
        <v>62</v>
      </c>
      <c r="D918" s="0" t="s">
        <v>5023</v>
      </c>
      <c r="E918" s="0" t="s">
        <v>5024</v>
      </c>
      <c r="F918" s="0" t="s">
        <v>5024</v>
      </c>
      <c r="G918" s="0" t="s">
        <v>1883</v>
      </c>
      <c r="H918" s="0" t="s">
        <v>1995</v>
      </c>
      <c r="I918" s="0" t="s">
        <v>7137</v>
      </c>
      <c r="J918" s="0" t="s">
        <v>7138</v>
      </c>
      <c r="K918" s="444" t="s">
        <v>7139</v>
      </c>
    </row>
    <row r="919" customFormat="false" ht="12.8" hidden="false" customHeight="false" outlineLevel="0" collapsed="false">
      <c r="A919" s="0" t="s">
        <v>7174</v>
      </c>
      <c r="B919" s="0" t="s">
        <v>7175</v>
      </c>
      <c r="C919" s="0" t="s">
        <v>62</v>
      </c>
      <c r="D919" s="0" t="s">
        <v>5174</v>
      </c>
      <c r="E919" s="0" t="s">
        <v>5058</v>
      </c>
      <c r="F919" s="0" t="s">
        <v>5175</v>
      </c>
      <c r="G919" s="0" t="s">
        <v>1883</v>
      </c>
      <c r="H919" s="0" t="s">
        <v>1995</v>
      </c>
      <c r="I919" s="0" t="s">
        <v>7137</v>
      </c>
      <c r="J919" s="0" t="s">
        <v>7138</v>
      </c>
      <c r="K919" s="444" t="s">
        <v>7139</v>
      </c>
    </row>
    <row r="920" customFormat="false" ht="12.8" hidden="false" customHeight="false" outlineLevel="0" collapsed="false">
      <c r="A920" s="0" t="s">
        <v>7176</v>
      </c>
      <c r="B920" s="0" t="s">
        <v>7177</v>
      </c>
      <c r="C920" s="0" t="s">
        <v>67</v>
      </c>
      <c r="D920" s="0" t="s">
        <v>5023</v>
      </c>
      <c r="E920" s="0" t="s">
        <v>5024</v>
      </c>
      <c r="F920" s="0" t="s">
        <v>5024</v>
      </c>
      <c r="G920" s="0" t="s">
        <v>3278</v>
      </c>
      <c r="H920" s="0" t="s">
        <v>3975</v>
      </c>
      <c r="I920" s="0" t="s">
        <v>7178</v>
      </c>
      <c r="J920" s="0" t="s">
        <v>7179</v>
      </c>
      <c r="K920" s="0" t="s">
        <v>7180</v>
      </c>
    </row>
    <row r="921" customFormat="false" ht="12.8" hidden="false" customHeight="false" outlineLevel="0" collapsed="false">
      <c r="A921" s="0" t="s">
        <v>7181</v>
      </c>
      <c r="B921" s="0" t="s">
        <v>7182</v>
      </c>
      <c r="C921" s="0" t="s">
        <v>67</v>
      </c>
      <c r="D921" s="0" t="s">
        <v>5023</v>
      </c>
      <c r="E921" s="0" t="s">
        <v>5024</v>
      </c>
      <c r="F921" s="0" t="s">
        <v>5024</v>
      </c>
      <c r="G921" s="0" t="s">
        <v>3278</v>
      </c>
      <c r="H921" s="0" t="s">
        <v>3975</v>
      </c>
      <c r="I921" s="0" t="s">
        <v>7178</v>
      </c>
      <c r="J921" s="0" t="s">
        <v>7179</v>
      </c>
      <c r="K921" s="0" t="s">
        <v>7180</v>
      </c>
    </row>
    <row r="922" customFormat="false" ht="12.8" hidden="false" customHeight="false" outlineLevel="0" collapsed="false">
      <c r="A922" s="0" t="s">
        <v>7183</v>
      </c>
      <c r="B922" s="0" t="s">
        <v>7184</v>
      </c>
      <c r="C922" s="0" t="s">
        <v>67</v>
      </c>
      <c r="D922" s="0" t="s">
        <v>5023</v>
      </c>
      <c r="E922" s="0" t="s">
        <v>5024</v>
      </c>
      <c r="F922" s="0" t="s">
        <v>5024</v>
      </c>
      <c r="G922" s="0" t="s">
        <v>3278</v>
      </c>
      <c r="H922" s="0" t="s">
        <v>3975</v>
      </c>
      <c r="I922" s="0" t="s">
        <v>7178</v>
      </c>
      <c r="J922" s="0" t="s">
        <v>7179</v>
      </c>
      <c r="K922" s="0" t="s">
        <v>7180</v>
      </c>
    </row>
    <row r="923" customFormat="false" ht="12.8" hidden="false" customHeight="false" outlineLevel="0" collapsed="false">
      <c r="A923" s="0" t="s">
        <v>7185</v>
      </c>
      <c r="B923" s="0" t="s">
        <v>7186</v>
      </c>
      <c r="C923" s="0" t="s">
        <v>67</v>
      </c>
      <c r="D923" s="0" t="s">
        <v>5023</v>
      </c>
      <c r="E923" s="0" t="s">
        <v>5024</v>
      </c>
      <c r="F923" s="0" t="s">
        <v>5024</v>
      </c>
      <c r="G923" s="0" t="s">
        <v>3278</v>
      </c>
      <c r="H923" s="0" t="s">
        <v>3975</v>
      </c>
      <c r="I923" s="0" t="s">
        <v>7178</v>
      </c>
      <c r="J923" s="0" t="s">
        <v>7179</v>
      </c>
      <c r="K923" s="0" t="s">
        <v>7180</v>
      </c>
    </row>
    <row r="924" customFormat="false" ht="12.8" hidden="false" customHeight="false" outlineLevel="0" collapsed="false">
      <c r="A924" s="0" t="s">
        <v>7187</v>
      </c>
      <c r="B924" s="0" t="s">
        <v>7188</v>
      </c>
      <c r="C924" s="0" t="s">
        <v>67</v>
      </c>
      <c r="D924" s="0" t="s">
        <v>5061</v>
      </c>
      <c r="E924" s="0" t="s">
        <v>5062</v>
      </c>
      <c r="F924" s="0" t="s">
        <v>5062</v>
      </c>
      <c r="G924" s="0" t="s">
        <v>3278</v>
      </c>
      <c r="H924" s="0" t="s">
        <v>3975</v>
      </c>
      <c r="I924" s="0" t="s">
        <v>7178</v>
      </c>
      <c r="J924" s="0" t="s">
        <v>7179</v>
      </c>
      <c r="K924" s="0" t="s">
        <v>7180</v>
      </c>
    </row>
    <row r="925" customFormat="false" ht="12.8" hidden="false" customHeight="false" outlineLevel="0" collapsed="false">
      <c r="A925" s="0" t="s">
        <v>7189</v>
      </c>
      <c r="B925" s="0" t="s">
        <v>7190</v>
      </c>
      <c r="C925" s="0" t="s">
        <v>136</v>
      </c>
      <c r="D925" s="0" t="s">
        <v>5023</v>
      </c>
      <c r="E925" s="0" t="s">
        <v>5024</v>
      </c>
      <c r="F925" s="0" t="s">
        <v>5024</v>
      </c>
      <c r="G925" s="0" t="s">
        <v>3278</v>
      </c>
      <c r="H925" s="0" t="s">
        <v>3855</v>
      </c>
      <c r="I925" s="0" t="s">
        <v>7191</v>
      </c>
      <c r="J925" s="0" t="s">
        <v>7192</v>
      </c>
      <c r="K925" s="444" t="s">
        <v>7193</v>
      </c>
    </row>
    <row r="926" customFormat="false" ht="12.8" hidden="false" customHeight="false" outlineLevel="0" collapsed="false">
      <c r="A926" s="0" t="s">
        <v>7194</v>
      </c>
      <c r="B926" s="0" t="s">
        <v>7195</v>
      </c>
      <c r="C926" s="0" t="s">
        <v>136</v>
      </c>
      <c r="D926" s="0" t="s">
        <v>5023</v>
      </c>
      <c r="E926" s="0" t="s">
        <v>5024</v>
      </c>
      <c r="F926" s="0" t="s">
        <v>5024</v>
      </c>
      <c r="G926" s="0" t="s">
        <v>3278</v>
      </c>
      <c r="H926" s="0" t="s">
        <v>3855</v>
      </c>
      <c r="I926" s="0" t="s">
        <v>7191</v>
      </c>
      <c r="J926" s="0" t="s">
        <v>7192</v>
      </c>
      <c r="K926" s="444" t="s">
        <v>7193</v>
      </c>
    </row>
    <row r="927" customFormat="false" ht="12.8" hidden="false" customHeight="false" outlineLevel="0" collapsed="false">
      <c r="A927" s="0" t="s">
        <v>7196</v>
      </c>
      <c r="B927" s="0" t="s">
        <v>7197</v>
      </c>
      <c r="C927" s="0" t="s">
        <v>136</v>
      </c>
      <c r="D927" s="0" t="s">
        <v>5023</v>
      </c>
      <c r="E927" s="0" t="s">
        <v>5024</v>
      </c>
      <c r="F927" s="0" t="s">
        <v>5024</v>
      </c>
      <c r="G927" s="0" t="s">
        <v>3278</v>
      </c>
      <c r="H927" s="0" t="s">
        <v>3855</v>
      </c>
      <c r="I927" s="0" t="s">
        <v>7191</v>
      </c>
      <c r="J927" s="0" t="s">
        <v>7192</v>
      </c>
      <c r="K927" s="444" t="s">
        <v>7193</v>
      </c>
    </row>
    <row r="928" customFormat="false" ht="12.8" hidden="false" customHeight="false" outlineLevel="0" collapsed="false">
      <c r="A928" s="0" t="s">
        <v>7198</v>
      </c>
      <c r="B928" s="0" t="s">
        <v>7199</v>
      </c>
      <c r="C928" s="0" t="s">
        <v>136</v>
      </c>
      <c r="D928" s="0" t="s">
        <v>5023</v>
      </c>
      <c r="E928" s="0" t="s">
        <v>5024</v>
      </c>
      <c r="F928" s="0" t="s">
        <v>5024</v>
      </c>
      <c r="G928" s="0" t="s">
        <v>3278</v>
      </c>
      <c r="H928" s="0" t="s">
        <v>3855</v>
      </c>
      <c r="I928" s="0" t="s">
        <v>7191</v>
      </c>
      <c r="J928" s="0" t="s">
        <v>7192</v>
      </c>
      <c r="K928" s="444" t="s">
        <v>7193</v>
      </c>
    </row>
    <row r="929" customFormat="false" ht="12.8" hidden="false" customHeight="false" outlineLevel="0" collapsed="false">
      <c r="A929" s="0" t="s">
        <v>7200</v>
      </c>
      <c r="B929" s="0" t="s">
        <v>7201</v>
      </c>
      <c r="C929" s="0" t="s">
        <v>136</v>
      </c>
      <c r="D929" s="0" t="s">
        <v>5061</v>
      </c>
      <c r="E929" s="0" t="s">
        <v>5062</v>
      </c>
      <c r="F929" s="0" t="s">
        <v>5062</v>
      </c>
      <c r="G929" s="0" t="s">
        <v>3278</v>
      </c>
      <c r="H929" s="0" t="s">
        <v>3855</v>
      </c>
      <c r="I929" s="0" t="s">
        <v>7191</v>
      </c>
      <c r="J929" s="0" t="s">
        <v>7192</v>
      </c>
      <c r="K929" s="444" t="s">
        <v>7193</v>
      </c>
    </row>
    <row r="930" customFormat="false" ht="12.8" hidden="false" customHeight="false" outlineLevel="0" collapsed="false">
      <c r="A930" s="0" t="s">
        <v>7202</v>
      </c>
      <c r="B930" s="0" t="s">
        <v>7203</v>
      </c>
      <c r="C930" s="0" t="s">
        <v>138</v>
      </c>
      <c r="D930" s="0" t="s">
        <v>5061</v>
      </c>
      <c r="E930" s="0" t="s">
        <v>5062</v>
      </c>
      <c r="F930" s="0" t="s">
        <v>5062</v>
      </c>
      <c r="G930" s="0" t="s">
        <v>3278</v>
      </c>
      <c r="H930" s="0" t="s">
        <v>3855</v>
      </c>
      <c r="I930" s="0" t="s">
        <v>7204</v>
      </c>
      <c r="J930" s="0" t="s">
        <v>7205</v>
      </c>
      <c r="K930" s="0" t="s">
        <v>7044</v>
      </c>
    </row>
    <row r="931" customFormat="false" ht="12.8" hidden="false" customHeight="false" outlineLevel="0" collapsed="false">
      <c r="A931" s="0" t="s">
        <v>7206</v>
      </c>
      <c r="B931" s="0" t="s">
        <v>7207</v>
      </c>
      <c r="C931" s="0" t="s">
        <v>138</v>
      </c>
      <c r="D931" s="0" t="s">
        <v>5023</v>
      </c>
      <c r="E931" s="0" t="s">
        <v>5024</v>
      </c>
      <c r="F931" s="0" t="s">
        <v>5024</v>
      </c>
      <c r="G931" s="0" t="s">
        <v>3278</v>
      </c>
      <c r="H931" s="0" t="s">
        <v>3855</v>
      </c>
      <c r="I931" s="0" t="s">
        <v>7204</v>
      </c>
      <c r="J931" s="0" t="s">
        <v>7205</v>
      </c>
      <c r="K931" s="0" t="s">
        <v>7044</v>
      </c>
    </row>
    <row r="932" customFormat="false" ht="12.8" hidden="false" customHeight="false" outlineLevel="0" collapsed="false">
      <c r="A932" s="0" t="s">
        <v>7208</v>
      </c>
      <c r="B932" s="0" t="s">
        <v>7209</v>
      </c>
      <c r="C932" s="0" t="s">
        <v>138</v>
      </c>
      <c r="D932" s="0" t="s">
        <v>5023</v>
      </c>
      <c r="E932" s="0" t="s">
        <v>5024</v>
      </c>
      <c r="F932" s="0" t="s">
        <v>5024</v>
      </c>
      <c r="G932" s="0" t="s">
        <v>3278</v>
      </c>
      <c r="H932" s="0" t="s">
        <v>3855</v>
      </c>
      <c r="I932" s="0" t="s">
        <v>7204</v>
      </c>
      <c r="J932" s="0" t="s">
        <v>7205</v>
      </c>
      <c r="K932" s="0" t="s">
        <v>7044</v>
      </c>
    </row>
    <row r="933" customFormat="false" ht="12.8" hidden="false" customHeight="false" outlineLevel="0" collapsed="false">
      <c r="A933" s="0" t="s">
        <v>7210</v>
      </c>
      <c r="B933" s="0" t="s">
        <v>7211</v>
      </c>
      <c r="C933" s="0" t="s">
        <v>138</v>
      </c>
      <c r="D933" s="0" t="s">
        <v>5023</v>
      </c>
      <c r="E933" s="0" t="s">
        <v>5024</v>
      </c>
      <c r="F933" s="0" t="s">
        <v>5024</v>
      </c>
      <c r="G933" s="0" t="s">
        <v>3278</v>
      </c>
      <c r="H933" s="0" t="s">
        <v>3855</v>
      </c>
      <c r="I933" s="0" t="s">
        <v>7204</v>
      </c>
      <c r="J933" s="0" t="s">
        <v>7205</v>
      </c>
      <c r="K933" s="0" t="s">
        <v>7044</v>
      </c>
    </row>
    <row r="934" customFormat="false" ht="12.8" hidden="false" customHeight="false" outlineLevel="0" collapsed="false">
      <c r="A934" s="0" t="s">
        <v>7212</v>
      </c>
      <c r="B934" s="0" t="s">
        <v>7213</v>
      </c>
      <c r="C934" s="0" t="s">
        <v>138</v>
      </c>
      <c r="D934" s="0" t="s">
        <v>5023</v>
      </c>
      <c r="E934" s="0" t="s">
        <v>5024</v>
      </c>
      <c r="F934" s="0" t="s">
        <v>5024</v>
      </c>
      <c r="G934" s="0" t="s">
        <v>3278</v>
      </c>
      <c r="H934" s="0" t="s">
        <v>3855</v>
      </c>
      <c r="I934" s="0" t="s">
        <v>7204</v>
      </c>
      <c r="J934" s="0" t="s">
        <v>7205</v>
      </c>
      <c r="K934" s="0" t="s">
        <v>7044</v>
      </c>
    </row>
    <row r="935" customFormat="false" ht="12.8" hidden="false" customHeight="false" outlineLevel="0" collapsed="false">
      <c r="A935" s="0" t="s">
        <v>7214</v>
      </c>
      <c r="B935" s="0" t="s">
        <v>7215</v>
      </c>
      <c r="C935" s="0" t="s">
        <v>138</v>
      </c>
      <c r="D935" s="0" t="s">
        <v>5023</v>
      </c>
      <c r="E935" s="0" t="s">
        <v>5024</v>
      </c>
      <c r="F935" s="0" t="s">
        <v>5024</v>
      </c>
      <c r="G935" s="0" t="s">
        <v>3278</v>
      </c>
      <c r="H935" s="0" t="s">
        <v>3855</v>
      </c>
      <c r="I935" s="0" t="s">
        <v>7204</v>
      </c>
      <c r="J935" s="0" t="s">
        <v>7205</v>
      </c>
      <c r="K935" s="0" t="s">
        <v>7044</v>
      </c>
    </row>
    <row r="936" customFormat="false" ht="12.8" hidden="false" customHeight="false" outlineLevel="0" collapsed="false">
      <c r="A936" s="0" t="s">
        <v>7216</v>
      </c>
      <c r="B936" s="0" t="s">
        <v>7217</v>
      </c>
      <c r="C936" s="0" t="s">
        <v>138</v>
      </c>
      <c r="D936" s="0" t="s">
        <v>5023</v>
      </c>
      <c r="E936" s="0" t="s">
        <v>5024</v>
      </c>
      <c r="F936" s="0" t="s">
        <v>5024</v>
      </c>
      <c r="G936" s="0" t="s">
        <v>3278</v>
      </c>
      <c r="H936" s="0" t="s">
        <v>3855</v>
      </c>
      <c r="I936" s="0" t="s">
        <v>7204</v>
      </c>
      <c r="J936" s="0" t="s">
        <v>7205</v>
      </c>
      <c r="K936" s="0" t="s">
        <v>7044</v>
      </c>
    </row>
    <row r="937" customFormat="false" ht="12.8" hidden="false" customHeight="false" outlineLevel="0" collapsed="false">
      <c r="A937" s="0" t="s">
        <v>7218</v>
      </c>
      <c r="B937" s="0" t="s">
        <v>7219</v>
      </c>
      <c r="C937" s="0" t="s">
        <v>138</v>
      </c>
      <c r="D937" s="0" t="s">
        <v>5023</v>
      </c>
      <c r="E937" s="0" t="s">
        <v>5024</v>
      </c>
      <c r="F937" s="0" t="s">
        <v>5024</v>
      </c>
      <c r="G937" s="0" t="s">
        <v>3278</v>
      </c>
      <c r="H937" s="0" t="s">
        <v>3855</v>
      </c>
      <c r="I937" s="0" t="s">
        <v>7204</v>
      </c>
      <c r="J937" s="0" t="s">
        <v>7205</v>
      </c>
      <c r="K937" s="0" t="s">
        <v>7044</v>
      </c>
    </row>
    <row r="938" customFormat="false" ht="12.8" hidden="false" customHeight="false" outlineLevel="0" collapsed="false">
      <c r="A938" s="0" t="s">
        <v>7220</v>
      </c>
      <c r="B938" s="0" t="s">
        <v>7221</v>
      </c>
      <c r="C938" s="0" t="s">
        <v>138</v>
      </c>
      <c r="D938" s="0" t="s">
        <v>5023</v>
      </c>
      <c r="E938" s="0" t="s">
        <v>5024</v>
      </c>
      <c r="F938" s="0" t="s">
        <v>5024</v>
      </c>
      <c r="G938" s="0" t="s">
        <v>3278</v>
      </c>
      <c r="H938" s="0" t="s">
        <v>3855</v>
      </c>
      <c r="I938" s="0" t="s">
        <v>7204</v>
      </c>
      <c r="J938" s="0" t="s">
        <v>7205</v>
      </c>
      <c r="K938" s="0" t="s">
        <v>7044</v>
      </c>
    </row>
    <row r="939" customFormat="false" ht="12.8" hidden="false" customHeight="false" outlineLevel="0" collapsed="false">
      <c r="A939" s="0" t="s">
        <v>7222</v>
      </c>
      <c r="B939" s="0" t="s">
        <v>7223</v>
      </c>
      <c r="C939" s="0" t="s">
        <v>138</v>
      </c>
      <c r="D939" s="0" t="s">
        <v>5023</v>
      </c>
      <c r="E939" s="0" t="s">
        <v>5024</v>
      </c>
      <c r="F939" s="0" t="s">
        <v>5024</v>
      </c>
      <c r="G939" s="0" t="s">
        <v>3278</v>
      </c>
      <c r="H939" s="0" t="s">
        <v>3855</v>
      </c>
      <c r="I939" s="0" t="s">
        <v>7204</v>
      </c>
      <c r="J939" s="0" t="s">
        <v>7205</v>
      </c>
      <c r="K939" s="0" t="s">
        <v>7044</v>
      </c>
    </row>
    <row r="940" customFormat="false" ht="12.8" hidden="false" customHeight="false" outlineLevel="0" collapsed="false">
      <c r="A940" s="0" t="s">
        <v>7224</v>
      </c>
      <c r="B940" s="0" t="s">
        <v>7225</v>
      </c>
      <c r="C940" s="0" t="s">
        <v>139</v>
      </c>
      <c r="D940" s="0" t="s">
        <v>5061</v>
      </c>
      <c r="E940" s="0" t="s">
        <v>5062</v>
      </c>
      <c r="F940" s="0" t="s">
        <v>5062</v>
      </c>
      <c r="G940" s="0" t="s">
        <v>3278</v>
      </c>
      <c r="H940" s="0" t="s">
        <v>3975</v>
      </c>
      <c r="I940" s="0" t="s">
        <v>7226</v>
      </c>
      <c r="J940" s="0" t="s">
        <v>7227</v>
      </c>
      <c r="K940" s="444" t="s">
        <v>7193</v>
      </c>
    </row>
    <row r="941" customFormat="false" ht="12.8" hidden="false" customHeight="false" outlineLevel="0" collapsed="false">
      <c r="A941" s="0" t="s">
        <v>7228</v>
      </c>
      <c r="B941" s="0" t="s">
        <v>7229</v>
      </c>
      <c r="C941" s="0" t="s">
        <v>139</v>
      </c>
      <c r="D941" s="0" t="s">
        <v>5023</v>
      </c>
      <c r="E941" s="0" t="s">
        <v>5024</v>
      </c>
      <c r="F941" s="0" t="s">
        <v>5024</v>
      </c>
      <c r="G941" s="0" t="s">
        <v>3278</v>
      </c>
      <c r="H941" s="0" t="s">
        <v>3975</v>
      </c>
      <c r="I941" s="0" t="s">
        <v>7226</v>
      </c>
      <c r="J941" s="0" t="s">
        <v>7227</v>
      </c>
      <c r="K941" s="444" t="s">
        <v>7193</v>
      </c>
    </row>
    <row r="942" customFormat="false" ht="12.8" hidden="false" customHeight="false" outlineLevel="0" collapsed="false">
      <c r="A942" s="0" t="s">
        <v>7230</v>
      </c>
      <c r="B942" s="0" t="s">
        <v>7231</v>
      </c>
      <c r="C942" s="0" t="s">
        <v>139</v>
      </c>
      <c r="D942" s="0" t="s">
        <v>5023</v>
      </c>
      <c r="E942" s="0" t="s">
        <v>5024</v>
      </c>
      <c r="F942" s="0" t="s">
        <v>5024</v>
      </c>
      <c r="G942" s="0" t="s">
        <v>3278</v>
      </c>
      <c r="H942" s="0" t="s">
        <v>3975</v>
      </c>
      <c r="I942" s="0" t="s">
        <v>7226</v>
      </c>
      <c r="J942" s="0" t="s">
        <v>7227</v>
      </c>
      <c r="K942" s="444" t="s">
        <v>7193</v>
      </c>
    </row>
    <row r="943" customFormat="false" ht="12.8" hidden="false" customHeight="false" outlineLevel="0" collapsed="false">
      <c r="A943" s="0" t="s">
        <v>7232</v>
      </c>
      <c r="B943" s="0" t="s">
        <v>7233</v>
      </c>
      <c r="C943" s="0" t="s">
        <v>139</v>
      </c>
      <c r="D943" s="0" t="s">
        <v>5023</v>
      </c>
      <c r="E943" s="0" t="s">
        <v>5024</v>
      </c>
      <c r="F943" s="0" t="s">
        <v>5024</v>
      </c>
      <c r="G943" s="0" t="s">
        <v>3278</v>
      </c>
      <c r="H943" s="0" t="s">
        <v>3975</v>
      </c>
      <c r="I943" s="0" t="s">
        <v>7226</v>
      </c>
      <c r="J943" s="0" t="s">
        <v>7227</v>
      </c>
      <c r="K943" s="444" t="s">
        <v>7193</v>
      </c>
    </row>
    <row r="944" customFormat="false" ht="12.8" hidden="false" customHeight="false" outlineLevel="0" collapsed="false">
      <c r="A944" s="0" t="s">
        <v>7234</v>
      </c>
      <c r="B944" s="0" t="s">
        <v>7235</v>
      </c>
      <c r="C944" s="0" t="s">
        <v>139</v>
      </c>
      <c r="D944" s="0" t="s">
        <v>5023</v>
      </c>
      <c r="E944" s="0" t="s">
        <v>5024</v>
      </c>
      <c r="F944" s="0" t="s">
        <v>5024</v>
      </c>
      <c r="G944" s="0" t="s">
        <v>3278</v>
      </c>
      <c r="H944" s="0" t="s">
        <v>3975</v>
      </c>
      <c r="I944" s="0" t="s">
        <v>7226</v>
      </c>
      <c r="J944" s="0" t="s">
        <v>7227</v>
      </c>
      <c r="K944" s="444" t="s">
        <v>7193</v>
      </c>
    </row>
    <row r="945" customFormat="false" ht="12.8" hidden="false" customHeight="false" outlineLevel="0" collapsed="false">
      <c r="A945" s="0" t="s">
        <v>7236</v>
      </c>
      <c r="B945" s="0" t="s">
        <v>7237</v>
      </c>
      <c r="C945" s="0" t="s">
        <v>139</v>
      </c>
      <c r="D945" s="0" t="s">
        <v>5023</v>
      </c>
      <c r="E945" s="0" t="s">
        <v>5024</v>
      </c>
      <c r="F945" s="0" t="s">
        <v>5024</v>
      </c>
      <c r="G945" s="0" t="s">
        <v>3278</v>
      </c>
      <c r="H945" s="0" t="s">
        <v>3975</v>
      </c>
      <c r="I945" s="0" t="s">
        <v>7226</v>
      </c>
      <c r="J945" s="0" t="s">
        <v>7227</v>
      </c>
      <c r="K945" s="444" t="s">
        <v>7193</v>
      </c>
    </row>
    <row r="946" customFormat="false" ht="12.8" hidden="false" customHeight="false" outlineLevel="0" collapsed="false">
      <c r="A946" s="0" t="s">
        <v>7238</v>
      </c>
      <c r="B946" s="0" t="s">
        <v>7239</v>
      </c>
      <c r="C946" s="0" t="s">
        <v>151</v>
      </c>
      <c r="D946" s="0" t="s">
        <v>5061</v>
      </c>
      <c r="E946" s="0" t="s">
        <v>5062</v>
      </c>
      <c r="F946" s="0" t="s">
        <v>5062</v>
      </c>
      <c r="G946" s="0" t="s">
        <v>3278</v>
      </c>
      <c r="H946" s="0" t="s">
        <v>3855</v>
      </c>
      <c r="I946" s="0" t="s">
        <v>7240</v>
      </c>
      <c r="J946" s="0" t="s">
        <v>7241</v>
      </c>
      <c r="K946" s="444" t="s">
        <v>7193</v>
      </c>
    </row>
    <row r="947" customFormat="false" ht="12.8" hidden="false" customHeight="false" outlineLevel="0" collapsed="false">
      <c r="A947" s="0" t="s">
        <v>7242</v>
      </c>
      <c r="B947" s="0" t="s">
        <v>7243</v>
      </c>
      <c r="C947" s="0" t="s">
        <v>151</v>
      </c>
      <c r="D947" s="0" t="s">
        <v>5023</v>
      </c>
      <c r="E947" s="0" t="s">
        <v>5024</v>
      </c>
      <c r="F947" s="0" t="s">
        <v>5024</v>
      </c>
      <c r="G947" s="0" t="s">
        <v>3278</v>
      </c>
      <c r="H947" s="0" t="s">
        <v>3855</v>
      </c>
      <c r="I947" s="0" t="s">
        <v>7240</v>
      </c>
      <c r="J947" s="0" t="s">
        <v>7241</v>
      </c>
      <c r="K947" s="444" t="s">
        <v>7193</v>
      </c>
    </row>
    <row r="948" customFormat="false" ht="12.8" hidden="false" customHeight="false" outlineLevel="0" collapsed="false">
      <c r="A948" s="0" t="s">
        <v>7244</v>
      </c>
      <c r="B948" s="0" t="s">
        <v>7245</v>
      </c>
      <c r="C948" s="0" t="s">
        <v>151</v>
      </c>
      <c r="D948" s="0" t="s">
        <v>5023</v>
      </c>
      <c r="E948" s="0" t="s">
        <v>5024</v>
      </c>
      <c r="F948" s="0" t="s">
        <v>5024</v>
      </c>
      <c r="G948" s="0" t="s">
        <v>3278</v>
      </c>
      <c r="H948" s="0" t="s">
        <v>3855</v>
      </c>
      <c r="I948" s="0" t="s">
        <v>7240</v>
      </c>
      <c r="J948" s="0" t="s">
        <v>7241</v>
      </c>
      <c r="K948" s="444" t="s">
        <v>7193</v>
      </c>
    </row>
    <row r="949" customFormat="false" ht="12.8" hidden="false" customHeight="false" outlineLevel="0" collapsed="false">
      <c r="A949" s="0" t="s">
        <v>7246</v>
      </c>
      <c r="B949" s="0" t="s">
        <v>7247</v>
      </c>
      <c r="C949" s="0" t="s">
        <v>151</v>
      </c>
      <c r="D949" s="0" t="s">
        <v>5023</v>
      </c>
      <c r="E949" s="0" t="s">
        <v>5024</v>
      </c>
      <c r="F949" s="0" t="s">
        <v>5024</v>
      </c>
      <c r="G949" s="0" t="s">
        <v>3278</v>
      </c>
      <c r="H949" s="0" t="s">
        <v>3855</v>
      </c>
      <c r="I949" s="0" t="s">
        <v>7240</v>
      </c>
      <c r="J949" s="0" t="s">
        <v>7241</v>
      </c>
      <c r="K949" s="444" t="s">
        <v>7193</v>
      </c>
    </row>
    <row r="950" customFormat="false" ht="12.8" hidden="false" customHeight="false" outlineLevel="0" collapsed="false">
      <c r="A950" s="0" t="s">
        <v>7248</v>
      </c>
      <c r="B950" s="0" t="s">
        <v>7249</v>
      </c>
      <c r="C950" s="0" t="s">
        <v>172</v>
      </c>
      <c r="D950" s="0" t="s">
        <v>5023</v>
      </c>
      <c r="E950" s="0" t="s">
        <v>5024</v>
      </c>
      <c r="F950" s="0" t="s">
        <v>5024</v>
      </c>
      <c r="G950" s="0" t="s">
        <v>3278</v>
      </c>
      <c r="H950" s="0" t="s">
        <v>3855</v>
      </c>
      <c r="I950" s="0" t="s">
        <v>7250</v>
      </c>
      <c r="J950" s="0" t="s">
        <v>7251</v>
      </c>
      <c r="K950" s="444" t="s">
        <v>7193</v>
      </c>
    </row>
    <row r="951" customFormat="false" ht="12.8" hidden="false" customHeight="false" outlineLevel="0" collapsed="false">
      <c r="A951" s="0" t="s">
        <v>7252</v>
      </c>
      <c r="B951" s="0" t="s">
        <v>7253</v>
      </c>
      <c r="C951" s="0" t="s">
        <v>172</v>
      </c>
      <c r="D951" s="0" t="s">
        <v>5023</v>
      </c>
      <c r="E951" s="0" t="s">
        <v>5024</v>
      </c>
      <c r="F951" s="0" t="s">
        <v>5024</v>
      </c>
      <c r="G951" s="0" t="s">
        <v>3278</v>
      </c>
      <c r="H951" s="0" t="s">
        <v>3855</v>
      </c>
      <c r="I951" s="0" t="s">
        <v>7250</v>
      </c>
      <c r="J951" s="0" t="s">
        <v>7251</v>
      </c>
      <c r="K951" s="444" t="s">
        <v>7193</v>
      </c>
    </row>
    <row r="952" customFormat="false" ht="12.8" hidden="false" customHeight="false" outlineLevel="0" collapsed="false">
      <c r="A952" s="0" t="s">
        <v>7254</v>
      </c>
      <c r="B952" s="0" t="s">
        <v>7255</v>
      </c>
      <c r="C952" s="0" t="s">
        <v>172</v>
      </c>
      <c r="D952" s="0" t="s">
        <v>5023</v>
      </c>
      <c r="E952" s="0" t="s">
        <v>5024</v>
      </c>
      <c r="F952" s="0" t="s">
        <v>5024</v>
      </c>
      <c r="G952" s="0" t="s">
        <v>3278</v>
      </c>
      <c r="H952" s="0" t="s">
        <v>3855</v>
      </c>
      <c r="I952" s="0" t="s">
        <v>7250</v>
      </c>
      <c r="J952" s="0" t="s">
        <v>7251</v>
      </c>
      <c r="K952" s="444" t="s">
        <v>7193</v>
      </c>
    </row>
    <row r="953" customFormat="false" ht="12.8" hidden="false" customHeight="false" outlineLevel="0" collapsed="false">
      <c r="A953" s="0" t="s">
        <v>7256</v>
      </c>
      <c r="B953" s="0" t="s">
        <v>7257</v>
      </c>
      <c r="C953" s="0" t="s">
        <v>172</v>
      </c>
      <c r="D953" s="0" t="s">
        <v>5061</v>
      </c>
      <c r="E953" s="0" t="s">
        <v>5062</v>
      </c>
      <c r="F953" s="0" t="s">
        <v>5062</v>
      </c>
      <c r="G953" s="0" t="s">
        <v>3278</v>
      </c>
      <c r="H953" s="0" t="s">
        <v>3855</v>
      </c>
      <c r="I953" s="0" t="s">
        <v>7250</v>
      </c>
      <c r="J953" s="0" t="s">
        <v>7251</v>
      </c>
      <c r="K953" s="444" t="s">
        <v>7193</v>
      </c>
    </row>
    <row r="954" customFormat="false" ht="12.8" hidden="false" customHeight="false" outlineLevel="0" collapsed="false">
      <c r="A954" s="0" t="s">
        <v>7258</v>
      </c>
      <c r="B954" s="0" t="s">
        <v>7259</v>
      </c>
      <c r="C954" s="0" t="s">
        <v>172</v>
      </c>
      <c r="D954" s="0" t="s">
        <v>5023</v>
      </c>
      <c r="E954" s="0" t="s">
        <v>5024</v>
      </c>
      <c r="F954" s="0" t="s">
        <v>5024</v>
      </c>
      <c r="G954" s="0" t="s">
        <v>3278</v>
      </c>
      <c r="H954" s="0" t="s">
        <v>3855</v>
      </c>
      <c r="I954" s="0" t="s">
        <v>7250</v>
      </c>
      <c r="J954" s="0" t="s">
        <v>7251</v>
      </c>
      <c r="K954" s="444" t="s">
        <v>7193</v>
      </c>
    </row>
    <row r="955" customFormat="false" ht="12.8" hidden="false" customHeight="false" outlineLevel="0" collapsed="false">
      <c r="A955" s="0" t="s">
        <v>7260</v>
      </c>
      <c r="B955" s="0" t="s">
        <v>7261</v>
      </c>
      <c r="C955" s="0" t="s">
        <v>355</v>
      </c>
      <c r="D955" s="0" t="s">
        <v>5057</v>
      </c>
      <c r="E955" s="0" t="s">
        <v>5058</v>
      </c>
      <c r="F955" s="0" t="s">
        <v>5058</v>
      </c>
      <c r="G955" s="0" t="s">
        <v>3278</v>
      </c>
      <c r="H955" s="0" t="s">
        <v>3741</v>
      </c>
      <c r="I955" s="0" t="s">
        <v>7262</v>
      </c>
      <c r="J955" s="0" t="s">
        <v>7263</v>
      </c>
      <c r="K955" s="0" t="s">
        <v>5260</v>
      </c>
    </row>
    <row r="956" customFormat="false" ht="12.8" hidden="false" customHeight="false" outlineLevel="0" collapsed="false">
      <c r="A956" s="0" t="s">
        <v>7264</v>
      </c>
      <c r="B956" s="0" t="s">
        <v>7265</v>
      </c>
      <c r="C956" s="0" t="s">
        <v>355</v>
      </c>
      <c r="D956" s="0" t="s">
        <v>5061</v>
      </c>
      <c r="E956" s="0" t="s">
        <v>5062</v>
      </c>
      <c r="F956" s="0" t="s">
        <v>5062</v>
      </c>
      <c r="G956" s="0" t="s">
        <v>3278</v>
      </c>
      <c r="H956" s="0" t="s">
        <v>3741</v>
      </c>
      <c r="I956" s="0" t="s">
        <v>7262</v>
      </c>
      <c r="J956" s="0" t="s">
        <v>7263</v>
      </c>
      <c r="K956" s="0" t="s">
        <v>5260</v>
      </c>
    </row>
    <row r="957" customFormat="false" ht="12.8" hidden="false" customHeight="false" outlineLevel="0" collapsed="false">
      <c r="A957" s="0" t="s">
        <v>7266</v>
      </c>
      <c r="B957" s="0" t="s">
        <v>7267</v>
      </c>
      <c r="C957" s="0" t="s">
        <v>355</v>
      </c>
      <c r="D957" s="0" t="s">
        <v>5023</v>
      </c>
      <c r="E957" s="0" t="s">
        <v>5024</v>
      </c>
      <c r="F957" s="0" t="s">
        <v>5024</v>
      </c>
      <c r="G957" s="0" t="s">
        <v>3278</v>
      </c>
      <c r="H957" s="0" t="s">
        <v>3741</v>
      </c>
      <c r="I957" s="0" t="s">
        <v>7262</v>
      </c>
      <c r="J957" s="0" t="s">
        <v>7263</v>
      </c>
      <c r="K957" s="0" t="s">
        <v>5260</v>
      </c>
    </row>
    <row r="958" customFormat="false" ht="12.8" hidden="false" customHeight="false" outlineLevel="0" collapsed="false">
      <c r="A958" s="0" t="s">
        <v>7268</v>
      </c>
      <c r="B958" s="0" t="s">
        <v>7269</v>
      </c>
      <c r="C958" s="0" t="s">
        <v>355</v>
      </c>
      <c r="D958" s="0" t="s">
        <v>5023</v>
      </c>
      <c r="E958" s="0" t="s">
        <v>5024</v>
      </c>
      <c r="F958" s="0" t="s">
        <v>5024</v>
      </c>
      <c r="G958" s="0" t="s">
        <v>3278</v>
      </c>
      <c r="H958" s="0" t="s">
        <v>3741</v>
      </c>
      <c r="I958" s="0" t="s">
        <v>7262</v>
      </c>
      <c r="J958" s="0" t="s">
        <v>7263</v>
      </c>
      <c r="K958" s="0" t="s">
        <v>5260</v>
      </c>
    </row>
    <row r="959" customFormat="false" ht="12.8" hidden="false" customHeight="false" outlineLevel="0" collapsed="false">
      <c r="A959" s="0" t="s">
        <v>7270</v>
      </c>
      <c r="B959" s="0" t="s">
        <v>7271</v>
      </c>
      <c r="C959" s="0" t="s">
        <v>355</v>
      </c>
      <c r="D959" s="0" t="s">
        <v>5023</v>
      </c>
      <c r="E959" s="0" t="s">
        <v>5024</v>
      </c>
      <c r="F959" s="0" t="s">
        <v>5024</v>
      </c>
      <c r="G959" s="0" t="s">
        <v>3278</v>
      </c>
      <c r="H959" s="0" t="s">
        <v>3741</v>
      </c>
      <c r="I959" s="0" t="s">
        <v>7262</v>
      </c>
      <c r="J959" s="0" t="s">
        <v>7263</v>
      </c>
      <c r="K959" s="0" t="s">
        <v>5260</v>
      </c>
    </row>
    <row r="960" customFormat="false" ht="12.8" hidden="false" customHeight="false" outlineLevel="0" collapsed="false">
      <c r="A960" s="0" t="s">
        <v>7272</v>
      </c>
      <c r="B960" s="0" t="s">
        <v>7273</v>
      </c>
      <c r="C960" s="0" t="s">
        <v>355</v>
      </c>
      <c r="D960" s="0" t="s">
        <v>5023</v>
      </c>
      <c r="E960" s="0" t="s">
        <v>5024</v>
      </c>
      <c r="F960" s="0" t="s">
        <v>5024</v>
      </c>
      <c r="G960" s="0" t="s">
        <v>3278</v>
      </c>
      <c r="H960" s="0" t="s">
        <v>3741</v>
      </c>
      <c r="I960" s="0" t="s">
        <v>7262</v>
      </c>
      <c r="J960" s="0" t="s">
        <v>7263</v>
      </c>
      <c r="K960" s="0" t="s">
        <v>5260</v>
      </c>
    </row>
    <row r="961" customFormat="false" ht="12.8" hidden="false" customHeight="false" outlineLevel="0" collapsed="false">
      <c r="A961" s="0" t="s">
        <v>7274</v>
      </c>
      <c r="B961" s="0" t="s">
        <v>7275</v>
      </c>
      <c r="C961" s="0" t="s">
        <v>355</v>
      </c>
      <c r="D961" s="0" t="s">
        <v>5023</v>
      </c>
      <c r="E961" s="0" t="s">
        <v>5024</v>
      </c>
      <c r="F961" s="0" t="s">
        <v>5024</v>
      </c>
      <c r="G961" s="0" t="s">
        <v>3278</v>
      </c>
      <c r="H961" s="0" t="s">
        <v>3741</v>
      </c>
      <c r="I961" s="0" t="s">
        <v>7262</v>
      </c>
      <c r="J961" s="0" t="s">
        <v>7263</v>
      </c>
      <c r="K961" s="0" t="s">
        <v>5260</v>
      </c>
    </row>
    <row r="962" customFormat="false" ht="12.8" hidden="false" customHeight="false" outlineLevel="0" collapsed="false">
      <c r="A962" s="0" t="s">
        <v>7276</v>
      </c>
      <c r="B962" s="0" t="s">
        <v>7277</v>
      </c>
      <c r="C962" s="0" t="s">
        <v>370</v>
      </c>
      <c r="D962" s="0" t="s">
        <v>5061</v>
      </c>
      <c r="E962" s="0" t="s">
        <v>5062</v>
      </c>
      <c r="F962" s="0" t="s">
        <v>5062</v>
      </c>
      <c r="G962" s="0" t="s">
        <v>3278</v>
      </c>
      <c r="H962" s="0" t="s">
        <v>3647</v>
      </c>
      <c r="I962" s="0" t="s">
        <v>7278</v>
      </c>
      <c r="J962" s="0" t="s">
        <v>7279</v>
      </c>
      <c r="K962" s="0" t="s">
        <v>5260</v>
      </c>
    </row>
    <row r="963" customFormat="false" ht="12.8" hidden="false" customHeight="false" outlineLevel="0" collapsed="false">
      <c r="A963" s="0" t="s">
        <v>7280</v>
      </c>
      <c r="B963" s="0" t="s">
        <v>7281</v>
      </c>
      <c r="C963" s="0" t="s">
        <v>370</v>
      </c>
      <c r="D963" s="0" t="s">
        <v>5023</v>
      </c>
      <c r="E963" s="0" t="s">
        <v>5024</v>
      </c>
      <c r="F963" s="0" t="s">
        <v>5024</v>
      </c>
      <c r="G963" s="0" t="s">
        <v>3278</v>
      </c>
      <c r="H963" s="0" t="s">
        <v>3647</v>
      </c>
      <c r="I963" s="0" t="s">
        <v>7278</v>
      </c>
      <c r="J963" s="0" t="s">
        <v>7279</v>
      </c>
      <c r="K963" s="0" t="s">
        <v>5260</v>
      </c>
    </row>
    <row r="964" customFormat="false" ht="12.8" hidden="false" customHeight="false" outlineLevel="0" collapsed="false">
      <c r="A964" s="0" t="s">
        <v>7282</v>
      </c>
      <c r="B964" s="0" t="s">
        <v>7283</v>
      </c>
      <c r="C964" s="0" t="s">
        <v>370</v>
      </c>
      <c r="D964" s="0" t="s">
        <v>5023</v>
      </c>
      <c r="E964" s="0" t="s">
        <v>5024</v>
      </c>
      <c r="F964" s="0" t="s">
        <v>5024</v>
      </c>
      <c r="G964" s="0" t="s">
        <v>3278</v>
      </c>
      <c r="H964" s="0" t="s">
        <v>3647</v>
      </c>
      <c r="I964" s="0" t="s">
        <v>7278</v>
      </c>
      <c r="J964" s="0" t="s">
        <v>7279</v>
      </c>
      <c r="K964" s="0" t="s">
        <v>5260</v>
      </c>
    </row>
    <row r="965" customFormat="false" ht="12.8" hidden="false" customHeight="false" outlineLevel="0" collapsed="false">
      <c r="A965" s="0" t="s">
        <v>7284</v>
      </c>
      <c r="B965" s="0" t="s">
        <v>7285</v>
      </c>
      <c r="C965" s="0" t="s">
        <v>370</v>
      </c>
      <c r="D965" s="0" t="s">
        <v>5023</v>
      </c>
      <c r="E965" s="0" t="s">
        <v>5024</v>
      </c>
      <c r="F965" s="0" t="s">
        <v>5024</v>
      </c>
      <c r="G965" s="0" t="s">
        <v>3278</v>
      </c>
      <c r="H965" s="0" t="s">
        <v>3647</v>
      </c>
      <c r="I965" s="0" t="s">
        <v>7278</v>
      </c>
      <c r="J965" s="0" t="s">
        <v>7279</v>
      </c>
      <c r="K965" s="0" t="s">
        <v>5260</v>
      </c>
    </row>
    <row r="966" customFormat="false" ht="12.8" hidden="false" customHeight="false" outlineLevel="0" collapsed="false">
      <c r="A966" s="0" t="s">
        <v>7286</v>
      </c>
      <c r="B966" s="0" t="s">
        <v>7287</v>
      </c>
      <c r="C966" s="0" t="s">
        <v>370</v>
      </c>
      <c r="D966" s="0" t="s">
        <v>5023</v>
      </c>
      <c r="E966" s="0" t="s">
        <v>5024</v>
      </c>
      <c r="F966" s="0" t="s">
        <v>5024</v>
      </c>
      <c r="G966" s="0" t="s">
        <v>3278</v>
      </c>
      <c r="H966" s="0" t="s">
        <v>3647</v>
      </c>
      <c r="I966" s="0" t="s">
        <v>7278</v>
      </c>
      <c r="J966" s="0" t="s">
        <v>7279</v>
      </c>
      <c r="K966" s="0" t="s">
        <v>5260</v>
      </c>
    </row>
    <row r="967" customFormat="false" ht="12.8" hidden="false" customHeight="false" outlineLevel="0" collapsed="false">
      <c r="A967" s="0" t="s">
        <v>7288</v>
      </c>
      <c r="B967" s="0" t="s">
        <v>7289</v>
      </c>
      <c r="C967" s="0" t="s">
        <v>370</v>
      </c>
      <c r="D967" s="0" t="s">
        <v>5057</v>
      </c>
      <c r="E967" s="0" t="s">
        <v>5058</v>
      </c>
      <c r="F967" s="0" t="s">
        <v>5058</v>
      </c>
      <c r="G967" s="0" t="s">
        <v>3278</v>
      </c>
      <c r="H967" s="0" t="s">
        <v>3647</v>
      </c>
      <c r="I967" s="0" t="s">
        <v>7278</v>
      </c>
      <c r="J967" s="0" t="s">
        <v>7279</v>
      </c>
      <c r="K967" s="0" t="s">
        <v>5260</v>
      </c>
    </row>
    <row r="968" customFormat="false" ht="12.8" hidden="false" customHeight="false" outlineLevel="0" collapsed="false">
      <c r="A968" s="0" t="s">
        <v>7290</v>
      </c>
      <c r="B968" s="0" t="s">
        <v>7291</v>
      </c>
      <c r="C968" s="0" t="s">
        <v>398</v>
      </c>
      <c r="D968" s="0" t="s">
        <v>5023</v>
      </c>
      <c r="E968" s="0" t="s">
        <v>5024</v>
      </c>
      <c r="F968" s="0" t="s">
        <v>5024</v>
      </c>
      <c r="G968" s="0" t="s">
        <v>3278</v>
      </c>
      <c r="H968" s="0" t="s">
        <v>3647</v>
      </c>
      <c r="I968" s="0" t="s">
        <v>7292</v>
      </c>
      <c r="J968" s="0" t="s">
        <v>7293</v>
      </c>
      <c r="K968" s="0" t="s">
        <v>5260</v>
      </c>
    </row>
    <row r="969" customFormat="false" ht="12.8" hidden="false" customHeight="false" outlineLevel="0" collapsed="false">
      <c r="A969" s="0" t="s">
        <v>7294</v>
      </c>
      <c r="B969" s="0" t="s">
        <v>7295</v>
      </c>
      <c r="C969" s="0" t="s">
        <v>398</v>
      </c>
      <c r="D969" s="0" t="s">
        <v>5023</v>
      </c>
      <c r="E969" s="0" t="s">
        <v>5024</v>
      </c>
      <c r="F969" s="0" t="s">
        <v>5024</v>
      </c>
      <c r="G969" s="0" t="s">
        <v>3278</v>
      </c>
      <c r="H969" s="0" t="s">
        <v>3647</v>
      </c>
      <c r="I969" s="0" t="s">
        <v>7292</v>
      </c>
      <c r="J969" s="0" t="s">
        <v>7293</v>
      </c>
      <c r="K969" s="0" t="s">
        <v>5260</v>
      </c>
    </row>
    <row r="970" customFormat="false" ht="12.8" hidden="false" customHeight="false" outlineLevel="0" collapsed="false">
      <c r="A970" s="0" t="s">
        <v>7296</v>
      </c>
      <c r="B970" s="0" t="s">
        <v>7297</v>
      </c>
      <c r="C970" s="0" t="s">
        <v>398</v>
      </c>
      <c r="D970" s="0" t="s">
        <v>5023</v>
      </c>
      <c r="E970" s="0" t="s">
        <v>5024</v>
      </c>
      <c r="F970" s="0" t="s">
        <v>5024</v>
      </c>
      <c r="G970" s="0" t="s">
        <v>3278</v>
      </c>
      <c r="H970" s="0" t="s">
        <v>3647</v>
      </c>
      <c r="I970" s="0" t="s">
        <v>7292</v>
      </c>
      <c r="J970" s="0" t="s">
        <v>7293</v>
      </c>
      <c r="K970" s="0" t="s">
        <v>5260</v>
      </c>
    </row>
    <row r="971" customFormat="false" ht="12.8" hidden="false" customHeight="false" outlineLevel="0" collapsed="false">
      <c r="A971" s="0" t="s">
        <v>7298</v>
      </c>
      <c r="B971" s="0" t="s">
        <v>7299</v>
      </c>
      <c r="C971" s="0" t="s">
        <v>398</v>
      </c>
      <c r="D971" s="0" t="s">
        <v>5023</v>
      </c>
      <c r="E971" s="0" t="s">
        <v>5024</v>
      </c>
      <c r="F971" s="0" t="s">
        <v>5024</v>
      </c>
      <c r="G971" s="0" t="s">
        <v>3278</v>
      </c>
      <c r="H971" s="0" t="s">
        <v>3647</v>
      </c>
      <c r="I971" s="0" t="s">
        <v>7292</v>
      </c>
      <c r="J971" s="0" t="s">
        <v>7293</v>
      </c>
      <c r="K971" s="0" t="s">
        <v>5260</v>
      </c>
    </row>
    <row r="972" customFormat="false" ht="12.8" hidden="false" customHeight="false" outlineLevel="0" collapsed="false">
      <c r="A972" s="0" t="s">
        <v>7300</v>
      </c>
      <c r="B972" s="0" t="s">
        <v>7301</v>
      </c>
      <c r="C972" s="0" t="s">
        <v>398</v>
      </c>
      <c r="D972" s="0" t="s">
        <v>5023</v>
      </c>
      <c r="E972" s="0" t="s">
        <v>5024</v>
      </c>
      <c r="F972" s="0" t="s">
        <v>5024</v>
      </c>
      <c r="G972" s="0" t="s">
        <v>3278</v>
      </c>
      <c r="H972" s="0" t="s">
        <v>3647</v>
      </c>
      <c r="I972" s="0" t="s">
        <v>7292</v>
      </c>
      <c r="J972" s="0" t="s">
        <v>7293</v>
      </c>
      <c r="K972" s="0" t="s">
        <v>5260</v>
      </c>
    </row>
    <row r="973" customFormat="false" ht="12.8" hidden="false" customHeight="false" outlineLevel="0" collapsed="false">
      <c r="A973" s="0" t="s">
        <v>7302</v>
      </c>
      <c r="B973" s="0" t="s">
        <v>7303</v>
      </c>
      <c r="C973" s="0" t="s">
        <v>398</v>
      </c>
      <c r="D973" s="0" t="s">
        <v>5061</v>
      </c>
      <c r="E973" s="0" t="s">
        <v>5062</v>
      </c>
      <c r="F973" s="0" t="s">
        <v>5062</v>
      </c>
      <c r="G973" s="0" t="s">
        <v>3278</v>
      </c>
      <c r="H973" s="0" t="s">
        <v>3647</v>
      </c>
      <c r="I973" s="0" t="s">
        <v>7292</v>
      </c>
      <c r="J973" s="0" t="s">
        <v>7293</v>
      </c>
      <c r="K973" s="0" t="s">
        <v>5260</v>
      </c>
    </row>
    <row r="974" customFormat="false" ht="12.8" hidden="false" customHeight="false" outlineLevel="0" collapsed="false">
      <c r="A974" s="0" t="s">
        <v>7304</v>
      </c>
      <c r="B974" s="0" t="s">
        <v>7305</v>
      </c>
      <c r="C974" s="0" t="s">
        <v>398</v>
      </c>
      <c r="D974" s="0" t="s">
        <v>5023</v>
      </c>
      <c r="E974" s="0" t="s">
        <v>5024</v>
      </c>
      <c r="F974" s="0" t="s">
        <v>5024</v>
      </c>
      <c r="G974" s="0" t="s">
        <v>3278</v>
      </c>
      <c r="H974" s="0" t="s">
        <v>3647</v>
      </c>
      <c r="I974" s="0" t="s">
        <v>7292</v>
      </c>
      <c r="J974" s="0" t="s">
        <v>7293</v>
      </c>
      <c r="K974" s="0" t="s">
        <v>5260</v>
      </c>
    </row>
    <row r="975" customFormat="false" ht="12.8" hidden="false" customHeight="false" outlineLevel="0" collapsed="false">
      <c r="A975" s="0" t="s">
        <v>7306</v>
      </c>
      <c r="B975" s="0" t="s">
        <v>7307</v>
      </c>
      <c r="C975" s="0" t="s">
        <v>30</v>
      </c>
      <c r="D975" s="0" t="s">
        <v>5023</v>
      </c>
      <c r="E975" s="0" t="s">
        <v>5024</v>
      </c>
      <c r="F975" s="0" t="s">
        <v>5024</v>
      </c>
      <c r="G975" s="0" t="s">
        <v>3278</v>
      </c>
      <c r="H975" s="0" t="s">
        <v>3855</v>
      </c>
      <c r="I975" s="0" t="s">
        <v>7308</v>
      </c>
      <c r="J975" s="0" t="s">
        <v>7309</v>
      </c>
      <c r="K975" s="0" t="s">
        <v>7180</v>
      </c>
    </row>
    <row r="976" customFormat="false" ht="12.8" hidden="false" customHeight="false" outlineLevel="0" collapsed="false">
      <c r="A976" s="0" t="s">
        <v>7310</v>
      </c>
      <c r="B976" s="0" t="s">
        <v>7311</v>
      </c>
      <c r="C976" s="0" t="s">
        <v>30</v>
      </c>
      <c r="D976" s="0" t="s">
        <v>5023</v>
      </c>
      <c r="E976" s="0" t="s">
        <v>5024</v>
      </c>
      <c r="F976" s="0" t="s">
        <v>5024</v>
      </c>
      <c r="G976" s="0" t="s">
        <v>3278</v>
      </c>
      <c r="H976" s="0" t="s">
        <v>3855</v>
      </c>
      <c r="I976" s="0" t="s">
        <v>7308</v>
      </c>
      <c r="J976" s="0" t="s">
        <v>7309</v>
      </c>
      <c r="K976" s="0" t="s">
        <v>7180</v>
      </c>
    </row>
    <row r="977" customFormat="false" ht="12.8" hidden="false" customHeight="false" outlineLevel="0" collapsed="false">
      <c r="A977" s="0" t="s">
        <v>7312</v>
      </c>
      <c r="B977" s="0" t="s">
        <v>7313</v>
      </c>
      <c r="C977" s="0" t="s">
        <v>30</v>
      </c>
      <c r="D977" s="0" t="s">
        <v>5023</v>
      </c>
      <c r="E977" s="0" t="s">
        <v>5024</v>
      </c>
      <c r="F977" s="0" t="s">
        <v>5024</v>
      </c>
      <c r="G977" s="0" t="s">
        <v>3278</v>
      </c>
      <c r="H977" s="0" t="s">
        <v>3855</v>
      </c>
      <c r="I977" s="0" t="s">
        <v>7308</v>
      </c>
      <c r="J977" s="0" t="s">
        <v>7309</v>
      </c>
      <c r="K977" s="0" t="s">
        <v>7180</v>
      </c>
    </row>
    <row r="978" customFormat="false" ht="12.8" hidden="false" customHeight="false" outlineLevel="0" collapsed="false">
      <c r="A978" s="0" t="s">
        <v>7314</v>
      </c>
      <c r="B978" s="0" t="s">
        <v>7315</v>
      </c>
      <c r="C978" s="0" t="s">
        <v>30</v>
      </c>
      <c r="D978" s="0" t="s">
        <v>5023</v>
      </c>
      <c r="E978" s="0" t="s">
        <v>5024</v>
      </c>
      <c r="F978" s="0" t="s">
        <v>5024</v>
      </c>
      <c r="G978" s="0" t="s">
        <v>3278</v>
      </c>
      <c r="H978" s="0" t="s">
        <v>3855</v>
      </c>
      <c r="I978" s="0" t="s">
        <v>7308</v>
      </c>
      <c r="J978" s="0" t="s">
        <v>7309</v>
      </c>
      <c r="K978" s="0" t="s">
        <v>7180</v>
      </c>
    </row>
    <row r="979" customFormat="false" ht="12.8" hidden="false" customHeight="false" outlineLevel="0" collapsed="false">
      <c r="A979" s="0" t="s">
        <v>7316</v>
      </c>
      <c r="B979" s="0" t="s">
        <v>7317</v>
      </c>
      <c r="C979" s="0" t="s">
        <v>30</v>
      </c>
      <c r="D979" s="0" t="s">
        <v>5023</v>
      </c>
      <c r="E979" s="0" t="s">
        <v>5024</v>
      </c>
      <c r="F979" s="0" t="s">
        <v>5024</v>
      </c>
      <c r="G979" s="0" t="s">
        <v>3278</v>
      </c>
      <c r="H979" s="0" t="s">
        <v>3855</v>
      </c>
      <c r="I979" s="0" t="s">
        <v>7308</v>
      </c>
      <c r="J979" s="0" t="s">
        <v>7309</v>
      </c>
      <c r="K979" s="0" t="s">
        <v>7180</v>
      </c>
    </row>
    <row r="980" customFormat="false" ht="12.8" hidden="false" customHeight="false" outlineLevel="0" collapsed="false">
      <c r="A980" s="0" t="s">
        <v>7318</v>
      </c>
      <c r="B980" s="0" t="s">
        <v>7319</v>
      </c>
      <c r="C980" s="0" t="s">
        <v>30</v>
      </c>
      <c r="D980" s="0" t="s">
        <v>5057</v>
      </c>
      <c r="E980" s="0" t="s">
        <v>5058</v>
      </c>
      <c r="F980" s="0" t="s">
        <v>5058</v>
      </c>
      <c r="G980" s="0" t="s">
        <v>3278</v>
      </c>
      <c r="H980" s="0" t="s">
        <v>3855</v>
      </c>
      <c r="I980" s="0" t="s">
        <v>7308</v>
      </c>
      <c r="J980" s="0" t="s">
        <v>7309</v>
      </c>
      <c r="K980" s="0" t="s">
        <v>7180</v>
      </c>
    </row>
    <row r="981" customFormat="false" ht="12.8" hidden="false" customHeight="false" outlineLevel="0" collapsed="false">
      <c r="A981" s="0" t="s">
        <v>7320</v>
      </c>
      <c r="B981" s="0" t="s">
        <v>7321</v>
      </c>
      <c r="C981" s="0" t="s">
        <v>30</v>
      </c>
      <c r="D981" s="0" t="s">
        <v>5061</v>
      </c>
      <c r="E981" s="0" t="s">
        <v>5062</v>
      </c>
      <c r="F981" s="0" t="s">
        <v>5062</v>
      </c>
      <c r="G981" s="0" t="s">
        <v>3278</v>
      </c>
      <c r="H981" s="0" t="s">
        <v>3855</v>
      </c>
      <c r="I981" s="0" t="s">
        <v>7308</v>
      </c>
      <c r="J981" s="0" t="s">
        <v>7309</v>
      </c>
      <c r="K981" s="0" t="s">
        <v>7180</v>
      </c>
    </row>
    <row r="982" customFormat="false" ht="12.8" hidden="false" customHeight="false" outlineLevel="0" collapsed="false">
      <c r="A982" s="0" t="s">
        <v>7322</v>
      </c>
      <c r="B982" s="0" t="s">
        <v>7323</v>
      </c>
      <c r="C982" s="0" t="s">
        <v>88</v>
      </c>
      <c r="D982" s="0" t="s">
        <v>5061</v>
      </c>
      <c r="E982" s="0" t="s">
        <v>5062</v>
      </c>
      <c r="F982" s="0" t="s">
        <v>5062</v>
      </c>
      <c r="G982" s="0" t="s">
        <v>3278</v>
      </c>
      <c r="H982" s="0" t="s">
        <v>3975</v>
      </c>
      <c r="I982" s="0" t="s">
        <v>7324</v>
      </c>
      <c r="J982" s="0" t="s">
        <v>7325</v>
      </c>
      <c r="K982" s="444" t="s">
        <v>7193</v>
      </c>
    </row>
    <row r="983" customFormat="false" ht="12.8" hidden="false" customHeight="false" outlineLevel="0" collapsed="false">
      <c r="A983" s="0" t="s">
        <v>7326</v>
      </c>
      <c r="B983" s="0" t="s">
        <v>7327</v>
      </c>
      <c r="C983" s="0" t="s">
        <v>88</v>
      </c>
      <c r="D983" s="0" t="s">
        <v>5057</v>
      </c>
      <c r="E983" s="0" t="s">
        <v>5058</v>
      </c>
      <c r="F983" s="0" t="s">
        <v>5058</v>
      </c>
      <c r="G983" s="0" t="s">
        <v>3278</v>
      </c>
      <c r="H983" s="0" t="s">
        <v>3975</v>
      </c>
      <c r="I983" s="0" t="s">
        <v>7324</v>
      </c>
      <c r="J983" s="0" t="s">
        <v>7325</v>
      </c>
      <c r="K983" s="444" t="s">
        <v>7193</v>
      </c>
    </row>
    <row r="984" customFormat="false" ht="12.8" hidden="false" customHeight="false" outlineLevel="0" collapsed="false">
      <c r="A984" s="0" t="s">
        <v>7328</v>
      </c>
      <c r="B984" s="0" t="s">
        <v>7329</v>
      </c>
      <c r="C984" s="0" t="s">
        <v>88</v>
      </c>
      <c r="D984" s="0" t="s">
        <v>5023</v>
      </c>
      <c r="E984" s="0" t="s">
        <v>5024</v>
      </c>
      <c r="F984" s="0" t="s">
        <v>5024</v>
      </c>
      <c r="G984" s="0" t="s">
        <v>3278</v>
      </c>
      <c r="H984" s="0" t="s">
        <v>3975</v>
      </c>
      <c r="I984" s="0" t="s">
        <v>7324</v>
      </c>
      <c r="J984" s="0" t="s">
        <v>7325</v>
      </c>
      <c r="K984" s="444" t="s">
        <v>7193</v>
      </c>
    </row>
    <row r="985" customFormat="false" ht="12.8" hidden="false" customHeight="false" outlineLevel="0" collapsed="false">
      <c r="A985" s="0" t="s">
        <v>7330</v>
      </c>
      <c r="B985" s="0" t="s">
        <v>7331</v>
      </c>
      <c r="C985" s="0" t="s">
        <v>88</v>
      </c>
      <c r="D985" s="0" t="s">
        <v>5023</v>
      </c>
      <c r="E985" s="0" t="s">
        <v>5024</v>
      </c>
      <c r="F985" s="0" t="s">
        <v>5024</v>
      </c>
      <c r="G985" s="0" t="s">
        <v>3278</v>
      </c>
      <c r="H985" s="0" t="s">
        <v>3975</v>
      </c>
      <c r="I985" s="0" t="s">
        <v>7324</v>
      </c>
      <c r="J985" s="0" t="s">
        <v>7325</v>
      </c>
      <c r="K985" s="444" t="s">
        <v>7193</v>
      </c>
    </row>
    <row r="986" customFormat="false" ht="12.8" hidden="false" customHeight="false" outlineLevel="0" collapsed="false">
      <c r="A986" s="0" t="s">
        <v>7332</v>
      </c>
      <c r="B986" s="0" t="s">
        <v>7333</v>
      </c>
      <c r="C986" s="0" t="s">
        <v>88</v>
      </c>
      <c r="D986" s="0" t="s">
        <v>5023</v>
      </c>
      <c r="E986" s="0" t="s">
        <v>5024</v>
      </c>
      <c r="F986" s="0" t="s">
        <v>5024</v>
      </c>
      <c r="G986" s="0" t="s">
        <v>3278</v>
      </c>
      <c r="H986" s="0" t="s">
        <v>3975</v>
      </c>
      <c r="I986" s="0" t="s">
        <v>7324</v>
      </c>
      <c r="J986" s="0" t="s">
        <v>7325</v>
      </c>
      <c r="K986" s="444" t="s">
        <v>7193</v>
      </c>
    </row>
    <row r="987" customFormat="false" ht="12.8" hidden="false" customHeight="false" outlineLevel="0" collapsed="false">
      <c r="A987" s="0" t="s">
        <v>7334</v>
      </c>
      <c r="B987" s="0" t="s">
        <v>7335</v>
      </c>
      <c r="C987" s="0" t="s">
        <v>88</v>
      </c>
      <c r="D987" s="0" t="s">
        <v>5023</v>
      </c>
      <c r="E987" s="0" t="s">
        <v>5024</v>
      </c>
      <c r="F987" s="0" t="s">
        <v>5024</v>
      </c>
      <c r="G987" s="0" t="s">
        <v>3278</v>
      </c>
      <c r="H987" s="0" t="s">
        <v>3975</v>
      </c>
      <c r="I987" s="0" t="s">
        <v>7324</v>
      </c>
      <c r="J987" s="0" t="s">
        <v>7325</v>
      </c>
      <c r="K987" s="444" t="s">
        <v>7193</v>
      </c>
    </row>
    <row r="988" customFormat="false" ht="12.8" hidden="false" customHeight="false" outlineLevel="0" collapsed="false">
      <c r="A988" s="0" t="s">
        <v>7336</v>
      </c>
      <c r="B988" s="0" t="s">
        <v>7337</v>
      </c>
      <c r="C988" s="0" t="s">
        <v>88</v>
      </c>
      <c r="D988" s="0" t="s">
        <v>5023</v>
      </c>
      <c r="E988" s="0" t="s">
        <v>5024</v>
      </c>
      <c r="F988" s="0" t="s">
        <v>5024</v>
      </c>
      <c r="G988" s="0" t="s">
        <v>3278</v>
      </c>
      <c r="H988" s="0" t="s">
        <v>3975</v>
      </c>
      <c r="I988" s="0" t="s">
        <v>7324</v>
      </c>
      <c r="J988" s="0" t="s">
        <v>7325</v>
      </c>
      <c r="K988" s="444" t="s">
        <v>7193</v>
      </c>
    </row>
    <row r="989" customFormat="false" ht="12.8" hidden="false" customHeight="false" outlineLevel="0" collapsed="false">
      <c r="A989" s="0" t="s">
        <v>7338</v>
      </c>
      <c r="B989" s="0" t="s">
        <v>7339</v>
      </c>
      <c r="C989" s="0" t="s">
        <v>137</v>
      </c>
      <c r="D989" s="0" t="s">
        <v>5061</v>
      </c>
      <c r="E989" s="0" t="s">
        <v>5062</v>
      </c>
      <c r="F989" s="0" t="s">
        <v>5062</v>
      </c>
      <c r="G989" s="0" t="s">
        <v>3278</v>
      </c>
      <c r="H989" s="0" t="s">
        <v>3975</v>
      </c>
      <c r="I989" s="0" t="s">
        <v>7340</v>
      </c>
      <c r="J989" s="0" t="s">
        <v>7341</v>
      </c>
      <c r="K989" s="444" t="s">
        <v>7193</v>
      </c>
    </row>
    <row r="990" customFormat="false" ht="12.8" hidden="false" customHeight="false" outlineLevel="0" collapsed="false">
      <c r="A990" s="0" t="s">
        <v>7342</v>
      </c>
      <c r="B990" s="0" t="s">
        <v>7343</v>
      </c>
      <c r="C990" s="0" t="s">
        <v>137</v>
      </c>
      <c r="D990" s="0" t="s">
        <v>5057</v>
      </c>
      <c r="E990" s="0" t="s">
        <v>5058</v>
      </c>
      <c r="F990" s="0" t="s">
        <v>5058</v>
      </c>
      <c r="G990" s="0" t="s">
        <v>3278</v>
      </c>
      <c r="H990" s="0" t="s">
        <v>3975</v>
      </c>
      <c r="I990" s="0" t="s">
        <v>7340</v>
      </c>
      <c r="J990" s="0" t="s">
        <v>7341</v>
      </c>
      <c r="K990" s="444" t="s">
        <v>7193</v>
      </c>
    </row>
    <row r="991" customFormat="false" ht="12.8" hidden="false" customHeight="false" outlineLevel="0" collapsed="false">
      <c r="A991" s="0" t="s">
        <v>7344</v>
      </c>
      <c r="B991" s="0" t="s">
        <v>7345</v>
      </c>
      <c r="C991" s="0" t="s">
        <v>137</v>
      </c>
      <c r="D991" s="0" t="s">
        <v>5023</v>
      </c>
      <c r="E991" s="0" t="s">
        <v>5024</v>
      </c>
      <c r="F991" s="0" t="s">
        <v>5024</v>
      </c>
      <c r="G991" s="0" t="s">
        <v>3278</v>
      </c>
      <c r="H991" s="0" t="s">
        <v>3975</v>
      </c>
      <c r="I991" s="0" t="s">
        <v>7340</v>
      </c>
      <c r="J991" s="0" t="s">
        <v>7341</v>
      </c>
      <c r="K991" s="444" t="s">
        <v>7193</v>
      </c>
    </row>
    <row r="992" customFormat="false" ht="12.8" hidden="false" customHeight="false" outlineLevel="0" collapsed="false">
      <c r="A992" s="0" t="s">
        <v>7346</v>
      </c>
      <c r="B992" s="0" t="s">
        <v>7347</v>
      </c>
      <c r="C992" s="0" t="s">
        <v>137</v>
      </c>
      <c r="D992" s="0" t="s">
        <v>5023</v>
      </c>
      <c r="E992" s="0" t="s">
        <v>5024</v>
      </c>
      <c r="F992" s="0" t="s">
        <v>5024</v>
      </c>
      <c r="G992" s="0" t="s">
        <v>3278</v>
      </c>
      <c r="H992" s="0" t="s">
        <v>3975</v>
      </c>
      <c r="I992" s="0" t="s">
        <v>7340</v>
      </c>
      <c r="J992" s="0" t="s">
        <v>7341</v>
      </c>
      <c r="K992" s="444" t="s">
        <v>7193</v>
      </c>
    </row>
    <row r="993" customFormat="false" ht="12.8" hidden="false" customHeight="false" outlineLevel="0" collapsed="false">
      <c r="A993" s="0" t="s">
        <v>7348</v>
      </c>
      <c r="B993" s="0" t="s">
        <v>7349</v>
      </c>
      <c r="C993" s="0" t="s">
        <v>137</v>
      </c>
      <c r="D993" s="0" t="s">
        <v>5023</v>
      </c>
      <c r="E993" s="0" t="s">
        <v>5024</v>
      </c>
      <c r="F993" s="0" t="s">
        <v>5024</v>
      </c>
      <c r="G993" s="0" t="s">
        <v>3278</v>
      </c>
      <c r="H993" s="0" t="s">
        <v>3975</v>
      </c>
      <c r="I993" s="0" t="s">
        <v>7340</v>
      </c>
      <c r="J993" s="0" t="s">
        <v>7341</v>
      </c>
      <c r="K993" s="444" t="s">
        <v>7193</v>
      </c>
    </row>
    <row r="994" customFormat="false" ht="12.8" hidden="false" customHeight="false" outlineLevel="0" collapsed="false">
      <c r="A994" s="0" t="s">
        <v>7350</v>
      </c>
      <c r="B994" s="0" t="s">
        <v>7351</v>
      </c>
      <c r="C994" s="0" t="s">
        <v>168</v>
      </c>
      <c r="D994" s="0" t="s">
        <v>5023</v>
      </c>
      <c r="E994" s="0" t="s">
        <v>5024</v>
      </c>
      <c r="F994" s="0" t="s">
        <v>5024</v>
      </c>
      <c r="G994" s="0" t="s">
        <v>3278</v>
      </c>
      <c r="H994" s="0" t="s">
        <v>3975</v>
      </c>
      <c r="I994" s="0" t="s">
        <v>7352</v>
      </c>
      <c r="J994" s="0" t="s">
        <v>7353</v>
      </c>
      <c r="K994" s="0" t="s">
        <v>7180</v>
      </c>
    </row>
    <row r="995" customFormat="false" ht="12.8" hidden="false" customHeight="false" outlineLevel="0" collapsed="false">
      <c r="A995" s="0" t="s">
        <v>7354</v>
      </c>
      <c r="B995" s="0" t="s">
        <v>7355</v>
      </c>
      <c r="C995" s="0" t="s">
        <v>168</v>
      </c>
      <c r="D995" s="0" t="s">
        <v>5023</v>
      </c>
      <c r="E995" s="0" t="s">
        <v>5024</v>
      </c>
      <c r="F995" s="0" t="s">
        <v>5024</v>
      </c>
      <c r="G995" s="0" t="s">
        <v>3278</v>
      </c>
      <c r="H995" s="0" t="s">
        <v>3975</v>
      </c>
      <c r="I995" s="0" t="s">
        <v>7352</v>
      </c>
      <c r="J995" s="0" t="s">
        <v>7353</v>
      </c>
      <c r="K995" s="0" t="s">
        <v>7180</v>
      </c>
    </row>
    <row r="996" customFormat="false" ht="12.8" hidden="false" customHeight="false" outlineLevel="0" collapsed="false">
      <c r="A996" s="0" t="s">
        <v>7356</v>
      </c>
      <c r="B996" s="0" t="s">
        <v>7357</v>
      </c>
      <c r="C996" s="0" t="s">
        <v>168</v>
      </c>
      <c r="D996" s="0" t="s">
        <v>5023</v>
      </c>
      <c r="E996" s="0" t="s">
        <v>5024</v>
      </c>
      <c r="F996" s="0" t="s">
        <v>5024</v>
      </c>
      <c r="G996" s="0" t="s">
        <v>3278</v>
      </c>
      <c r="H996" s="0" t="s">
        <v>3975</v>
      </c>
      <c r="I996" s="0" t="s">
        <v>7352</v>
      </c>
      <c r="J996" s="0" t="s">
        <v>7353</v>
      </c>
      <c r="K996" s="0" t="s">
        <v>7180</v>
      </c>
    </row>
    <row r="997" customFormat="false" ht="12.8" hidden="false" customHeight="false" outlineLevel="0" collapsed="false">
      <c r="A997" s="0" t="s">
        <v>7358</v>
      </c>
      <c r="B997" s="0" t="s">
        <v>7359</v>
      </c>
      <c r="C997" s="0" t="s">
        <v>168</v>
      </c>
      <c r="D997" s="0" t="s">
        <v>5057</v>
      </c>
      <c r="E997" s="0" t="s">
        <v>5058</v>
      </c>
      <c r="F997" s="0" t="s">
        <v>5058</v>
      </c>
      <c r="G997" s="0" t="s">
        <v>3278</v>
      </c>
      <c r="H997" s="0" t="s">
        <v>3975</v>
      </c>
      <c r="I997" s="0" t="s">
        <v>7352</v>
      </c>
      <c r="J997" s="0" t="s">
        <v>7353</v>
      </c>
      <c r="K997" s="0" t="s">
        <v>7180</v>
      </c>
    </row>
    <row r="998" customFormat="false" ht="12.8" hidden="false" customHeight="false" outlineLevel="0" collapsed="false">
      <c r="A998" s="0" t="s">
        <v>7360</v>
      </c>
      <c r="B998" s="0" t="s">
        <v>7361</v>
      </c>
      <c r="C998" s="0" t="s">
        <v>168</v>
      </c>
      <c r="D998" s="0" t="s">
        <v>5061</v>
      </c>
      <c r="E998" s="0" t="s">
        <v>5062</v>
      </c>
      <c r="F998" s="0" t="s">
        <v>5062</v>
      </c>
      <c r="G998" s="0" t="s">
        <v>3278</v>
      </c>
      <c r="H998" s="0" t="s">
        <v>3975</v>
      </c>
      <c r="I998" s="0" t="s">
        <v>7352</v>
      </c>
      <c r="J998" s="0" t="s">
        <v>7353</v>
      </c>
      <c r="K998" s="0" t="s">
        <v>7180</v>
      </c>
    </row>
    <row r="999" customFormat="false" ht="12.8" hidden="false" customHeight="false" outlineLevel="0" collapsed="false">
      <c r="A999" s="0" t="s">
        <v>7362</v>
      </c>
      <c r="B999" s="0" t="s">
        <v>7363</v>
      </c>
      <c r="C999" s="0" t="s">
        <v>169</v>
      </c>
      <c r="D999" s="0" t="s">
        <v>5023</v>
      </c>
      <c r="E999" s="0" t="s">
        <v>5024</v>
      </c>
      <c r="F999" s="0" t="s">
        <v>5024</v>
      </c>
      <c r="G999" s="0" t="s">
        <v>3278</v>
      </c>
      <c r="H999" s="0" t="s">
        <v>3975</v>
      </c>
      <c r="I999" s="0" t="s">
        <v>7364</v>
      </c>
      <c r="J999" s="0" t="s">
        <v>7365</v>
      </c>
      <c r="K999" s="0" t="s">
        <v>5418</v>
      </c>
    </row>
    <row r="1000" customFormat="false" ht="12.8" hidden="false" customHeight="false" outlineLevel="0" collapsed="false">
      <c r="A1000" s="0" t="s">
        <v>7366</v>
      </c>
      <c r="B1000" s="0" t="s">
        <v>7367</v>
      </c>
      <c r="C1000" s="0" t="s">
        <v>169</v>
      </c>
      <c r="D1000" s="0" t="s">
        <v>5023</v>
      </c>
      <c r="E1000" s="0" t="s">
        <v>5024</v>
      </c>
      <c r="F1000" s="0" t="s">
        <v>5024</v>
      </c>
      <c r="G1000" s="0" t="s">
        <v>3278</v>
      </c>
      <c r="H1000" s="0" t="s">
        <v>3975</v>
      </c>
      <c r="I1000" s="0" t="s">
        <v>7364</v>
      </c>
      <c r="J1000" s="0" t="s">
        <v>7365</v>
      </c>
      <c r="K1000" s="0" t="s">
        <v>5418</v>
      </c>
    </row>
    <row r="1001" customFormat="false" ht="12.8" hidden="false" customHeight="false" outlineLevel="0" collapsed="false">
      <c r="A1001" s="0" t="s">
        <v>7368</v>
      </c>
      <c r="B1001" s="0" t="s">
        <v>7369</v>
      </c>
      <c r="C1001" s="0" t="s">
        <v>169</v>
      </c>
      <c r="D1001" s="0" t="s">
        <v>5023</v>
      </c>
      <c r="E1001" s="0" t="s">
        <v>5024</v>
      </c>
      <c r="F1001" s="0" t="s">
        <v>5024</v>
      </c>
      <c r="G1001" s="0" t="s">
        <v>3278</v>
      </c>
      <c r="H1001" s="0" t="s">
        <v>3975</v>
      </c>
      <c r="I1001" s="0" t="s">
        <v>7364</v>
      </c>
      <c r="J1001" s="0" t="s">
        <v>7365</v>
      </c>
      <c r="K1001" s="0" t="s">
        <v>5418</v>
      </c>
    </row>
    <row r="1002" customFormat="false" ht="12.8" hidden="false" customHeight="false" outlineLevel="0" collapsed="false">
      <c r="A1002" s="0" t="s">
        <v>7370</v>
      </c>
      <c r="B1002" s="0" t="s">
        <v>7371</v>
      </c>
      <c r="C1002" s="0" t="s">
        <v>169</v>
      </c>
      <c r="D1002" s="0" t="s">
        <v>5061</v>
      </c>
      <c r="E1002" s="0" t="s">
        <v>5062</v>
      </c>
      <c r="F1002" s="0" t="s">
        <v>5062</v>
      </c>
      <c r="G1002" s="0" t="s">
        <v>3278</v>
      </c>
      <c r="H1002" s="0" t="s">
        <v>3975</v>
      </c>
      <c r="I1002" s="0" t="s">
        <v>7364</v>
      </c>
      <c r="J1002" s="0" t="s">
        <v>7365</v>
      </c>
      <c r="K1002" s="0" t="s">
        <v>5418</v>
      </c>
    </row>
    <row r="1003" customFormat="false" ht="12.8" hidden="false" customHeight="false" outlineLevel="0" collapsed="false">
      <c r="A1003" s="0" t="s">
        <v>7372</v>
      </c>
      <c r="B1003" s="0" t="s">
        <v>7373</v>
      </c>
      <c r="C1003" s="0" t="s">
        <v>169</v>
      </c>
      <c r="D1003" s="0" t="s">
        <v>5023</v>
      </c>
      <c r="E1003" s="0" t="s">
        <v>5024</v>
      </c>
      <c r="F1003" s="0" t="s">
        <v>5024</v>
      </c>
      <c r="G1003" s="0" t="s">
        <v>3278</v>
      </c>
      <c r="H1003" s="0" t="s">
        <v>3975</v>
      </c>
      <c r="I1003" s="0" t="s">
        <v>7364</v>
      </c>
      <c r="J1003" s="0" t="s">
        <v>7365</v>
      </c>
      <c r="K1003" s="0" t="s">
        <v>5418</v>
      </c>
    </row>
    <row r="1004" customFormat="false" ht="12.8" hidden="false" customHeight="false" outlineLevel="0" collapsed="false">
      <c r="A1004" s="0" t="s">
        <v>7374</v>
      </c>
      <c r="B1004" s="0" t="s">
        <v>7375</v>
      </c>
      <c r="C1004" s="0" t="s">
        <v>169</v>
      </c>
      <c r="D1004" s="0" t="s">
        <v>5023</v>
      </c>
      <c r="E1004" s="0" t="s">
        <v>5024</v>
      </c>
      <c r="F1004" s="0" t="s">
        <v>5024</v>
      </c>
      <c r="G1004" s="0" t="s">
        <v>3278</v>
      </c>
      <c r="H1004" s="0" t="s">
        <v>3975</v>
      </c>
      <c r="I1004" s="0" t="s">
        <v>7364</v>
      </c>
      <c r="J1004" s="0" t="s">
        <v>7365</v>
      </c>
      <c r="K1004" s="0" t="s">
        <v>5418</v>
      </c>
    </row>
    <row r="1005" customFormat="false" ht="12.8" hidden="false" customHeight="false" outlineLevel="0" collapsed="false">
      <c r="A1005" s="0" t="s">
        <v>7376</v>
      </c>
      <c r="B1005" s="0" t="s">
        <v>7377</v>
      </c>
      <c r="C1005" s="0" t="s">
        <v>169</v>
      </c>
      <c r="D1005" s="0" t="s">
        <v>5023</v>
      </c>
      <c r="E1005" s="0" t="s">
        <v>5024</v>
      </c>
      <c r="F1005" s="0" t="s">
        <v>5024</v>
      </c>
      <c r="G1005" s="0" t="s">
        <v>3278</v>
      </c>
      <c r="H1005" s="0" t="s">
        <v>3975</v>
      </c>
      <c r="I1005" s="0" t="s">
        <v>7364</v>
      </c>
      <c r="J1005" s="0" t="s">
        <v>7365</v>
      </c>
      <c r="K1005" s="0" t="s">
        <v>5418</v>
      </c>
    </row>
    <row r="1006" customFormat="false" ht="12.8" hidden="false" customHeight="false" outlineLevel="0" collapsed="false">
      <c r="A1006" s="0" t="s">
        <v>7378</v>
      </c>
      <c r="B1006" s="0" t="s">
        <v>7379</v>
      </c>
      <c r="C1006" s="0" t="s">
        <v>169</v>
      </c>
      <c r="D1006" s="0" t="s">
        <v>5023</v>
      </c>
      <c r="E1006" s="0" t="s">
        <v>5024</v>
      </c>
      <c r="F1006" s="0" t="s">
        <v>5024</v>
      </c>
      <c r="G1006" s="0" t="s">
        <v>3278</v>
      </c>
      <c r="H1006" s="0" t="s">
        <v>3975</v>
      </c>
      <c r="I1006" s="0" t="s">
        <v>7364</v>
      </c>
      <c r="J1006" s="0" t="s">
        <v>7365</v>
      </c>
      <c r="K1006" s="0" t="s">
        <v>5418</v>
      </c>
    </row>
    <row r="1007" customFormat="false" ht="12.8" hidden="false" customHeight="false" outlineLevel="0" collapsed="false">
      <c r="A1007" s="0" t="s">
        <v>7380</v>
      </c>
      <c r="B1007" s="0" t="s">
        <v>7381</v>
      </c>
      <c r="C1007" s="0" t="s">
        <v>169</v>
      </c>
      <c r="D1007" s="0" t="s">
        <v>5023</v>
      </c>
      <c r="E1007" s="0" t="s">
        <v>5024</v>
      </c>
      <c r="F1007" s="0" t="s">
        <v>5024</v>
      </c>
      <c r="G1007" s="0" t="s">
        <v>3278</v>
      </c>
      <c r="H1007" s="0" t="s">
        <v>3975</v>
      </c>
      <c r="I1007" s="0" t="s">
        <v>7364</v>
      </c>
      <c r="J1007" s="0" t="s">
        <v>7365</v>
      </c>
      <c r="K1007" s="0" t="s">
        <v>5418</v>
      </c>
    </row>
    <row r="1008" customFormat="false" ht="12.8" hidden="false" customHeight="false" outlineLevel="0" collapsed="false">
      <c r="A1008" s="0" t="s">
        <v>7382</v>
      </c>
      <c r="B1008" s="0" t="s">
        <v>7383</v>
      </c>
      <c r="C1008" s="0" t="s">
        <v>169</v>
      </c>
      <c r="D1008" s="0" t="s">
        <v>5057</v>
      </c>
      <c r="E1008" s="0" t="s">
        <v>5058</v>
      </c>
      <c r="F1008" s="0" t="s">
        <v>5058</v>
      </c>
      <c r="G1008" s="0" t="s">
        <v>3278</v>
      </c>
      <c r="H1008" s="0" t="s">
        <v>3975</v>
      </c>
      <c r="I1008" s="0" t="s">
        <v>7364</v>
      </c>
      <c r="J1008" s="0" t="s">
        <v>7365</v>
      </c>
      <c r="K1008" s="0" t="s">
        <v>5418</v>
      </c>
    </row>
    <row r="1009" customFormat="false" ht="12.8" hidden="false" customHeight="false" outlineLevel="0" collapsed="false">
      <c r="A1009" s="0" t="s">
        <v>7384</v>
      </c>
      <c r="B1009" s="0" t="s">
        <v>7385</v>
      </c>
      <c r="C1009" s="0" t="s">
        <v>196</v>
      </c>
      <c r="D1009" s="0" t="s">
        <v>5023</v>
      </c>
      <c r="E1009" s="0" t="s">
        <v>5024</v>
      </c>
      <c r="F1009" s="0" t="s">
        <v>5024</v>
      </c>
      <c r="G1009" s="0" t="s">
        <v>3278</v>
      </c>
      <c r="H1009" s="0" t="s">
        <v>3975</v>
      </c>
      <c r="I1009" s="0" t="s">
        <v>7386</v>
      </c>
      <c r="J1009" s="0" t="s">
        <v>7387</v>
      </c>
      <c r="K1009" s="0" t="s">
        <v>5260</v>
      </c>
    </row>
    <row r="1010" customFormat="false" ht="12.8" hidden="false" customHeight="false" outlineLevel="0" collapsed="false">
      <c r="A1010" s="0" t="s">
        <v>7388</v>
      </c>
      <c r="B1010" s="0" t="s">
        <v>7389</v>
      </c>
      <c r="C1010" s="0" t="s">
        <v>196</v>
      </c>
      <c r="D1010" s="0" t="s">
        <v>5023</v>
      </c>
      <c r="E1010" s="0" t="s">
        <v>5024</v>
      </c>
      <c r="F1010" s="0" t="s">
        <v>5024</v>
      </c>
      <c r="G1010" s="0" t="s">
        <v>3278</v>
      </c>
      <c r="H1010" s="0" t="s">
        <v>3975</v>
      </c>
      <c r="I1010" s="0" t="s">
        <v>7386</v>
      </c>
      <c r="J1010" s="0" t="s">
        <v>7387</v>
      </c>
      <c r="K1010" s="0" t="s">
        <v>5260</v>
      </c>
    </row>
    <row r="1011" customFormat="false" ht="12.8" hidden="false" customHeight="false" outlineLevel="0" collapsed="false">
      <c r="A1011" s="0" t="s">
        <v>7390</v>
      </c>
      <c r="B1011" s="0" t="s">
        <v>7391</v>
      </c>
      <c r="C1011" s="0" t="s">
        <v>196</v>
      </c>
      <c r="D1011" s="0" t="s">
        <v>5023</v>
      </c>
      <c r="E1011" s="0" t="s">
        <v>5024</v>
      </c>
      <c r="F1011" s="0" t="s">
        <v>5024</v>
      </c>
      <c r="G1011" s="0" t="s">
        <v>3278</v>
      </c>
      <c r="H1011" s="0" t="s">
        <v>3975</v>
      </c>
      <c r="I1011" s="0" t="s">
        <v>7386</v>
      </c>
      <c r="J1011" s="0" t="s">
        <v>7387</v>
      </c>
      <c r="K1011" s="0" t="s">
        <v>5260</v>
      </c>
    </row>
    <row r="1012" customFormat="false" ht="12.8" hidden="false" customHeight="false" outlineLevel="0" collapsed="false">
      <c r="A1012" s="0" t="s">
        <v>7392</v>
      </c>
      <c r="B1012" s="0" t="s">
        <v>7393</v>
      </c>
      <c r="C1012" s="0" t="s">
        <v>196</v>
      </c>
      <c r="D1012" s="0" t="s">
        <v>5023</v>
      </c>
      <c r="E1012" s="0" t="s">
        <v>5024</v>
      </c>
      <c r="F1012" s="0" t="s">
        <v>5024</v>
      </c>
      <c r="G1012" s="0" t="s">
        <v>3278</v>
      </c>
      <c r="H1012" s="0" t="s">
        <v>3975</v>
      </c>
      <c r="I1012" s="0" t="s">
        <v>7386</v>
      </c>
      <c r="J1012" s="0" t="s">
        <v>7387</v>
      </c>
      <c r="K1012" s="0" t="s">
        <v>5260</v>
      </c>
    </row>
    <row r="1013" customFormat="false" ht="12.8" hidden="false" customHeight="false" outlineLevel="0" collapsed="false">
      <c r="A1013" s="0" t="s">
        <v>7394</v>
      </c>
      <c r="B1013" s="0" t="s">
        <v>7395</v>
      </c>
      <c r="C1013" s="0" t="s">
        <v>196</v>
      </c>
      <c r="D1013" s="0" t="s">
        <v>5023</v>
      </c>
      <c r="E1013" s="0" t="s">
        <v>5024</v>
      </c>
      <c r="F1013" s="0" t="s">
        <v>5024</v>
      </c>
      <c r="G1013" s="0" t="s">
        <v>3278</v>
      </c>
      <c r="H1013" s="0" t="s">
        <v>3975</v>
      </c>
      <c r="I1013" s="0" t="s">
        <v>7386</v>
      </c>
      <c r="J1013" s="0" t="s">
        <v>7387</v>
      </c>
      <c r="K1013" s="0" t="s">
        <v>5260</v>
      </c>
    </row>
    <row r="1014" customFormat="false" ht="12.8" hidden="false" customHeight="false" outlineLevel="0" collapsed="false">
      <c r="A1014" s="0" t="s">
        <v>7396</v>
      </c>
      <c r="B1014" s="0" t="s">
        <v>7397</v>
      </c>
      <c r="C1014" s="0" t="s">
        <v>196</v>
      </c>
      <c r="D1014" s="0" t="s">
        <v>5023</v>
      </c>
      <c r="E1014" s="0" t="s">
        <v>5024</v>
      </c>
      <c r="F1014" s="0" t="s">
        <v>5024</v>
      </c>
      <c r="G1014" s="0" t="s">
        <v>3278</v>
      </c>
      <c r="H1014" s="0" t="s">
        <v>3975</v>
      </c>
      <c r="I1014" s="0" t="s">
        <v>7386</v>
      </c>
      <c r="J1014" s="0" t="s">
        <v>7387</v>
      </c>
      <c r="K1014" s="0" t="s">
        <v>5260</v>
      </c>
    </row>
    <row r="1015" customFormat="false" ht="12.8" hidden="false" customHeight="false" outlineLevel="0" collapsed="false">
      <c r="A1015" s="0" t="s">
        <v>7398</v>
      </c>
      <c r="B1015" s="0" t="s">
        <v>7399</v>
      </c>
      <c r="C1015" s="0" t="s">
        <v>196</v>
      </c>
      <c r="D1015" s="0" t="s">
        <v>5061</v>
      </c>
      <c r="E1015" s="0" t="s">
        <v>5062</v>
      </c>
      <c r="F1015" s="0" t="s">
        <v>5062</v>
      </c>
      <c r="G1015" s="0" t="s">
        <v>3278</v>
      </c>
      <c r="H1015" s="0" t="s">
        <v>3975</v>
      </c>
      <c r="I1015" s="0" t="s">
        <v>7386</v>
      </c>
      <c r="J1015" s="0" t="s">
        <v>7387</v>
      </c>
      <c r="K1015" s="0" t="s">
        <v>5260</v>
      </c>
    </row>
    <row r="1016" customFormat="false" ht="12.8" hidden="false" customHeight="false" outlineLevel="0" collapsed="false">
      <c r="A1016" s="0" t="s">
        <v>7400</v>
      </c>
      <c r="B1016" s="0" t="s">
        <v>7401</v>
      </c>
      <c r="C1016" s="0" t="s">
        <v>321</v>
      </c>
      <c r="D1016" s="0" t="s">
        <v>5023</v>
      </c>
      <c r="E1016" s="0" t="s">
        <v>5024</v>
      </c>
      <c r="F1016" s="0" t="s">
        <v>5024</v>
      </c>
      <c r="G1016" s="0" t="s">
        <v>3278</v>
      </c>
      <c r="H1016" s="0" t="s">
        <v>3741</v>
      </c>
      <c r="I1016" s="0" t="s">
        <v>7402</v>
      </c>
      <c r="J1016" s="0" t="s">
        <v>7403</v>
      </c>
      <c r="K1016" s="0" t="s">
        <v>7404</v>
      </c>
    </row>
    <row r="1017" customFormat="false" ht="12.8" hidden="false" customHeight="false" outlineLevel="0" collapsed="false">
      <c r="A1017" s="0" t="s">
        <v>7405</v>
      </c>
      <c r="B1017" s="0" t="s">
        <v>7406</v>
      </c>
      <c r="C1017" s="0" t="s">
        <v>321</v>
      </c>
      <c r="D1017" s="0" t="s">
        <v>5023</v>
      </c>
      <c r="E1017" s="0" t="s">
        <v>5024</v>
      </c>
      <c r="F1017" s="0" t="s">
        <v>5024</v>
      </c>
      <c r="G1017" s="0" t="s">
        <v>3278</v>
      </c>
      <c r="H1017" s="0" t="s">
        <v>3741</v>
      </c>
      <c r="I1017" s="0" t="s">
        <v>7402</v>
      </c>
      <c r="J1017" s="0" t="s">
        <v>7403</v>
      </c>
      <c r="K1017" s="0" t="s">
        <v>7404</v>
      </c>
    </row>
    <row r="1018" customFormat="false" ht="12.8" hidden="false" customHeight="false" outlineLevel="0" collapsed="false">
      <c r="A1018" s="0" t="s">
        <v>7407</v>
      </c>
      <c r="B1018" s="0" t="s">
        <v>7408</v>
      </c>
      <c r="C1018" s="0" t="s">
        <v>321</v>
      </c>
      <c r="D1018" s="0" t="s">
        <v>5023</v>
      </c>
      <c r="E1018" s="0" t="s">
        <v>5024</v>
      </c>
      <c r="F1018" s="0" t="s">
        <v>5024</v>
      </c>
      <c r="G1018" s="0" t="s">
        <v>3278</v>
      </c>
      <c r="H1018" s="0" t="s">
        <v>3741</v>
      </c>
      <c r="I1018" s="0" t="s">
        <v>7402</v>
      </c>
      <c r="J1018" s="0" t="s">
        <v>7403</v>
      </c>
      <c r="K1018" s="0" t="s">
        <v>7404</v>
      </c>
    </row>
    <row r="1019" customFormat="false" ht="12.8" hidden="false" customHeight="false" outlineLevel="0" collapsed="false">
      <c r="A1019" s="0" t="s">
        <v>7409</v>
      </c>
      <c r="B1019" s="0" t="s">
        <v>7410</v>
      </c>
      <c r="C1019" s="0" t="s">
        <v>321</v>
      </c>
      <c r="D1019" s="0" t="s">
        <v>5023</v>
      </c>
      <c r="E1019" s="0" t="s">
        <v>5024</v>
      </c>
      <c r="F1019" s="0" t="s">
        <v>5024</v>
      </c>
      <c r="G1019" s="0" t="s">
        <v>3278</v>
      </c>
      <c r="H1019" s="0" t="s">
        <v>3741</v>
      </c>
      <c r="I1019" s="0" t="s">
        <v>7402</v>
      </c>
      <c r="J1019" s="0" t="s">
        <v>7403</v>
      </c>
      <c r="K1019" s="0" t="s">
        <v>7404</v>
      </c>
    </row>
    <row r="1020" customFormat="false" ht="12.8" hidden="false" customHeight="false" outlineLevel="0" collapsed="false">
      <c r="A1020" s="0" t="s">
        <v>7411</v>
      </c>
      <c r="B1020" s="0" t="s">
        <v>7412</v>
      </c>
      <c r="C1020" s="0" t="s">
        <v>321</v>
      </c>
      <c r="D1020" s="0" t="s">
        <v>5023</v>
      </c>
      <c r="E1020" s="0" t="s">
        <v>5024</v>
      </c>
      <c r="F1020" s="0" t="s">
        <v>5024</v>
      </c>
      <c r="G1020" s="0" t="s">
        <v>3278</v>
      </c>
      <c r="H1020" s="0" t="s">
        <v>3741</v>
      </c>
      <c r="I1020" s="0" t="s">
        <v>7402</v>
      </c>
      <c r="J1020" s="0" t="s">
        <v>7403</v>
      </c>
      <c r="K1020" s="0" t="s">
        <v>7404</v>
      </c>
    </row>
    <row r="1021" customFormat="false" ht="12.8" hidden="false" customHeight="false" outlineLevel="0" collapsed="false">
      <c r="A1021" s="0" t="s">
        <v>7413</v>
      </c>
      <c r="B1021" s="0" t="s">
        <v>7414</v>
      </c>
      <c r="C1021" s="0" t="s">
        <v>321</v>
      </c>
      <c r="D1021" s="0" t="s">
        <v>5023</v>
      </c>
      <c r="E1021" s="0" t="s">
        <v>5024</v>
      </c>
      <c r="F1021" s="0" t="s">
        <v>5024</v>
      </c>
      <c r="G1021" s="0" t="s">
        <v>3278</v>
      </c>
      <c r="H1021" s="0" t="s">
        <v>3741</v>
      </c>
      <c r="I1021" s="0" t="s">
        <v>7402</v>
      </c>
      <c r="J1021" s="0" t="s">
        <v>7403</v>
      </c>
      <c r="K1021" s="0" t="s">
        <v>7404</v>
      </c>
    </row>
    <row r="1022" customFormat="false" ht="12.8" hidden="false" customHeight="false" outlineLevel="0" collapsed="false">
      <c r="A1022" s="0" t="s">
        <v>7415</v>
      </c>
      <c r="B1022" s="0" t="s">
        <v>7416</v>
      </c>
      <c r="C1022" s="0" t="s">
        <v>321</v>
      </c>
      <c r="D1022" s="0" t="s">
        <v>5023</v>
      </c>
      <c r="E1022" s="0" t="s">
        <v>5024</v>
      </c>
      <c r="F1022" s="0" t="s">
        <v>5024</v>
      </c>
      <c r="G1022" s="0" t="s">
        <v>3278</v>
      </c>
      <c r="H1022" s="0" t="s">
        <v>3741</v>
      </c>
      <c r="I1022" s="0" t="s">
        <v>7402</v>
      </c>
      <c r="J1022" s="0" t="s">
        <v>7403</v>
      </c>
      <c r="K1022" s="0" t="s">
        <v>7404</v>
      </c>
    </row>
    <row r="1023" customFormat="false" ht="12.8" hidden="false" customHeight="false" outlineLevel="0" collapsed="false">
      <c r="A1023" s="0" t="s">
        <v>7417</v>
      </c>
      <c r="B1023" s="0" t="s">
        <v>7418</v>
      </c>
      <c r="C1023" s="0" t="s">
        <v>321</v>
      </c>
      <c r="D1023" s="0" t="s">
        <v>5023</v>
      </c>
      <c r="E1023" s="0" t="s">
        <v>5024</v>
      </c>
      <c r="F1023" s="0" t="s">
        <v>5024</v>
      </c>
      <c r="G1023" s="0" t="s">
        <v>3278</v>
      </c>
      <c r="H1023" s="0" t="s">
        <v>3741</v>
      </c>
      <c r="I1023" s="0" t="s">
        <v>7402</v>
      </c>
      <c r="J1023" s="0" t="s">
        <v>7403</v>
      </c>
      <c r="K1023" s="0" t="s">
        <v>7404</v>
      </c>
    </row>
    <row r="1024" customFormat="false" ht="12.8" hidden="false" customHeight="false" outlineLevel="0" collapsed="false">
      <c r="A1024" s="0" t="s">
        <v>7419</v>
      </c>
      <c r="B1024" s="0" t="s">
        <v>7420</v>
      </c>
      <c r="C1024" s="0" t="s">
        <v>321</v>
      </c>
      <c r="D1024" s="0" t="s">
        <v>5057</v>
      </c>
      <c r="E1024" s="0" t="s">
        <v>5058</v>
      </c>
      <c r="F1024" s="0" t="s">
        <v>5058</v>
      </c>
      <c r="G1024" s="0" t="s">
        <v>3278</v>
      </c>
      <c r="H1024" s="0" t="s">
        <v>3741</v>
      </c>
      <c r="I1024" s="0" t="s">
        <v>7402</v>
      </c>
      <c r="J1024" s="0" t="s">
        <v>7403</v>
      </c>
      <c r="K1024" s="0" t="s">
        <v>7404</v>
      </c>
    </row>
    <row r="1025" customFormat="false" ht="12.8" hidden="false" customHeight="false" outlineLevel="0" collapsed="false">
      <c r="A1025" s="0" t="s">
        <v>7421</v>
      </c>
      <c r="B1025" s="0" t="s">
        <v>7422</v>
      </c>
      <c r="C1025" s="0" t="s">
        <v>321</v>
      </c>
      <c r="D1025" s="0" t="s">
        <v>5061</v>
      </c>
      <c r="E1025" s="0" t="s">
        <v>5062</v>
      </c>
      <c r="F1025" s="0" t="s">
        <v>5062</v>
      </c>
      <c r="G1025" s="0" t="s">
        <v>3278</v>
      </c>
      <c r="H1025" s="0" t="s">
        <v>3741</v>
      </c>
      <c r="I1025" s="0" t="s">
        <v>7402</v>
      </c>
      <c r="J1025" s="0" t="s">
        <v>7403</v>
      </c>
      <c r="K1025" s="0" t="s">
        <v>7404</v>
      </c>
    </row>
    <row r="1026" customFormat="false" ht="12.8" hidden="false" customHeight="false" outlineLevel="0" collapsed="false">
      <c r="A1026" s="0" t="s">
        <v>7423</v>
      </c>
      <c r="B1026" s="0" t="s">
        <v>7424</v>
      </c>
      <c r="C1026" s="0" t="s">
        <v>331</v>
      </c>
      <c r="D1026" s="0" t="s">
        <v>5023</v>
      </c>
      <c r="E1026" s="0" t="s">
        <v>5024</v>
      </c>
      <c r="F1026" s="0" t="s">
        <v>5024</v>
      </c>
      <c r="G1026" s="0" t="s">
        <v>3278</v>
      </c>
      <c r="H1026" s="0" t="s">
        <v>3741</v>
      </c>
      <c r="I1026" s="0" t="s">
        <v>7425</v>
      </c>
      <c r="J1026" s="0" t="s">
        <v>7426</v>
      </c>
      <c r="K1026" s="0" t="s">
        <v>5260</v>
      </c>
    </row>
    <row r="1027" customFormat="false" ht="12.8" hidden="false" customHeight="false" outlineLevel="0" collapsed="false">
      <c r="A1027" s="0" t="s">
        <v>7427</v>
      </c>
      <c r="B1027" s="0" t="s">
        <v>7428</v>
      </c>
      <c r="C1027" s="0" t="s">
        <v>331</v>
      </c>
      <c r="D1027" s="0" t="s">
        <v>5023</v>
      </c>
      <c r="E1027" s="0" t="s">
        <v>5024</v>
      </c>
      <c r="F1027" s="0" t="s">
        <v>5024</v>
      </c>
      <c r="G1027" s="0" t="s">
        <v>3278</v>
      </c>
      <c r="H1027" s="0" t="s">
        <v>3741</v>
      </c>
      <c r="I1027" s="0" t="s">
        <v>7425</v>
      </c>
      <c r="J1027" s="0" t="s">
        <v>7426</v>
      </c>
      <c r="K1027" s="0" t="s">
        <v>5260</v>
      </c>
    </row>
    <row r="1028" customFormat="false" ht="12.8" hidden="false" customHeight="false" outlineLevel="0" collapsed="false">
      <c r="A1028" s="0" t="s">
        <v>7429</v>
      </c>
      <c r="B1028" s="0" t="s">
        <v>7430</v>
      </c>
      <c r="C1028" s="0" t="s">
        <v>331</v>
      </c>
      <c r="D1028" s="0" t="s">
        <v>5023</v>
      </c>
      <c r="E1028" s="0" t="s">
        <v>5024</v>
      </c>
      <c r="F1028" s="0" t="s">
        <v>5024</v>
      </c>
      <c r="G1028" s="0" t="s">
        <v>3278</v>
      </c>
      <c r="H1028" s="0" t="s">
        <v>3741</v>
      </c>
      <c r="I1028" s="0" t="s">
        <v>7425</v>
      </c>
      <c r="J1028" s="0" t="s">
        <v>7426</v>
      </c>
      <c r="K1028" s="0" t="s">
        <v>5260</v>
      </c>
    </row>
    <row r="1029" customFormat="false" ht="12.8" hidden="false" customHeight="false" outlineLevel="0" collapsed="false">
      <c r="A1029" s="0" t="s">
        <v>7431</v>
      </c>
      <c r="B1029" s="0" t="s">
        <v>7432</v>
      </c>
      <c r="C1029" s="0" t="s">
        <v>331</v>
      </c>
      <c r="D1029" s="0" t="s">
        <v>5023</v>
      </c>
      <c r="E1029" s="0" t="s">
        <v>5024</v>
      </c>
      <c r="F1029" s="0" t="s">
        <v>5024</v>
      </c>
      <c r="G1029" s="0" t="s">
        <v>3278</v>
      </c>
      <c r="H1029" s="0" t="s">
        <v>3741</v>
      </c>
      <c r="I1029" s="0" t="s">
        <v>7425</v>
      </c>
      <c r="J1029" s="0" t="s">
        <v>7426</v>
      </c>
      <c r="K1029" s="0" t="s">
        <v>5260</v>
      </c>
    </row>
    <row r="1030" customFormat="false" ht="12.8" hidden="false" customHeight="false" outlineLevel="0" collapsed="false">
      <c r="A1030" s="0" t="s">
        <v>7433</v>
      </c>
      <c r="B1030" s="0" t="s">
        <v>7434</v>
      </c>
      <c r="C1030" s="0" t="s">
        <v>331</v>
      </c>
      <c r="D1030" s="0" t="s">
        <v>7435</v>
      </c>
      <c r="E1030" s="0" t="s">
        <v>5062</v>
      </c>
      <c r="F1030" s="0" t="s">
        <v>5062</v>
      </c>
      <c r="G1030" s="0" t="s">
        <v>3278</v>
      </c>
      <c r="H1030" s="0" t="s">
        <v>3741</v>
      </c>
      <c r="I1030" s="0" t="s">
        <v>7425</v>
      </c>
      <c r="J1030" s="0" t="s">
        <v>7426</v>
      </c>
      <c r="K1030" s="0" t="s">
        <v>5260</v>
      </c>
    </row>
    <row r="1031" customFormat="false" ht="12.8" hidden="false" customHeight="false" outlineLevel="0" collapsed="false">
      <c r="A1031" s="0" t="s">
        <v>7436</v>
      </c>
      <c r="B1031" s="0" t="s">
        <v>7437</v>
      </c>
      <c r="C1031" s="0" t="s">
        <v>331</v>
      </c>
      <c r="D1031" s="0" t="s">
        <v>5057</v>
      </c>
      <c r="E1031" s="0" t="s">
        <v>5058</v>
      </c>
      <c r="F1031" s="0" t="s">
        <v>5058</v>
      </c>
      <c r="G1031" s="0" t="s">
        <v>3278</v>
      </c>
      <c r="H1031" s="0" t="s">
        <v>3741</v>
      </c>
      <c r="I1031" s="0" t="s">
        <v>7425</v>
      </c>
      <c r="J1031" s="0" t="s">
        <v>7426</v>
      </c>
      <c r="K1031" s="0" t="s">
        <v>5260</v>
      </c>
    </row>
    <row r="1032" customFormat="false" ht="12.8" hidden="false" customHeight="false" outlineLevel="0" collapsed="false">
      <c r="A1032" s="0" t="s">
        <v>7438</v>
      </c>
      <c r="B1032" s="0" t="s">
        <v>7439</v>
      </c>
      <c r="C1032" s="0" t="s">
        <v>331</v>
      </c>
      <c r="D1032" s="0" t="s">
        <v>5023</v>
      </c>
      <c r="E1032" s="0" t="s">
        <v>5024</v>
      </c>
      <c r="F1032" s="0" t="s">
        <v>5024</v>
      </c>
      <c r="G1032" s="0" t="s">
        <v>3278</v>
      </c>
      <c r="H1032" s="0" t="s">
        <v>3741</v>
      </c>
      <c r="I1032" s="0" t="s">
        <v>7425</v>
      </c>
      <c r="J1032" s="0" t="s">
        <v>7426</v>
      </c>
      <c r="K1032" s="0" t="s">
        <v>5260</v>
      </c>
    </row>
    <row r="1033" customFormat="false" ht="12.8" hidden="false" customHeight="false" outlineLevel="0" collapsed="false">
      <c r="A1033" s="0" t="s">
        <v>7440</v>
      </c>
      <c r="B1033" s="0" t="s">
        <v>7441</v>
      </c>
      <c r="C1033" s="0" t="s">
        <v>340</v>
      </c>
      <c r="D1033" s="0" t="s">
        <v>5023</v>
      </c>
      <c r="E1033" s="0" t="s">
        <v>5024</v>
      </c>
      <c r="F1033" s="0" t="s">
        <v>5024</v>
      </c>
      <c r="G1033" s="0" t="s">
        <v>3278</v>
      </c>
      <c r="H1033" s="0" t="s">
        <v>3741</v>
      </c>
      <c r="I1033" s="0" t="s">
        <v>7442</v>
      </c>
      <c r="J1033" s="0" t="s">
        <v>7443</v>
      </c>
      <c r="K1033" s="0" t="s">
        <v>7180</v>
      </c>
    </row>
    <row r="1034" customFormat="false" ht="12.8" hidden="false" customHeight="false" outlineLevel="0" collapsed="false">
      <c r="A1034" s="0" t="s">
        <v>7444</v>
      </c>
      <c r="B1034" s="0" t="s">
        <v>7445</v>
      </c>
      <c r="C1034" s="0" t="s">
        <v>340</v>
      </c>
      <c r="D1034" s="0" t="s">
        <v>5023</v>
      </c>
      <c r="E1034" s="0" t="s">
        <v>5024</v>
      </c>
      <c r="F1034" s="0" t="s">
        <v>5024</v>
      </c>
      <c r="G1034" s="0" t="s">
        <v>3278</v>
      </c>
      <c r="H1034" s="0" t="s">
        <v>3741</v>
      </c>
      <c r="I1034" s="0" t="s">
        <v>7442</v>
      </c>
      <c r="J1034" s="0" t="s">
        <v>7443</v>
      </c>
      <c r="K1034" s="0" t="s">
        <v>7180</v>
      </c>
    </row>
    <row r="1035" customFormat="false" ht="12.8" hidden="false" customHeight="false" outlineLevel="0" collapsed="false">
      <c r="A1035" s="0" t="s">
        <v>7446</v>
      </c>
      <c r="B1035" s="0" t="s">
        <v>7447</v>
      </c>
      <c r="C1035" s="0" t="s">
        <v>340</v>
      </c>
      <c r="D1035" s="0" t="s">
        <v>5023</v>
      </c>
      <c r="E1035" s="0" t="s">
        <v>5024</v>
      </c>
      <c r="F1035" s="0" t="s">
        <v>5024</v>
      </c>
      <c r="G1035" s="0" t="s">
        <v>3278</v>
      </c>
      <c r="H1035" s="0" t="s">
        <v>3741</v>
      </c>
      <c r="I1035" s="0" t="s">
        <v>7442</v>
      </c>
      <c r="J1035" s="0" t="s">
        <v>7443</v>
      </c>
      <c r="K1035" s="0" t="s">
        <v>7180</v>
      </c>
    </row>
    <row r="1036" customFormat="false" ht="12.8" hidden="false" customHeight="false" outlineLevel="0" collapsed="false">
      <c r="A1036" s="0" t="s">
        <v>7448</v>
      </c>
      <c r="B1036" s="0" t="s">
        <v>7449</v>
      </c>
      <c r="C1036" s="0" t="s">
        <v>340</v>
      </c>
      <c r="D1036" s="0" t="s">
        <v>5023</v>
      </c>
      <c r="E1036" s="0" t="s">
        <v>5024</v>
      </c>
      <c r="F1036" s="0" t="s">
        <v>5024</v>
      </c>
      <c r="G1036" s="0" t="s">
        <v>3278</v>
      </c>
      <c r="H1036" s="0" t="s">
        <v>3741</v>
      </c>
      <c r="I1036" s="0" t="s">
        <v>7442</v>
      </c>
      <c r="J1036" s="0" t="s">
        <v>7443</v>
      </c>
      <c r="K1036" s="0" t="s">
        <v>7180</v>
      </c>
    </row>
    <row r="1037" customFormat="false" ht="12.8" hidden="false" customHeight="false" outlineLevel="0" collapsed="false">
      <c r="A1037" s="0" t="s">
        <v>7450</v>
      </c>
      <c r="B1037" s="0" t="s">
        <v>7451</v>
      </c>
      <c r="C1037" s="0" t="s">
        <v>340</v>
      </c>
      <c r="D1037" s="0" t="s">
        <v>5061</v>
      </c>
      <c r="E1037" s="0" t="s">
        <v>5062</v>
      </c>
      <c r="F1037" s="0" t="s">
        <v>5062</v>
      </c>
      <c r="G1037" s="0" t="s">
        <v>3278</v>
      </c>
      <c r="H1037" s="0" t="s">
        <v>3741</v>
      </c>
      <c r="I1037" s="0" t="s">
        <v>7442</v>
      </c>
      <c r="J1037" s="0" t="s">
        <v>7443</v>
      </c>
      <c r="K1037" s="0" t="s">
        <v>7180</v>
      </c>
    </row>
    <row r="1038" customFormat="false" ht="12.8" hidden="false" customHeight="false" outlineLevel="0" collapsed="false">
      <c r="A1038" s="0" t="s">
        <v>7452</v>
      </c>
      <c r="B1038" s="0" t="s">
        <v>7453</v>
      </c>
      <c r="C1038" s="0" t="s">
        <v>68</v>
      </c>
      <c r="D1038" s="0" t="s">
        <v>5023</v>
      </c>
      <c r="E1038" s="0" t="s">
        <v>5024</v>
      </c>
      <c r="F1038" s="0" t="s">
        <v>5024</v>
      </c>
      <c r="G1038" s="0" t="s">
        <v>4100</v>
      </c>
      <c r="H1038" s="0" t="s">
        <v>4101</v>
      </c>
      <c r="I1038" s="0" t="s">
        <v>7454</v>
      </c>
      <c r="J1038" s="0" t="s">
        <v>7455</v>
      </c>
      <c r="K1038" s="0" t="s">
        <v>5260</v>
      </c>
    </row>
    <row r="1039" customFormat="false" ht="12.8" hidden="false" customHeight="false" outlineLevel="0" collapsed="false">
      <c r="A1039" s="0" t="s">
        <v>7456</v>
      </c>
      <c r="B1039" s="0" t="s">
        <v>7457</v>
      </c>
      <c r="C1039" s="0" t="s">
        <v>68</v>
      </c>
      <c r="D1039" s="0" t="s">
        <v>5057</v>
      </c>
      <c r="E1039" s="0" t="s">
        <v>5058</v>
      </c>
      <c r="F1039" s="0" t="s">
        <v>5058</v>
      </c>
      <c r="G1039" s="0" t="s">
        <v>4100</v>
      </c>
      <c r="H1039" s="0" t="s">
        <v>4101</v>
      </c>
      <c r="I1039" s="0" t="s">
        <v>7454</v>
      </c>
      <c r="J1039" s="0" t="s">
        <v>7455</v>
      </c>
      <c r="K1039" s="0" t="s">
        <v>5260</v>
      </c>
    </row>
    <row r="1040" customFormat="false" ht="12.8" hidden="false" customHeight="false" outlineLevel="0" collapsed="false">
      <c r="A1040" s="0" t="s">
        <v>7458</v>
      </c>
      <c r="B1040" s="0" t="s">
        <v>7459</v>
      </c>
      <c r="C1040" s="0" t="s">
        <v>68</v>
      </c>
      <c r="D1040" s="0" t="s">
        <v>5023</v>
      </c>
      <c r="E1040" s="0" t="s">
        <v>5024</v>
      </c>
      <c r="F1040" s="0" t="s">
        <v>5024</v>
      </c>
      <c r="G1040" s="0" t="s">
        <v>4100</v>
      </c>
      <c r="H1040" s="0" t="s">
        <v>4101</v>
      </c>
      <c r="I1040" s="0" t="s">
        <v>7454</v>
      </c>
      <c r="J1040" s="0" t="s">
        <v>7455</v>
      </c>
      <c r="K1040" s="0" t="s">
        <v>5260</v>
      </c>
    </row>
    <row r="1041" customFormat="false" ht="12.8" hidden="false" customHeight="false" outlineLevel="0" collapsed="false">
      <c r="A1041" s="0" t="s">
        <v>7460</v>
      </c>
      <c r="B1041" s="0" t="s">
        <v>7461</v>
      </c>
      <c r="C1041" s="0" t="s">
        <v>68</v>
      </c>
      <c r="D1041" s="0" t="s">
        <v>5023</v>
      </c>
      <c r="E1041" s="0" t="s">
        <v>5024</v>
      </c>
      <c r="F1041" s="0" t="s">
        <v>5024</v>
      </c>
      <c r="G1041" s="0" t="s">
        <v>4100</v>
      </c>
      <c r="H1041" s="0" t="s">
        <v>4101</v>
      </c>
      <c r="I1041" s="0" t="s">
        <v>7454</v>
      </c>
      <c r="J1041" s="0" t="s">
        <v>7455</v>
      </c>
      <c r="K1041" s="0" t="s">
        <v>5260</v>
      </c>
    </row>
    <row r="1042" customFormat="false" ht="12.8" hidden="false" customHeight="false" outlineLevel="0" collapsed="false">
      <c r="A1042" s="0" t="s">
        <v>7462</v>
      </c>
      <c r="B1042" s="0" t="s">
        <v>7463</v>
      </c>
      <c r="C1042" s="0" t="s">
        <v>68</v>
      </c>
      <c r="D1042" s="0" t="s">
        <v>5023</v>
      </c>
      <c r="E1042" s="0" t="s">
        <v>5024</v>
      </c>
      <c r="F1042" s="0" t="s">
        <v>5024</v>
      </c>
      <c r="G1042" s="0" t="s">
        <v>4100</v>
      </c>
      <c r="H1042" s="0" t="s">
        <v>4101</v>
      </c>
      <c r="I1042" s="0" t="s">
        <v>7454</v>
      </c>
      <c r="J1042" s="0" t="s">
        <v>7455</v>
      </c>
      <c r="K1042" s="0" t="s">
        <v>5260</v>
      </c>
    </row>
    <row r="1043" customFormat="false" ht="12.8" hidden="false" customHeight="false" outlineLevel="0" collapsed="false">
      <c r="A1043" s="0" t="s">
        <v>7464</v>
      </c>
      <c r="B1043" s="0" t="s">
        <v>7465</v>
      </c>
      <c r="C1043" s="0" t="s">
        <v>68</v>
      </c>
      <c r="D1043" s="0" t="s">
        <v>5023</v>
      </c>
      <c r="E1043" s="0" t="s">
        <v>5024</v>
      </c>
      <c r="F1043" s="0" t="s">
        <v>5024</v>
      </c>
      <c r="G1043" s="0" t="s">
        <v>4100</v>
      </c>
      <c r="H1043" s="0" t="s">
        <v>4101</v>
      </c>
      <c r="I1043" s="0" t="s">
        <v>7454</v>
      </c>
      <c r="J1043" s="0" t="s">
        <v>7455</v>
      </c>
      <c r="K1043" s="0" t="s">
        <v>5260</v>
      </c>
    </row>
    <row r="1044" customFormat="false" ht="12.8" hidden="false" customHeight="false" outlineLevel="0" collapsed="false">
      <c r="A1044" s="0" t="s">
        <v>7466</v>
      </c>
      <c r="B1044" s="0" t="s">
        <v>7467</v>
      </c>
      <c r="C1044" s="0" t="s">
        <v>68</v>
      </c>
      <c r="D1044" s="0" t="s">
        <v>5023</v>
      </c>
      <c r="E1044" s="0" t="s">
        <v>5024</v>
      </c>
      <c r="F1044" s="0" t="s">
        <v>5024</v>
      </c>
      <c r="G1044" s="0" t="s">
        <v>4100</v>
      </c>
      <c r="H1044" s="0" t="s">
        <v>4101</v>
      </c>
      <c r="I1044" s="0" t="s">
        <v>7454</v>
      </c>
      <c r="J1044" s="0" t="s">
        <v>7455</v>
      </c>
      <c r="K1044" s="0" t="s">
        <v>5260</v>
      </c>
    </row>
    <row r="1045" customFormat="false" ht="12.8" hidden="false" customHeight="false" outlineLevel="0" collapsed="false">
      <c r="A1045" s="0" t="s">
        <v>7468</v>
      </c>
      <c r="B1045" s="0" t="s">
        <v>7469</v>
      </c>
      <c r="C1045" s="0" t="s">
        <v>68</v>
      </c>
      <c r="D1045" s="0" t="s">
        <v>5061</v>
      </c>
      <c r="E1045" s="0" t="s">
        <v>5062</v>
      </c>
      <c r="F1045" s="0" t="s">
        <v>5062</v>
      </c>
      <c r="G1045" s="0" t="s">
        <v>4100</v>
      </c>
      <c r="H1045" s="0" t="s">
        <v>4101</v>
      </c>
      <c r="I1045" s="0" t="s">
        <v>7454</v>
      </c>
      <c r="J1045" s="0" t="s">
        <v>7455</v>
      </c>
      <c r="K1045" s="0" t="s">
        <v>5260</v>
      </c>
    </row>
    <row r="1046" customFormat="false" ht="12.8" hidden="false" customHeight="false" outlineLevel="0" collapsed="false">
      <c r="A1046" s="0" t="s">
        <v>7470</v>
      </c>
      <c r="B1046" s="0" t="s">
        <v>7471</v>
      </c>
      <c r="C1046" s="0" t="s">
        <v>140</v>
      </c>
      <c r="D1046" s="0" t="s">
        <v>5023</v>
      </c>
      <c r="E1046" s="0" t="s">
        <v>5024</v>
      </c>
      <c r="F1046" s="0" t="s">
        <v>5024</v>
      </c>
      <c r="G1046" s="0" t="s">
        <v>4100</v>
      </c>
      <c r="H1046" s="0" t="s">
        <v>4101</v>
      </c>
      <c r="I1046" s="0" t="s">
        <v>7472</v>
      </c>
      <c r="J1046" s="0" t="s">
        <v>7473</v>
      </c>
      <c r="K1046" s="0" t="s">
        <v>5260</v>
      </c>
    </row>
    <row r="1047" customFormat="false" ht="12.8" hidden="false" customHeight="false" outlineLevel="0" collapsed="false">
      <c r="A1047" s="0" t="s">
        <v>7474</v>
      </c>
      <c r="B1047" s="0" t="s">
        <v>7475</v>
      </c>
      <c r="C1047" s="0" t="s">
        <v>140</v>
      </c>
      <c r="D1047" s="0" t="s">
        <v>5061</v>
      </c>
      <c r="E1047" s="0" t="s">
        <v>5062</v>
      </c>
      <c r="F1047" s="0" t="s">
        <v>5062</v>
      </c>
      <c r="G1047" s="0" t="s">
        <v>4100</v>
      </c>
      <c r="H1047" s="0" t="s">
        <v>4101</v>
      </c>
      <c r="I1047" s="0" t="s">
        <v>7472</v>
      </c>
      <c r="J1047" s="0" t="s">
        <v>7473</v>
      </c>
      <c r="K1047" s="0" t="s">
        <v>5260</v>
      </c>
    </row>
    <row r="1048" customFormat="false" ht="12.8" hidden="false" customHeight="false" outlineLevel="0" collapsed="false">
      <c r="A1048" s="0" t="s">
        <v>7476</v>
      </c>
      <c r="B1048" s="0" t="s">
        <v>7477</v>
      </c>
      <c r="C1048" s="0" t="s">
        <v>140</v>
      </c>
      <c r="D1048" s="0" t="s">
        <v>5023</v>
      </c>
      <c r="E1048" s="0" t="s">
        <v>5024</v>
      </c>
      <c r="F1048" s="0" t="s">
        <v>5024</v>
      </c>
      <c r="G1048" s="0" t="s">
        <v>4100</v>
      </c>
      <c r="H1048" s="0" t="s">
        <v>4101</v>
      </c>
      <c r="I1048" s="0" t="s">
        <v>7472</v>
      </c>
      <c r="J1048" s="0" t="s">
        <v>7473</v>
      </c>
      <c r="K1048" s="0" t="s">
        <v>5260</v>
      </c>
    </row>
    <row r="1049" customFormat="false" ht="12.8" hidden="false" customHeight="false" outlineLevel="0" collapsed="false">
      <c r="A1049" s="0" t="s">
        <v>7478</v>
      </c>
      <c r="B1049" s="0" t="s">
        <v>7479</v>
      </c>
      <c r="C1049" s="0" t="s">
        <v>140</v>
      </c>
      <c r="D1049" s="0" t="s">
        <v>5023</v>
      </c>
      <c r="E1049" s="0" t="s">
        <v>5024</v>
      </c>
      <c r="F1049" s="0" t="s">
        <v>5024</v>
      </c>
      <c r="G1049" s="0" t="s">
        <v>4100</v>
      </c>
      <c r="H1049" s="0" t="s">
        <v>4101</v>
      </c>
      <c r="I1049" s="0" t="s">
        <v>7472</v>
      </c>
      <c r="J1049" s="0" t="s">
        <v>7473</v>
      </c>
      <c r="K1049" s="0" t="s">
        <v>5260</v>
      </c>
    </row>
    <row r="1050" customFormat="false" ht="12.8" hidden="false" customHeight="false" outlineLevel="0" collapsed="false">
      <c r="A1050" s="0" t="s">
        <v>7480</v>
      </c>
      <c r="B1050" s="0" t="s">
        <v>7481</v>
      </c>
      <c r="C1050" s="0" t="s">
        <v>140</v>
      </c>
      <c r="D1050" s="0" t="s">
        <v>5023</v>
      </c>
      <c r="E1050" s="0" t="s">
        <v>5024</v>
      </c>
      <c r="F1050" s="0" t="s">
        <v>5024</v>
      </c>
      <c r="G1050" s="0" t="s">
        <v>4100</v>
      </c>
      <c r="H1050" s="0" t="s">
        <v>4101</v>
      </c>
      <c r="I1050" s="0" t="s">
        <v>7472</v>
      </c>
      <c r="J1050" s="0" t="s">
        <v>7473</v>
      </c>
      <c r="K1050" s="0" t="s">
        <v>5260</v>
      </c>
    </row>
    <row r="1051" customFormat="false" ht="12.8" hidden="false" customHeight="false" outlineLevel="0" collapsed="false">
      <c r="A1051" s="0" t="s">
        <v>7482</v>
      </c>
      <c r="B1051" s="0" t="s">
        <v>7483</v>
      </c>
      <c r="C1051" s="0" t="s">
        <v>140</v>
      </c>
      <c r="D1051" s="0" t="s">
        <v>5023</v>
      </c>
      <c r="E1051" s="0" t="s">
        <v>5024</v>
      </c>
      <c r="F1051" s="0" t="s">
        <v>5024</v>
      </c>
      <c r="G1051" s="0" t="s">
        <v>4100</v>
      </c>
      <c r="H1051" s="0" t="s">
        <v>4101</v>
      </c>
      <c r="I1051" s="0" t="s">
        <v>7472</v>
      </c>
      <c r="J1051" s="0" t="s">
        <v>7473</v>
      </c>
      <c r="K1051" s="0" t="s">
        <v>5260</v>
      </c>
    </row>
    <row r="1052" customFormat="false" ht="12.8" hidden="false" customHeight="false" outlineLevel="0" collapsed="false">
      <c r="A1052" s="0" t="s">
        <v>7484</v>
      </c>
      <c r="B1052" s="0" t="s">
        <v>7485</v>
      </c>
      <c r="C1052" s="0" t="s">
        <v>248</v>
      </c>
      <c r="D1052" s="0" t="s">
        <v>5023</v>
      </c>
      <c r="E1052" s="0" t="s">
        <v>5024</v>
      </c>
      <c r="F1052" s="0" t="s">
        <v>5024</v>
      </c>
      <c r="G1052" s="0" t="s">
        <v>4100</v>
      </c>
      <c r="H1052" s="0" t="s">
        <v>4270</v>
      </c>
      <c r="I1052" s="0" t="s">
        <v>7486</v>
      </c>
      <c r="J1052" s="0" t="s">
        <v>7487</v>
      </c>
      <c r="K1052" s="444" t="s">
        <v>7488</v>
      </c>
    </row>
    <row r="1053" customFormat="false" ht="12.8" hidden="false" customHeight="false" outlineLevel="0" collapsed="false">
      <c r="A1053" s="0" t="s">
        <v>7489</v>
      </c>
      <c r="B1053" s="0" t="s">
        <v>7490</v>
      </c>
      <c r="C1053" s="0" t="s">
        <v>248</v>
      </c>
      <c r="D1053" s="0" t="s">
        <v>5061</v>
      </c>
      <c r="E1053" s="0" t="s">
        <v>5062</v>
      </c>
      <c r="F1053" s="0" t="s">
        <v>5062</v>
      </c>
      <c r="G1053" s="0" t="s">
        <v>4100</v>
      </c>
      <c r="H1053" s="0" t="s">
        <v>4270</v>
      </c>
      <c r="I1053" s="0" t="s">
        <v>7486</v>
      </c>
      <c r="J1053" s="0" t="s">
        <v>7487</v>
      </c>
      <c r="K1053" s="444" t="s">
        <v>7488</v>
      </c>
    </row>
    <row r="1054" customFormat="false" ht="12.8" hidden="false" customHeight="false" outlineLevel="0" collapsed="false">
      <c r="A1054" s="0" t="s">
        <v>7491</v>
      </c>
      <c r="B1054" s="0" t="s">
        <v>7492</v>
      </c>
      <c r="C1054" s="0" t="s">
        <v>248</v>
      </c>
      <c r="D1054" s="0" t="s">
        <v>5023</v>
      </c>
      <c r="E1054" s="0" t="s">
        <v>5024</v>
      </c>
      <c r="F1054" s="0" t="s">
        <v>5024</v>
      </c>
      <c r="G1054" s="0" t="s">
        <v>4100</v>
      </c>
      <c r="H1054" s="0" t="s">
        <v>4270</v>
      </c>
      <c r="I1054" s="0" t="s">
        <v>7486</v>
      </c>
      <c r="J1054" s="0" t="s">
        <v>7487</v>
      </c>
      <c r="K1054" s="444" t="s">
        <v>7488</v>
      </c>
    </row>
    <row r="1055" customFormat="false" ht="12.8" hidden="false" customHeight="false" outlineLevel="0" collapsed="false">
      <c r="A1055" s="0" t="s">
        <v>7493</v>
      </c>
      <c r="B1055" s="0" t="s">
        <v>7494</v>
      </c>
      <c r="C1055" s="0" t="s">
        <v>248</v>
      </c>
      <c r="D1055" s="0" t="s">
        <v>5023</v>
      </c>
      <c r="E1055" s="0" t="s">
        <v>5024</v>
      </c>
      <c r="F1055" s="0" t="s">
        <v>5024</v>
      </c>
      <c r="G1055" s="0" t="s">
        <v>4100</v>
      </c>
      <c r="H1055" s="0" t="s">
        <v>4270</v>
      </c>
      <c r="I1055" s="0" t="s">
        <v>7486</v>
      </c>
      <c r="J1055" s="0" t="s">
        <v>7487</v>
      </c>
      <c r="K1055" s="444" t="s">
        <v>7488</v>
      </c>
    </row>
    <row r="1056" customFormat="false" ht="12.8" hidden="false" customHeight="false" outlineLevel="0" collapsed="false">
      <c r="A1056" s="0" t="s">
        <v>7495</v>
      </c>
      <c r="B1056" s="0" t="s">
        <v>7496</v>
      </c>
      <c r="C1056" s="0" t="s">
        <v>248</v>
      </c>
      <c r="D1056" s="0" t="s">
        <v>5023</v>
      </c>
      <c r="E1056" s="0" t="s">
        <v>5024</v>
      </c>
      <c r="F1056" s="0" t="s">
        <v>5024</v>
      </c>
      <c r="G1056" s="0" t="s">
        <v>4100</v>
      </c>
      <c r="H1056" s="0" t="s">
        <v>4270</v>
      </c>
      <c r="I1056" s="0" t="s">
        <v>7486</v>
      </c>
      <c r="J1056" s="0" t="s">
        <v>7487</v>
      </c>
      <c r="K1056" s="444" t="s">
        <v>7488</v>
      </c>
    </row>
    <row r="1057" customFormat="false" ht="12.8" hidden="false" customHeight="false" outlineLevel="0" collapsed="false">
      <c r="A1057" s="0" t="s">
        <v>7497</v>
      </c>
      <c r="B1057" s="0" t="s">
        <v>7498</v>
      </c>
      <c r="C1057" s="0" t="s">
        <v>248</v>
      </c>
      <c r="D1057" s="0" t="s">
        <v>5023</v>
      </c>
      <c r="E1057" s="0" t="s">
        <v>5024</v>
      </c>
      <c r="F1057" s="0" t="s">
        <v>5024</v>
      </c>
      <c r="G1057" s="0" t="s">
        <v>4100</v>
      </c>
      <c r="H1057" s="0" t="s">
        <v>4270</v>
      </c>
      <c r="I1057" s="0" t="s">
        <v>7486</v>
      </c>
      <c r="J1057" s="0" t="s">
        <v>7487</v>
      </c>
      <c r="K1057" s="444" t="s">
        <v>7488</v>
      </c>
    </row>
    <row r="1058" customFormat="false" ht="12.8" hidden="false" customHeight="false" outlineLevel="0" collapsed="false">
      <c r="A1058" s="0" t="s">
        <v>7499</v>
      </c>
      <c r="B1058" s="0" t="s">
        <v>7500</v>
      </c>
      <c r="C1058" s="0" t="s">
        <v>248</v>
      </c>
      <c r="D1058" s="0" t="s">
        <v>5023</v>
      </c>
      <c r="E1058" s="0" t="s">
        <v>5024</v>
      </c>
      <c r="F1058" s="0" t="s">
        <v>5024</v>
      </c>
      <c r="G1058" s="0" t="s">
        <v>4100</v>
      </c>
      <c r="H1058" s="0" t="s">
        <v>4270</v>
      </c>
      <c r="I1058" s="0" t="s">
        <v>7486</v>
      </c>
      <c r="J1058" s="0" t="s">
        <v>7487</v>
      </c>
      <c r="K1058" s="444" t="s">
        <v>7488</v>
      </c>
    </row>
    <row r="1059" customFormat="false" ht="12.8" hidden="false" customHeight="false" outlineLevel="0" collapsed="false">
      <c r="A1059" s="0" t="s">
        <v>7501</v>
      </c>
      <c r="B1059" s="0" t="s">
        <v>7502</v>
      </c>
      <c r="C1059" s="0" t="s">
        <v>248</v>
      </c>
      <c r="D1059" s="0" t="s">
        <v>5023</v>
      </c>
      <c r="E1059" s="0" t="s">
        <v>5024</v>
      </c>
      <c r="F1059" s="0" t="s">
        <v>5024</v>
      </c>
      <c r="G1059" s="0" t="s">
        <v>4100</v>
      </c>
      <c r="H1059" s="0" t="s">
        <v>4270</v>
      </c>
      <c r="I1059" s="0" t="s">
        <v>7486</v>
      </c>
      <c r="J1059" s="0" t="s">
        <v>7487</v>
      </c>
      <c r="K1059" s="444" t="s">
        <v>7488</v>
      </c>
    </row>
    <row r="1060" customFormat="false" ht="12.8" hidden="false" customHeight="false" outlineLevel="0" collapsed="false">
      <c r="A1060" s="0" t="s">
        <v>7503</v>
      </c>
      <c r="B1060" s="0" t="s">
        <v>7504</v>
      </c>
      <c r="C1060" s="0" t="s">
        <v>248</v>
      </c>
      <c r="D1060" s="0" t="s">
        <v>5023</v>
      </c>
      <c r="E1060" s="0" t="s">
        <v>5024</v>
      </c>
      <c r="F1060" s="0" t="s">
        <v>5024</v>
      </c>
      <c r="G1060" s="0" t="s">
        <v>4100</v>
      </c>
      <c r="H1060" s="0" t="s">
        <v>4270</v>
      </c>
      <c r="I1060" s="0" t="s">
        <v>7486</v>
      </c>
      <c r="J1060" s="0" t="s">
        <v>7487</v>
      </c>
      <c r="K1060" s="444" t="s">
        <v>7488</v>
      </c>
    </row>
    <row r="1061" customFormat="false" ht="12.8" hidden="false" customHeight="false" outlineLevel="0" collapsed="false">
      <c r="A1061" s="0" t="s">
        <v>7505</v>
      </c>
      <c r="B1061" s="0" t="s">
        <v>7506</v>
      </c>
      <c r="C1061" s="0" t="s">
        <v>248</v>
      </c>
      <c r="D1061" s="0" t="s">
        <v>5023</v>
      </c>
      <c r="E1061" s="0" t="s">
        <v>5024</v>
      </c>
      <c r="F1061" s="0" t="s">
        <v>5024</v>
      </c>
      <c r="G1061" s="0" t="s">
        <v>4100</v>
      </c>
      <c r="H1061" s="0" t="s">
        <v>4270</v>
      </c>
      <c r="I1061" s="0" t="s">
        <v>7486</v>
      </c>
      <c r="J1061" s="0" t="s">
        <v>7487</v>
      </c>
      <c r="K1061" s="444" t="s">
        <v>7488</v>
      </c>
    </row>
    <row r="1062" customFormat="false" ht="12.8" hidden="false" customHeight="false" outlineLevel="0" collapsed="false">
      <c r="A1062" s="0" t="s">
        <v>7507</v>
      </c>
      <c r="B1062" s="0" t="s">
        <v>7508</v>
      </c>
      <c r="C1062" s="0" t="s">
        <v>248</v>
      </c>
      <c r="D1062" s="0" t="s">
        <v>5057</v>
      </c>
      <c r="E1062" s="0" t="s">
        <v>5058</v>
      </c>
      <c r="F1062" s="0" t="s">
        <v>5058</v>
      </c>
      <c r="G1062" s="0" t="s">
        <v>4100</v>
      </c>
      <c r="H1062" s="0" t="s">
        <v>4270</v>
      </c>
      <c r="I1062" s="0" t="s">
        <v>7486</v>
      </c>
      <c r="J1062" s="0" t="s">
        <v>7487</v>
      </c>
      <c r="K1062" s="444" t="s">
        <v>7488</v>
      </c>
    </row>
    <row r="1063" customFormat="false" ht="12.8" hidden="false" customHeight="false" outlineLevel="0" collapsed="false">
      <c r="A1063" s="0" t="s">
        <v>7509</v>
      </c>
      <c r="B1063" s="0" t="s">
        <v>7510</v>
      </c>
      <c r="C1063" s="0" t="s">
        <v>286</v>
      </c>
      <c r="D1063" s="0" t="s">
        <v>5061</v>
      </c>
      <c r="E1063" s="0" t="s">
        <v>5062</v>
      </c>
      <c r="F1063" s="0" t="s">
        <v>5062</v>
      </c>
      <c r="G1063" s="0" t="s">
        <v>4100</v>
      </c>
      <c r="H1063" s="0" t="s">
        <v>4101</v>
      </c>
      <c r="I1063" s="0" t="s">
        <v>7511</v>
      </c>
      <c r="J1063" s="0" t="s">
        <v>7512</v>
      </c>
      <c r="K1063" s="0" t="s">
        <v>5260</v>
      </c>
    </row>
    <row r="1064" customFormat="false" ht="12.8" hidden="false" customHeight="false" outlineLevel="0" collapsed="false">
      <c r="A1064" s="0" t="s">
        <v>7513</v>
      </c>
      <c r="B1064" s="0" t="s">
        <v>7514</v>
      </c>
      <c r="C1064" s="0" t="s">
        <v>286</v>
      </c>
      <c r="D1064" s="0" t="s">
        <v>5023</v>
      </c>
      <c r="E1064" s="0" t="s">
        <v>5024</v>
      </c>
      <c r="F1064" s="0" t="s">
        <v>5024</v>
      </c>
      <c r="G1064" s="0" t="s">
        <v>4100</v>
      </c>
      <c r="H1064" s="0" t="s">
        <v>4101</v>
      </c>
      <c r="I1064" s="0" t="s">
        <v>7511</v>
      </c>
      <c r="J1064" s="0" t="s">
        <v>7512</v>
      </c>
      <c r="K1064" s="0" t="s">
        <v>5260</v>
      </c>
    </row>
    <row r="1065" customFormat="false" ht="12.8" hidden="false" customHeight="false" outlineLevel="0" collapsed="false">
      <c r="A1065" s="0" t="s">
        <v>7515</v>
      </c>
      <c r="B1065" s="0" t="s">
        <v>7516</v>
      </c>
      <c r="C1065" s="0" t="s">
        <v>286</v>
      </c>
      <c r="D1065" s="0" t="s">
        <v>5023</v>
      </c>
      <c r="E1065" s="0" t="s">
        <v>5024</v>
      </c>
      <c r="F1065" s="0" t="s">
        <v>5024</v>
      </c>
      <c r="G1065" s="0" t="s">
        <v>4100</v>
      </c>
      <c r="H1065" s="0" t="s">
        <v>4101</v>
      </c>
      <c r="I1065" s="0" t="s">
        <v>7511</v>
      </c>
      <c r="J1065" s="0" t="s">
        <v>7512</v>
      </c>
      <c r="K1065" s="0" t="s">
        <v>5260</v>
      </c>
    </row>
    <row r="1066" customFormat="false" ht="12.8" hidden="false" customHeight="false" outlineLevel="0" collapsed="false">
      <c r="A1066" s="0" t="s">
        <v>7517</v>
      </c>
      <c r="B1066" s="0" t="s">
        <v>7518</v>
      </c>
      <c r="C1066" s="0" t="s">
        <v>286</v>
      </c>
      <c r="D1066" s="0" t="s">
        <v>5023</v>
      </c>
      <c r="E1066" s="0" t="s">
        <v>5024</v>
      </c>
      <c r="F1066" s="0" t="s">
        <v>5024</v>
      </c>
      <c r="G1066" s="0" t="s">
        <v>4100</v>
      </c>
      <c r="H1066" s="0" t="s">
        <v>4101</v>
      </c>
      <c r="I1066" s="0" t="s">
        <v>7511</v>
      </c>
      <c r="J1066" s="0" t="s">
        <v>7512</v>
      </c>
      <c r="K1066" s="0" t="s">
        <v>5260</v>
      </c>
    </row>
    <row r="1067" customFormat="false" ht="12.8" hidden="false" customHeight="false" outlineLevel="0" collapsed="false">
      <c r="A1067" s="0" t="s">
        <v>7519</v>
      </c>
      <c r="B1067" s="0" t="s">
        <v>7520</v>
      </c>
      <c r="C1067" s="0" t="s">
        <v>286</v>
      </c>
      <c r="D1067" s="0" t="s">
        <v>5023</v>
      </c>
      <c r="E1067" s="0" t="s">
        <v>5024</v>
      </c>
      <c r="F1067" s="0" t="s">
        <v>5024</v>
      </c>
      <c r="G1067" s="0" t="s">
        <v>4100</v>
      </c>
      <c r="H1067" s="0" t="s">
        <v>4101</v>
      </c>
      <c r="I1067" s="0" t="s">
        <v>7511</v>
      </c>
      <c r="J1067" s="0" t="s">
        <v>7512</v>
      </c>
      <c r="K1067" s="0" t="s">
        <v>5260</v>
      </c>
    </row>
    <row r="1068" customFormat="false" ht="12.8" hidden="false" customHeight="false" outlineLevel="0" collapsed="false">
      <c r="A1068" s="0" t="s">
        <v>7521</v>
      </c>
      <c r="B1068" s="0" t="s">
        <v>7522</v>
      </c>
      <c r="C1068" s="0" t="s">
        <v>286</v>
      </c>
      <c r="D1068" s="0" t="s">
        <v>5023</v>
      </c>
      <c r="E1068" s="0" t="s">
        <v>5024</v>
      </c>
      <c r="F1068" s="0" t="s">
        <v>5024</v>
      </c>
      <c r="G1068" s="0" t="s">
        <v>4100</v>
      </c>
      <c r="H1068" s="0" t="s">
        <v>4101</v>
      </c>
      <c r="I1068" s="0" t="s">
        <v>7511</v>
      </c>
      <c r="J1068" s="0" t="s">
        <v>7512</v>
      </c>
      <c r="K1068" s="0" t="s">
        <v>5260</v>
      </c>
    </row>
    <row r="1069" customFormat="false" ht="12.8" hidden="false" customHeight="false" outlineLevel="0" collapsed="false">
      <c r="A1069" s="0" t="s">
        <v>7523</v>
      </c>
      <c r="B1069" s="0" t="s">
        <v>7524</v>
      </c>
      <c r="C1069" s="0" t="s">
        <v>286</v>
      </c>
      <c r="D1069" s="0" t="s">
        <v>5023</v>
      </c>
      <c r="E1069" s="0" t="s">
        <v>5024</v>
      </c>
      <c r="F1069" s="0" t="s">
        <v>5024</v>
      </c>
      <c r="G1069" s="0" t="s">
        <v>4100</v>
      </c>
      <c r="H1069" s="0" t="s">
        <v>4101</v>
      </c>
      <c r="I1069" s="0" t="s">
        <v>7511</v>
      </c>
      <c r="J1069" s="0" t="s">
        <v>7512</v>
      </c>
      <c r="K1069" s="0" t="s">
        <v>5260</v>
      </c>
    </row>
    <row r="1070" customFormat="false" ht="12.8" hidden="false" customHeight="false" outlineLevel="0" collapsed="false">
      <c r="A1070" s="0" t="s">
        <v>7525</v>
      </c>
      <c r="B1070" s="0" t="s">
        <v>7526</v>
      </c>
      <c r="C1070" s="0" t="s">
        <v>287</v>
      </c>
      <c r="D1070" s="0" t="s">
        <v>5061</v>
      </c>
      <c r="E1070" s="0" t="s">
        <v>5062</v>
      </c>
      <c r="F1070" s="0" t="s">
        <v>5062</v>
      </c>
      <c r="G1070" s="0" t="s">
        <v>4100</v>
      </c>
      <c r="H1070" s="0" t="s">
        <v>4270</v>
      </c>
      <c r="I1070" s="0" t="s">
        <v>7527</v>
      </c>
      <c r="J1070" s="0" t="s">
        <v>7528</v>
      </c>
      <c r="K1070" s="0" t="s">
        <v>5260</v>
      </c>
    </row>
    <row r="1071" customFormat="false" ht="12.8" hidden="false" customHeight="false" outlineLevel="0" collapsed="false">
      <c r="A1071" s="0" t="s">
        <v>7529</v>
      </c>
      <c r="B1071" s="0" t="s">
        <v>7530</v>
      </c>
      <c r="C1071" s="0" t="s">
        <v>287</v>
      </c>
      <c r="D1071" s="0" t="s">
        <v>5023</v>
      </c>
      <c r="E1071" s="0" t="s">
        <v>5024</v>
      </c>
      <c r="F1071" s="0" t="s">
        <v>5024</v>
      </c>
      <c r="G1071" s="0" t="s">
        <v>4100</v>
      </c>
      <c r="H1071" s="0" t="s">
        <v>4270</v>
      </c>
      <c r="I1071" s="0" t="s">
        <v>7527</v>
      </c>
      <c r="J1071" s="0" t="s">
        <v>7528</v>
      </c>
      <c r="K1071" s="0" t="s">
        <v>5260</v>
      </c>
    </row>
    <row r="1072" customFormat="false" ht="12.8" hidden="false" customHeight="false" outlineLevel="0" collapsed="false">
      <c r="A1072" s="0" t="s">
        <v>7531</v>
      </c>
      <c r="B1072" s="0" t="s">
        <v>7532</v>
      </c>
      <c r="C1072" s="0" t="s">
        <v>287</v>
      </c>
      <c r="D1072" s="0" t="s">
        <v>5023</v>
      </c>
      <c r="E1072" s="0" t="s">
        <v>5024</v>
      </c>
      <c r="F1072" s="0" t="s">
        <v>5024</v>
      </c>
      <c r="G1072" s="0" t="s">
        <v>4100</v>
      </c>
      <c r="H1072" s="0" t="s">
        <v>4270</v>
      </c>
      <c r="I1072" s="0" t="s">
        <v>7527</v>
      </c>
      <c r="J1072" s="0" t="s">
        <v>7528</v>
      </c>
      <c r="K1072" s="0" t="s">
        <v>5260</v>
      </c>
    </row>
    <row r="1073" customFormat="false" ht="12.8" hidden="false" customHeight="false" outlineLevel="0" collapsed="false">
      <c r="A1073" s="0" t="s">
        <v>7533</v>
      </c>
      <c r="B1073" s="0" t="s">
        <v>7534</v>
      </c>
      <c r="C1073" s="0" t="s">
        <v>287</v>
      </c>
      <c r="D1073" s="0" t="s">
        <v>5023</v>
      </c>
      <c r="E1073" s="0" t="s">
        <v>5024</v>
      </c>
      <c r="F1073" s="0" t="s">
        <v>5024</v>
      </c>
      <c r="G1073" s="0" t="s">
        <v>4100</v>
      </c>
      <c r="H1073" s="0" t="s">
        <v>4270</v>
      </c>
      <c r="I1073" s="0" t="s">
        <v>7527</v>
      </c>
      <c r="J1073" s="0" t="s">
        <v>7528</v>
      </c>
      <c r="K1073" s="0" t="s">
        <v>5260</v>
      </c>
    </row>
    <row r="1074" customFormat="false" ht="12.8" hidden="false" customHeight="false" outlineLevel="0" collapsed="false">
      <c r="A1074" s="0" t="s">
        <v>7535</v>
      </c>
      <c r="B1074" s="0" t="s">
        <v>7536</v>
      </c>
      <c r="C1074" s="0" t="s">
        <v>287</v>
      </c>
      <c r="D1074" s="0" t="s">
        <v>5023</v>
      </c>
      <c r="E1074" s="0" t="s">
        <v>5024</v>
      </c>
      <c r="F1074" s="0" t="s">
        <v>5024</v>
      </c>
      <c r="G1074" s="0" t="s">
        <v>4100</v>
      </c>
      <c r="H1074" s="0" t="s">
        <v>4270</v>
      </c>
      <c r="I1074" s="0" t="s">
        <v>7527</v>
      </c>
      <c r="J1074" s="0" t="s">
        <v>7528</v>
      </c>
      <c r="K1074" s="0" t="s">
        <v>5260</v>
      </c>
    </row>
    <row r="1075" customFormat="false" ht="12.8" hidden="false" customHeight="false" outlineLevel="0" collapsed="false">
      <c r="A1075" s="0" t="s">
        <v>7537</v>
      </c>
      <c r="B1075" s="0" t="s">
        <v>7538</v>
      </c>
      <c r="C1075" s="0" t="s">
        <v>287</v>
      </c>
      <c r="D1075" s="0" t="s">
        <v>5023</v>
      </c>
      <c r="E1075" s="0" t="s">
        <v>5024</v>
      </c>
      <c r="F1075" s="0" t="s">
        <v>5024</v>
      </c>
      <c r="G1075" s="0" t="s">
        <v>4100</v>
      </c>
      <c r="H1075" s="0" t="s">
        <v>4270</v>
      </c>
      <c r="I1075" s="0" t="s">
        <v>7527</v>
      </c>
      <c r="J1075" s="0" t="s">
        <v>7528</v>
      </c>
      <c r="K1075" s="0" t="s">
        <v>5260</v>
      </c>
    </row>
    <row r="1076" customFormat="false" ht="12.8" hidden="false" customHeight="false" outlineLevel="0" collapsed="false">
      <c r="A1076" s="0" t="s">
        <v>7539</v>
      </c>
      <c r="B1076" s="0" t="s">
        <v>7540</v>
      </c>
      <c r="C1076" s="0" t="s">
        <v>287</v>
      </c>
      <c r="D1076" s="0" t="s">
        <v>5023</v>
      </c>
      <c r="E1076" s="0" t="s">
        <v>5024</v>
      </c>
      <c r="F1076" s="0" t="s">
        <v>5024</v>
      </c>
      <c r="G1076" s="0" t="s">
        <v>4100</v>
      </c>
      <c r="H1076" s="0" t="s">
        <v>4270</v>
      </c>
      <c r="I1076" s="0" t="s">
        <v>7527</v>
      </c>
      <c r="J1076" s="0" t="s">
        <v>7528</v>
      </c>
      <c r="K1076" s="0" t="s">
        <v>5260</v>
      </c>
    </row>
    <row r="1077" customFormat="false" ht="12.8" hidden="false" customHeight="false" outlineLevel="0" collapsed="false">
      <c r="A1077" s="0" t="s">
        <v>7541</v>
      </c>
      <c r="B1077" s="0" t="s">
        <v>7542</v>
      </c>
      <c r="C1077" s="0" t="s">
        <v>333</v>
      </c>
      <c r="D1077" s="0" t="s">
        <v>5023</v>
      </c>
      <c r="E1077" s="0" t="s">
        <v>5024</v>
      </c>
      <c r="F1077" s="0" t="s">
        <v>5024</v>
      </c>
      <c r="G1077" s="0" t="s">
        <v>4100</v>
      </c>
      <c r="H1077" s="0" t="s">
        <v>4270</v>
      </c>
      <c r="I1077" s="0" t="s">
        <v>7543</v>
      </c>
      <c r="J1077" s="0" t="s">
        <v>7544</v>
      </c>
      <c r="K1077" s="0" t="s">
        <v>7180</v>
      </c>
    </row>
    <row r="1078" customFormat="false" ht="12.8" hidden="false" customHeight="false" outlineLevel="0" collapsed="false">
      <c r="A1078" s="0" t="s">
        <v>7545</v>
      </c>
      <c r="B1078" s="0" t="s">
        <v>7546</v>
      </c>
      <c r="C1078" s="0" t="s">
        <v>333</v>
      </c>
      <c r="D1078" s="0" t="s">
        <v>5023</v>
      </c>
      <c r="E1078" s="0" t="s">
        <v>5024</v>
      </c>
      <c r="F1078" s="0" t="s">
        <v>5024</v>
      </c>
      <c r="G1078" s="0" t="s">
        <v>4100</v>
      </c>
      <c r="H1078" s="0" t="s">
        <v>4270</v>
      </c>
      <c r="I1078" s="0" t="s">
        <v>7543</v>
      </c>
      <c r="J1078" s="0" t="s">
        <v>7544</v>
      </c>
      <c r="K1078" s="0" t="s">
        <v>7180</v>
      </c>
    </row>
    <row r="1079" customFormat="false" ht="12.8" hidden="false" customHeight="false" outlineLevel="0" collapsed="false">
      <c r="A1079" s="0" t="s">
        <v>7547</v>
      </c>
      <c r="B1079" s="0" t="s">
        <v>7548</v>
      </c>
      <c r="C1079" s="0" t="s">
        <v>333</v>
      </c>
      <c r="D1079" s="0" t="s">
        <v>5023</v>
      </c>
      <c r="E1079" s="0" t="s">
        <v>5024</v>
      </c>
      <c r="F1079" s="0" t="s">
        <v>5024</v>
      </c>
      <c r="G1079" s="0" t="s">
        <v>4100</v>
      </c>
      <c r="H1079" s="0" t="s">
        <v>4270</v>
      </c>
      <c r="I1079" s="0" t="s">
        <v>7543</v>
      </c>
      <c r="J1079" s="0" t="s">
        <v>7544</v>
      </c>
      <c r="K1079" s="0" t="s">
        <v>7180</v>
      </c>
    </row>
    <row r="1080" customFormat="false" ht="12.8" hidden="false" customHeight="false" outlineLevel="0" collapsed="false">
      <c r="A1080" s="0" t="s">
        <v>7549</v>
      </c>
      <c r="B1080" s="0" t="s">
        <v>7550</v>
      </c>
      <c r="C1080" s="0" t="s">
        <v>333</v>
      </c>
      <c r="D1080" s="0" t="s">
        <v>5061</v>
      </c>
      <c r="E1080" s="0" t="s">
        <v>5062</v>
      </c>
      <c r="F1080" s="0" t="s">
        <v>5062</v>
      </c>
      <c r="G1080" s="0" t="s">
        <v>4100</v>
      </c>
      <c r="H1080" s="0" t="s">
        <v>4270</v>
      </c>
      <c r="I1080" s="0" t="s">
        <v>7543</v>
      </c>
      <c r="J1080" s="0" t="s">
        <v>7544</v>
      </c>
      <c r="K1080" s="0" t="s">
        <v>7180</v>
      </c>
    </row>
    <row r="1081" customFormat="false" ht="12.8" hidden="false" customHeight="false" outlineLevel="0" collapsed="false">
      <c r="A1081" s="0" t="s">
        <v>7551</v>
      </c>
      <c r="B1081" s="0" t="s">
        <v>7552</v>
      </c>
      <c r="C1081" s="0" t="s">
        <v>333</v>
      </c>
      <c r="D1081" s="0" t="s">
        <v>5023</v>
      </c>
      <c r="E1081" s="0" t="s">
        <v>5024</v>
      </c>
      <c r="F1081" s="0" t="s">
        <v>5024</v>
      </c>
      <c r="G1081" s="0" t="s">
        <v>4100</v>
      </c>
      <c r="H1081" s="0" t="s">
        <v>4270</v>
      </c>
      <c r="I1081" s="0" t="s">
        <v>7543</v>
      </c>
      <c r="J1081" s="0" t="s">
        <v>7544</v>
      </c>
      <c r="K1081" s="0" t="s">
        <v>7180</v>
      </c>
    </row>
    <row r="1082" customFormat="false" ht="12.8" hidden="false" customHeight="false" outlineLevel="0" collapsed="false">
      <c r="A1082" s="0" t="s">
        <v>7553</v>
      </c>
      <c r="B1082" s="0" t="s">
        <v>7554</v>
      </c>
      <c r="C1082" s="0" t="s">
        <v>384</v>
      </c>
      <c r="D1082" s="0" t="s">
        <v>5023</v>
      </c>
      <c r="E1082" s="0" t="s">
        <v>5024</v>
      </c>
      <c r="F1082" s="0" t="s">
        <v>5024</v>
      </c>
      <c r="G1082" s="0" t="s">
        <v>4100</v>
      </c>
      <c r="H1082" s="0" t="s">
        <v>4101</v>
      </c>
      <c r="I1082" s="0" t="s">
        <v>7555</v>
      </c>
      <c r="J1082" s="0" t="s">
        <v>7556</v>
      </c>
      <c r="K1082" s="0" t="s">
        <v>5260</v>
      </c>
    </row>
    <row r="1083" customFormat="false" ht="12.8" hidden="false" customHeight="false" outlineLevel="0" collapsed="false">
      <c r="A1083" s="0" t="s">
        <v>7557</v>
      </c>
      <c r="B1083" s="0" t="s">
        <v>7558</v>
      </c>
      <c r="C1083" s="0" t="s">
        <v>384</v>
      </c>
      <c r="D1083" s="0" t="s">
        <v>5023</v>
      </c>
      <c r="E1083" s="0" t="s">
        <v>5024</v>
      </c>
      <c r="F1083" s="0" t="s">
        <v>5024</v>
      </c>
      <c r="G1083" s="0" t="s">
        <v>4100</v>
      </c>
      <c r="H1083" s="0" t="s">
        <v>4101</v>
      </c>
      <c r="I1083" s="0" t="s">
        <v>7555</v>
      </c>
      <c r="J1083" s="0" t="s">
        <v>7556</v>
      </c>
      <c r="K1083" s="0" t="s">
        <v>5260</v>
      </c>
    </row>
    <row r="1084" customFormat="false" ht="12.8" hidden="false" customHeight="false" outlineLevel="0" collapsed="false">
      <c r="A1084" s="0" t="s">
        <v>7559</v>
      </c>
      <c r="B1084" s="0" t="s">
        <v>7560</v>
      </c>
      <c r="C1084" s="0" t="s">
        <v>384</v>
      </c>
      <c r="D1084" s="0" t="s">
        <v>5023</v>
      </c>
      <c r="E1084" s="0" t="s">
        <v>5024</v>
      </c>
      <c r="F1084" s="0" t="s">
        <v>5024</v>
      </c>
      <c r="G1084" s="0" t="s">
        <v>4100</v>
      </c>
      <c r="H1084" s="0" t="s">
        <v>4101</v>
      </c>
      <c r="I1084" s="0" t="s">
        <v>7555</v>
      </c>
      <c r="J1084" s="0" t="s">
        <v>7556</v>
      </c>
      <c r="K1084" s="0" t="s">
        <v>5260</v>
      </c>
    </row>
    <row r="1085" customFormat="false" ht="12.8" hidden="false" customHeight="false" outlineLevel="0" collapsed="false">
      <c r="A1085" s="0" t="s">
        <v>7561</v>
      </c>
      <c r="B1085" s="0" t="s">
        <v>7562</v>
      </c>
      <c r="C1085" s="0" t="s">
        <v>384</v>
      </c>
      <c r="D1085" s="0" t="s">
        <v>5023</v>
      </c>
      <c r="E1085" s="0" t="s">
        <v>5024</v>
      </c>
      <c r="F1085" s="0" t="s">
        <v>5024</v>
      </c>
      <c r="G1085" s="0" t="s">
        <v>4100</v>
      </c>
      <c r="H1085" s="0" t="s">
        <v>4101</v>
      </c>
      <c r="I1085" s="0" t="s">
        <v>7555</v>
      </c>
      <c r="J1085" s="0" t="s">
        <v>7556</v>
      </c>
      <c r="K1085" s="0" t="s">
        <v>5260</v>
      </c>
    </row>
    <row r="1086" customFormat="false" ht="12.8" hidden="false" customHeight="false" outlineLevel="0" collapsed="false">
      <c r="A1086" s="0" t="s">
        <v>7563</v>
      </c>
      <c r="B1086" s="0" t="s">
        <v>7564</v>
      </c>
      <c r="C1086" s="0" t="s">
        <v>384</v>
      </c>
      <c r="D1086" s="0" t="s">
        <v>5023</v>
      </c>
      <c r="E1086" s="0" t="s">
        <v>5024</v>
      </c>
      <c r="F1086" s="0" t="s">
        <v>5024</v>
      </c>
      <c r="G1086" s="0" t="s">
        <v>4100</v>
      </c>
      <c r="H1086" s="0" t="s">
        <v>4101</v>
      </c>
      <c r="I1086" s="0" t="s">
        <v>7555</v>
      </c>
      <c r="J1086" s="0" t="s">
        <v>7556</v>
      </c>
      <c r="K1086" s="0" t="s">
        <v>5260</v>
      </c>
    </row>
    <row r="1087" customFormat="false" ht="12.8" hidden="false" customHeight="false" outlineLevel="0" collapsed="false">
      <c r="A1087" s="0" t="s">
        <v>7565</v>
      </c>
      <c r="B1087" s="0" t="s">
        <v>7566</v>
      </c>
      <c r="C1087" s="0" t="s">
        <v>384</v>
      </c>
      <c r="D1087" s="0" t="s">
        <v>5061</v>
      </c>
      <c r="E1087" s="0" t="s">
        <v>5062</v>
      </c>
      <c r="F1087" s="0" t="s">
        <v>5062</v>
      </c>
      <c r="G1087" s="0" t="s">
        <v>4100</v>
      </c>
      <c r="H1087" s="0" t="s">
        <v>4101</v>
      </c>
      <c r="I1087" s="0" t="s">
        <v>7555</v>
      </c>
      <c r="J1087" s="0" t="s">
        <v>7556</v>
      </c>
      <c r="K1087" s="0" t="s">
        <v>5260</v>
      </c>
    </row>
    <row r="1088" customFormat="false" ht="12.8" hidden="false" customHeight="false" outlineLevel="0" collapsed="false">
      <c r="A1088" s="0" t="s">
        <v>7567</v>
      </c>
      <c r="B1088" s="0" t="s">
        <v>7568</v>
      </c>
      <c r="C1088" s="0" t="s">
        <v>15</v>
      </c>
      <c r="D1088" s="0" t="s">
        <v>5023</v>
      </c>
      <c r="E1088" s="0" t="s">
        <v>5024</v>
      </c>
      <c r="F1088" s="0" t="s">
        <v>5024</v>
      </c>
      <c r="G1088" s="0" t="s">
        <v>4100</v>
      </c>
      <c r="H1088" s="0" t="s">
        <v>4354</v>
      </c>
      <c r="I1088" s="0" t="s">
        <v>7569</v>
      </c>
      <c r="J1088" s="0" t="s">
        <v>7570</v>
      </c>
      <c r="K1088" s="0" t="s">
        <v>5260</v>
      </c>
    </row>
    <row r="1089" customFormat="false" ht="12.8" hidden="false" customHeight="false" outlineLevel="0" collapsed="false">
      <c r="A1089" s="0" t="s">
        <v>7571</v>
      </c>
      <c r="B1089" s="0" t="s">
        <v>7572</v>
      </c>
      <c r="C1089" s="0" t="s">
        <v>15</v>
      </c>
      <c r="D1089" s="0" t="s">
        <v>5023</v>
      </c>
      <c r="E1089" s="0" t="s">
        <v>5024</v>
      </c>
      <c r="F1089" s="0" t="s">
        <v>5024</v>
      </c>
      <c r="G1089" s="0" t="s">
        <v>4100</v>
      </c>
      <c r="H1089" s="0" t="s">
        <v>4354</v>
      </c>
      <c r="I1089" s="0" t="s">
        <v>7569</v>
      </c>
      <c r="J1089" s="0" t="s">
        <v>7570</v>
      </c>
      <c r="K1089" s="0" t="s">
        <v>5260</v>
      </c>
    </row>
    <row r="1090" customFormat="false" ht="12.8" hidden="false" customHeight="false" outlineLevel="0" collapsed="false">
      <c r="A1090" s="0" t="s">
        <v>7573</v>
      </c>
      <c r="B1090" s="0" t="s">
        <v>7574</v>
      </c>
      <c r="C1090" s="0" t="s">
        <v>15</v>
      </c>
      <c r="D1090" s="0" t="s">
        <v>5023</v>
      </c>
      <c r="E1090" s="0" t="s">
        <v>5024</v>
      </c>
      <c r="F1090" s="0" t="s">
        <v>5024</v>
      </c>
      <c r="G1090" s="0" t="s">
        <v>4100</v>
      </c>
      <c r="H1090" s="0" t="s">
        <v>4354</v>
      </c>
      <c r="I1090" s="0" t="s">
        <v>7569</v>
      </c>
      <c r="J1090" s="0" t="s">
        <v>7570</v>
      </c>
      <c r="K1090" s="0" t="s">
        <v>5260</v>
      </c>
    </row>
    <row r="1091" customFormat="false" ht="12.8" hidden="false" customHeight="false" outlineLevel="0" collapsed="false">
      <c r="A1091" s="0" t="s">
        <v>7575</v>
      </c>
      <c r="B1091" s="0" t="s">
        <v>7576</v>
      </c>
      <c r="C1091" s="0" t="s">
        <v>15</v>
      </c>
      <c r="D1091" s="0" t="s">
        <v>5023</v>
      </c>
      <c r="E1091" s="0" t="s">
        <v>5024</v>
      </c>
      <c r="F1091" s="0" t="s">
        <v>5024</v>
      </c>
      <c r="G1091" s="0" t="s">
        <v>4100</v>
      </c>
      <c r="H1091" s="0" t="s">
        <v>4354</v>
      </c>
      <c r="I1091" s="0" t="s">
        <v>7569</v>
      </c>
      <c r="J1091" s="0" t="s">
        <v>7570</v>
      </c>
      <c r="K1091" s="0" t="s">
        <v>5260</v>
      </c>
    </row>
    <row r="1092" customFormat="false" ht="12.8" hidden="false" customHeight="false" outlineLevel="0" collapsed="false">
      <c r="A1092" s="0" t="s">
        <v>7577</v>
      </c>
      <c r="B1092" s="0" t="s">
        <v>7578</v>
      </c>
      <c r="C1092" s="0" t="s">
        <v>15</v>
      </c>
      <c r="D1092" s="0" t="s">
        <v>5023</v>
      </c>
      <c r="E1092" s="0" t="s">
        <v>5024</v>
      </c>
      <c r="F1092" s="0" t="s">
        <v>5024</v>
      </c>
      <c r="G1092" s="0" t="s">
        <v>4100</v>
      </c>
      <c r="H1092" s="0" t="s">
        <v>4354</v>
      </c>
      <c r="I1092" s="0" t="s">
        <v>7569</v>
      </c>
      <c r="J1092" s="0" t="s">
        <v>7570</v>
      </c>
      <c r="K1092" s="0" t="s">
        <v>5260</v>
      </c>
    </row>
    <row r="1093" customFormat="false" ht="12.8" hidden="false" customHeight="false" outlineLevel="0" collapsed="false">
      <c r="A1093" s="0" t="s">
        <v>7579</v>
      </c>
      <c r="B1093" s="0" t="s">
        <v>7580</v>
      </c>
      <c r="C1093" s="0" t="s">
        <v>15</v>
      </c>
      <c r="D1093" s="0" t="s">
        <v>5057</v>
      </c>
      <c r="E1093" s="0" t="s">
        <v>5058</v>
      </c>
      <c r="F1093" s="0" t="s">
        <v>5058</v>
      </c>
      <c r="G1093" s="0" t="s">
        <v>4100</v>
      </c>
      <c r="H1093" s="0" t="s">
        <v>4354</v>
      </c>
      <c r="I1093" s="0" t="s">
        <v>7569</v>
      </c>
      <c r="J1093" s="0" t="s">
        <v>7570</v>
      </c>
      <c r="K1093" s="0" t="s">
        <v>5260</v>
      </c>
    </row>
    <row r="1094" customFormat="false" ht="12.8" hidden="false" customHeight="false" outlineLevel="0" collapsed="false">
      <c r="A1094" s="0" t="s">
        <v>7581</v>
      </c>
      <c r="B1094" s="0" t="s">
        <v>7582</v>
      </c>
      <c r="C1094" s="0" t="s">
        <v>15</v>
      </c>
      <c r="D1094" s="0" t="s">
        <v>5061</v>
      </c>
      <c r="E1094" s="0" t="s">
        <v>5062</v>
      </c>
      <c r="F1094" s="0" t="s">
        <v>5062</v>
      </c>
      <c r="G1094" s="0" t="s">
        <v>4100</v>
      </c>
      <c r="H1094" s="0" t="s">
        <v>4354</v>
      </c>
      <c r="I1094" s="0" t="s">
        <v>7569</v>
      </c>
      <c r="J1094" s="0" t="s">
        <v>7570</v>
      </c>
      <c r="K1094" s="0" t="s">
        <v>5260</v>
      </c>
    </row>
    <row r="1095" customFormat="false" ht="12.8" hidden="false" customHeight="false" outlineLevel="0" collapsed="false">
      <c r="A1095" s="0" t="s">
        <v>7583</v>
      </c>
      <c r="B1095" s="0" t="s">
        <v>7584</v>
      </c>
      <c r="C1095" s="0" t="s">
        <v>46</v>
      </c>
      <c r="D1095" s="0" t="s">
        <v>5023</v>
      </c>
      <c r="E1095" s="0" t="s">
        <v>5024</v>
      </c>
      <c r="F1095" s="0" t="s">
        <v>5024</v>
      </c>
      <c r="G1095" s="0" t="s">
        <v>4100</v>
      </c>
      <c r="H1095" s="0" t="s">
        <v>4521</v>
      </c>
      <c r="I1095" s="0" t="s">
        <v>7585</v>
      </c>
      <c r="J1095" s="0" t="s">
        <v>7586</v>
      </c>
      <c r="K1095" s="0" t="s">
        <v>7587</v>
      </c>
    </row>
    <row r="1096" customFormat="false" ht="12.8" hidden="false" customHeight="false" outlineLevel="0" collapsed="false">
      <c r="A1096" s="0" t="s">
        <v>7588</v>
      </c>
      <c r="B1096" s="0" t="s">
        <v>7589</v>
      </c>
      <c r="C1096" s="0" t="s">
        <v>46</v>
      </c>
      <c r="D1096" s="0" t="s">
        <v>5023</v>
      </c>
      <c r="E1096" s="0" t="s">
        <v>5024</v>
      </c>
      <c r="F1096" s="0" t="s">
        <v>5024</v>
      </c>
      <c r="G1096" s="0" t="s">
        <v>4100</v>
      </c>
      <c r="H1096" s="0" t="s">
        <v>4521</v>
      </c>
      <c r="I1096" s="0" t="s">
        <v>7585</v>
      </c>
      <c r="J1096" s="0" t="s">
        <v>7586</v>
      </c>
      <c r="K1096" s="0" t="s">
        <v>7587</v>
      </c>
    </row>
    <row r="1097" customFormat="false" ht="12.8" hidden="false" customHeight="false" outlineLevel="0" collapsed="false">
      <c r="A1097" s="0" t="s">
        <v>7590</v>
      </c>
      <c r="B1097" s="0" t="s">
        <v>7591</v>
      </c>
      <c r="C1097" s="0" t="s">
        <v>46</v>
      </c>
      <c r="D1097" s="0" t="s">
        <v>5023</v>
      </c>
      <c r="E1097" s="0" t="s">
        <v>5024</v>
      </c>
      <c r="F1097" s="0" t="s">
        <v>5024</v>
      </c>
      <c r="G1097" s="0" t="s">
        <v>4100</v>
      </c>
      <c r="H1097" s="0" t="s">
        <v>4521</v>
      </c>
      <c r="I1097" s="0" t="s">
        <v>7585</v>
      </c>
      <c r="J1097" s="0" t="s">
        <v>7586</v>
      </c>
      <c r="K1097" s="0" t="s">
        <v>7587</v>
      </c>
    </row>
    <row r="1098" customFormat="false" ht="12.8" hidden="false" customHeight="false" outlineLevel="0" collapsed="false">
      <c r="A1098" s="0" t="s">
        <v>7592</v>
      </c>
      <c r="B1098" s="0" t="s">
        <v>7593</v>
      </c>
      <c r="C1098" s="0" t="s">
        <v>46</v>
      </c>
      <c r="D1098" s="0" t="s">
        <v>5023</v>
      </c>
      <c r="E1098" s="0" t="s">
        <v>5024</v>
      </c>
      <c r="F1098" s="0" t="s">
        <v>5024</v>
      </c>
      <c r="G1098" s="0" t="s">
        <v>4100</v>
      </c>
      <c r="H1098" s="0" t="s">
        <v>4521</v>
      </c>
      <c r="I1098" s="0" t="s">
        <v>7585</v>
      </c>
      <c r="J1098" s="0" t="s">
        <v>7586</v>
      </c>
      <c r="K1098" s="0" t="s">
        <v>7587</v>
      </c>
    </row>
    <row r="1099" customFormat="false" ht="12.8" hidden="false" customHeight="false" outlineLevel="0" collapsed="false">
      <c r="A1099" s="0" t="s">
        <v>7594</v>
      </c>
      <c r="B1099" s="0" t="s">
        <v>7595</v>
      </c>
      <c r="C1099" s="0" t="s">
        <v>46</v>
      </c>
      <c r="D1099" s="0" t="s">
        <v>5061</v>
      </c>
      <c r="E1099" s="0" t="s">
        <v>5062</v>
      </c>
      <c r="F1099" s="0" t="s">
        <v>5062</v>
      </c>
      <c r="G1099" s="0" t="s">
        <v>4100</v>
      </c>
      <c r="H1099" s="0" t="s">
        <v>4521</v>
      </c>
      <c r="I1099" s="0" t="s">
        <v>7585</v>
      </c>
      <c r="J1099" s="0" t="s">
        <v>7586</v>
      </c>
      <c r="K1099" s="0" t="s">
        <v>7587</v>
      </c>
    </row>
    <row r="1100" customFormat="false" ht="12.8" hidden="false" customHeight="false" outlineLevel="0" collapsed="false">
      <c r="A1100" s="0" t="s">
        <v>7596</v>
      </c>
      <c r="B1100" s="0" t="s">
        <v>7597</v>
      </c>
      <c r="C1100" s="0" t="s">
        <v>46</v>
      </c>
      <c r="D1100" s="0" t="s">
        <v>5057</v>
      </c>
      <c r="E1100" s="0" t="s">
        <v>5058</v>
      </c>
      <c r="F1100" s="0" t="s">
        <v>5058</v>
      </c>
      <c r="G1100" s="0" t="s">
        <v>4100</v>
      </c>
      <c r="H1100" s="0" t="s">
        <v>4521</v>
      </c>
      <c r="I1100" s="0" t="s">
        <v>7585</v>
      </c>
      <c r="J1100" s="0" t="s">
        <v>7586</v>
      </c>
      <c r="K1100" s="0" t="s">
        <v>7587</v>
      </c>
    </row>
    <row r="1101" customFormat="false" ht="12.8" hidden="false" customHeight="false" outlineLevel="0" collapsed="false">
      <c r="A1101" s="0" t="s">
        <v>7598</v>
      </c>
      <c r="B1101" s="0" t="s">
        <v>7599</v>
      </c>
      <c r="C1101" s="0" t="s">
        <v>66</v>
      </c>
      <c r="D1101" s="0" t="s">
        <v>5061</v>
      </c>
      <c r="E1101" s="0" t="s">
        <v>5062</v>
      </c>
      <c r="F1101" s="0" t="s">
        <v>5062</v>
      </c>
      <c r="G1101" s="0" t="s">
        <v>4100</v>
      </c>
      <c r="H1101" s="0" t="s">
        <v>4354</v>
      </c>
      <c r="I1101" s="0" t="s">
        <v>7600</v>
      </c>
      <c r="J1101" s="0" t="s">
        <v>7601</v>
      </c>
      <c r="K1101" s="0" t="s">
        <v>5260</v>
      </c>
    </row>
    <row r="1102" customFormat="false" ht="12.8" hidden="false" customHeight="false" outlineLevel="0" collapsed="false">
      <c r="A1102" s="0" t="s">
        <v>7602</v>
      </c>
      <c r="B1102" s="0" t="s">
        <v>7603</v>
      </c>
      <c r="C1102" s="0" t="s">
        <v>66</v>
      </c>
      <c r="D1102" s="0" t="s">
        <v>5057</v>
      </c>
      <c r="E1102" s="0" t="s">
        <v>5058</v>
      </c>
      <c r="F1102" s="0" t="s">
        <v>5058</v>
      </c>
      <c r="G1102" s="0" t="s">
        <v>4100</v>
      </c>
      <c r="H1102" s="0" t="s">
        <v>4354</v>
      </c>
      <c r="I1102" s="0" t="s">
        <v>7600</v>
      </c>
      <c r="J1102" s="0" t="s">
        <v>7601</v>
      </c>
      <c r="K1102" s="0" t="s">
        <v>5260</v>
      </c>
    </row>
    <row r="1103" customFormat="false" ht="12.8" hidden="false" customHeight="false" outlineLevel="0" collapsed="false">
      <c r="A1103" s="0" t="s">
        <v>7604</v>
      </c>
      <c r="B1103" s="0" t="s">
        <v>7605</v>
      </c>
      <c r="C1103" s="0" t="s">
        <v>66</v>
      </c>
      <c r="D1103" s="0" t="s">
        <v>5023</v>
      </c>
      <c r="E1103" s="0" t="s">
        <v>5024</v>
      </c>
      <c r="F1103" s="0" t="s">
        <v>5024</v>
      </c>
      <c r="G1103" s="0" t="s">
        <v>4100</v>
      </c>
      <c r="H1103" s="0" t="s">
        <v>4354</v>
      </c>
      <c r="I1103" s="0" t="s">
        <v>7600</v>
      </c>
      <c r="J1103" s="0" t="s">
        <v>7601</v>
      </c>
      <c r="K1103" s="0" t="s">
        <v>5260</v>
      </c>
    </row>
    <row r="1104" customFormat="false" ht="12.8" hidden="false" customHeight="false" outlineLevel="0" collapsed="false">
      <c r="A1104" s="0" t="s">
        <v>7606</v>
      </c>
      <c r="B1104" s="0" t="s">
        <v>7607</v>
      </c>
      <c r="C1104" s="0" t="s">
        <v>66</v>
      </c>
      <c r="D1104" s="0" t="s">
        <v>5023</v>
      </c>
      <c r="E1104" s="0" t="s">
        <v>5024</v>
      </c>
      <c r="F1104" s="0" t="s">
        <v>5024</v>
      </c>
      <c r="G1104" s="0" t="s">
        <v>4100</v>
      </c>
      <c r="H1104" s="0" t="s">
        <v>4354</v>
      </c>
      <c r="I1104" s="0" t="s">
        <v>7600</v>
      </c>
      <c r="J1104" s="0" t="s">
        <v>7601</v>
      </c>
      <c r="K1104" s="0" t="s">
        <v>5260</v>
      </c>
    </row>
    <row r="1105" customFormat="false" ht="12.8" hidden="false" customHeight="false" outlineLevel="0" collapsed="false">
      <c r="A1105" s="0" t="s">
        <v>7608</v>
      </c>
      <c r="B1105" s="0" t="s">
        <v>7609</v>
      </c>
      <c r="C1105" s="0" t="s">
        <v>66</v>
      </c>
      <c r="D1105" s="0" t="s">
        <v>5023</v>
      </c>
      <c r="E1105" s="0" t="s">
        <v>5024</v>
      </c>
      <c r="F1105" s="0" t="s">
        <v>5024</v>
      </c>
      <c r="G1105" s="0" t="s">
        <v>4100</v>
      </c>
      <c r="H1105" s="0" t="s">
        <v>4354</v>
      </c>
      <c r="I1105" s="0" t="s">
        <v>7600</v>
      </c>
      <c r="J1105" s="0" t="s">
        <v>7601</v>
      </c>
      <c r="K1105" s="0" t="s">
        <v>5260</v>
      </c>
    </row>
    <row r="1106" customFormat="false" ht="12.8" hidden="false" customHeight="false" outlineLevel="0" collapsed="false">
      <c r="A1106" s="0" t="s">
        <v>7610</v>
      </c>
      <c r="B1106" s="0" t="s">
        <v>7611</v>
      </c>
      <c r="C1106" s="0" t="s">
        <v>66</v>
      </c>
      <c r="D1106" s="0" t="s">
        <v>5023</v>
      </c>
      <c r="E1106" s="0" t="s">
        <v>5024</v>
      </c>
      <c r="F1106" s="0" t="s">
        <v>5024</v>
      </c>
      <c r="G1106" s="0" t="s">
        <v>4100</v>
      </c>
      <c r="H1106" s="0" t="s">
        <v>4354</v>
      </c>
      <c r="I1106" s="0" t="s">
        <v>7600</v>
      </c>
      <c r="J1106" s="0" t="s">
        <v>7601</v>
      </c>
      <c r="K1106" s="0" t="s">
        <v>5260</v>
      </c>
    </row>
    <row r="1107" customFormat="false" ht="12.8" hidden="false" customHeight="false" outlineLevel="0" collapsed="false">
      <c r="A1107" s="0" t="s">
        <v>7612</v>
      </c>
      <c r="B1107" s="0" t="s">
        <v>7613</v>
      </c>
      <c r="C1107" s="0" t="s">
        <v>66</v>
      </c>
      <c r="D1107" s="0" t="s">
        <v>5023</v>
      </c>
      <c r="E1107" s="0" t="s">
        <v>5024</v>
      </c>
      <c r="F1107" s="0" t="s">
        <v>5024</v>
      </c>
      <c r="G1107" s="0" t="s">
        <v>4100</v>
      </c>
      <c r="H1107" s="0" t="s">
        <v>4354</v>
      </c>
      <c r="I1107" s="0" t="s">
        <v>7600</v>
      </c>
      <c r="J1107" s="0" t="s">
        <v>7601</v>
      </c>
      <c r="K1107" s="0" t="s">
        <v>5260</v>
      </c>
    </row>
    <row r="1108" customFormat="false" ht="12.8" hidden="false" customHeight="false" outlineLevel="0" collapsed="false">
      <c r="A1108" s="0" t="s">
        <v>7614</v>
      </c>
      <c r="B1108" s="0" t="s">
        <v>7615</v>
      </c>
      <c r="C1108" s="0" t="s">
        <v>66</v>
      </c>
      <c r="D1108" s="0" t="s">
        <v>5023</v>
      </c>
      <c r="E1108" s="0" t="s">
        <v>5024</v>
      </c>
      <c r="F1108" s="0" t="s">
        <v>5024</v>
      </c>
      <c r="G1108" s="0" t="s">
        <v>4100</v>
      </c>
      <c r="H1108" s="0" t="s">
        <v>4354</v>
      </c>
      <c r="I1108" s="0" t="s">
        <v>7600</v>
      </c>
      <c r="J1108" s="0" t="s">
        <v>7601</v>
      </c>
      <c r="K1108" s="0" t="s">
        <v>5260</v>
      </c>
    </row>
    <row r="1109" customFormat="false" ht="12.8" hidden="false" customHeight="false" outlineLevel="0" collapsed="false">
      <c r="A1109" s="0" t="s">
        <v>7616</v>
      </c>
      <c r="B1109" s="0" t="s">
        <v>7617</v>
      </c>
      <c r="C1109" s="0" t="s">
        <v>87</v>
      </c>
      <c r="D1109" s="0" t="s">
        <v>5023</v>
      </c>
      <c r="E1109" s="0" t="s">
        <v>5024</v>
      </c>
      <c r="F1109" s="0" t="s">
        <v>5024</v>
      </c>
      <c r="G1109" s="0" t="s">
        <v>4100</v>
      </c>
      <c r="H1109" s="0" t="s">
        <v>4270</v>
      </c>
      <c r="I1109" s="0" t="s">
        <v>7618</v>
      </c>
      <c r="J1109" s="0" t="s">
        <v>7619</v>
      </c>
      <c r="K1109" s="444" t="s">
        <v>6503</v>
      </c>
    </row>
    <row r="1110" customFormat="false" ht="12.8" hidden="false" customHeight="false" outlineLevel="0" collapsed="false">
      <c r="A1110" s="0" t="s">
        <v>7620</v>
      </c>
      <c r="B1110" s="0" t="s">
        <v>7621</v>
      </c>
      <c r="C1110" s="0" t="s">
        <v>87</v>
      </c>
      <c r="D1110" s="0" t="s">
        <v>5023</v>
      </c>
      <c r="E1110" s="0" t="s">
        <v>5024</v>
      </c>
      <c r="F1110" s="0" t="s">
        <v>5024</v>
      </c>
      <c r="G1110" s="0" t="s">
        <v>4100</v>
      </c>
      <c r="H1110" s="0" t="s">
        <v>4270</v>
      </c>
      <c r="I1110" s="0" t="s">
        <v>7618</v>
      </c>
      <c r="J1110" s="0" t="s">
        <v>7619</v>
      </c>
      <c r="K1110" s="444" t="s">
        <v>6503</v>
      </c>
    </row>
    <row r="1111" customFormat="false" ht="12.8" hidden="false" customHeight="false" outlineLevel="0" collapsed="false">
      <c r="A1111" s="0" t="s">
        <v>7622</v>
      </c>
      <c r="B1111" s="0" t="s">
        <v>7623</v>
      </c>
      <c r="C1111" s="0" t="s">
        <v>87</v>
      </c>
      <c r="D1111" s="0" t="s">
        <v>5023</v>
      </c>
      <c r="E1111" s="0" t="s">
        <v>5024</v>
      </c>
      <c r="F1111" s="0" t="s">
        <v>5024</v>
      </c>
      <c r="G1111" s="0" t="s">
        <v>4100</v>
      </c>
      <c r="H1111" s="0" t="s">
        <v>4270</v>
      </c>
      <c r="I1111" s="0" t="s">
        <v>7618</v>
      </c>
      <c r="J1111" s="0" t="s">
        <v>7619</v>
      </c>
      <c r="K1111" s="444" t="s">
        <v>6503</v>
      </c>
    </row>
    <row r="1112" customFormat="false" ht="12.8" hidden="false" customHeight="false" outlineLevel="0" collapsed="false">
      <c r="A1112" s="0" t="s">
        <v>7624</v>
      </c>
      <c r="B1112" s="0" t="s">
        <v>7625</v>
      </c>
      <c r="C1112" s="0" t="s">
        <v>87</v>
      </c>
      <c r="D1112" s="0" t="s">
        <v>5023</v>
      </c>
      <c r="E1112" s="0" t="s">
        <v>5024</v>
      </c>
      <c r="F1112" s="0" t="s">
        <v>5024</v>
      </c>
      <c r="G1112" s="0" t="s">
        <v>4100</v>
      </c>
      <c r="H1112" s="0" t="s">
        <v>4270</v>
      </c>
      <c r="I1112" s="0" t="s">
        <v>7618</v>
      </c>
      <c r="J1112" s="0" t="s">
        <v>7619</v>
      </c>
      <c r="K1112" s="444" t="s">
        <v>6503</v>
      </c>
    </row>
    <row r="1113" customFormat="false" ht="12.8" hidden="false" customHeight="false" outlineLevel="0" collapsed="false">
      <c r="A1113" s="0" t="s">
        <v>7626</v>
      </c>
      <c r="B1113" s="0" t="s">
        <v>7627</v>
      </c>
      <c r="C1113" s="0" t="s">
        <v>87</v>
      </c>
      <c r="D1113" s="0" t="s">
        <v>5023</v>
      </c>
      <c r="E1113" s="0" t="s">
        <v>5024</v>
      </c>
      <c r="F1113" s="0" t="s">
        <v>5024</v>
      </c>
      <c r="G1113" s="0" t="s">
        <v>4100</v>
      </c>
      <c r="H1113" s="0" t="s">
        <v>4270</v>
      </c>
      <c r="I1113" s="0" t="s">
        <v>7618</v>
      </c>
      <c r="J1113" s="0" t="s">
        <v>7619</v>
      </c>
      <c r="K1113" s="444" t="s">
        <v>6503</v>
      </c>
    </row>
    <row r="1114" customFormat="false" ht="12.8" hidden="false" customHeight="false" outlineLevel="0" collapsed="false">
      <c r="A1114" s="0" t="s">
        <v>7628</v>
      </c>
      <c r="B1114" s="0" t="s">
        <v>7629</v>
      </c>
      <c r="C1114" s="0" t="s">
        <v>87</v>
      </c>
      <c r="D1114" s="0" t="s">
        <v>5023</v>
      </c>
      <c r="E1114" s="0" t="s">
        <v>5024</v>
      </c>
      <c r="F1114" s="0" t="s">
        <v>5024</v>
      </c>
      <c r="G1114" s="0" t="s">
        <v>4100</v>
      </c>
      <c r="H1114" s="0" t="s">
        <v>4270</v>
      </c>
      <c r="I1114" s="0" t="s">
        <v>7618</v>
      </c>
      <c r="J1114" s="0" t="s">
        <v>7619</v>
      </c>
      <c r="K1114" s="444" t="s">
        <v>6503</v>
      </c>
    </row>
    <row r="1115" customFormat="false" ht="12.8" hidden="false" customHeight="false" outlineLevel="0" collapsed="false">
      <c r="A1115" s="0" t="s">
        <v>7630</v>
      </c>
      <c r="B1115" s="0" t="s">
        <v>7631</v>
      </c>
      <c r="C1115" s="0" t="s">
        <v>87</v>
      </c>
      <c r="D1115" s="0" t="s">
        <v>5023</v>
      </c>
      <c r="E1115" s="0" t="s">
        <v>5024</v>
      </c>
      <c r="F1115" s="0" t="s">
        <v>5024</v>
      </c>
      <c r="G1115" s="0" t="s">
        <v>4100</v>
      </c>
      <c r="H1115" s="0" t="s">
        <v>4270</v>
      </c>
      <c r="I1115" s="0" t="s">
        <v>7618</v>
      </c>
      <c r="J1115" s="0" t="s">
        <v>7619</v>
      </c>
      <c r="K1115" s="444" t="s">
        <v>6503</v>
      </c>
    </row>
    <row r="1116" customFormat="false" ht="12.8" hidden="false" customHeight="false" outlineLevel="0" collapsed="false">
      <c r="A1116" s="0" t="s">
        <v>7632</v>
      </c>
      <c r="B1116" s="0" t="s">
        <v>7633</v>
      </c>
      <c r="C1116" s="0" t="s">
        <v>87</v>
      </c>
      <c r="D1116" s="0" t="s">
        <v>5023</v>
      </c>
      <c r="E1116" s="0" t="s">
        <v>5024</v>
      </c>
      <c r="F1116" s="0" t="s">
        <v>5024</v>
      </c>
      <c r="G1116" s="0" t="s">
        <v>4100</v>
      </c>
      <c r="H1116" s="0" t="s">
        <v>4270</v>
      </c>
      <c r="I1116" s="0" t="s">
        <v>7618</v>
      </c>
      <c r="J1116" s="0" t="s">
        <v>7619</v>
      </c>
      <c r="K1116" s="444" t="s">
        <v>6503</v>
      </c>
    </row>
    <row r="1117" customFormat="false" ht="12.8" hidden="false" customHeight="false" outlineLevel="0" collapsed="false">
      <c r="A1117" s="0" t="s">
        <v>7634</v>
      </c>
      <c r="B1117" s="0" t="s">
        <v>7635</v>
      </c>
      <c r="C1117" s="0" t="s">
        <v>87</v>
      </c>
      <c r="D1117" s="0" t="s">
        <v>5023</v>
      </c>
      <c r="E1117" s="0" t="s">
        <v>5024</v>
      </c>
      <c r="F1117" s="0" t="s">
        <v>5024</v>
      </c>
      <c r="G1117" s="0" t="s">
        <v>4100</v>
      </c>
      <c r="H1117" s="0" t="s">
        <v>4270</v>
      </c>
      <c r="I1117" s="0" t="s">
        <v>7618</v>
      </c>
      <c r="J1117" s="0" t="s">
        <v>7619</v>
      </c>
      <c r="K1117" s="444" t="s">
        <v>6503</v>
      </c>
    </row>
    <row r="1118" customFormat="false" ht="12.8" hidden="false" customHeight="false" outlineLevel="0" collapsed="false">
      <c r="A1118" s="0" t="s">
        <v>7636</v>
      </c>
      <c r="B1118" s="0" t="s">
        <v>7637</v>
      </c>
      <c r="C1118" s="0" t="s">
        <v>87</v>
      </c>
      <c r="D1118" s="0" t="s">
        <v>5057</v>
      </c>
      <c r="E1118" s="0" t="s">
        <v>5058</v>
      </c>
      <c r="F1118" s="0" t="s">
        <v>5058</v>
      </c>
      <c r="G1118" s="0" t="s">
        <v>4100</v>
      </c>
      <c r="H1118" s="0" t="s">
        <v>4270</v>
      </c>
      <c r="I1118" s="0" t="s">
        <v>7618</v>
      </c>
      <c r="J1118" s="0" t="s">
        <v>7619</v>
      </c>
      <c r="K1118" s="444" t="s">
        <v>6503</v>
      </c>
    </row>
    <row r="1119" customFormat="false" ht="12.8" hidden="false" customHeight="false" outlineLevel="0" collapsed="false">
      <c r="A1119" s="0" t="s">
        <v>7638</v>
      </c>
      <c r="B1119" s="0" t="s">
        <v>7639</v>
      </c>
      <c r="C1119" s="0" t="s">
        <v>87</v>
      </c>
      <c r="D1119" s="0" t="s">
        <v>5061</v>
      </c>
      <c r="E1119" s="0" t="s">
        <v>5062</v>
      </c>
      <c r="F1119" s="0" t="s">
        <v>5062</v>
      </c>
      <c r="G1119" s="0" t="s">
        <v>4100</v>
      </c>
      <c r="H1119" s="0" t="s">
        <v>4270</v>
      </c>
      <c r="I1119" s="0" t="s">
        <v>7618</v>
      </c>
      <c r="J1119" s="0" t="s">
        <v>7619</v>
      </c>
      <c r="K1119" s="444" t="s">
        <v>6503</v>
      </c>
    </row>
    <row r="1120" customFormat="false" ht="12.8" hidden="false" customHeight="false" outlineLevel="0" collapsed="false">
      <c r="A1120" s="0" t="s">
        <v>7640</v>
      </c>
      <c r="B1120" s="0" t="s">
        <v>7641</v>
      </c>
      <c r="C1120" s="0" t="s">
        <v>186</v>
      </c>
      <c r="D1120" s="0" t="s">
        <v>5061</v>
      </c>
      <c r="E1120" s="0" t="s">
        <v>5062</v>
      </c>
      <c r="F1120" s="0" t="s">
        <v>5062</v>
      </c>
      <c r="G1120" s="0" t="s">
        <v>4100</v>
      </c>
      <c r="H1120" s="0" t="s">
        <v>4354</v>
      </c>
      <c r="I1120" s="0" t="s">
        <v>7642</v>
      </c>
      <c r="J1120" s="0" t="s">
        <v>7643</v>
      </c>
      <c r="K1120" s="0" t="s">
        <v>7644</v>
      </c>
    </row>
    <row r="1121" customFormat="false" ht="12.8" hidden="false" customHeight="false" outlineLevel="0" collapsed="false">
      <c r="A1121" s="0" t="s">
        <v>7645</v>
      </c>
      <c r="B1121" s="0" t="s">
        <v>7646</v>
      </c>
      <c r="C1121" s="0" t="s">
        <v>186</v>
      </c>
      <c r="D1121" s="0" t="s">
        <v>5023</v>
      </c>
      <c r="E1121" s="0" t="s">
        <v>5024</v>
      </c>
      <c r="F1121" s="0" t="s">
        <v>5024</v>
      </c>
      <c r="G1121" s="0" t="s">
        <v>4100</v>
      </c>
      <c r="H1121" s="0" t="s">
        <v>4354</v>
      </c>
      <c r="I1121" s="0" t="s">
        <v>7642</v>
      </c>
      <c r="J1121" s="0" t="s">
        <v>7643</v>
      </c>
      <c r="K1121" s="0" t="s">
        <v>7644</v>
      </c>
    </row>
    <row r="1122" customFormat="false" ht="12.8" hidden="false" customHeight="false" outlineLevel="0" collapsed="false">
      <c r="A1122" s="0" t="s">
        <v>7647</v>
      </c>
      <c r="B1122" s="0" t="s">
        <v>7648</v>
      </c>
      <c r="C1122" s="0" t="s">
        <v>186</v>
      </c>
      <c r="D1122" s="0" t="s">
        <v>5023</v>
      </c>
      <c r="E1122" s="0" t="s">
        <v>5024</v>
      </c>
      <c r="F1122" s="0" t="s">
        <v>5024</v>
      </c>
      <c r="G1122" s="0" t="s">
        <v>4100</v>
      </c>
      <c r="H1122" s="0" t="s">
        <v>4354</v>
      </c>
      <c r="I1122" s="0" t="s">
        <v>7642</v>
      </c>
      <c r="J1122" s="0" t="s">
        <v>7643</v>
      </c>
      <c r="K1122" s="0" t="s">
        <v>7644</v>
      </c>
    </row>
    <row r="1123" customFormat="false" ht="12.8" hidden="false" customHeight="false" outlineLevel="0" collapsed="false">
      <c r="A1123" s="0" t="s">
        <v>7649</v>
      </c>
      <c r="B1123" s="0" t="s">
        <v>7650</v>
      </c>
      <c r="C1123" s="0" t="s">
        <v>186</v>
      </c>
      <c r="D1123" s="0" t="s">
        <v>5023</v>
      </c>
      <c r="E1123" s="0" t="s">
        <v>5024</v>
      </c>
      <c r="F1123" s="0" t="s">
        <v>5024</v>
      </c>
      <c r="G1123" s="0" t="s">
        <v>4100</v>
      </c>
      <c r="H1123" s="0" t="s">
        <v>4354</v>
      </c>
      <c r="I1123" s="0" t="s">
        <v>7642</v>
      </c>
      <c r="J1123" s="0" t="s">
        <v>7643</v>
      </c>
      <c r="K1123" s="0" t="s">
        <v>7644</v>
      </c>
    </row>
    <row r="1124" customFormat="false" ht="12.8" hidden="false" customHeight="false" outlineLevel="0" collapsed="false">
      <c r="A1124" s="0" t="s">
        <v>7651</v>
      </c>
      <c r="B1124" s="0" t="s">
        <v>7652</v>
      </c>
      <c r="C1124" s="0" t="s">
        <v>186</v>
      </c>
      <c r="D1124" s="0" t="s">
        <v>5023</v>
      </c>
      <c r="E1124" s="0" t="s">
        <v>5024</v>
      </c>
      <c r="F1124" s="0" t="s">
        <v>5024</v>
      </c>
      <c r="G1124" s="0" t="s">
        <v>4100</v>
      </c>
      <c r="H1124" s="0" t="s">
        <v>4354</v>
      </c>
      <c r="I1124" s="0" t="s">
        <v>7642</v>
      </c>
      <c r="J1124" s="0" t="s">
        <v>7643</v>
      </c>
      <c r="K1124" s="0" t="s">
        <v>7644</v>
      </c>
    </row>
    <row r="1125" customFormat="false" ht="12.8" hidden="false" customHeight="false" outlineLevel="0" collapsed="false">
      <c r="A1125" s="0" t="s">
        <v>7653</v>
      </c>
      <c r="B1125" s="0" t="s">
        <v>7654</v>
      </c>
      <c r="C1125" s="0" t="s">
        <v>284</v>
      </c>
      <c r="D1125" s="0" t="s">
        <v>5023</v>
      </c>
      <c r="E1125" s="0" t="s">
        <v>5024</v>
      </c>
      <c r="F1125" s="0" t="s">
        <v>5024</v>
      </c>
      <c r="G1125" s="0" t="s">
        <v>4100</v>
      </c>
      <c r="H1125" s="0" t="s">
        <v>4521</v>
      </c>
      <c r="I1125" s="0" t="s">
        <v>7655</v>
      </c>
      <c r="J1125" s="0" t="s">
        <v>7656</v>
      </c>
      <c r="K1125" s="0" t="s">
        <v>7657</v>
      </c>
    </row>
    <row r="1126" customFormat="false" ht="12.8" hidden="false" customHeight="false" outlineLevel="0" collapsed="false">
      <c r="A1126" s="0" t="s">
        <v>7658</v>
      </c>
      <c r="B1126" s="0" t="s">
        <v>7659</v>
      </c>
      <c r="C1126" s="0" t="s">
        <v>284</v>
      </c>
      <c r="D1126" s="0" t="s">
        <v>5023</v>
      </c>
      <c r="E1126" s="0" t="s">
        <v>5024</v>
      </c>
      <c r="F1126" s="0" t="s">
        <v>5024</v>
      </c>
      <c r="G1126" s="0" t="s">
        <v>4100</v>
      </c>
      <c r="H1126" s="0" t="s">
        <v>4521</v>
      </c>
      <c r="I1126" s="0" t="s">
        <v>7655</v>
      </c>
      <c r="J1126" s="0" t="s">
        <v>7656</v>
      </c>
      <c r="K1126" s="0" t="s">
        <v>7657</v>
      </c>
    </row>
    <row r="1127" customFormat="false" ht="12.8" hidden="false" customHeight="false" outlineLevel="0" collapsed="false">
      <c r="A1127" s="0" t="s">
        <v>7660</v>
      </c>
      <c r="B1127" s="0" t="s">
        <v>7661</v>
      </c>
      <c r="C1127" s="0" t="s">
        <v>284</v>
      </c>
      <c r="D1127" s="0" t="s">
        <v>5023</v>
      </c>
      <c r="E1127" s="0" t="s">
        <v>5024</v>
      </c>
      <c r="F1127" s="0" t="s">
        <v>5024</v>
      </c>
      <c r="G1127" s="0" t="s">
        <v>4100</v>
      </c>
      <c r="H1127" s="0" t="s">
        <v>4521</v>
      </c>
      <c r="I1127" s="0" t="s">
        <v>7655</v>
      </c>
      <c r="J1127" s="0" t="s">
        <v>7656</v>
      </c>
      <c r="K1127" s="0" t="s">
        <v>7657</v>
      </c>
    </row>
    <row r="1128" customFormat="false" ht="12.8" hidden="false" customHeight="false" outlineLevel="0" collapsed="false">
      <c r="A1128" s="0" t="s">
        <v>7662</v>
      </c>
      <c r="B1128" s="0" t="s">
        <v>7663</v>
      </c>
      <c r="C1128" s="0" t="s">
        <v>284</v>
      </c>
      <c r="D1128" s="0" t="s">
        <v>5023</v>
      </c>
      <c r="E1128" s="0" t="s">
        <v>5024</v>
      </c>
      <c r="F1128" s="0" t="s">
        <v>5024</v>
      </c>
      <c r="G1128" s="0" t="s">
        <v>4100</v>
      </c>
      <c r="H1128" s="0" t="s">
        <v>4521</v>
      </c>
      <c r="I1128" s="0" t="s">
        <v>7655</v>
      </c>
      <c r="J1128" s="0" t="s">
        <v>7656</v>
      </c>
      <c r="K1128" s="0" t="s">
        <v>7657</v>
      </c>
    </row>
    <row r="1129" customFormat="false" ht="12.8" hidden="false" customHeight="false" outlineLevel="0" collapsed="false">
      <c r="A1129" s="0" t="s">
        <v>7664</v>
      </c>
      <c r="B1129" s="0" t="s">
        <v>7665</v>
      </c>
      <c r="C1129" s="0" t="s">
        <v>284</v>
      </c>
      <c r="D1129" s="0" t="s">
        <v>5023</v>
      </c>
      <c r="E1129" s="0" t="s">
        <v>5024</v>
      </c>
      <c r="F1129" s="0" t="s">
        <v>5024</v>
      </c>
      <c r="G1129" s="0" t="s">
        <v>4100</v>
      </c>
      <c r="H1129" s="0" t="s">
        <v>4521</v>
      </c>
      <c r="I1129" s="0" t="s">
        <v>7655</v>
      </c>
      <c r="J1129" s="0" t="s">
        <v>7656</v>
      </c>
      <c r="K1129" s="0" t="s">
        <v>7657</v>
      </c>
    </row>
    <row r="1130" customFormat="false" ht="12.8" hidden="false" customHeight="false" outlineLevel="0" collapsed="false">
      <c r="A1130" s="0" t="s">
        <v>7666</v>
      </c>
      <c r="B1130" s="0" t="s">
        <v>7667</v>
      </c>
      <c r="C1130" s="0" t="s">
        <v>284</v>
      </c>
      <c r="D1130" s="0" t="s">
        <v>5023</v>
      </c>
      <c r="E1130" s="0" t="s">
        <v>5024</v>
      </c>
      <c r="F1130" s="0" t="s">
        <v>5024</v>
      </c>
      <c r="G1130" s="0" t="s">
        <v>4100</v>
      </c>
      <c r="H1130" s="0" t="s">
        <v>4521</v>
      </c>
      <c r="I1130" s="0" t="s">
        <v>7655</v>
      </c>
      <c r="J1130" s="0" t="s">
        <v>7656</v>
      </c>
      <c r="K1130" s="0" t="s">
        <v>7657</v>
      </c>
    </row>
    <row r="1131" customFormat="false" ht="12.8" hidden="false" customHeight="false" outlineLevel="0" collapsed="false">
      <c r="A1131" s="0" t="s">
        <v>7668</v>
      </c>
      <c r="B1131" s="0" t="s">
        <v>7669</v>
      </c>
      <c r="C1131" s="0" t="s">
        <v>284</v>
      </c>
      <c r="D1131" s="0" t="s">
        <v>5023</v>
      </c>
      <c r="E1131" s="0" t="s">
        <v>5024</v>
      </c>
      <c r="F1131" s="0" t="s">
        <v>5024</v>
      </c>
      <c r="G1131" s="0" t="s">
        <v>4100</v>
      </c>
      <c r="H1131" s="0" t="s">
        <v>4521</v>
      </c>
      <c r="I1131" s="0" t="s">
        <v>7655</v>
      </c>
      <c r="J1131" s="0" t="s">
        <v>7656</v>
      </c>
      <c r="K1131" s="0" t="s">
        <v>7657</v>
      </c>
    </row>
    <row r="1132" customFormat="false" ht="12.8" hidden="false" customHeight="false" outlineLevel="0" collapsed="false">
      <c r="A1132" s="0" t="s">
        <v>7670</v>
      </c>
      <c r="B1132" s="0" t="s">
        <v>7671</v>
      </c>
      <c r="C1132" s="0" t="s">
        <v>284</v>
      </c>
      <c r="D1132" s="0" t="s">
        <v>5023</v>
      </c>
      <c r="E1132" s="0" t="s">
        <v>5024</v>
      </c>
      <c r="F1132" s="0" t="s">
        <v>5024</v>
      </c>
      <c r="G1132" s="0" t="s">
        <v>4100</v>
      </c>
      <c r="H1132" s="0" t="s">
        <v>4521</v>
      </c>
      <c r="I1132" s="0" t="s">
        <v>7655</v>
      </c>
      <c r="J1132" s="0" t="s">
        <v>7656</v>
      </c>
      <c r="K1132" s="0" t="s">
        <v>7657</v>
      </c>
    </row>
    <row r="1133" customFormat="false" ht="12.8" hidden="false" customHeight="false" outlineLevel="0" collapsed="false">
      <c r="A1133" s="0" t="s">
        <v>7672</v>
      </c>
      <c r="B1133" s="0" t="s">
        <v>7673</v>
      </c>
      <c r="C1133" s="0" t="s">
        <v>284</v>
      </c>
      <c r="D1133" s="0" t="s">
        <v>5023</v>
      </c>
      <c r="E1133" s="0" t="s">
        <v>5024</v>
      </c>
      <c r="F1133" s="0" t="s">
        <v>5024</v>
      </c>
      <c r="G1133" s="0" t="s">
        <v>4100</v>
      </c>
      <c r="H1133" s="0" t="s">
        <v>4521</v>
      </c>
      <c r="I1133" s="0" t="s">
        <v>7655</v>
      </c>
      <c r="J1133" s="0" t="s">
        <v>7656</v>
      </c>
      <c r="K1133" s="0" t="s">
        <v>7657</v>
      </c>
    </row>
    <row r="1134" customFormat="false" ht="12.8" hidden="false" customHeight="false" outlineLevel="0" collapsed="false">
      <c r="A1134" s="0" t="s">
        <v>7674</v>
      </c>
      <c r="B1134" s="0" t="s">
        <v>7675</v>
      </c>
      <c r="C1134" s="0" t="s">
        <v>284</v>
      </c>
      <c r="D1134" s="0" t="s">
        <v>5023</v>
      </c>
      <c r="E1134" s="0" t="s">
        <v>5024</v>
      </c>
      <c r="F1134" s="0" t="s">
        <v>5024</v>
      </c>
      <c r="G1134" s="0" t="s">
        <v>4100</v>
      </c>
      <c r="H1134" s="0" t="s">
        <v>4521</v>
      </c>
      <c r="I1134" s="0" t="s">
        <v>7655</v>
      </c>
      <c r="J1134" s="0" t="s">
        <v>7656</v>
      </c>
      <c r="K1134" s="0" t="s">
        <v>7657</v>
      </c>
    </row>
    <row r="1135" customFormat="false" ht="12.8" hidden="false" customHeight="false" outlineLevel="0" collapsed="false">
      <c r="A1135" s="0" t="s">
        <v>7676</v>
      </c>
      <c r="B1135" s="0" t="s">
        <v>7677</v>
      </c>
      <c r="C1135" s="0" t="s">
        <v>284</v>
      </c>
      <c r="D1135" s="0" t="s">
        <v>5023</v>
      </c>
      <c r="E1135" s="0" t="s">
        <v>5024</v>
      </c>
      <c r="F1135" s="0" t="s">
        <v>5024</v>
      </c>
      <c r="G1135" s="0" t="s">
        <v>4100</v>
      </c>
      <c r="H1135" s="0" t="s">
        <v>4521</v>
      </c>
      <c r="I1135" s="0" t="s">
        <v>7655</v>
      </c>
      <c r="J1135" s="0" t="s">
        <v>7656</v>
      </c>
      <c r="K1135" s="0" t="s">
        <v>7657</v>
      </c>
    </row>
    <row r="1136" customFormat="false" ht="12.8" hidden="false" customHeight="false" outlineLevel="0" collapsed="false">
      <c r="A1136" s="0" t="s">
        <v>7678</v>
      </c>
      <c r="B1136" s="0" t="s">
        <v>7679</v>
      </c>
      <c r="C1136" s="0" t="s">
        <v>284</v>
      </c>
      <c r="D1136" s="0" t="s">
        <v>5057</v>
      </c>
      <c r="E1136" s="0" t="s">
        <v>5058</v>
      </c>
      <c r="F1136" s="0" t="s">
        <v>5058</v>
      </c>
      <c r="G1136" s="0" t="s">
        <v>4100</v>
      </c>
      <c r="H1136" s="0" t="s">
        <v>4521</v>
      </c>
      <c r="I1136" s="0" t="s">
        <v>7655</v>
      </c>
      <c r="J1136" s="0" t="s">
        <v>7656</v>
      </c>
      <c r="K1136" s="0" t="s">
        <v>7657</v>
      </c>
    </row>
    <row r="1137" customFormat="false" ht="12.8" hidden="false" customHeight="false" outlineLevel="0" collapsed="false">
      <c r="A1137" s="0" t="s">
        <v>7680</v>
      </c>
      <c r="B1137" s="0" t="s">
        <v>7681</v>
      </c>
      <c r="C1137" s="0" t="s">
        <v>284</v>
      </c>
      <c r="D1137" s="0" t="s">
        <v>5061</v>
      </c>
      <c r="E1137" s="0" t="s">
        <v>5062</v>
      </c>
      <c r="F1137" s="0" t="s">
        <v>5062</v>
      </c>
      <c r="G1137" s="0" t="s">
        <v>4100</v>
      </c>
      <c r="H1137" s="0" t="s">
        <v>4521</v>
      </c>
      <c r="I1137" s="0" t="s">
        <v>7655</v>
      </c>
      <c r="J1137" s="0" t="s">
        <v>7656</v>
      </c>
      <c r="K1137" s="0" t="s">
        <v>7657</v>
      </c>
    </row>
    <row r="1138" customFormat="false" ht="12.8" hidden="false" customHeight="false" outlineLevel="0" collapsed="false">
      <c r="A1138" s="0" t="s">
        <v>7682</v>
      </c>
      <c r="B1138" s="0" t="s">
        <v>7683</v>
      </c>
      <c r="C1138" s="0" t="s">
        <v>284</v>
      </c>
      <c r="D1138" s="0" t="s">
        <v>5057</v>
      </c>
      <c r="E1138" s="0" t="s">
        <v>5058</v>
      </c>
      <c r="F1138" s="0" t="s">
        <v>5058</v>
      </c>
      <c r="G1138" s="0" t="s">
        <v>4100</v>
      </c>
      <c r="H1138" s="0" t="s">
        <v>4521</v>
      </c>
      <c r="I1138" s="0" t="s">
        <v>7655</v>
      </c>
      <c r="J1138" s="0" t="s">
        <v>7656</v>
      </c>
      <c r="K1138" s="0" t="s">
        <v>7657</v>
      </c>
    </row>
    <row r="1139" customFormat="false" ht="12.8" hidden="false" customHeight="false" outlineLevel="0" collapsed="false">
      <c r="A1139" s="0" t="s">
        <v>7684</v>
      </c>
      <c r="B1139" s="0" t="s">
        <v>7685</v>
      </c>
      <c r="C1139" s="0" t="s">
        <v>285</v>
      </c>
      <c r="D1139" s="0" t="s">
        <v>5057</v>
      </c>
      <c r="E1139" s="0" t="s">
        <v>5058</v>
      </c>
      <c r="F1139" s="0" t="s">
        <v>5058</v>
      </c>
      <c r="G1139" s="0" t="s">
        <v>4100</v>
      </c>
      <c r="H1139" s="0" t="s">
        <v>4354</v>
      </c>
      <c r="I1139" s="0" t="s">
        <v>7686</v>
      </c>
      <c r="J1139" s="0" t="s">
        <v>7687</v>
      </c>
      <c r="K1139" s="0" t="s">
        <v>5260</v>
      </c>
    </row>
    <row r="1140" customFormat="false" ht="12.8" hidden="false" customHeight="false" outlineLevel="0" collapsed="false">
      <c r="A1140" s="0" t="s">
        <v>7688</v>
      </c>
      <c r="B1140" s="0" t="s">
        <v>7689</v>
      </c>
      <c r="C1140" s="0" t="s">
        <v>285</v>
      </c>
      <c r="D1140" s="0" t="s">
        <v>5023</v>
      </c>
      <c r="E1140" s="0" t="s">
        <v>5024</v>
      </c>
      <c r="F1140" s="0" t="s">
        <v>5024</v>
      </c>
      <c r="G1140" s="0" t="s">
        <v>4100</v>
      </c>
      <c r="H1140" s="0" t="s">
        <v>4354</v>
      </c>
      <c r="I1140" s="0" t="s">
        <v>7686</v>
      </c>
      <c r="J1140" s="0" t="s">
        <v>7687</v>
      </c>
      <c r="K1140" s="0" t="s">
        <v>5260</v>
      </c>
    </row>
    <row r="1141" customFormat="false" ht="12.8" hidden="false" customHeight="false" outlineLevel="0" collapsed="false">
      <c r="A1141" s="0" t="s">
        <v>7690</v>
      </c>
      <c r="B1141" s="0" t="s">
        <v>7691</v>
      </c>
      <c r="C1141" s="0" t="s">
        <v>285</v>
      </c>
      <c r="D1141" s="0" t="s">
        <v>5023</v>
      </c>
      <c r="E1141" s="0" t="s">
        <v>5024</v>
      </c>
      <c r="F1141" s="0" t="s">
        <v>5024</v>
      </c>
      <c r="G1141" s="0" t="s">
        <v>4100</v>
      </c>
      <c r="H1141" s="0" t="s">
        <v>4354</v>
      </c>
      <c r="I1141" s="0" t="s">
        <v>7686</v>
      </c>
      <c r="J1141" s="0" t="s">
        <v>7687</v>
      </c>
      <c r="K1141" s="0" t="s">
        <v>5260</v>
      </c>
    </row>
    <row r="1142" customFormat="false" ht="12.8" hidden="false" customHeight="false" outlineLevel="0" collapsed="false">
      <c r="A1142" s="0" t="s">
        <v>7692</v>
      </c>
      <c r="B1142" s="0" t="s">
        <v>7693</v>
      </c>
      <c r="C1142" s="0" t="s">
        <v>285</v>
      </c>
      <c r="D1142" s="0" t="s">
        <v>5023</v>
      </c>
      <c r="E1142" s="0" t="s">
        <v>5024</v>
      </c>
      <c r="F1142" s="0" t="s">
        <v>5024</v>
      </c>
      <c r="G1142" s="0" t="s">
        <v>4100</v>
      </c>
      <c r="H1142" s="0" t="s">
        <v>4354</v>
      </c>
      <c r="I1142" s="0" t="s">
        <v>7686</v>
      </c>
      <c r="J1142" s="0" t="s">
        <v>7687</v>
      </c>
      <c r="K1142" s="0" t="s">
        <v>5260</v>
      </c>
    </row>
    <row r="1143" customFormat="false" ht="12.8" hidden="false" customHeight="false" outlineLevel="0" collapsed="false">
      <c r="A1143" s="0" t="s">
        <v>7694</v>
      </c>
      <c r="B1143" s="0" t="s">
        <v>7695</v>
      </c>
      <c r="C1143" s="0" t="s">
        <v>285</v>
      </c>
      <c r="D1143" s="0" t="s">
        <v>5023</v>
      </c>
      <c r="E1143" s="0" t="s">
        <v>5024</v>
      </c>
      <c r="F1143" s="0" t="s">
        <v>5024</v>
      </c>
      <c r="G1143" s="0" t="s">
        <v>4100</v>
      </c>
      <c r="H1143" s="0" t="s">
        <v>4354</v>
      </c>
      <c r="I1143" s="0" t="s">
        <v>7686</v>
      </c>
      <c r="J1143" s="0" t="s">
        <v>7687</v>
      </c>
      <c r="K1143" s="0" t="s">
        <v>5260</v>
      </c>
    </row>
    <row r="1144" customFormat="false" ht="12.8" hidden="false" customHeight="false" outlineLevel="0" collapsed="false">
      <c r="A1144" s="0" t="s">
        <v>7696</v>
      </c>
      <c r="B1144" s="0" t="s">
        <v>7697</v>
      </c>
      <c r="C1144" s="0" t="s">
        <v>285</v>
      </c>
      <c r="D1144" s="0" t="s">
        <v>5061</v>
      </c>
      <c r="E1144" s="0" t="s">
        <v>5062</v>
      </c>
      <c r="F1144" s="0" t="s">
        <v>5062</v>
      </c>
      <c r="G1144" s="0" t="s">
        <v>4100</v>
      </c>
      <c r="H1144" s="0" t="s">
        <v>4354</v>
      </c>
      <c r="I1144" s="0" t="s">
        <v>7686</v>
      </c>
      <c r="J1144" s="0" t="s">
        <v>7687</v>
      </c>
      <c r="K1144" s="0" t="s">
        <v>5260</v>
      </c>
    </row>
    <row r="1145" customFormat="false" ht="12.8" hidden="false" customHeight="false" outlineLevel="0" collapsed="false">
      <c r="A1145" s="0" t="s">
        <v>7698</v>
      </c>
      <c r="B1145" s="0" t="s">
        <v>7699</v>
      </c>
      <c r="C1145" s="0" t="s">
        <v>288</v>
      </c>
      <c r="D1145" s="0" t="s">
        <v>5061</v>
      </c>
      <c r="E1145" s="0" t="s">
        <v>5062</v>
      </c>
      <c r="F1145" s="0" t="s">
        <v>5062</v>
      </c>
      <c r="G1145" s="0" t="s">
        <v>4100</v>
      </c>
      <c r="H1145" s="0" t="s">
        <v>4270</v>
      </c>
      <c r="I1145" s="0" t="s">
        <v>7700</v>
      </c>
      <c r="J1145" s="0" t="s">
        <v>7701</v>
      </c>
      <c r="K1145" s="0" t="s">
        <v>5260</v>
      </c>
    </row>
    <row r="1146" customFormat="false" ht="12.8" hidden="false" customHeight="false" outlineLevel="0" collapsed="false">
      <c r="A1146" s="0" t="s">
        <v>7702</v>
      </c>
      <c r="B1146" s="0" t="s">
        <v>7703</v>
      </c>
      <c r="C1146" s="0" t="s">
        <v>288</v>
      </c>
      <c r="D1146" s="0" t="s">
        <v>5023</v>
      </c>
      <c r="E1146" s="0" t="s">
        <v>5024</v>
      </c>
      <c r="F1146" s="0" t="s">
        <v>5024</v>
      </c>
      <c r="G1146" s="0" t="s">
        <v>4100</v>
      </c>
      <c r="H1146" s="0" t="s">
        <v>4270</v>
      </c>
      <c r="I1146" s="0" t="s">
        <v>7700</v>
      </c>
      <c r="J1146" s="0" t="s">
        <v>7701</v>
      </c>
      <c r="K1146" s="0" t="s">
        <v>5260</v>
      </c>
    </row>
    <row r="1147" customFormat="false" ht="12.8" hidden="false" customHeight="false" outlineLevel="0" collapsed="false">
      <c r="A1147" s="0" t="s">
        <v>7704</v>
      </c>
      <c r="B1147" s="0" t="s">
        <v>7705</v>
      </c>
      <c r="C1147" s="0" t="s">
        <v>288</v>
      </c>
      <c r="D1147" s="0" t="s">
        <v>5023</v>
      </c>
      <c r="E1147" s="0" t="s">
        <v>5024</v>
      </c>
      <c r="F1147" s="0" t="s">
        <v>5024</v>
      </c>
      <c r="G1147" s="0" t="s">
        <v>4100</v>
      </c>
      <c r="H1147" s="0" t="s">
        <v>4270</v>
      </c>
      <c r="I1147" s="0" t="s">
        <v>7700</v>
      </c>
      <c r="J1147" s="0" t="s">
        <v>7701</v>
      </c>
      <c r="K1147" s="0" t="s">
        <v>5260</v>
      </c>
    </row>
    <row r="1148" customFormat="false" ht="12.8" hidden="false" customHeight="false" outlineLevel="0" collapsed="false">
      <c r="A1148" s="0" t="s">
        <v>7706</v>
      </c>
      <c r="B1148" s="0" t="s">
        <v>7707</v>
      </c>
      <c r="C1148" s="0" t="s">
        <v>288</v>
      </c>
      <c r="D1148" s="0" t="s">
        <v>5023</v>
      </c>
      <c r="E1148" s="0" t="s">
        <v>5024</v>
      </c>
      <c r="F1148" s="0" t="s">
        <v>5024</v>
      </c>
      <c r="G1148" s="0" t="s">
        <v>4100</v>
      </c>
      <c r="H1148" s="0" t="s">
        <v>4270</v>
      </c>
      <c r="I1148" s="0" t="s">
        <v>7700</v>
      </c>
      <c r="J1148" s="0" t="s">
        <v>7701</v>
      </c>
      <c r="K1148" s="0" t="s">
        <v>5260</v>
      </c>
    </row>
    <row r="1149" customFormat="false" ht="12.8" hidden="false" customHeight="false" outlineLevel="0" collapsed="false">
      <c r="A1149" s="0" t="s">
        <v>7708</v>
      </c>
      <c r="B1149" s="0" t="s">
        <v>7709</v>
      </c>
      <c r="C1149" s="0" t="s">
        <v>288</v>
      </c>
      <c r="D1149" s="0" t="s">
        <v>5023</v>
      </c>
      <c r="E1149" s="0" t="s">
        <v>5024</v>
      </c>
      <c r="F1149" s="0" t="s">
        <v>5024</v>
      </c>
      <c r="G1149" s="0" t="s">
        <v>4100</v>
      </c>
      <c r="H1149" s="0" t="s">
        <v>4270</v>
      </c>
      <c r="I1149" s="0" t="s">
        <v>7700</v>
      </c>
      <c r="J1149" s="0" t="s">
        <v>7701</v>
      </c>
      <c r="K1149" s="0" t="s">
        <v>5260</v>
      </c>
    </row>
    <row r="1150" customFormat="false" ht="12.8" hidden="false" customHeight="false" outlineLevel="0" collapsed="false">
      <c r="A1150" s="0" t="s">
        <v>7710</v>
      </c>
      <c r="B1150" s="0" t="s">
        <v>7711</v>
      </c>
      <c r="C1150" s="0" t="s">
        <v>288</v>
      </c>
      <c r="D1150" s="0" t="s">
        <v>5023</v>
      </c>
      <c r="E1150" s="0" t="s">
        <v>5024</v>
      </c>
      <c r="F1150" s="0" t="s">
        <v>5024</v>
      </c>
      <c r="G1150" s="0" t="s">
        <v>4100</v>
      </c>
      <c r="H1150" s="0" t="s">
        <v>4270</v>
      </c>
      <c r="I1150" s="0" t="s">
        <v>7700</v>
      </c>
      <c r="J1150" s="0" t="s">
        <v>7701</v>
      </c>
      <c r="K1150" s="0" t="s">
        <v>5260</v>
      </c>
    </row>
    <row r="1151" customFormat="false" ht="12.8" hidden="false" customHeight="false" outlineLevel="0" collapsed="false">
      <c r="A1151" s="0" t="s">
        <v>7712</v>
      </c>
      <c r="B1151" s="0" t="s">
        <v>7713</v>
      </c>
      <c r="C1151" s="0" t="s">
        <v>288</v>
      </c>
      <c r="D1151" s="0" t="s">
        <v>5023</v>
      </c>
      <c r="E1151" s="0" t="s">
        <v>5024</v>
      </c>
      <c r="F1151" s="0" t="s">
        <v>5024</v>
      </c>
      <c r="G1151" s="0" t="s">
        <v>4100</v>
      </c>
      <c r="H1151" s="0" t="s">
        <v>4270</v>
      </c>
      <c r="I1151" s="0" t="s">
        <v>7700</v>
      </c>
      <c r="J1151" s="0" t="s">
        <v>7701</v>
      </c>
      <c r="K1151" s="0" t="s">
        <v>5260</v>
      </c>
    </row>
    <row r="1152" customFormat="false" ht="12.8" hidden="false" customHeight="false" outlineLevel="0" collapsed="false">
      <c r="A1152" s="0" t="s">
        <v>7714</v>
      </c>
      <c r="B1152" s="0" t="s">
        <v>7715</v>
      </c>
      <c r="C1152" s="0" t="s">
        <v>288</v>
      </c>
      <c r="D1152" s="0" t="s">
        <v>5023</v>
      </c>
      <c r="E1152" s="0" t="s">
        <v>5024</v>
      </c>
      <c r="F1152" s="0" t="s">
        <v>5024</v>
      </c>
      <c r="G1152" s="0" t="s">
        <v>4100</v>
      </c>
      <c r="H1152" s="0" t="s">
        <v>4270</v>
      </c>
      <c r="I1152" s="0" t="s">
        <v>7700</v>
      </c>
      <c r="J1152" s="0" t="s">
        <v>7701</v>
      </c>
      <c r="K1152" s="0" t="s">
        <v>5260</v>
      </c>
    </row>
    <row r="1153" customFormat="false" ht="12.8" hidden="false" customHeight="false" outlineLevel="0" collapsed="false">
      <c r="A1153" s="0" t="s">
        <v>7716</v>
      </c>
      <c r="B1153" s="0" t="s">
        <v>7717</v>
      </c>
      <c r="C1153" s="0" t="s">
        <v>289</v>
      </c>
      <c r="D1153" s="0" t="s">
        <v>5061</v>
      </c>
      <c r="E1153" s="0" t="s">
        <v>5062</v>
      </c>
      <c r="F1153" s="0" t="s">
        <v>5062</v>
      </c>
      <c r="G1153" s="0" t="s">
        <v>4100</v>
      </c>
      <c r="H1153" s="0" t="s">
        <v>4354</v>
      </c>
      <c r="I1153" s="0" t="s">
        <v>7718</v>
      </c>
      <c r="J1153" s="0" t="s">
        <v>7719</v>
      </c>
      <c r="K1153" s="444" t="s">
        <v>7720</v>
      </c>
    </row>
    <row r="1154" customFormat="false" ht="12.8" hidden="false" customHeight="false" outlineLevel="0" collapsed="false">
      <c r="A1154" s="0" t="s">
        <v>7721</v>
      </c>
      <c r="B1154" s="0" t="s">
        <v>7722</v>
      </c>
      <c r="C1154" s="0" t="s">
        <v>289</v>
      </c>
      <c r="D1154" s="0" t="s">
        <v>5057</v>
      </c>
      <c r="E1154" s="0" t="s">
        <v>5058</v>
      </c>
      <c r="F1154" s="0" t="s">
        <v>5058</v>
      </c>
      <c r="G1154" s="0" t="s">
        <v>4100</v>
      </c>
      <c r="H1154" s="0" t="s">
        <v>4354</v>
      </c>
      <c r="I1154" s="0" t="s">
        <v>7718</v>
      </c>
      <c r="J1154" s="0" t="s">
        <v>7719</v>
      </c>
      <c r="K1154" s="444" t="s">
        <v>7720</v>
      </c>
    </row>
    <row r="1155" customFormat="false" ht="12.8" hidden="false" customHeight="false" outlineLevel="0" collapsed="false">
      <c r="A1155" s="0" t="s">
        <v>7723</v>
      </c>
      <c r="B1155" s="0" t="s">
        <v>7724</v>
      </c>
      <c r="C1155" s="0" t="s">
        <v>289</v>
      </c>
      <c r="D1155" s="0" t="s">
        <v>5023</v>
      </c>
      <c r="E1155" s="0" t="s">
        <v>5024</v>
      </c>
      <c r="F1155" s="0" t="s">
        <v>5024</v>
      </c>
      <c r="G1155" s="0" t="s">
        <v>4100</v>
      </c>
      <c r="H1155" s="0" t="s">
        <v>4354</v>
      </c>
      <c r="I1155" s="0" t="s">
        <v>7718</v>
      </c>
      <c r="J1155" s="0" t="s">
        <v>7719</v>
      </c>
      <c r="K1155" s="444" t="s">
        <v>7720</v>
      </c>
    </row>
    <row r="1156" customFormat="false" ht="12.8" hidden="false" customHeight="false" outlineLevel="0" collapsed="false">
      <c r="A1156" s="0" t="s">
        <v>7725</v>
      </c>
      <c r="B1156" s="0" t="s">
        <v>7726</v>
      </c>
      <c r="C1156" s="0" t="s">
        <v>289</v>
      </c>
      <c r="D1156" s="0" t="s">
        <v>5023</v>
      </c>
      <c r="E1156" s="0" t="s">
        <v>5024</v>
      </c>
      <c r="F1156" s="0" t="s">
        <v>5024</v>
      </c>
      <c r="G1156" s="0" t="s">
        <v>4100</v>
      </c>
      <c r="H1156" s="0" t="s">
        <v>4354</v>
      </c>
      <c r="I1156" s="0" t="s">
        <v>7718</v>
      </c>
      <c r="J1156" s="0" t="s">
        <v>7719</v>
      </c>
      <c r="K1156" s="444" t="s">
        <v>7720</v>
      </c>
    </row>
    <row r="1157" customFormat="false" ht="12.8" hidden="false" customHeight="false" outlineLevel="0" collapsed="false">
      <c r="A1157" s="0" t="s">
        <v>7727</v>
      </c>
      <c r="B1157" s="0" t="s">
        <v>7728</v>
      </c>
      <c r="C1157" s="0" t="s">
        <v>289</v>
      </c>
      <c r="D1157" s="0" t="s">
        <v>5023</v>
      </c>
      <c r="E1157" s="0" t="s">
        <v>5024</v>
      </c>
      <c r="F1157" s="0" t="s">
        <v>5024</v>
      </c>
      <c r="G1157" s="0" t="s">
        <v>4100</v>
      </c>
      <c r="H1157" s="0" t="s">
        <v>4354</v>
      </c>
      <c r="I1157" s="0" t="s">
        <v>7718</v>
      </c>
      <c r="J1157" s="0" t="s">
        <v>7719</v>
      </c>
      <c r="K1157" s="444" t="s">
        <v>7720</v>
      </c>
    </row>
    <row r="1158" customFormat="false" ht="12.8" hidden="false" customHeight="false" outlineLevel="0" collapsed="false">
      <c r="A1158" s="0" t="s">
        <v>7729</v>
      </c>
      <c r="B1158" s="0" t="s">
        <v>7730</v>
      </c>
      <c r="C1158" s="0" t="s">
        <v>289</v>
      </c>
      <c r="D1158" s="0" t="s">
        <v>5023</v>
      </c>
      <c r="E1158" s="0" t="s">
        <v>5024</v>
      </c>
      <c r="F1158" s="0" t="s">
        <v>5024</v>
      </c>
      <c r="G1158" s="0" t="s">
        <v>4100</v>
      </c>
      <c r="H1158" s="0" t="s">
        <v>4354</v>
      </c>
      <c r="I1158" s="0" t="s">
        <v>7718</v>
      </c>
      <c r="J1158" s="0" t="s">
        <v>7719</v>
      </c>
      <c r="K1158" s="444" t="s">
        <v>7720</v>
      </c>
    </row>
    <row r="1159" customFormat="false" ht="12.8" hidden="false" customHeight="false" outlineLevel="0" collapsed="false">
      <c r="A1159" s="0" t="s">
        <v>7731</v>
      </c>
      <c r="B1159" s="0" t="s">
        <v>7732</v>
      </c>
      <c r="C1159" s="0" t="s">
        <v>363</v>
      </c>
      <c r="D1159" s="0" t="s">
        <v>5061</v>
      </c>
      <c r="E1159" s="0" t="s">
        <v>5062</v>
      </c>
      <c r="F1159" s="0" t="s">
        <v>5062</v>
      </c>
      <c r="G1159" s="0" t="s">
        <v>4100</v>
      </c>
      <c r="H1159" s="0" t="s">
        <v>4521</v>
      </c>
      <c r="I1159" s="0" t="s">
        <v>7733</v>
      </c>
      <c r="J1159" s="0" t="s">
        <v>7734</v>
      </c>
      <c r="K1159" s="0" t="s">
        <v>5260</v>
      </c>
    </row>
    <row r="1160" customFormat="false" ht="12.8" hidden="false" customHeight="false" outlineLevel="0" collapsed="false">
      <c r="A1160" s="0" t="s">
        <v>7735</v>
      </c>
      <c r="B1160" s="0" t="s">
        <v>7736</v>
      </c>
      <c r="C1160" s="0" t="s">
        <v>363</v>
      </c>
      <c r="D1160" s="0" t="s">
        <v>5023</v>
      </c>
      <c r="E1160" s="0" t="s">
        <v>5024</v>
      </c>
      <c r="F1160" s="0" t="s">
        <v>5024</v>
      </c>
      <c r="G1160" s="0" t="s">
        <v>4100</v>
      </c>
      <c r="H1160" s="0" t="s">
        <v>4521</v>
      </c>
      <c r="I1160" s="0" t="s">
        <v>7733</v>
      </c>
      <c r="J1160" s="0" t="s">
        <v>7734</v>
      </c>
      <c r="K1160" s="0" t="s">
        <v>5260</v>
      </c>
    </row>
    <row r="1161" customFormat="false" ht="12.8" hidden="false" customHeight="false" outlineLevel="0" collapsed="false">
      <c r="A1161" s="0" t="s">
        <v>7737</v>
      </c>
      <c r="B1161" s="0" t="s">
        <v>7738</v>
      </c>
      <c r="C1161" s="0" t="s">
        <v>363</v>
      </c>
      <c r="D1161" s="0" t="s">
        <v>5023</v>
      </c>
      <c r="E1161" s="0" t="s">
        <v>5024</v>
      </c>
      <c r="F1161" s="0" t="s">
        <v>5024</v>
      </c>
      <c r="G1161" s="0" t="s">
        <v>4100</v>
      </c>
      <c r="H1161" s="0" t="s">
        <v>4521</v>
      </c>
      <c r="I1161" s="0" t="s">
        <v>7733</v>
      </c>
      <c r="J1161" s="0" t="s">
        <v>7734</v>
      </c>
      <c r="K1161" s="0" t="s">
        <v>5260</v>
      </c>
    </row>
    <row r="1162" customFormat="false" ht="12.8" hidden="false" customHeight="false" outlineLevel="0" collapsed="false">
      <c r="A1162" s="0" t="s">
        <v>7739</v>
      </c>
      <c r="B1162" s="0" t="s">
        <v>7740</v>
      </c>
      <c r="C1162" s="0" t="s">
        <v>363</v>
      </c>
      <c r="D1162" s="0" t="s">
        <v>5023</v>
      </c>
      <c r="E1162" s="0" t="s">
        <v>5024</v>
      </c>
      <c r="F1162" s="0" t="s">
        <v>5024</v>
      </c>
      <c r="G1162" s="0" t="s">
        <v>4100</v>
      </c>
      <c r="H1162" s="0" t="s">
        <v>4521</v>
      </c>
      <c r="I1162" s="0" t="s">
        <v>7733</v>
      </c>
      <c r="J1162" s="0" t="s">
        <v>7734</v>
      </c>
      <c r="K1162" s="0" t="s">
        <v>5260</v>
      </c>
    </row>
    <row r="1163" customFormat="false" ht="12.8" hidden="false" customHeight="false" outlineLevel="0" collapsed="false">
      <c r="A1163" s="0" t="s">
        <v>7741</v>
      </c>
      <c r="B1163" s="0" t="s">
        <v>7742</v>
      </c>
      <c r="C1163" s="0" t="s">
        <v>363</v>
      </c>
      <c r="D1163" s="0" t="s">
        <v>5023</v>
      </c>
      <c r="E1163" s="0" t="s">
        <v>5024</v>
      </c>
      <c r="F1163" s="0" t="s">
        <v>5024</v>
      </c>
      <c r="G1163" s="0" t="s">
        <v>4100</v>
      </c>
      <c r="H1163" s="0" t="s">
        <v>4521</v>
      </c>
      <c r="I1163" s="0" t="s">
        <v>7733</v>
      </c>
      <c r="J1163" s="0" t="s">
        <v>7734</v>
      </c>
      <c r="K1163" s="0" t="s">
        <v>5260</v>
      </c>
    </row>
    <row r="1164" customFormat="false" ht="12.8" hidden="false" customHeight="false" outlineLevel="0" collapsed="false">
      <c r="A1164" s="0" t="s">
        <v>4895</v>
      </c>
      <c r="B1164" s="0" t="s">
        <v>7743</v>
      </c>
      <c r="C1164" s="0" t="s">
        <v>363</v>
      </c>
      <c r="D1164" s="0" t="s">
        <v>5023</v>
      </c>
      <c r="E1164" s="0" t="s">
        <v>5024</v>
      </c>
      <c r="F1164" s="0" t="s">
        <v>5024</v>
      </c>
      <c r="G1164" s="0" t="s">
        <v>4100</v>
      </c>
      <c r="H1164" s="0" t="s">
        <v>4521</v>
      </c>
      <c r="I1164" s="0" t="s">
        <v>7733</v>
      </c>
      <c r="J1164" s="0" t="s">
        <v>7734</v>
      </c>
      <c r="K1164" s="0" t="s">
        <v>5260</v>
      </c>
    </row>
    <row r="1165" customFormat="false" ht="12.8" hidden="false" customHeight="false" outlineLevel="0" collapsed="false">
      <c r="A1165" s="0" t="s">
        <v>4898</v>
      </c>
      <c r="B1165" s="0" t="s">
        <v>7744</v>
      </c>
      <c r="C1165" s="0" t="s">
        <v>376</v>
      </c>
      <c r="D1165" s="0" t="s">
        <v>5061</v>
      </c>
      <c r="E1165" s="0" t="s">
        <v>5062</v>
      </c>
      <c r="F1165" s="0" t="s">
        <v>5062</v>
      </c>
      <c r="G1165" s="0" t="s">
        <v>4100</v>
      </c>
      <c r="H1165" s="0" t="s">
        <v>4521</v>
      </c>
      <c r="I1165" s="0" t="s">
        <v>7745</v>
      </c>
      <c r="J1165" s="0" t="s">
        <v>7746</v>
      </c>
      <c r="K1165" s="0" t="s">
        <v>5260</v>
      </c>
    </row>
    <row r="1166" customFormat="false" ht="12.8" hidden="false" customHeight="false" outlineLevel="0" collapsed="false">
      <c r="A1166" s="0" t="s">
        <v>4900</v>
      </c>
      <c r="B1166" s="0" t="s">
        <v>7747</v>
      </c>
      <c r="C1166" s="0" t="s">
        <v>376</v>
      </c>
      <c r="D1166" s="0" t="s">
        <v>5023</v>
      </c>
      <c r="E1166" s="0" t="s">
        <v>5024</v>
      </c>
      <c r="F1166" s="0" t="s">
        <v>5024</v>
      </c>
      <c r="G1166" s="0" t="s">
        <v>4100</v>
      </c>
      <c r="H1166" s="0" t="s">
        <v>4521</v>
      </c>
      <c r="I1166" s="0" t="s">
        <v>7745</v>
      </c>
      <c r="J1166" s="0" t="s">
        <v>7746</v>
      </c>
      <c r="K1166" s="0" t="s">
        <v>5260</v>
      </c>
    </row>
    <row r="1167" customFormat="false" ht="12.8" hidden="false" customHeight="false" outlineLevel="0" collapsed="false">
      <c r="A1167" s="0" t="s">
        <v>4902</v>
      </c>
      <c r="B1167" s="0" t="s">
        <v>7748</v>
      </c>
      <c r="C1167" s="0" t="s">
        <v>376</v>
      </c>
      <c r="D1167" s="0" t="s">
        <v>5023</v>
      </c>
      <c r="E1167" s="0" t="s">
        <v>5024</v>
      </c>
      <c r="F1167" s="0" t="s">
        <v>5024</v>
      </c>
      <c r="G1167" s="0" t="s">
        <v>4100</v>
      </c>
      <c r="H1167" s="0" t="s">
        <v>4521</v>
      </c>
      <c r="I1167" s="0" t="s">
        <v>7745</v>
      </c>
      <c r="J1167" s="0" t="s">
        <v>7746</v>
      </c>
      <c r="K1167" s="0" t="s">
        <v>5260</v>
      </c>
    </row>
    <row r="1168" customFormat="false" ht="12.8" hidden="false" customHeight="false" outlineLevel="0" collapsed="false">
      <c r="A1168" s="0" t="s">
        <v>7749</v>
      </c>
      <c r="B1168" s="0" t="s">
        <v>7750</v>
      </c>
      <c r="C1168" s="0" t="s">
        <v>376</v>
      </c>
      <c r="D1168" s="0" t="s">
        <v>5023</v>
      </c>
      <c r="E1168" s="0" t="s">
        <v>5024</v>
      </c>
      <c r="F1168" s="0" t="s">
        <v>5024</v>
      </c>
      <c r="G1168" s="0" t="s">
        <v>4100</v>
      </c>
      <c r="H1168" s="0" t="s">
        <v>4521</v>
      </c>
      <c r="I1168" s="0" t="s">
        <v>7745</v>
      </c>
      <c r="J1168" s="0" t="s">
        <v>7746</v>
      </c>
      <c r="K1168" s="0" t="s">
        <v>5260</v>
      </c>
    </row>
    <row r="1169" customFormat="false" ht="12.8" hidden="false" customHeight="false" outlineLevel="0" collapsed="false">
      <c r="A1169" s="0" t="s">
        <v>7751</v>
      </c>
      <c r="B1169" s="0" t="s">
        <v>7752</v>
      </c>
      <c r="C1169" s="0" t="s">
        <v>376</v>
      </c>
      <c r="D1169" s="0" t="s">
        <v>5023</v>
      </c>
      <c r="E1169" s="0" t="s">
        <v>5024</v>
      </c>
      <c r="F1169" s="0" t="s">
        <v>5024</v>
      </c>
      <c r="G1169" s="0" t="s">
        <v>4100</v>
      </c>
      <c r="H1169" s="0" t="s">
        <v>4521</v>
      </c>
      <c r="I1169" s="0" t="s">
        <v>7745</v>
      </c>
      <c r="J1169" s="0" t="s">
        <v>7746</v>
      </c>
      <c r="K1169" s="0" t="s">
        <v>5260</v>
      </c>
    </row>
    <row r="1170" customFormat="false" ht="12.8" hidden="false" customHeight="false" outlineLevel="0" collapsed="false">
      <c r="A1170" s="0" t="s">
        <v>7753</v>
      </c>
      <c r="B1170" s="0" t="s">
        <v>7754</v>
      </c>
      <c r="C1170" s="0" t="s">
        <v>376</v>
      </c>
      <c r="D1170" s="0" t="s">
        <v>5023</v>
      </c>
      <c r="E1170" s="0" t="s">
        <v>5024</v>
      </c>
      <c r="F1170" s="0" t="s">
        <v>5024</v>
      </c>
      <c r="G1170" s="0" t="s">
        <v>4100</v>
      </c>
      <c r="H1170" s="0" t="s">
        <v>4521</v>
      </c>
      <c r="I1170" s="0" t="s">
        <v>7745</v>
      </c>
      <c r="J1170" s="0" t="s">
        <v>7746</v>
      </c>
      <c r="K1170" s="0" t="s">
        <v>5260</v>
      </c>
    </row>
    <row r="1171" customFormat="false" ht="12.8" hidden="false" customHeight="false" outlineLevel="0" collapsed="false">
      <c r="A1171" s="0" t="s">
        <v>7755</v>
      </c>
      <c r="B1171" s="0" t="s">
        <v>7756</v>
      </c>
      <c r="C1171" s="0" t="s">
        <v>376</v>
      </c>
      <c r="D1171" s="0" t="s">
        <v>5057</v>
      </c>
      <c r="E1171" s="0" t="s">
        <v>5058</v>
      </c>
      <c r="F1171" s="0" t="s">
        <v>5058</v>
      </c>
      <c r="G1171" s="0" t="s">
        <v>4100</v>
      </c>
      <c r="H1171" s="0" t="s">
        <v>4521</v>
      </c>
      <c r="I1171" s="0" t="s">
        <v>7745</v>
      </c>
      <c r="J1171" s="0" t="s">
        <v>7746</v>
      </c>
      <c r="K1171" s="0" t="s">
        <v>5260</v>
      </c>
    </row>
    <row r="1172" customFormat="false" ht="12.8" hidden="false" customHeight="false" outlineLevel="0" collapsed="false">
      <c r="A1172" s="0" t="s">
        <v>7757</v>
      </c>
      <c r="B1172" s="0" t="s">
        <v>7758</v>
      </c>
      <c r="C1172" s="0" t="s">
        <v>377</v>
      </c>
      <c r="D1172" s="0" t="s">
        <v>5057</v>
      </c>
      <c r="E1172" s="0" t="s">
        <v>5058</v>
      </c>
      <c r="F1172" s="0" t="s">
        <v>5058</v>
      </c>
      <c r="G1172" s="0" t="s">
        <v>4100</v>
      </c>
      <c r="H1172" s="0" t="s">
        <v>4521</v>
      </c>
      <c r="I1172" s="0" t="s">
        <v>7759</v>
      </c>
      <c r="J1172" s="0" t="s">
        <v>7760</v>
      </c>
      <c r="K1172" s="0" t="s">
        <v>5291</v>
      </c>
    </row>
    <row r="1173" customFormat="false" ht="12.8" hidden="false" customHeight="false" outlineLevel="0" collapsed="false">
      <c r="A1173" s="0" t="s">
        <v>7761</v>
      </c>
      <c r="B1173" s="0" t="s">
        <v>7762</v>
      </c>
      <c r="C1173" s="0" t="s">
        <v>377</v>
      </c>
      <c r="D1173" s="0" t="s">
        <v>5061</v>
      </c>
      <c r="E1173" s="0" t="s">
        <v>5062</v>
      </c>
      <c r="F1173" s="0" t="s">
        <v>5062</v>
      </c>
      <c r="G1173" s="0" t="s">
        <v>4100</v>
      </c>
      <c r="H1173" s="0" t="s">
        <v>4521</v>
      </c>
      <c r="I1173" s="0" t="s">
        <v>7759</v>
      </c>
      <c r="J1173" s="0" t="s">
        <v>7760</v>
      </c>
      <c r="K1173" s="0" t="s">
        <v>5291</v>
      </c>
    </row>
    <row r="1174" customFormat="false" ht="12.8" hidden="false" customHeight="false" outlineLevel="0" collapsed="false">
      <c r="A1174" s="0" t="s">
        <v>7763</v>
      </c>
      <c r="B1174" s="0" t="s">
        <v>7764</v>
      </c>
      <c r="C1174" s="0" t="s">
        <v>377</v>
      </c>
      <c r="D1174" s="0" t="s">
        <v>5023</v>
      </c>
      <c r="E1174" s="0" t="s">
        <v>5024</v>
      </c>
      <c r="F1174" s="0" t="s">
        <v>5024</v>
      </c>
      <c r="G1174" s="0" t="s">
        <v>4100</v>
      </c>
      <c r="H1174" s="0" t="s">
        <v>4521</v>
      </c>
      <c r="I1174" s="0" t="s">
        <v>7759</v>
      </c>
      <c r="J1174" s="0" t="s">
        <v>7760</v>
      </c>
      <c r="K1174" s="0" t="s">
        <v>5291</v>
      </c>
    </row>
    <row r="1175" customFormat="false" ht="12.8" hidden="false" customHeight="false" outlineLevel="0" collapsed="false">
      <c r="A1175" s="0" t="s">
        <v>7765</v>
      </c>
      <c r="B1175" s="0" t="s">
        <v>7766</v>
      </c>
      <c r="C1175" s="0" t="s">
        <v>377</v>
      </c>
      <c r="D1175" s="0" t="s">
        <v>5023</v>
      </c>
      <c r="E1175" s="0" t="s">
        <v>5024</v>
      </c>
      <c r="F1175" s="0" t="s">
        <v>5024</v>
      </c>
      <c r="G1175" s="0" t="s">
        <v>4100</v>
      </c>
      <c r="H1175" s="0" t="s">
        <v>4521</v>
      </c>
      <c r="I1175" s="0" t="s">
        <v>7759</v>
      </c>
      <c r="J1175" s="0" t="s">
        <v>7760</v>
      </c>
      <c r="K1175" s="0" t="s">
        <v>5291</v>
      </c>
    </row>
    <row r="1176" customFormat="false" ht="12.8" hidden="false" customHeight="false" outlineLevel="0" collapsed="false">
      <c r="A1176" s="0" t="s">
        <v>7767</v>
      </c>
      <c r="B1176" s="0" t="s">
        <v>7768</v>
      </c>
      <c r="C1176" s="0" t="s">
        <v>377</v>
      </c>
      <c r="D1176" s="0" t="s">
        <v>5023</v>
      </c>
      <c r="E1176" s="0" t="s">
        <v>5024</v>
      </c>
      <c r="F1176" s="0" t="s">
        <v>5024</v>
      </c>
      <c r="G1176" s="0" t="s">
        <v>4100</v>
      </c>
      <c r="H1176" s="0" t="s">
        <v>4521</v>
      </c>
      <c r="I1176" s="0" t="s">
        <v>7759</v>
      </c>
      <c r="J1176" s="0" t="s">
        <v>7760</v>
      </c>
      <c r="K1176" s="0" t="s">
        <v>5291</v>
      </c>
    </row>
    <row r="1177" customFormat="false" ht="12.8" hidden="false" customHeight="false" outlineLevel="0" collapsed="false">
      <c r="A1177" s="0" t="s">
        <v>7769</v>
      </c>
      <c r="B1177" s="0" t="s">
        <v>7770</v>
      </c>
      <c r="C1177" s="0" t="s">
        <v>377</v>
      </c>
      <c r="D1177" s="0" t="s">
        <v>5023</v>
      </c>
      <c r="E1177" s="0" t="s">
        <v>5024</v>
      </c>
      <c r="F1177" s="0" t="s">
        <v>5024</v>
      </c>
      <c r="G1177" s="0" t="s">
        <v>4100</v>
      </c>
      <c r="H1177" s="0" t="s">
        <v>4521</v>
      </c>
      <c r="I1177" s="0" t="s">
        <v>7759</v>
      </c>
      <c r="J1177" s="0" t="s">
        <v>7760</v>
      </c>
      <c r="K1177" s="0" t="s">
        <v>5291</v>
      </c>
    </row>
    <row r="1178" customFormat="false" ht="12.8" hidden="false" customHeight="false" outlineLevel="0" collapsed="false">
      <c r="A1178" s="0" t="s">
        <v>7771</v>
      </c>
      <c r="B1178" s="0" t="s">
        <v>7772</v>
      </c>
      <c r="C1178" s="0" t="s">
        <v>85</v>
      </c>
      <c r="D1178" s="0" t="s">
        <v>5061</v>
      </c>
      <c r="E1178" s="0" t="s">
        <v>5062</v>
      </c>
      <c r="F1178" s="0" t="s">
        <v>5062</v>
      </c>
      <c r="G1178" s="0" t="s">
        <v>4100</v>
      </c>
      <c r="H1178" s="0" t="s">
        <v>7773</v>
      </c>
      <c r="I1178" s="0" t="s">
        <v>7774</v>
      </c>
      <c r="J1178" s="0" t="s">
        <v>7775</v>
      </c>
      <c r="K1178" s="0" t="s">
        <v>5260</v>
      </c>
    </row>
    <row r="1179" customFormat="false" ht="12.8" hidden="false" customHeight="false" outlineLevel="0" collapsed="false">
      <c r="A1179" s="0" t="s">
        <v>7776</v>
      </c>
      <c r="B1179" s="0" t="s">
        <v>7777</v>
      </c>
      <c r="C1179" s="0" t="s">
        <v>85</v>
      </c>
      <c r="D1179" s="0" t="s">
        <v>5057</v>
      </c>
      <c r="E1179" s="0" t="s">
        <v>5058</v>
      </c>
      <c r="F1179" s="0" t="s">
        <v>5058</v>
      </c>
      <c r="G1179" s="0" t="s">
        <v>4100</v>
      </c>
      <c r="H1179" s="0" t="s">
        <v>7773</v>
      </c>
      <c r="I1179" s="0" t="s">
        <v>7774</v>
      </c>
      <c r="J1179" s="0" t="s">
        <v>7775</v>
      </c>
      <c r="K1179" s="0" t="s">
        <v>5260</v>
      </c>
    </row>
    <row r="1180" customFormat="false" ht="12.8" hidden="false" customHeight="false" outlineLevel="0" collapsed="false">
      <c r="A1180" s="0" t="s">
        <v>7778</v>
      </c>
      <c r="B1180" s="0" t="s">
        <v>7779</v>
      </c>
      <c r="C1180" s="0" t="s">
        <v>85</v>
      </c>
      <c r="D1180" s="0" t="s">
        <v>5023</v>
      </c>
      <c r="E1180" s="0" t="s">
        <v>5024</v>
      </c>
      <c r="F1180" s="0" t="s">
        <v>5024</v>
      </c>
      <c r="G1180" s="0" t="s">
        <v>4100</v>
      </c>
      <c r="H1180" s="0" t="s">
        <v>7773</v>
      </c>
      <c r="I1180" s="0" t="s">
        <v>7774</v>
      </c>
      <c r="J1180" s="0" t="s">
        <v>7775</v>
      </c>
      <c r="K1180" s="0" t="s">
        <v>5260</v>
      </c>
    </row>
    <row r="1181" customFormat="false" ht="12.8" hidden="false" customHeight="false" outlineLevel="0" collapsed="false">
      <c r="A1181" s="0" t="s">
        <v>7780</v>
      </c>
      <c r="B1181" s="0" t="s">
        <v>7781</v>
      </c>
      <c r="C1181" s="0" t="s">
        <v>85</v>
      </c>
      <c r="D1181" s="0" t="s">
        <v>5023</v>
      </c>
      <c r="E1181" s="0" t="s">
        <v>5024</v>
      </c>
      <c r="F1181" s="0" t="s">
        <v>5024</v>
      </c>
      <c r="G1181" s="0" t="s">
        <v>4100</v>
      </c>
      <c r="H1181" s="0" t="s">
        <v>7773</v>
      </c>
      <c r="I1181" s="0" t="s">
        <v>7774</v>
      </c>
      <c r="J1181" s="0" t="s">
        <v>7775</v>
      </c>
      <c r="K1181" s="0" t="s">
        <v>5260</v>
      </c>
    </row>
    <row r="1182" customFormat="false" ht="12.8" hidden="false" customHeight="false" outlineLevel="0" collapsed="false">
      <c r="A1182" s="0" t="s">
        <v>7782</v>
      </c>
      <c r="B1182" s="0" t="s">
        <v>7783</v>
      </c>
      <c r="C1182" s="0" t="s">
        <v>85</v>
      </c>
      <c r="D1182" s="0" t="s">
        <v>5023</v>
      </c>
      <c r="E1182" s="0" t="s">
        <v>5024</v>
      </c>
      <c r="F1182" s="0" t="s">
        <v>5024</v>
      </c>
      <c r="G1182" s="0" t="s">
        <v>4100</v>
      </c>
      <c r="H1182" s="0" t="s">
        <v>7773</v>
      </c>
      <c r="I1182" s="0" t="s">
        <v>7774</v>
      </c>
      <c r="J1182" s="0" t="s">
        <v>7775</v>
      </c>
      <c r="K1182" s="0" t="s">
        <v>5260</v>
      </c>
    </row>
    <row r="1183" customFormat="false" ht="12.8" hidden="false" customHeight="false" outlineLevel="0" collapsed="false">
      <c r="A1183" s="0" t="s">
        <v>7784</v>
      </c>
      <c r="B1183" s="0" t="s">
        <v>7785</v>
      </c>
      <c r="C1183" s="0" t="s">
        <v>85</v>
      </c>
      <c r="D1183" s="0" t="s">
        <v>5023</v>
      </c>
      <c r="E1183" s="0" t="s">
        <v>5024</v>
      </c>
      <c r="F1183" s="0" t="s">
        <v>5024</v>
      </c>
      <c r="G1183" s="0" t="s">
        <v>4100</v>
      </c>
      <c r="H1183" s="0" t="s">
        <v>7773</v>
      </c>
      <c r="I1183" s="0" t="s">
        <v>7774</v>
      </c>
      <c r="J1183" s="0" t="s">
        <v>7775</v>
      </c>
      <c r="K1183" s="0" t="s">
        <v>5260</v>
      </c>
    </row>
    <row r="1184" customFormat="false" ht="12.8" hidden="false" customHeight="false" outlineLevel="0" collapsed="false">
      <c r="A1184" s="0" t="s">
        <v>7786</v>
      </c>
      <c r="B1184" s="0" t="s">
        <v>7787</v>
      </c>
      <c r="C1184" s="0" t="s">
        <v>85</v>
      </c>
      <c r="D1184" s="0" t="s">
        <v>5023</v>
      </c>
      <c r="E1184" s="0" t="s">
        <v>5024</v>
      </c>
      <c r="F1184" s="0" t="s">
        <v>5024</v>
      </c>
      <c r="G1184" s="0" t="s">
        <v>4100</v>
      </c>
      <c r="H1184" s="0" t="s">
        <v>7773</v>
      </c>
      <c r="I1184" s="0" t="s">
        <v>7774</v>
      </c>
      <c r="J1184" s="0" t="s">
        <v>7775</v>
      </c>
      <c r="K1184" s="0" t="s">
        <v>5260</v>
      </c>
    </row>
    <row r="1185" customFormat="false" ht="12.8" hidden="false" customHeight="false" outlineLevel="0" collapsed="false">
      <c r="A1185" s="0" t="s">
        <v>7788</v>
      </c>
      <c r="B1185" s="0" t="s">
        <v>7789</v>
      </c>
      <c r="C1185" s="0" t="s">
        <v>85</v>
      </c>
      <c r="D1185" s="0" t="s">
        <v>5023</v>
      </c>
      <c r="E1185" s="0" t="s">
        <v>5024</v>
      </c>
      <c r="F1185" s="0" t="s">
        <v>5024</v>
      </c>
      <c r="G1185" s="0" t="s">
        <v>4100</v>
      </c>
      <c r="H1185" s="0" t="s">
        <v>7773</v>
      </c>
      <c r="I1185" s="0" t="s">
        <v>7774</v>
      </c>
      <c r="J1185" s="0" t="s">
        <v>7775</v>
      </c>
      <c r="K1185" s="0" t="s">
        <v>5260</v>
      </c>
    </row>
    <row r="1186" customFormat="false" ht="12.8" hidden="false" customHeight="false" outlineLevel="0" collapsed="false">
      <c r="A1186" s="0" t="s">
        <v>7790</v>
      </c>
      <c r="B1186" s="0" t="s">
        <v>7791</v>
      </c>
      <c r="C1186" s="0" t="s">
        <v>85</v>
      </c>
      <c r="D1186" s="0" t="s">
        <v>5023</v>
      </c>
      <c r="E1186" s="0" t="s">
        <v>5024</v>
      </c>
      <c r="F1186" s="0" t="s">
        <v>5024</v>
      </c>
      <c r="G1186" s="0" t="s">
        <v>4100</v>
      </c>
      <c r="H1186" s="0" t="s">
        <v>7773</v>
      </c>
      <c r="I1186" s="0" t="s">
        <v>7774</v>
      </c>
      <c r="J1186" s="0" t="s">
        <v>7775</v>
      </c>
      <c r="K1186" s="0" t="s">
        <v>5260</v>
      </c>
    </row>
    <row r="1187" customFormat="false" ht="12.8" hidden="false" customHeight="false" outlineLevel="0" collapsed="false">
      <c r="A1187" s="0" t="s">
        <v>7792</v>
      </c>
      <c r="B1187" s="0" t="s">
        <v>7793</v>
      </c>
      <c r="C1187" s="0" t="s">
        <v>85</v>
      </c>
      <c r="D1187" s="0" t="s">
        <v>5023</v>
      </c>
      <c r="E1187" s="0" t="s">
        <v>5024</v>
      </c>
      <c r="F1187" s="0" t="s">
        <v>5024</v>
      </c>
      <c r="G1187" s="0" t="s">
        <v>4100</v>
      </c>
      <c r="H1187" s="0" t="s">
        <v>7773</v>
      </c>
      <c r="I1187" s="0" t="s">
        <v>7774</v>
      </c>
      <c r="J1187" s="0" t="s">
        <v>7775</v>
      </c>
      <c r="K1187" s="0" t="s">
        <v>5260</v>
      </c>
    </row>
    <row r="1188" customFormat="false" ht="12.8" hidden="false" customHeight="false" outlineLevel="0" collapsed="false">
      <c r="A1188" s="0" t="s">
        <v>7794</v>
      </c>
      <c r="B1188" s="0" t="s">
        <v>7795</v>
      </c>
      <c r="C1188" s="0" t="s">
        <v>203</v>
      </c>
      <c r="D1188" s="0" t="s">
        <v>5057</v>
      </c>
      <c r="E1188" s="0" t="s">
        <v>5058</v>
      </c>
      <c r="F1188" s="0" t="s">
        <v>5058</v>
      </c>
      <c r="G1188" s="0" t="s">
        <v>4100</v>
      </c>
      <c r="H1188" s="0" t="s">
        <v>4101</v>
      </c>
      <c r="I1188" s="0" t="s">
        <v>7796</v>
      </c>
      <c r="J1188" s="0" t="s">
        <v>7797</v>
      </c>
      <c r="K1188" s="0" t="s">
        <v>5260</v>
      </c>
    </row>
    <row r="1189" customFormat="false" ht="12.8" hidden="false" customHeight="false" outlineLevel="0" collapsed="false">
      <c r="A1189" s="0" t="s">
        <v>7798</v>
      </c>
      <c r="B1189" s="0" t="s">
        <v>7799</v>
      </c>
      <c r="C1189" s="0" t="s">
        <v>203</v>
      </c>
      <c r="D1189" s="0" t="s">
        <v>5023</v>
      </c>
      <c r="E1189" s="0" t="s">
        <v>5024</v>
      </c>
      <c r="F1189" s="0" t="s">
        <v>5024</v>
      </c>
      <c r="G1189" s="0" t="s">
        <v>4100</v>
      </c>
      <c r="H1189" s="0" t="s">
        <v>4101</v>
      </c>
      <c r="I1189" s="0" t="s">
        <v>7796</v>
      </c>
      <c r="J1189" s="0" t="s">
        <v>7797</v>
      </c>
      <c r="K1189" s="0" t="s">
        <v>5260</v>
      </c>
    </row>
    <row r="1190" customFormat="false" ht="12.8" hidden="false" customHeight="false" outlineLevel="0" collapsed="false">
      <c r="A1190" s="0" t="s">
        <v>7800</v>
      </c>
      <c r="B1190" s="0" t="s">
        <v>7801</v>
      </c>
      <c r="C1190" s="0" t="s">
        <v>203</v>
      </c>
      <c r="D1190" s="0" t="s">
        <v>5023</v>
      </c>
      <c r="E1190" s="0" t="s">
        <v>5024</v>
      </c>
      <c r="F1190" s="0" t="s">
        <v>5024</v>
      </c>
      <c r="G1190" s="0" t="s">
        <v>4100</v>
      </c>
      <c r="H1190" s="0" t="s">
        <v>4101</v>
      </c>
      <c r="I1190" s="0" t="s">
        <v>7796</v>
      </c>
      <c r="J1190" s="0" t="s">
        <v>7797</v>
      </c>
      <c r="K1190" s="0" t="s">
        <v>5260</v>
      </c>
    </row>
    <row r="1191" customFormat="false" ht="12.8" hidden="false" customHeight="false" outlineLevel="0" collapsed="false">
      <c r="A1191" s="0" t="s">
        <v>7802</v>
      </c>
      <c r="B1191" s="0" t="s">
        <v>7803</v>
      </c>
      <c r="C1191" s="0" t="s">
        <v>203</v>
      </c>
      <c r="D1191" s="0" t="s">
        <v>5023</v>
      </c>
      <c r="E1191" s="0" t="s">
        <v>5024</v>
      </c>
      <c r="F1191" s="0" t="s">
        <v>5024</v>
      </c>
      <c r="G1191" s="0" t="s">
        <v>4100</v>
      </c>
      <c r="H1191" s="0" t="s">
        <v>4101</v>
      </c>
      <c r="I1191" s="0" t="s">
        <v>7796</v>
      </c>
      <c r="J1191" s="0" t="s">
        <v>7797</v>
      </c>
      <c r="K1191" s="0" t="s">
        <v>5260</v>
      </c>
    </row>
    <row r="1192" customFormat="false" ht="12.8" hidden="false" customHeight="false" outlineLevel="0" collapsed="false">
      <c r="A1192" s="0" t="s">
        <v>7804</v>
      </c>
      <c r="B1192" s="0" t="s">
        <v>7805</v>
      </c>
      <c r="C1192" s="0" t="s">
        <v>203</v>
      </c>
      <c r="D1192" s="0" t="s">
        <v>5023</v>
      </c>
      <c r="E1192" s="0" t="s">
        <v>5024</v>
      </c>
      <c r="F1192" s="0" t="s">
        <v>5024</v>
      </c>
      <c r="G1192" s="0" t="s">
        <v>4100</v>
      </c>
      <c r="H1192" s="0" t="s">
        <v>4101</v>
      </c>
      <c r="I1192" s="0" t="s">
        <v>7796</v>
      </c>
      <c r="J1192" s="0" t="s">
        <v>7797</v>
      </c>
      <c r="K1192" s="0" t="s">
        <v>5260</v>
      </c>
    </row>
    <row r="1193" customFormat="false" ht="12.8" hidden="false" customHeight="false" outlineLevel="0" collapsed="false">
      <c r="A1193" s="0" t="s">
        <v>7806</v>
      </c>
      <c r="B1193" s="0" t="s">
        <v>7807</v>
      </c>
      <c r="C1193" s="0" t="s">
        <v>203</v>
      </c>
      <c r="D1193" s="0" t="s">
        <v>5061</v>
      </c>
      <c r="E1193" s="0" t="s">
        <v>5062</v>
      </c>
      <c r="F1193" s="0" t="s">
        <v>5062</v>
      </c>
      <c r="G1193" s="0" t="s">
        <v>4100</v>
      </c>
      <c r="H1193" s="0" t="s">
        <v>4101</v>
      </c>
      <c r="I1193" s="0" t="s">
        <v>7796</v>
      </c>
      <c r="J1193" s="0" t="s">
        <v>7797</v>
      </c>
      <c r="K1193" s="0" t="s">
        <v>5260</v>
      </c>
    </row>
    <row r="1194" customFormat="false" ht="12.8" hidden="false" customHeight="false" outlineLevel="0" collapsed="false">
      <c r="A1194" s="0" t="s">
        <v>7808</v>
      </c>
      <c r="B1194" s="0" t="s">
        <v>7809</v>
      </c>
      <c r="C1194" s="0" t="s">
        <v>203</v>
      </c>
      <c r="D1194" s="0" t="s">
        <v>5023</v>
      </c>
      <c r="E1194" s="0" t="s">
        <v>5024</v>
      </c>
      <c r="F1194" s="0" t="s">
        <v>5024</v>
      </c>
      <c r="G1194" s="0" t="s">
        <v>4100</v>
      </c>
      <c r="H1194" s="0" t="s">
        <v>4101</v>
      </c>
      <c r="I1194" s="0" t="s">
        <v>7796</v>
      </c>
      <c r="J1194" s="0" t="s">
        <v>7797</v>
      </c>
      <c r="K1194" s="0" t="s">
        <v>5260</v>
      </c>
    </row>
    <row r="1195" customFormat="false" ht="12.8" hidden="false" customHeight="false" outlineLevel="0" collapsed="false">
      <c r="A1195" s="0" t="s">
        <v>7810</v>
      </c>
      <c r="B1195" s="0" t="s">
        <v>7811</v>
      </c>
      <c r="C1195" s="0" t="s">
        <v>203</v>
      </c>
      <c r="D1195" s="0" t="s">
        <v>5023</v>
      </c>
      <c r="E1195" s="0" t="s">
        <v>5024</v>
      </c>
      <c r="F1195" s="0" t="s">
        <v>5024</v>
      </c>
      <c r="G1195" s="0" t="s">
        <v>4100</v>
      </c>
      <c r="H1195" s="0" t="s">
        <v>4101</v>
      </c>
      <c r="I1195" s="0" t="s">
        <v>7796</v>
      </c>
      <c r="J1195" s="0" t="s">
        <v>7797</v>
      </c>
      <c r="K1195" s="0" t="s">
        <v>5260</v>
      </c>
    </row>
    <row r="1196" customFormat="false" ht="12.8" hidden="false" customHeight="false" outlineLevel="0" collapsed="false">
      <c r="A1196" s="0" t="s">
        <v>7812</v>
      </c>
      <c r="B1196" s="0" t="s">
        <v>7813</v>
      </c>
      <c r="C1196" s="0" t="s">
        <v>249</v>
      </c>
      <c r="D1196" s="0" t="s">
        <v>5061</v>
      </c>
      <c r="E1196" s="0" t="s">
        <v>5062</v>
      </c>
      <c r="F1196" s="0" t="s">
        <v>5062</v>
      </c>
      <c r="G1196" s="0" t="s">
        <v>4100</v>
      </c>
      <c r="H1196" s="0" t="s">
        <v>4691</v>
      </c>
      <c r="I1196" s="0" t="s">
        <v>7814</v>
      </c>
      <c r="J1196" s="0" t="s">
        <v>7815</v>
      </c>
      <c r="K1196" s="444" t="s">
        <v>7816</v>
      </c>
    </row>
    <row r="1197" customFormat="false" ht="12.8" hidden="false" customHeight="false" outlineLevel="0" collapsed="false">
      <c r="A1197" s="0" t="s">
        <v>7817</v>
      </c>
      <c r="B1197" s="0" t="s">
        <v>7818</v>
      </c>
      <c r="C1197" s="0" t="s">
        <v>249</v>
      </c>
      <c r="D1197" s="0" t="s">
        <v>5023</v>
      </c>
      <c r="E1197" s="0" t="s">
        <v>5024</v>
      </c>
      <c r="F1197" s="0" t="s">
        <v>5024</v>
      </c>
      <c r="G1197" s="0" t="s">
        <v>4100</v>
      </c>
      <c r="H1197" s="0" t="s">
        <v>4691</v>
      </c>
      <c r="I1197" s="0" t="s">
        <v>7814</v>
      </c>
      <c r="J1197" s="0" t="s">
        <v>7815</v>
      </c>
      <c r="K1197" s="444" t="s">
        <v>7816</v>
      </c>
    </row>
    <row r="1198" customFormat="false" ht="12.8" hidden="false" customHeight="false" outlineLevel="0" collapsed="false">
      <c r="A1198" s="0" t="s">
        <v>7819</v>
      </c>
      <c r="B1198" s="0" t="s">
        <v>7820</v>
      </c>
      <c r="C1198" s="0" t="s">
        <v>249</v>
      </c>
      <c r="D1198" s="0" t="s">
        <v>5023</v>
      </c>
      <c r="E1198" s="0" t="s">
        <v>5024</v>
      </c>
      <c r="F1198" s="0" t="s">
        <v>5024</v>
      </c>
      <c r="G1198" s="0" t="s">
        <v>4100</v>
      </c>
      <c r="H1198" s="0" t="s">
        <v>4691</v>
      </c>
      <c r="I1198" s="0" t="s">
        <v>7814</v>
      </c>
      <c r="J1198" s="0" t="s">
        <v>7815</v>
      </c>
      <c r="K1198" s="444" t="s">
        <v>7816</v>
      </c>
    </row>
    <row r="1199" customFormat="false" ht="12.8" hidden="false" customHeight="false" outlineLevel="0" collapsed="false">
      <c r="A1199" s="0" t="s">
        <v>7821</v>
      </c>
      <c r="B1199" s="0" t="s">
        <v>7822</v>
      </c>
      <c r="C1199" s="0" t="s">
        <v>249</v>
      </c>
      <c r="D1199" s="0" t="s">
        <v>5023</v>
      </c>
      <c r="E1199" s="0" t="s">
        <v>5024</v>
      </c>
      <c r="F1199" s="0" t="s">
        <v>5024</v>
      </c>
      <c r="G1199" s="0" t="s">
        <v>4100</v>
      </c>
      <c r="H1199" s="0" t="s">
        <v>4691</v>
      </c>
      <c r="I1199" s="0" t="s">
        <v>7814</v>
      </c>
      <c r="J1199" s="0" t="s">
        <v>7815</v>
      </c>
      <c r="K1199" s="444" t="s">
        <v>7816</v>
      </c>
    </row>
    <row r="1200" customFormat="false" ht="12.8" hidden="false" customHeight="false" outlineLevel="0" collapsed="false">
      <c r="A1200" s="0" t="s">
        <v>7823</v>
      </c>
      <c r="B1200" s="0" t="s">
        <v>7824</v>
      </c>
      <c r="C1200" s="0" t="s">
        <v>249</v>
      </c>
      <c r="D1200" s="0" t="s">
        <v>5023</v>
      </c>
      <c r="E1200" s="0" t="s">
        <v>5024</v>
      </c>
      <c r="F1200" s="0" t="s">
        <v>5024</v>
      </c>
      <c r="G1200" s="0" t="s">
        <v>4100</v>
      </c>
      <c r="H1200" s="0" t="s">
        <v>4691</v>
      </c>
      <c r="I1200" s="0" t="s">
        <v>7814</v>
      </c>
      <c r="J1200" s="0" t="s">
        <v>7815</v>
      </c>
      <c r="K1200" s="444" t="s">
        <v>7816</v>
      </c>
    </row>
    <row r="1201" customFormat="false" ht="12.8" hidden="false" customHeight="false" outlineLevel="0" collapsed="false">
      <c r="A1201" s="0" t="s">
        <v>7825</v>
      </c>
      <c r="B1201" s="0" t="s">
        <v>7826</v>
      </c>
      <c r="C1201" s="0" t="s">
        <v>249</v>
      </c>
      <c r="D1201" s="0" t="s">
        <v>5023</v>
      </c>
      <c r="E1201" s="0" t="s">
        <v>5024</v>
      </c>
      <c r="F1201" s="0" t="s">
        <v>5024</v>
      </c>
      <c r="G1201" s="0" t="s">
        <v>4100</v>
      </c>
      <c r="H1201" s="0" t="s">
        <v>4691</v>
      </c>
      <c r="I1201" s="0" t="s">
        <v>7814</v>
      </c>
      <c r="J1201" s="0" t="s">
        <v>7815</v>
      </c>
      <c r="K1201" s="444" t="s">
        <v>7816</v>
      </c>
    </row>
    <row r="1202" customFormat="false" ht="12.8" hidden="false" customHeight="false" outlineLevel="0" collapsed="false">
      <c r="A1202" s="0" t="s">
        <v>7827</v>
      </c>
      <c r="B1202" s="0" t="s">
        <v>7828</v>
      </c>
      <c r="C1202" s="0" t="s">
        <v>249</v>
      </c>
      <c r="D1202" s="0" t="s">
        <v>5023</v>
      </c>
      <c r="E1202" s="0" t="s">
        <v>5024</v>
      </c>
      <c r="F1202" s="0" t="s">
        <v>5024</v>
      </c>
      <c r="G1202" s="0" t="s">
        <v>4100</v>
      </c>
      <c r="H1202" s="0" t="s">
        <v>4691</v>
      </c>
      <c r="I1202" s="0" t="s">
        <v>7814</v>
      </c>
      <c r="J1202" s="0" t="s">
        <v>7815</v>
      </c>
      <c r="K1202" s="444" t="s">
        <v>7816</v>
      </c>
    </row>
    <row r="1203" customFormat="false" ht="12.8" hidden="false" customHeight="false" outlineLevel="0" collapsed="false">
      <c r="A1203" s="0" t="s">
        <v>7829</v>
      </c>
      <c r="B1203" s="0" t="s">
        <v>7830</v>
      </c>
      <c r="C1203" s="0" t="s">
        <v>249</v>
      </c>
      <c r="D1203" s="0" t="s">
        <v>5057</v>
      </c>
      <c r="E1203" s="0" t="s">
        <v>5058</v>
      </c>
      <c r="F1203" s="0" t="s">
        <v>5058</v>
      </c>
      <c r="G1203" s="0" t="s">
        <v>4100</v>
      </c>
      <c r="H1203" s="0" t="s">
        <v>4691</v>
      </c>
      <c r="I1203" s="0" t="s">
        <v>7814</v>
      </c>
      <c r="J1203" s="0" t="s">
        <v>7815</v>
      </c>
      <c r="K1203" s="444" t="s">
        <v>7816</v>
      </c>
    </row>
    <row r="1204" customFormat="false" ht="12.8" hidden="false" customHeight="false" outlineLevel="0" collapsed="false">
      <c r="A1204" s="0" t="s">
        <v>7831</v>
      </c>
      <c r="B1204" s="0" t="s">
        <v>7832</v>
      </c>
      <c r="C1204" s="0" t="s">
        <v>375</v>
      </c>
      <c r="D1204" s="0" t="s">
        <v>5057</v>
      </c>
      <c r="E1204" s="0" t="s">
        <v>5058</v>
      </c>
      <c r="F1204" s="0" t="s">
        <v>5058</v>
      </c>
      <c r="G1204" s="0" t="s">
        <v>4100</v>
      </c>
      <c r="H1204" s="0" t="s">
        <v>7773</v>
      </c>
      <c r="I1204" s="0" t="s">
        <v>7833</v>
      </c>
      <c r="J1204" s="0" t="s">
        <v>7834</v>
      </c>
      <c r="K1204" s="0" t="s">
        <v>7835</v>
      </c>
    </row>
    <row r="1205" customFormat="false" ht="12.8" hidden="false" customHeight="false" outlineLevel="0" collapsed="false">
      <c r="A1205" s="0" t="s">
        <v>7836</v>
      </c>
      <c r="B1205" s="0" t="s">
        <v>7837</v>
      </c>
      <c r="C1205" s="0" t="s">
        <v>375</v>
      </c>
      <c r="D1205" s="0" t="s">
        <v>5023</v>
      </c>
      <c r="E1205" s="0" t="s">
        <v>5024</v>
      </c>
      <c r="F1205" s="0" t="s">
        <v>5024</v>
      </c>
      <c r="G1205" s="0" t="s">
        <v>4100</v>
      </c>
      <c r="H1205" s="0" t="s">
        <v>7773</v>
      </c>
      <c r="I1205" s="0" t="s">
        <v>7833</v>
      </c>
      <c r="J1205" s="0" t="s">
        <v>7834</v>
      </c>
      <c r="K1205" s="0" t="s">
        <v>7835</v>
      </c>
    </row>
    <row r="1206" customFormat="false" ht="12.8" hidden="false" customHeight="false" outlineLevel="0" collapsed="false">
      <c r="A1206" s="0" t="s">
        <v>7838</v>
      </c>
      <c r="B1206" s="0" t="s">
        <v>7839</v>
      </c>
      <c r="C1206" s="0" t="s">
        <v>375</v>
      </c>
      <c r="D1206" s="0" t="s">
        <v>5023</v>
      </c>
      <c r="E1206" s="0" t="s">
        <v>5024</v>
      </c>
      <c r="F1206" s="0" t="s">
        <v>5024</v>
      </c>
      <c r="G1206" s="0" t="s">
        <v>4100</v>
      </c>
      <c r="H1206" s="0" t="s">
        <v>7773</v>
      </c>
      <c r="I1206" s="0" t="s">
        <v>7833</v>
      </c>
      <c r="J1206" s="0" t="s">
        <v>7834</v>
      </c>
      <c r="K1206" s="0" t="s">
        <v>7835</v>
      </c>
    </row>
    <row r="1207" customFormat="false" ht="12.8" hidden="false" customHeight="false" outlineLevel="0" collapsed="false">
      <c r="A1207" s="0" t="s">
        <v>7840</v>
      </c>
      <c r="B1207" s="0" t="s">
        <v>7841</v>
      </c>
      <c r="C1207" s="0" t="s">
        <v>375</v>
      </c>
      <c r="D1207" s="0" t="s">
        <v>5023</v>
      </c>
      <c r="E1207" s="0" t="s">
        <v>5024</v>
      </c>
      <c r="F1207" s="0" t="s">
        <v>5024</v>
      </c>
      <c r="G1207" s="0" t="s">
        <v>4100</v>
      </c>
      <c r="H1207" s="0" t="s">
        <v>7773</v>
      </c>
      <c r="I1207" s="0" t="s">
        <v>7833</v>
      </c>
      <c r="J1207" s="0" t="s">
        <v>7834</v>
      </c>
      <c r="K1207" s="0" t="s">
        <v>7835</v>
      </c>
    </row>
    <row r="1208" customFormat="false" ht="12.8" hidden="false" customHeight="false" outlineLevel="0" collapsed="false">
      <c r="A1208" s="0" t="s">
        <v>7842</v>
      </c>
      <c r="B1208" s="0" t="s">
        <v>7843</v>
      </c>
      <c r="C1208" s="0" t="s">
        <v>375</v>
      </c>
      <c r="D1208" s="0" t="s">
        <v>5023</v>
      </c>
      <c r="E1208" s="0" t="s">
        <v>5024</v>
      </c>
      <c r="F1208" s="0" t="s">
        <v>5024</v>
      </c>
      <c r="G1208" s="0" t="s">
        <v>4100</v>
      </c>
      <c r="H1208" s="0" t="s">
        <v>7773</v>
      </c>
      <c r="I1208" s="0" t="s">
        <v>7833</v>
      </c>
      <c r="J1208" s="0" t="s">
        <v>7834</v>
      </c>
      <c r="K1208" s="0" t="s">
        <v>7835</v>
      </c>
    </row>
    <row r="1209" customFormat="false" ht="12.8" hidden="false" customHeight="false" outlineLevel="0" collapsed="false">
      <c r="A1209" s="0" t="s">
        <v>7844</v>
      </c>
      <c r="B1209" s="0" t="s">
        <v>7845</v>
      </c>
      <c r="C1209" s="0" t="s">
        <v>375</v>
      </c>
      <c r="D1209" s="0" t="s">
        <v>5023</v>
      </c>
      <c r="E1209" s="0" t="s">
        <v>5024</v>
      </c>
      <c r="F1209" s="0" t="s">
        <v>5024</v>
      </c>
      <c r="G1209" s="0" t="s">
        <v>4100</v>
      </c>
      <c r="H1209" s="0" t="s">
        <v>7773</v>
      </c>
      <c r="I1209" s="0" t="s">
        <v>7833</v>
      </c>
      <c r="J1209" s="0" t="s">
        <v>7834</v>
      </c>
      <c r="K1209" s="0" t="s">
        <v>7835</v>
      </c>
    </row>
    <row r="1210" customFormat="false" ht="12.8" hidden="false" customHeight="false" outlineLevel="0" collapsed="false">
      <c r="A1210" s="0" t="s">
        <v>7846</v>
      </c>
      <c r="B1210" s="0" t="s">
        <v>7847</v>
      </c>
      <c r="C1210" s="0" t="s">
        <v>375</v>
      </c>
      <c r="D1210" s="0" t="s">
        <v>5061</v>
      </c>
      <c r="E1210" s="0" t="s">
        <v>5062</v>
      </c>
      <c r="F1210" s="0" t="s">
        <v>5062</v>
      </c>
      <c r="G1210" s="0" t="s">
        <v>4100</v>
      </c>
      <c r="H1210" s="0" t="s">
        <v>7773</v>
      </c>
      <c r="I1210" s="0" t="s">
        <v>7833</v>
      </c>
      <c r="J1210" s="0" t="s">
        <v>7834</v>
      </c>
      <c r="K1210" s="0" t="s">
        <v>7835</v>
      </c>
    </row>
    <row r="1211" customFormat="false" ht="12.8" hidden="false" customHeight="false" outlineLevel="0" collapsed="false">
      <c r="A1211" s="0" t="s">
        <v>7848</v>
      </c>
      <c r="B1211" s="0" t="s">
        <v>7849</v>
      </c>
      <c r="C1211" s="0" t="s">
        <v>375</v>
      </c>
      <c r="D1211" s="0" t="s">
        <v>5023</v>
      </c>
      <c r="E1211" s="0" t="s">
        <v>5024</v>
      </c>
      <c r="F1211" s="0" t="s">
        <v>5024</v>
      </c>
      <c r="G1211" s="0" t="s">
        <v>4100</v>
      </c>
      <c r="H1211" s="0" t="s">
        <v>7773</v>
      </c>
      <c r="I1211" s="0" t="s">
        <v>7833</v>
      </c>
      <c r="J1211" s="0" t="s">
        <v>7834</v>
      </c>
      <c r="K1211" s="0" t="s">
        <v>7835</v>
      </c>
    </row>
    <row r="1212" customFormat="false" ht="12.8" hidden="false" customHeight="false" outlineLevel="0" collapsed="false">
      <c r="A1212" s="0" t="s">
        <v>7850</v>
      </c>
      <c r="B1212" s="0" t="s">
        <v>7851</v>
      </c>
      <c r="C1212" s="0" t="s">
        <v>375</v>
      </c>
      <c r="D1212" s="0" t="s">
        <v>5023</v>
      </c>
      <c r="E1212" s="0" t="s">
        <v>5024</v>
      </c>
      <c r="F1212" s="0" t="s">
        <v>5024</v>
      </c>
      <c r="G1212" s="0" t="s">
        <v>4100</v>
      </c>
      <c r="H1212" s="0" t="s">
        <v>7773</v>
      </c>
      <c r="I1212" s="0" t="s">
        <v>7833</v>
      </c>
      <c r="J1212" s="0" t="s">
        <v>7834</v>
      </c>
      <c r="K1212" s="0" t="s">
        <v>7835</v>
      </c>
    </row>
    <row r="1213" customFormat="false" ht="12.8" hidden="false" customHeight="false" outlineLevel="0" collapsed="false">
      <c r="A1213" s="0" t="s">
        <v>7852</v>
      </c>
      <c r="B1213" s="0" t="s">
        <v>7853</v>
      </c>
      <c r="C1213" s="0" t="s">
        <v>375</v>
      </c>
      <c r="D1213" s="0" t="s">
        <v>5023</v>
      </c>
      <c r="E1213" s="0" t="s">
        <v>5024</v>
      </c>
      <c r="F1213" s="0" t="s">
        <v>5024</v>
      </c>
      <c r="G1213" s="0" t="s">
        <v>4100</v>
      </c>
      <c r="H1213" s="0" t="s">
        <v>7773</v>
      </c>
      <c r="I1213" s="0" t="s">
        <v>7833</v>
      </c>
      <c r="J1213" s="0" t="s">
        <v>7834</v>
      </c>
      <c r="K1213" s="0" t="s">
        <v>7835</v>
      </c>
    </row>
    <row r="1214" customFormat="false" ht="12.8" hidden="false" customHeight="false" outlineLevel="0" collapsed="false">
      <c r="A1214" s="0" t="s">
        <v>7854</v>
      </c>
      <c r="B1214" s="0" t="s">
        <v>7855</v>
      </c>
      <c r="C1214" s="0" t="s">
        <v>375</v>
      </c>
      <c r="D1214" s="0" t="s">
        <v>5023</v>
      </c>
      <c r="E1214" s="0" t="s">
        <v>5024</v>
      </c>
      <c r="F1214" s="0" t="s">
        <v>5024</v>
      </c>
      <c r="G1214" s="0" t="s">
        <v>4100</v>
      </c>
      <c r="H1214" s="0" t="s">
        <v>7773</v>
      </c>
      <c r="I1214" s="0" t="s">
        <v>7833</v>
      </c>
      <c r="J1214" s="0" t="s">
        <v>7834</v>
      </c>
      <c r="K1214" s="0" t="s">
        <v>7835</v>
      </c>
    </row>
    <row r="1215" customFormat="false" ht="12.8" hidden="false" customHeight="false" outlineLevel="0" collapsed="false">
      <c r="A1215" s="0" t="s">
        <v>7856</v>
      </c>
      <c r="B1215" s="0" t="s">
        <v>7857</v>
      </c>
      <c r="C1215" s="0" t="s">
        <v>380</v>
      </c>
      <c r="D1215" s="0" t="s">
        <v>5061</v>
      </c>
      <c r="E1215" s="0" t="s">
        <v>5062</v>
      </c>
      <c r="F1215" s="0" t="s">
        <v>5062</v>
      </c>
      <c r="G1215" s="0" t="s">
        <v>4100</v>
      </c>
      <c r="H1215" s="0" t="s">
        <v>7773</v>
      </c>
      <c r="I1215" s="0" t="s">
        <v>7858</v>
      </c>
      <c r="J1215" s="0" t="s">
        <v>7859</v>
      </c>
      <c r="K1215" s="0" t="s">
        <v>7044</v>
      </c>
    </row>
    <row r="1216" customFormat="false" ht="12.8" hidden="false" customHeight="false" outlineLevel="0" collapsed="false">
      <c r="A1216" s="0" t="s">
        <v>7860</v>
      </c>
      <c r="B1216" s="0" t="s">
        <v>7861</v>
      </c>
      <c r="C1216" s="0" t="s">
        <v>380</v>
      </c>
      <c r="D1216" s="0" t="s">
        <v>5057</v>
      </c>
      <c r="E1216" s="0" t="s">
        <v>5058</v>
      </c>
      <c r="F1216" s="0" t="s">
        <v>5058</v>
      </c>
      <c r="G1216" s="0" t="s">
        <v>4100</v>
      </c>
      <c r="H1216" s="0" t="s">
        <v>7773</v>
      </c>
      <c r="I1216" s="0" t="s">
        <v>7858</v>
      </c>
      <c r="J1216" s="0" t="s">
        <v>7859</v>
      </c>
      <c r="K1216" s="0" t="s">
        <v>7044</v>
      </c>
    </row>
    <row r="1217" customFormat="false" ht="12.8" hidden="false" customHeight="false" outlineLevel="0" collapsed="false">
      <c r="A1217" s="0" t="s">
        <v>7862</v>
      </c>
      <c r="B1217" s="0" t="s">
        <v>7863</v>
      </c>
      <c r="C1217" s="0" t="s">
        <v>380</v>
      </c>
      <c r="D1217" s="0" t="s">
        <v>5023</v>
      </c>
      <c r="E1217" s="0" t="s">
        <v>5024</v>
      </c>
      <c r="F1217" s="0" t="s">
        <v>5024</v>
      </c>
      <c r="G1217" s="0" t="s">
        <v>4100</v>
      </c>
      <c r="H1217" s="0" t="s">
        <v>7773</v>
      </c>
      <c r="I1217" s="0" t="s">
        <v>7858</v>
      </c>
      <c r="J1217" s="0" t="s">
        <v>7859</v>
      </c>
      <c r="K1217" s="0" t="s">
        <v>7044</v>
      </c>
    </row>
    <row r="1218" customFormat="false" ht="12.8" hidden="false" customHeight="false" outlineLevel="0" collapsed="false">
      <c r="A1218" s="0" t="s">
        <v>7864</v>
      </c>
      <c r="B1218" s="0" t="s">
        <v>7865</v>
      </c>
      <c r="C1218" s="0" t="s">
        <v>380</v>
      </c>
      <c r="D1218" s="0" t="s">
        <v>5023</v>
      </c>
      <c r="E1218" s="0" t="s">
        <v>5024</v>
      </c>
      <c r="F1218" s="0" t="s">
        <v>5024</v>
      </c>
      <c r="G1218" s="0" t="s">
        <v>4100</v>
      </c>
      <c r="H1218" s="0" t="s">
        <v>7773</v>
      </c>
      <c r="I1218" s="0" t="s">
        <v>7858</v>
      </c>
      <c r="J1218" s="0" t="s">
        <v>7859</v>
      </c>
      <c r="K1218" s="0" t="s">
        <v>7044</v>
      </c>
    </row>
    <row r="1219" customFormat="false" ht="12.8" hidden="false" customHeight="false" outlineLevel="0" collapsed="false">
      <c r="A1219" s="0" t="s">
        <v>7866</v>
      </c>
      <c r="B1219" s="0" t="s">
        <v>7867</v>
      </c>
      <c r="C1219" s="0" t="s">
        <v>380</v>
      </c>
      <c r="D1219" s="0" t="s">
        <v>5023</v>
      </c>
      <c r="E1219" s="0" t="s">
        <v>5024</v>
      </c>
      <c r="F1219" s="0" t="s">
        <v>5024</v>
      </c>
      <c r="G1219" s="0" t="s">
        <v>4100</v>
      </c>
      <c r="H1219" s="0" t="s">
        <v>7773</v>
      </c>
      <c r="I1219" s="0" t="s">
        <v>7858</v>
      </c>
      <c r="J1219" s="0" t="s">
        <v>7859</v>
      </c>
      <c r="K1219" s="0" t="s">
        <v>7044</v>
      </c>
    </row>
    <row r="1220" customFormat="false" ht="12.8" hidden="false" customHeight="false" outlineLevel="0" collapsed="false">
      <c r="A1220" s="0" t="s">
        <v>7868</v>
      </c>
      <c r="B1220" s="0" t="s">
        <v>7869</v>
      </c>
      <c r="C1220" s="0" t="s">
        <v>380</v>
      </c>
      <c r="D1220" s="0" t="s">
        <v>5023</v>
      </c>
      <c r="E1220" s="0" t="s">
        <v>5024</v>
      </c>
      <c r="F1220" s="0" t="s">
        <v>5024</v>
      </c>
      <c r="G1220" s="0" t="s">
        <v>4100</v>
      </c>
      <c r="H1220" s="0" t="s">
        <v>7773</v>
      </c>
      <c r="I1220" s="0" t="s">
        <v>7858</v>
      </c>
      <c r="J1220" s="0" t="s">
        <v>7859</v>
      </c>
      <c r="K1220" s="0" t="s">
        <v>7044</v>
      </c>
    </row>
    <row r="1221" customFormat="false" ht="12.8" hidden="false" customHeight="false" outlineLevel="0" collapsed="false">
      <c r="A1221" s="0" t="s">
        <v>7870</v>
      </c>
      <c r="B1221" s="0" t="s">
        <v>7871</v>
      </c>
      <c r="C1221" s="0" t="s">
        <v>380</v>
      </c>
      <c r="D1221" s="0" t="s">
        <v>5023</v>
      </c>
      <c r="E1221" s="0" t="s">
        <v>5024</v>
      </c>
      <c r="F1221" s="0" t="s">
        <v>5024</v>
      </c>
      <c r="G1221" s="0" t="s">
        <v>4100</v>
      </c>
      <c r="H1221" s="0" t="s">
        <v>7773</v>
      </c>
      <c r="I1221" s="0" t="s">
        <v>7858</v>
      </c>
      <c r="J1221" s="0" t="s">
        <v>7859</v>
      </c>
      <c r="K1221" s="0" t="s">
        <v>7044</v>
      </c>
    </row>
    <row r="1222" customFormat="false" ht="12.8" hidden="false" customHeight="false" outlineLevel="0" collapsed="false">
      <c r="A1222" s="0" t="s">
        <v>7872</v>
      </c>
      <c r="B1222" s="0" t="s">
        <v>7873</v>
      </c>
      <c r="C1222" s="0" t="s">
        <v>380</v>
      </c>
      <c r="D1222" s="0" t="s">
        <v>5023</v>
      </c>
      <c r="E1222" s="0" t="s">
        <v>5024</v>
      </c>
      <c r="F1222" s="0" t="s">
        <v>5024</v>
      </c>
      <c r="G1222" s="0" t="s">
        <v>4100</v>
      </c>
      <c r="H1222" s="0" t="s">
        <v>7773</v>
      </c>
      <c r="I1222" s="0" t="s">
        <v>7858</v>
      </c>
      <c r="J1222" s="0" t="s">
        <v>7859</v>
      </c>
      <c r="K1222" s="0" t="s">
        <v>7044</v>
      </c>
    </row>
    <row r="1223" customFormat="false" ht="12.8" hidden="false" customHeight="false" outlineLevel="0" collapsed="false">
      <c r="A1223" s="0" t="s">
        <v>7874</v>
      </c>
      <c r="B1223" s="0" t="s">
        <v>7875</v>
      </c>
      <c r="C1223" s="0" t="s">
        <v>380</v>
      </c>
      <c r="D1223" s="0" t="s">
        <v>5023</v>
      </c>
      <c r="E1223" s="0" t="s">
        <v>5024</v>
      </c>
      <c r="F1223" s="0" t="s">
        <v>5024</v>
      </c>
      <c r="G1223" s="0" t="s">
        <v>4100</v>
      </c>
      <c r="H1223" s="0" t="s">
        <v>7773</v>
      </c>
      <c r="I1223" s="0" t="s">
        <v>7858</v>
      </c>
      <c r="J1223" s="0" t="s">
        <v>7859</v>
      </c>
      <c r="K1223" s="0" t="s">
        <v>7044</v>
      </c>
    </row>
    <row r="1224" customFormat="false" ht="12.8" hidden="false" customHeight="false" outlineLevel="0" collapsed="false">
      <c r="A1224" s="0" t="s">
        <v>7876</v>
      </c>
      <c r="B1224" s="0" t="s">
        <v>7877</v>
      </c>
      <c r="C1224" s="0" t="s">
        <v>380</v>
      </c>
      <c r="D1224" s="0" t="s">
        <v>5023</v>
      </c>
      <c r="E1224" s="0" t="s">
        <v>5024</v>
      </c>
      <c r="F1224" s="0" t="s">
        <v>5024</v>
      </c>
      <c r="G1224" s="0" t="s">
        <v>4100</v>
      </c>
      <c r="H1224" s="0" t="s">
        <v>7773</v>
      </c>
      <c r="I1224" s="0" t="s">
        <v>7858</v>
      </c>
      <c r="J1224" s="0" t="s">
        <v>7859</v>
      </c>
      <c r="K1224" s="0" t="s">
        <v>7044</v>
      </c>
    </row>
    <row r="1225" customFormat="false" ht="12.8" hidden="false" customHeight="false" outlineLevel="0" collapsed="false">
      <c r="A1225" s="0" t="s">
        <v>7878</v>
      </c>
      <c r="B1225" s="0" t="s">
        <v>7879</v>
      </c>
      <c r="C1225" s="0" t="s">
        <v>381</v>
      </c>
      <c r="D1225" s="0" t="s">
        <v>5023</v>
      </c>
      <c r="E1225" s="0" t="s">
        <v>5024</v>
      </c>
      <c r="F1225" s="0" t="s">
        <v>5024</v>
      </c>
      <c r="G1225" s="0" t="s">
        <v>4100</v>
      </c>
      <c r="H1225" s="0" t="s">
        <v>7773</v>
      </c>
      <c r="I1225" s="0" t="s">
        <v>7880</v>
      </c>
      <c r="J1225" s="0" t="s">
        <v>7881</v>
      </c>
      <c r="K1225" s="0" t="s">
        <v>5291</v>
      </c>
    </row>
    <row r="1226" customFormat="false" ht="12.8" hidden="false" customHeight="false" outlineLevel="0" collapsed="false">
      <c r="A1226" s="0" t="s">
        <v>7882</v>
      </c>
      <c r="B1226" s="0" t="s">
        <v>7883</v>
      </c>
      <c r="C1226" s="0" t="s">
        <v>381</v>
      </c>
      <c r="D1226" s="0" t="s">
        <v>5023</v>
      </c>
      <c r="E1226" s="0" t="s">
        <v>5024</v>
      </c>
      <c r="F1226" s="0" t="s">
        <v>5024</v>
      </c>
      <c r="G1226" s="0" t="s">
        <v>4100</v>
      </c>
      <c r="H1226" s="0" t="s">
        <v>7773</v>
      </c>
      <c r="I1226" s="0" t="s">
        <v>7880</v>
      </c>
      <c r="J1226" s="0" t="s">
        <v>7881</v>
      </c>
      <c r="K1226" s="0" t="s">
        <v>5291</v>
      </c>
    </row>
    <row r="1227" customFormat="false" ht="12.8" hidden="false" customHeight="false" outlineLevel="0" collapsed="false">
      <c r="A1227" s="0" t="s">
        <v>7884</v>
      </c>
      <c r="B1227" s="0" t="s">
        <v>7885</v>
      </c>
      <c r="C1227" s="0" t="s">
        <v>381</v>
      </c>
      <c r="D1227" s="0" t="s">
        <v>5023</v>
      </c>
      <c r="E1227" s="0" t="s">
        <v>5024</v>
      </c>
      <c r="F1227" s="0" t="s">
        <v>5024</v>
      </c>
      <c r="G1227" s="0" t="s">
        <v>4100</v>
      </c>
      <c r="H1227" s="0" t="s">
        <v>7773</v>
      </c>
      <c r="I1227" s="0" t="s">
        <v>7880</v>
      </c>
      <c r="J1227" s="0" t="s">
        <v>7881</v>
      </c>
      <c r="K1227" s="0" t="s">
        <v>5291</v>
      </c>
    </row>
    <row r="1228" customFormat="false" ht="12.8" hidden="false" customHeight="false" outlineLevel="0" collapsed="false">
      <c r="A1228" s="0" t="s">
        <v>7886</v>
      </c>
      <c r="B1228" s="0" t="s">
        <v>7887</v>
      </c>
      <c r="C1228" s="0" t="s">
        <v>381</v>
      </c>
      <c r="D1228" s="0" t="s">
        <v>5023</v>
      </c>
      <c r="E1228" s="0" t="s">
        <v>5024</v>
      </c>
      <c r="F1228" s="0" t="s">
        <v>5024</v>
      </c>
      <c r="G1228" s="0" t="s">
        <v>4100</v>
      </c>
      <c r="H1228" s="0" t="s">
        <v>7773</v>
      </c>
      <c r="I1228" s="0" t="s">
        <v>7880</v>
      </c>
      <c r="J1228" s="0" t="s">
        <v>7881</v>
      </c>
      <c r="K1228" s="0" t="s">
        <v>5291</v>
      </c>
    </row>
    <row r="1229" customFormat="false" ht="12.8" hidden="false" customHeight="false" outlineLevel="0" collapsed="false">
      <c r="A1229" s="0" t="s">
        <v>7888</v>
      </c>
      <c r="B1229" s="0" t="s">
        <v>7889</v>
      </c>
      <c r="C1229" s="0" t="s">
        <v>381</v>
      </c>
      <c r="D1229" s="0" t="s">
        <v>5023</v>
      </c>
      <c r="E1229" s="0" t="s">
        <v>5024</v>
      </c>
      <c r="F1229" s="0" t="s">
        <v>5024</v>
      </c>
      <c r="G1229" s="0" t="s">
        <v>4100</v>
      </c>
      <c r="H1229" s="0" t="s">
        <v>7773</v>
      </c>
      <c r="I1229" s="0" t="s">
        <v>7880</v>
      </c>
      <c r="J1229" s="0" t="s">
        <v>7881</v>
      </c>
      <c r="K1229" s="0" t="s">
        <v>5291</v>
      </c>
    </row>
    <row r="1230" customFormat="false" ht="12.8" hidden="false" customHeight="false" outlineLevel="0" collapsed="false">
      <c r="A1230" s="0" t="s">
        <v>7890</v>
      </c>
      <c r="B1230" s="0" t="s">
        <v>7891</v>
      </c>
      <c r="C1230" s="0" t="s">
        <v>381</v>
      </c>
      <c r="D1230" s="0" t="s">
        <v>5061</v>
      </c>
      <c r="E1230" s="0" t="s">
        <v>5062</v>
      </c>
      <c r="F1230" s="0" t="s">
        <v>5062</v>
      </c>
      <c r="G1230" s="0" t="s">
        <v>4100</v>
      </c>
      <c r="H1230" s="0" t="s">
        <v>7773</v>
      </c>
      <c r="I1230" s="0" t="s">
        <v>7880</v>
      </c>
      <c r="J1230" s="0" t="s">
        <v>7881</v>
      </c>
      <c r="K1230" s="0" t="s">
        <v>5291</v>
      </c>
    </row>
    <row r="1231" customFormat="false" ht="12.8" hidden="false" customHeight="false" outlineLevel="0" collapsed="false">
      <c r="A1231" s="0" t="s">
        <v>7892</v>
      </c>
      <c r="B1231" s="0" t="s">
        <v>7893</v>
      </c>
      <c r="C1231" s="0" t="s">
        <v>383</v>
      </c>
      <c r="D1231" s="0" t="s">
        <v>5061</v>
      </c>
      <c r="E1231" s="0" t="s">
        <v>5062</v>
      </c>
      <c r="F1231" s="0" t="s">
        <v>5062</v>
      </c>
      <c r="G1231" s="0" t="s">
        <v>4100</v>
      </c>
      <c r="H1231" s="0" t="s">
        <v>4691</v>
      </c>
      <c r="I1231" s="0" t="s">
        <v>7894</v>
      </c>
      <c r="J1231" s="0" t="s">
        <v>7895</v>
      </c>
      <c r="K1231" s="0" t="s">
        <v>5260</v>
      </c>
    </row>
    <row r="1232" customFormat="false" ht="12.8" hidden="false" customHeight="false" outlineLevel="0" collapsed="false">
      <c r="A1232" s="0" t="s">
        <v>7896</v>
      </c>
      <c r="B1232" s="0" t="s">
        <v>7897</v>
      </c>
      <c r="C1232" s="0" t="s">
        <v>383</v>
      </c>
      <c r="D1232" s="0" t="s">
        <v>5023</v>
      </c>
      <c r="E1232" s="0" t="s">
        <v>5024</v>
      </c>
      <c r="F1232" s="0" t="s">
        <v>5024</v>
      </c>
      <c r="G1232" s="0" t="s">
        <v>4100</v>
      </c>
      <c r="H1232" s="0" t="s">
        <v>4691</v>
      </c>
      <c r="I1232" s="0" t="s">
        <v>7894</v>
      </c>
      <c r="J1232" s="0" t="s">
        <v>7895</v>
      </c>
      <c r="K1232" s="0" t="s">
        <v>5260</v>
      </c>
    </row>
    <row r="1233" customFormat="false" ht="12.8" hidden="false" customHeight="false" outlineLevel="0" collapsed="false">
      <c r="A1233" s="0" t="s">
        <v>7898</v>
      </c>
      <c r="B1233" s="0" t="s">
        <v>7899</v>
      </c>
      <c r="C1233" s="0" t="s">
        <v>383</v>
      </c>
      <c r="D1233" s="0" t="s">
        <v>5023</v>
      </c>
      <c r="E1233" s="0" t="s">
        <v>5024</v>
      </c>
      <c r="F1233" s="0" t="s">
        <v>5024</v>
      </c>
      <c r="G1233" s="0" t="s">
        <v>4100</v>
      </c>
      <c r="H1233" s="0" t="s">
        <v>4691</v>
      </c>
      <c r="I1233" s="0" t="s">
        <v>7894</v>
      </c>
      <c r="J1233" s="0" t="s">
        <v>7895</v>
      </c>
      <c r="K1233" s="0" t="s">
        <v>5260</v>
      </c>
    </row>
    <row r="1234" customFormat="false" ht="12.8" hidden="false" customHeight="false" outlineLevel="0" collapsed="false">
      <c r="A1234" s="0" t="s">
        <v>7900</v>
      </c>
      <c r="B1234" s="0" t="s">
        <v>7901</v>
      </c>
      <c r="C1234" s="0" t="s">
        <v>383</v>
      </c>
      <c r="D1234" s="0" t="s">
        <v>5023</v>
      </c>
      <c r="E1234" s="0" t="s">
        <v>5024</v>
      </c>
      <c r="F1234" s="0" t="s">
        <v>5024</v>
      </c>
      <c r="G1234" s="0" t="s">
        <v>4100</v>
      </c>
      <c r="H1234" s="0" t="s">
        <v>4691</v>
      </c>
      <c r="I1234" s="0" t="s">
        <v>7894</v>
      </c>
      <c r="J1234" s="0" t="s">
        <v>7895</v>
      </c>
      <c r="K1234" s="0" t="s">
        <v>5260</v>
      </c>
    </row>
    <row r="1235" customFormat="false" ht="12.8" hidden="false" customHeight="false" outlineLevel="0" collapsed="false">
      <c r="A1235" s="0" t="s">
        <v>7902</v>
      </c>
      <c r="B1235" s="0" t="s">
        <v>7903</v>
      </c>
      <c r="C1235" s="0" t="s">
        <v>383</v>
      </c>
      <c r="D1235" s="0" t="s">
        <v>5023</v>
      </c>
      <c r="E1235" s="0" t="s">
        <v>5024</v>
      </c>
      <c r="F1235" s="0" t="s">
        <v>5024</v>
      </c>
      <c r="G1235" s="0" t="s">
        <v>4100</v>
      </c>
      <c r="H1235" s="0" t="s">
        <v>4691</v>
      </c>
      <c r="I1235" s="0" t="s">
        <v>7894</v>
      </c>
      <c r="J1235" s="0" t="s">
        <v>7895</v>
      </c>
      <c r="K1235" s="0" t="s">
        <v>5260</v>
      </c>
    </row>
    <row r="1236" customFormat="false" ht="12.8" hidden="false" customHeight="false" outlineLevel="0" collapsed="false">
      <c r="A1236" s="0" t="s">
        <v>7904</v>
      </c>
      <c r="B1236" s="0" t="s">
        <v>7905</v>
      </c>
      <c r="C1236" s="0" t="s">
        <v>388</v>
      </c>
      <c r="D1236" s="0" t="s">
        <v>5023</v>
      </c>
      <c r="E1236" s="0" t="s">
        <v>5024</v>
      </c>
      <c r="F1236" s="0" t="s">
        <v>5024</v>
      </c>
      <c r="G1236" s="0" t="s">
        <v>4100</v>
      </c>
      <c r="H1236" s="0" t="s">
        <v>4691</v>
      </c>
      <c r="I1236" s="0" t="s">
        <v>7906</v>
      </c>
      <c r="J1236" s="0" t="s">
        <v>7907</v>
      </c>
      <c r="K1236" s="444" t="s">
        <v>7908</v>
      </c>
    </row>
    <row r="1237" customFormat="false" ht="12.8" hidden="false" customHeight="false" outlineLevel="0" collapsed="false">
      <c r="A1237" s="0" t="s">
        <v>7909</v>
      </c>
      <c r="B1237" s="0" t="s">
        <v>7910</v>
      </c>
      <c r="C1237" s="0" t="s">
        <v>388</v>
      </c>
      <c r="D1237" s="0" t="s">
        <v>5023</v>
      </c>
      <c r="E1237" s="0" t="s">
        <v>5024</v>
      </c>
      <c r="F1237" s="0" t="s">
        <v>5024</v>
      </c>
      <c r="G1237" s="0" t="s">
        <v>4100</v>
      </c>
      <c r="H1237" s="0" t="s">
        <v>4691</v>
      </c>
      <c r="I1237" s="0" t="s">
        <v>7906</v>
      </c>
      <c r="J1237" s="0" t="s">
        <v>7907</v>
      </c>
      <c r="K1237" s="444" t="s">
        <v>7908</v>
      </c>
    </row>
    <row r="1238" customFormat="false" ht="12.8" hidden="false" customHeight="false" outlineLevel="0" collapsed="false">
      <c r="A1238" s="0" t="s">
        <v>7911</v>
      </c>
      <c r="B1238" s="0" t="s">
        <v>7912</v>
      </c>
      <c r="C1238" s="0" t="s">
        <v>388</v>
      </c>
      <c r="D1238" s="0" t="s">
        <v>5057</v>
      </c>
      <c r="E1238" s="0" t="s">
        <v>5058</v>
      </c>
      <c r="F1238" s="0" t="s">
        <v>5058</v>
      </c>
      <c r="G1238" s="0" t="s">
        <v>4100</v>
      </c>
      <c r="H1238" s="0" t="s">
        <v>4691</v>
      </c>
      <c r="I1238" s="0" t="s">
        <v>7906</v>
      </c>
      <c r="J1238" s="0" t="s">
        <v>7907</v>
      </c>
      <c r="K1238" s="444" t="s">
        <v>7908</v>
      </c>
    </row>
    <row r="1239" customFormat="false" ht="12.8" hidden="false" customHeight="false" outlineLevel="0" collapsed="false">
      <c r="A1239" s="0" t="s">
        <v>7913</v>
      </c>
      <c r="B1239" s="0" t="s">
        <v>7914</v>
      </c>
      <c r="C1239" s="0" t="s">
        <v>388</v>
      </c>
      <c r="D1239" s="0" t="s">
        <v>5023</v>
      </c>
      <c r="E1239" s="0" t="s">
        <v>5024</v>
      </c>
      <c r="F1239" s="0" t="s">
        <v>5024</v>
      </c>
      <c r="G1239" s="0" t="s">
        <v>4100</v>
      </c>
      <c r="H1239" s="0" t="s">
        <v>4691</v>
      </c>
      <c r="I1239" s="0" t="s">
        <v>7906</v>
      </c>
      <c r="J1239" s="0" t="s">
        <v>7907</v>
      </c>
      <c r="K1239" s="444" t="s">
        <v>7908</v>
      </c>
    </row>
    <row r="1240" customFormat="false" ht="12.8" hidden="false" customHeight="false" outlineLevel="0" collapsed="false">
      <c r="A1240" s="0" t="s">
        <v>7915</v>
      </c>
      <c r="B1240" s="0" t="s">
        <v>7916</v>
      </c>
      <c r="C1240" s="0" t="s">
        <v>388</v>
      </c>
      <c r="D1240" s="0" t="s">
        <v>5023</v>
      </c>
      <c r="E1240" s="0" t="s">
        <v>5024</v>
      </c>
      <c r="F1240" s="0" t="s">
        <v>5024</v>
      </c>
      <c r="G1240" s="0" t="s">
        <v>4100</v>
      </c>
      <c r="H1240" s="0" t="s">
        <v>4691</v>
      </c>
      <c r="I1240" s="0" t="s">
        <v>7906</v>
      </c>
      <c r="J1240" s="0" t="s">
        <v>7907</v>
      </c>
      <c r="K1240" s="444" t="s">
        <v>7908</v>
      </c>
    </row>
    <row r="1241" customFormat="false" ht="12.8" hidden="false" customHeight="false" outlineLevel="0" collapsed="false">
      <c r="A1241" s="0" t="s">
        <v>7917</v>
      </c>
      <c r="B1241" s="0" t="s">
        <v>7918</v>
      </c>
      <c r="C1241" s="0" t="s">
        <v>388</v>
      </c>
      <c r="D1241" s="0" t="s">
        <v>5023</v>
      </c>
      <c r="E1241" s="0" t="s">
        <v>5024</v>
      </c>
      <c r="F1241" s="0" t="s">
        <v>5024</v>
      </c>
      <c r="G1241" s="0" t="s">
        <v>4100</v>
      </c>
      <c r="H1241" s="0" t="s">
        <v>4691</v>
      </c>
      <c r="I1241" s="0" t="s">
        <v>7906</v>
      </c>
      <c r="J1241" s="0" t="s">
        <v>7907</v>
      </c>
      <c r="K1241" s="444" t="s">
        <v>7908</v>
      </c>
    </row>
    <row r="1242" customFormat="false" ht="12.8" hidden="false" customHeight="false" outlineLevel="0" collapsed="false">
      <c r="A1242" s="0" t="s">
        <v>7919</v>
      </c>
      <c r="B1242" s="0" t="s">
        <v>7920</v>
      </c>
      <c r="C1242" s="0" t="s">
        <v>388</v>
      </c>
      <c r="D1242" s="0" t="s">
        <v>5023</v>
      </c>
      <c r="E1242" s="0" t="s">
        <v>5024</v>
      </c>
      <c r="F1242" s="0" t="s">
        <v>5024</v>
      </c>
      <c r="G1242" s="0" t="s">
        <v>4100</v>
      </c>
      <c r="H1242" s="0" t="s">
        <v>4691</v>
      </c>
      <c r="I1242" s="0" t="s">
        <v>7906</v>
      </c>
      <c r="J1242" s="0" t="s">
        <v>7907</v>
      </c>
      <c r="K1242" s="444" t="s">
        <v>7908</v>
      </c>
    </row>
    <row r="1243" customFormat="false" ht="12.8" hidden="false" customHeight="false" outlineLevel="0" collapsed="false">
      <c r="A1243" s="0" t="s">
        <v>7921</v>
      </c>
      <c r="B1243" s="0" t="s">
        <v>7922</v>
      </c>
      <c r="C1243" s="0" t="s">
        <v>388</v>
      </c>
      <c r="D1243" s="0" t="s">
        <v>5023</v>
      </c>
      <c r="E1243" s="0" t="s">
        <v>5024</v>
      </c>
      <c r="F1243" s="0" t="s">
        <v>5024</v>
      </c>
      <c r="G1243" s="0" t="s">
        <v>4100</v>
      </c>
      <c r="H1243" s="0" t="s">
        <v>4691</v>
      </c>
      <c r="I1243" s="0" t="s">
        <v>7906</v>
      </c>
      <c r="J1243" s="0" t="s">
        <v>7907</v>
      </c>
      <c r="K1243" s="444" t="s">
        <v>7908</v>
      </c>
    </row>
    <row r="1244" customFormat="false" ht="12.8" hidden="false" customHeight="false" outlineLevel="0" collapsed="false">
      <c r="A1244" s="0" t="s">
        <v>7923</v>
      </c>
      <c r="B1244" s="0" t="s">
        <v>7924</v>
      </c>
      <c r="C1244" s="0" t="s">
        <v>388</v>
      </c>
      <c r="D1244" s="0" t="s">
        <v>5023</v>
      </c>
      <c r="E1244" s="0" t="s">
        <v>5024</v>
      </c>
      <c r="F1244" s="0" t="s">
        <v>5024</v>
      </c>
      <c r="G1244" s="0" t="s">
        <v>4100</v>
      </c>
      <c r="H1244" s="0" t="s">
        <v>4691</v>
      </c>
      <c r="I1244" s="0" t="s">
        <v>7906</v>
      </c>
      <c r="J1244" s="0" t="s">
        <v>7907</v>
      </c>
      <c r="K1244" s="444" t="s">
        <v>7908</v>
      </c>
    </row>
    <row r="1245" customFormat="false" ht="12.8" hidden="false" customHeight="false" outlineLevel="0" collapsed="false">
      <c r="A1245" s="0" t="s">
        <v>7925</v>
      </c>
      <c r="B1245" s="0" t="s">
        <v>7926</v>
      </c>
      <c r="C1245" s="0" t="s">
        <v>388</v>
      </c>
      <c r="D1245" s="0" t="s">
        <v>5023</v>
      </c>
      <c r="E1245" s="0" t="s">
        <v>5024</v>
      </c>
      <c r="F1245" s="0" t="s">
        <v>5024</v>
      </c>
      <c r="G1245" s="0" t="s">
        <v>4100</v>
      </c>
      <c r="H1245" s="0" t="s">
        <v>4691</v>
      </c>
      <c r="I1245" s="0" t="s">
        <v>7906</v>
      </c>
      <c r="J1245" s="0" t="s">
        <v>7907</v>
      </c>
      <c r="K1245" s="444" t="s">
        <v>7908</v>
      </c>
    </row>
    <row r="1246" customFormat="false" ht="12.8" hidden="false" customHeight="false" outlineLevel="0" collapsed="false">
      <c r="A1246" s="0" t="s">
        <v>7927</v>
      </c>
      <c r="B1246" s="0" t="s">
        <v>7928</v>
      </c>
      <c r="C1246" s="0" t="s">
        <v>388</v>
      </c>
      <c r="D1246" s="0" t="s">
        <v>5061</v>
      </c>
      <c r="E1246" s="0" t="s">
        <v>5062</v>
      </c>
      <c r="F1246" s="0" t="s">
        <v>5062</v>
      </c>
      <c r="G1246" s="0" t="s">
        <v>4100</v>
      </c>
      <c r="H1246" s="0" t="s">
        <v>4691</v>
      </c>
      <c r="I1246" s="0" t="s">
        <v>7906</v>
      </c>
      <c r="J1246" s="0" t="s">
        <v>7907</v>
      </c>
      <c r="K1246" s="444" t="s">
        <v>7908</v>
      </c>
    </row>
    <row r="1247" customFormat="false" ht="12.8" hidden="false" customHeight="false" outlineLevel="0" collapsed="false">
      <c r="A1247" s="0" t="s">
        <v>7929</v>
      </c>
      <c r="B1247" s="0" t="s">
        <v>7930</v>
      </c>
      <c r="C1247" s="0" t="s">
        <v>389</v>
      </c>
      <c r="D1247" s="0" t="s">
        <v>5061</v>
      </c>
      <c r="E1247" s="0" t="s">
        <v>5062</v>
      </c>
      <c r="F1247" s="0" t="s">
        <v>5062</v>
      </c>
      <c r="G1247" s="0" t="s">
        <v>4100</v>
      </c>
      <c r="H1247" s="0" t="s">
        <v>7773</v>
      </c>
      <c r="I1247" s="0" t="s">
        <v>7931</v>
      </c>
      <c r="J1247" s="0" t="s">
        <v>7932</v>
      </c>
      <c r="K1247" s="0" t="s">
        <v>5260</v>
      </c>
    </row>
    <row r="1248" customFormat="false" ht="12.8" hidden="false" customHeight="false" outlineLevel="0" collapsed="false">
      <c r="A1248" s="0" t="s">
        <v>7933</v>
      </c>
      <c r="B1248" s="0" t="s">
        <v>7934</v>
      </c>
      <c r="C1248" s="0" t="s">
        <v>389</v>
      </c>
      <c r="D1248" s="0" t="s">
        <v>5057</v>
      </c>
      <c r="E1248" s="0" t="s">
        <v>5058</v>
      </c>
      <c r="F1248" s="0" t="s">
        <v>5058</v>
      </c>
      <c r="G1248" s="0" t="s">
        <v>4100</v>
      </c>
      <c r="H1248" s="0" t="s">
        <v>7773</v>
      </c>
      <c r="I1248" s="0" t="s">
        <v>7931</v>
      </c>
      <c r="J1248" s="0" t="s">
        <v>7932</v>
      </c>
      <c r="K1248" s="0" t="s">
        <v>5260</v>
      </c>
    </row>
    <row r="1249" customFormat="false" ht="12.8" hidden="false" customHeight="false" outlineLevel="0" collapsed="false">
      <c r="A1249" s="0" t="s">
        <v>7935</v>
      </c>
      <c r="B1249" s="0" t="s">
        <v>7936</v>
      </c>
      <c r="C1249" s="0" t="s">
        <v>389</v>
      </c>
      <c r="D1249" s="0" t="s">
        <v>5023</v>
      </c>
      <c r="E1249" s="0" t="s">
        <v>5024</v>
      </c>
      <c r="F1249" s="0" t="s">
        <v>5024</v>
      </c>
      <c r="G1249" s="0" t="s">
        <v>4100</v>
      </c>
      <c r="H1249" s="0" t="s">
        <v>7773</v>
      </c>
      <c r="I1249" s="0" t="s">
        <v>7931</v>
      </c>
      <c r="J1249" s="0" t="s">
        <v>7932</v>
      </c>
      <c r="K1249" s="0" t="s">
        <v>5260</v>
      </c>
    </row>
    <row r="1250" customFormat="false" ht="12.8" hidden="false" customHeight="false" outlineLevel="0" collapsed="false">
      <c r="A1250" s="0" t="s">
        <v>7937</v>
      </c>
      <c r="B1250" s="0" t="s">
        <v>7938</v>
      </c>
      <c r="C1250" s="0" t="s">
        <v>389</v>
      </c>
      <c r="D1250" s="0" t="s">
        <v>5023</v>
      </c>
      <c r="E1250" s="0" t="s">
        <v>5024</v>
      </c>
      <c r="F1250" s="0" t="s">
        <v>5024</v>
      </c>
      <c r="G1250" s="0" t="s">
        <v>4100</v>
      </c>
      <c r="H1250" s="0" t="s">
        <v>7773</v>
      </c>
      <c r="I1250" s="0" t="s">
        <v>7931</v>
      </c>
      <c r="J1250" s="0" t="s">
        <v>7932</v>
      </c>
      <c r="K1250" s="0" t="s">
        <v>5260</v>
      </c>
    </row>
    <row r="1251" customFormat="false" ht="12.8" hidden="false" customHeight="false" outlineLevel="0" collapsed="false">
      <c r="A1251" s="0" t="s">
        <v>7939</v>
      </c>
      <c r="B1251" s="0" t="s">
        <v>7940</v>
      </c>
      <c r="C1251" s="0" t="s">
        <v>389</v>
      </c>
      <c r="D1251" s="0" t="s">
        <v>5023</v>
      </c>
      <c r="E1251" s="0" t="s">
        <v>5024</v>
      </c>
      <c r="F1251" s="0" t="s">
        <v>5024</v>
      </c>
      <c r="G1251" s="0" t="s">
        <v>4100</v>
      </c>
      <c r="H1251" s="0" t="s">
        <v>7773</v>
      </c>
      <c r="I1251" s="0" t="s">
        <v>7931</v>
      </c>
      <c r="J1251" s="0" t="s">
        <v>7932</v>
      </c>
      <c r="K1251" s="0" t="s">
        <v>5260</v>
      </c>
    </row>
    <row r="1252" customFormat="false" ht="12.8" hidden="false" customHeight="false" outlineLevel="0" collapsed="false">
      <c r="A1252" s="0" t="s">
        <v>7941</v>
      </c>
      <c r="B1252" s="0" t="s">
        <v>7942</v>
      </c>
      <c r="C1252" s="0" t="s">
        <v>389</v>
      </c>
      <c r="D1252" s="0" t="s">
        <v>5023</v>
      </c>
      <c r="E1252" s="0" t="s">
        <v>5024</v>
      </c>
      <c r="F1252" s="0" t="s">
        <v>5024</v>
      </c>
      <c r="G1252" s="0" t="s">
        <v>4100</v>
      </c>
      <c r="H1252" s="0" t="s">
        <v>7773</v>
      </c>
      <c r="I1252" s="0" t="s">
        <v>7931</v>
      </c>
      <c r="J1252" s="0" t="s">
        <v>7932</v>
      </c>
      <c r="K1252" s="0" t="s">
        <v>5260</v>
      </c>
    </row>
    <row r="1253" customFormat="false" ht="12.8" hidden="false" customHeight="false" outlineLevel="0" collapsed="false">
      <c r="A1253" s="0" t="s">
        <v>7943</v>
      </c>
      <c r="B1253" s="0" t="s">
        <v>7944</v>
      </c>
      <c r="C1253" s="0" t="s">
        <v>389</v>
      </c>
      <c r="D1253" s="0" t="s">
        <v>5023</v>
      </c>
      <c r="E1253" s="0" t="s">
        <v>5024</v>
      </c>
      <c r="F1253" s="0" t="s">
        <v>5024</v>
      </c>
      <c r="G1253" s="0" t="s">
        <v>4100</v>
      </c>
      <c r="H1253" s="0" t="s">
        <v>7773</v>
      </c>
      <c r="I1253" s="0" t="s">
        <v>7931</v>
      </c>
      <c r="J1253" s="0" t="s">
        <v>7932</v>
      </c>
      <c r="K1253" s="0" t="s">
        <v>5260</v>
      </c>
    </row>
    <row r="1254" customFormat="false" ht="12.8" hidden="false" customHeight="false" outlineLevel="0" collapsed="false">
      <c r="A1254" s="0" t="s">
        <v>7945</v>
      </c>
      <c r="B1254" s="0" t="s">
        <v>7946</v>
      </c>
      <c r="C1254" s="0" t="s">
        <v>174</v>
      </c>
      <c r="D1254" s="0" t="s">
        <v>5023</v>
      </c>
      <c r="E1254" s="0" t="s">
        <v>5024</v>
      </c>
      <c r="F1254" s="0" t="s">
        <v>5024</v>
      </c>
      <c r="G1254" s="0" t="s">
        <v>1155</v>
      </c>
      <c r="H1254" s="0" t="s">
        <v>1156</v>
      </c>
      <c r="I1254" s="0" t="s">
        <v>7947</v>
      </c>
      <c r="J1254" s="0" t="s">
        <v>7948</v>
      </c>
      <c r="K1254" s="444" t="s">
        <v>7949</v>
      </c>
    </row>
    <row r="1255" customFormat="false" ht="12.8" hidden="false" customHeight="false" outlineLevel="0" collapsed="false">
      <c r="A1255" s="0" t="s">
        <v>7950</v>
      </c>
      <c r="B1255" s="0" t="s">
        <v>7951</v>
      </c>
      <c r="C1255" s="0" t="s">
        <v>174</v>
      </c>
      <c r="D1255" s="0" t="s">
        <v>5061</v>
      </c>
      <c r="E1255" s="0" t="s">
        <v>5062</v>
      </c>
      <c r="F1255" s="0" t="s">
        <v>5062</v>
      </c>
      <c r="G1255" s="0" t="s">
        <v>1155</v>
      </c>
      <c r="H1255" s="0" t="s">
        <v>1156</v>
      </c>
      <c r="I1255" s="0" t="s">
        <v>7947</v>
      </c>
      <c r="J1255" s="0" t="s">
        <v>7948</v>
      </c>
      <c r="K1255" s="444" t="s">
        <v>7949</v>
      </c>
    </row>
    <row r="1256" customFormat="false" ht="12.8" hidden="false" customHeight="false" outlineLevel="0" collapsed="false">
      <c r="A1256" s="0" t="s">
        <v>7952</v>
      </c>
      <c r="B1256" s="0" t="s">
        <v>7953</v>
      </c>
      <c r="C1256" s="0" t="s">
        <v>174</v>
      </c>
      <c r="D1256" s="0" t="s">
        <v>5023</v>
      </c>
      <c r="E1256" s="0" t="s">
        <v>5024</v>
      </c>
      <c r="F1256" s="0" t="s">
        <v>5024</v>
      </c>
      <c r="G1256" s="0" t="s">
        <v>1155</v>
      </c>
      <c r="H1256" s="0" t="s">
        <v>1156</v>
      </c>
      <c r="I1256" s="0" t="s">
        <v>7947</v>
      </c>
      <c r="J1256" s="0" t="s">
        <v>7948</v>
      </c>
      <c r="K1256" s="444" t="s">
        <v>7949</v>
      </c>
    </row>
    <row r="1257" customFormat="false" ht="12.8" hidden="false" customHeight="false" outlineLevel="0" collapsed="false">
      <c r="A1257" s="0" t="s">
        <v>7954</v>
      </c>
      <c r="B1257" s="0" t="s">
        <v>7955</v>
      </c>
      <c r="C1257" s="0" t="s">
        <v>174</v>
      </c>
      <c r="D1257" s="0" t="s">
        <v>5023</v>
      </c>
      <c r="E1257" s="0" t="s">
        <v>5024</v>
      </c>
      <c r="F1257" s="0" t="s">
        <v>5024</v>
      </c>
      <c r="G1257" s="0" t="s">
        <v>1155</v>
      </c>
      <c r="H1257" s="0" t="s">
        <v>1156</v>
      </c>
      <c r="I1257" s="0" t="s">
        <v>7947</v>
      </c>
      <c r="J1257" s="0" t="s">
        <v>7948</v>
      </c>
      <c r="K1257" s="444" t="s">
        <v>7949</v>
      </c>
    </row>
    <row r="1258" customFormat="false" ht="12.8" hidden="false" customHeight="false" outlineLevel="0" collapsed="false">
      <c r="A1258" s="0" t="s">
        <v>7956</v>
      </c>
      <c r="B1258" s="0" t="s">
        <v>7957</v>
      </c>
      <c r="C1258" s="0" t="s">
        <v>174</v>
      </c>
      <c r="D1258" s="0" t="s">
        <v>5057</v>
      </c>
      <c r="E1258" s="0" t="s">
        <v>5058</v>
      </c>
      <c r="F1258" s="0" t="s">
        <v>5058</v>
      </c>
      <c r="G1258" s="0" t="s">
        <v>1155</v>
      </c>
      <c r="H1258" s="0" t="s">
        <v>1156</v>
      </c>
      <c r="I1258" s="0" t="s">
        <v>7947</v>
      </c>
      <c r="J1258" s="0" t="s">
        <v>7948</v>
      </c>
      <c r="K1258" s="444" t="s">
        <v>7949</v>
      </c>
    </row>
    <row r="1259" customFormat="false" ht="12.8" hidden="false" customHeight="false" outlineLevel="0" collapsed="false">
      <c r="A1259" s="0" t="s">
        <v>7958</v>
      </c>
      <c r="B1259" s="0" t="s">
        <v>7959</v>
      </c>
      <c r="C1259" s="0" t="s">
        <v>275</v>
      </c>
      <c r="D1259" s="0" t="s">
        <v>5061</v>
      </c>
      <c r="E1259" s="0" t="s">
        <v>5062</v>
      </c>
      <c r="F1259" s="0" t="s">
        <v>5062</v>
      </c>
      <c r="G1259" s="0" t="s">
        <v>4878</v>
      </c>
      <c r="H1259" s="0" t="s">
        <v>1995</v>
      </c>
      <c r="I1259" s="0" t="s">
        <v>7960</v>
      </c>
    </row>
    <row r="1260" customFormat="false" ht="12.8" hidden="false" customHeight="false" outlineLevel="0" collapsed="false">
      <c r="A1260" s="0" t="s">
        <v>7961</v>
      </c>
      <c r="B1260" s="0" t="s">
        <v>7962</v>
      </c>
      <c r="C1260" s="0" t="s">
        <v>275</v>
      </c>
      <c r="D1260" s="0" t="s">
        <v>5061</v>
      </c>
      <c r="E1260" s="0" t="s">
        <v>5062</v>
      </c>
      <c r="F1260" s="0" t="s">
        <v>5062</v>
      </c>
      <c r="G1260" s="0" t="s">
        <v>4878</v>
      </c>
      <c r="H1260" s="0" t="s">
        <v>2100</v>
      </c>
      <c r="I1260" s="0" t="s">
        <v>7960</v>
      </c>
    </row>
    <row r="1261" customFormat="false" ht="12.8" hidden="false" customHeight="false" outlineLevel="0" collapsed="false">
      <c r="A1261" s="0" t="s">
        <v>7963</v>
      </c>
      <c r="B1261" s="0" t="s">
        <v>7964</v>
      </c>
      <c r="C1261" s="0" t="s">
        <v>273</v>
      </c>
      <c r="D1261" s="0" t="s">
        <v>5174</v>
      </c>
      <c r="E1261" s="0" t="s">
        <v>5062</v>
      </c>
      <c r="F1261" s="0" t="s">
        <v>5175</v>
      </c>
      <c r="G1261" s="0" t="s">
        <v>1883</v>
      </c>
      <c r="H1261" s="0" t="s">
        <v>2100</v>
      </c>
      <c r="I1261" s="0" t="s">
        <v>7965</v>
      </c>
      <c r="J1261" s="0" t="s">
        <v>7966</v>
      </c>
      <c r="K1261" s="444" t="s">
        <v>7967</v>
      </c>
      <c r="L1261" s="444" t="s">
        <v>7968</v>
      </c>
    </row>
    <row r="1262" customFormat="false" ht="12.8" hidden="false" customHeight="false" outlineLevel="0" collapsed="false">
      <c r="A1262" s="0" t="s">
        <v>7969</v>
      </c>
      <c r="B1262" s="0" t="s">
        <v>7970</v>
      </c>
      <c r="C1262" s="0" t="s">
        <v>268</v>
      </c>
      <c r="D1262" s="0" t="s">
        <v>5057</v>
      </c>
      <c r="E1262" s="0" t="s">
        <v>5058</v>
      </c>
      <c r="F1262" s="0" t="s">
        <v>5058</v>
      </c>
      <c r="G1262" s="0" t="s">
        <v>1883</v>
      </c>
      <c r="H1262" s="0" t="s">
        <v>2100</v>
      </c>
      <c r="I1262" s="0" t="s">
        <v>7965</v>
      </c>
      <c r="J1262" s="0" t="s">
        <v>7966</v>
      </c>
    </row>
    <row r="1263" customFormat="false" ht="12.8" hidden="false" customHeight="false" outlineLevel="0" collapsed="false">
      <c r="A1263" s="0" t="s">
        <v>7971</v>
      </c>
      <c r="B1263" s="0" t="s">
        <v>7972</v>
      </c>
      <c r="C1263" s="0" t="s">
        <v>269</v>
      </c>
      <c r="D1263" s="0" t="s">
        <v>5174</v>
      </c>
      <c r="E1263" s="0" t="s">
        <v>5062</v>
      </c>
      <c r="F1263" s="0" t="s">
        <v>5175</v>
      </c>
      <c r="G1263" s="0" t="s">
        <v>1883</v>
      </c>
      <c r="H1263" s="0" t="s">
        <v>2100</v>
      </c>
      <c r="I1263" s="0" t="s">
        <v>7965</v>
      </c>
      <c r="J1263" s="0" t="s">
        <v>7966</v>
      </c>
    </row>
    <row r="1264" customFormat="false" ht="12.8" hidden="false" customHeight="false" outlineLevel="0" collapsed="false">
      <c r="A1264" s="0" t="s">
        <v>7973</v>
      </c>
      <c r="B1264" s="0" t="s">
        <v>7974</v>
      </c>
      <c r="C1264" s="0" t="s">
        <v>270</v>
      </c>
      <c r="D1264" s="0" t="s">
        <v>5174</v>
      </c>
      <c r="E1264" s="0" t="s">
        <v>5062</v>
      </c>
      <c r="F1264" s="0" t="s">
        <v>5175</v>
      </c>
      <c r="G1264" s="0" t="s">
        <v>1883</v>
      </c>
      <c r="H1264" s="0" t="s">
        <v>2100</v>
      </c>
      <c r="I1264" s="0" t="s">
        <v>7965</v>
      </c>
      <c r="J1264" s="0" t="s">
        <v>7966</v>
      </c>
    </row>
    <row r="1265" customFormat="false" ht="12.8" hidden="false" customHeight="false" outlineLevel="0" collapsed="false">
      <c r="A1265" s="0" t="s">
        <v>7975</v>
      </c>
      <c r="B1265" s="0" t="s">
        <v>7976</v>
      </c>
      <c r="C1265" s="0" t="s">
        <v>268</v>
      </c>
      <c r="D1265" s="0" t="s">
        <v>5057</v>
      </c>
      <c r="E1265" s="0" t="s">
        <v>5058</v>
      </c>
      <c r="F1265" s="0" t="s">
        <v>5058</v>
      </c>
      <c r="G1265" s="0" t="s">
        <v>1883</v>
      </c>
      <c r="H1265" s="0" t="s">
        <v>2100</v>
      </c>
      <c r="I1265" s="0" t="s">
        <v>7965</v>
      </c>
      <c r="J1265" s="0" t="s">
        <v>7966</v>
      </c>
    </row>
    <row r="1266" customFormat="false" ht="12.8" hidden="false" customHeight="false" outlineLevel="0" collapsed="false">
      <c r="A1266" s="0" t="s">
        <v>7977</v>
      </c>
      <c r="B1266" s="0" t="s">
        <v>7978</v>
      </c>
      <c r="C1266" s="0" t="s">
        <v>271</v>
      </c>
      <c r="D1266" s="0" t="s">
        <v>5174</v>
      </c>
      <c r="E1266" s="0" t="s">
        <v>5062</v>
      </c>
      <c r="F1266" s="0" t="s">
        <v>5175</v>
      </c>
      <c r="G1266" s="0" t="s">
        <v>1883</v>
      </c>
      <c r="H1266" s="0" t="s">
        <v>2100</v>
      </c>
      <c r="I1266" s="0" t="s">
        <v>7965</v>
      </c>
      <c r="J1266" s="0" t="s">
        <v>7966</v>
      </c>
    </row>
    <row r="1267" customFormat="false" ht="12.8" hidden="false" customHeight="false" outlineLevel="0" collapsed="false">
      <c r="A1267" s="0" t="s">
        <v>7979</v>
      </c>
      <c r="B1267" s="0" t="s">
        <v>7980</v>
      </c>
      <c r="C1267" s="0" t="s">
        <v>272</v>
      </c>
      <c r="D1267" s="0" t="s">
        <v>5174</v>
      </c>
      <c r="E1267" s="0" t="s">
        <v>5062</v>
      </c>
      <c r="F1267" s="0" t="s">
        <v>5175</v>
      </c>
      <c r="G1267" s="0" t="s">
        <v>1883</v>
      </c>
      <c r="H1267" s="0" t="s">
        <v>2100</v>
      </c>
      <c r="I1267" s="0" t="s">
        <v>7965</v>
      </c>
      <c r="J1267" s="0" t="s">
        <v>7966</v>
      </c>
    </row>
    <row r="1268" customFormat="false" ht="12.8" hidden="false" customHeight="false" outlineLevel="0" collapsed="false">
      <c r="A1268" s="0" t="s">
        <v>7981</v>
      </c>
      <c r="B1268" s="0" t="s">
        <v>7982</v>
      </c>
      <c r="C1268" s="0" t="s">
        <v>102</v>
      </c>
      <c r="D1268" s="0" t="s">
        <v>5057</v>
      </c>
      <c r="E1268" s="0" t="s">
        <v>5058</v>
      </c>
      <c r="F1268" s="0" t="s">
        <v>5058</v>
      </c>
      <c r="G1268" s="0" t="s">
        <v>7983</v>
      </c>
      <c r="H1268" s="0" t="s">
        <v>4870</v>
      </c>
      <c r="I1268" s="0" t="s">
        <v>7984</v>
      </c>
    </row>
    <row r="1269" customFormat="false" ht="12.8" hidden="false" customHeight="false" outlineLevel="0" collapsed="false">
      <c r="A1269" s="0" t="s">
        <v>7985</v>
      </c>
      <c r="B1269" s="0" t="s">
        <v>7986</v>
      </c>
      <c r="C1269" s="0" t="s">
        <v>291</v>
      </c>
      <c r="D1269" s="0" t="s">
        <v>5061</v>
      </c>
      <c r="E1269" s="0" t="s">
        <v>5062</v>
      </c>
      <c r="F1269" s="0" t="s">
        <v>5062</v>
      </c>
      <c r="G1269" s="0" t="s">
        <v>4869</v>
      </c>
      <c r="H1269" s="0" t="s">
        <v>7987</v>
      </c>
      <c r="I1269" s="0" t="s">
        <v>7988</v>
      </c>
    </row>
    <row r="1270" customFormat="false" ht="12.8" hidden="false" customHeight="false" outlineLevel="0" collapsed="false">
      <c r="A1270" s="0" t="s">
        <v>7989</v>
      </c>
      <c r="B1270" s="0" t="s">
        <v>7990</v>
      </c>
      <c r="C1270" s="0" t="s">
        <v>4</v>
      </c>
      <c r="D1270" s="0" t="s">
        <v>5023</v>
      </c>
      <c r="E1270" s="0" t="s">
        <v>5024</v>
      </c>
      <c r="F1270" s="0" t="s">
        <v>5024</v>
      </c>
      <c r="G1270" s="0" t="s">
        <v>1155</v>
      </c>
      <c r="H1270" s="0" t="s">
        <v>1156</v>
      </c>
      <c r="I1270" s="0" t="s">
        <v>7991</v>
      </c>
      <c r="J1270" s="0" t="s">
        <v>7992</v>
      </c>
      <c r="K1270" s="0" t="s">
        <v>7993</v>
      </c>
    </row>
    <row r="1271" customFormat="false" ht="12.8" hidden="false" customHeight="false" outlineLevel="0" collapsed="false">
      <c r="A1271" s="0" t="s">
        <v>7994</v>
      </c>
      <c r="B1271" s="0" t="s">
        <v>7995</v>
      </c>
      <c r="C1271" s="0" t="s">
        <v>4</v>
      </c>
      <c r="D1271" s="0" t="s">
        <v>5061</v>
      </c>
      <c r="E1271" s="0" t="s">
        <v>5062</v>
      </c>
      <c r="F1271" s="0" t="s">
        <v>5062</v>
      </c>
      <c r="G1271" s="0" t="s">
        <v>1155</v>
      </c>
      <c r="H1271" s="0" t="s">
        <v>1156</v>
      </c>
      <c r="I1271" s="0" t="s">
        <v>7991</v>
      </c>
      <c r="J1271" s="0" t="s">
        <v>7992</v>
      </c>
      <c r="K1271" s="0" t="s">
        <v>7993</v>
      </c>
    </row>
    <row r="1272" customFormat="false" ht="12.8" hidden="false" customHeight="false" outlineLevel="0" collapsed="false">
      <c r="A1272" s="0" t="s">
        <v>7996</v>
      </c>
      <c r="B1272" s="0" t="s">
        <v>7997</v>
      </c>
      <c r="C1272" s="0" t="s">
        <v>4</v>
      </c>
      <c r="D1272" s="0" t="s">
        <v>5023</v>
      </c>
      <c r="E1272" s="0" t="s">
        <v>5024</v>
      </c>
      <c r="F1272" s="0" t="s">
        <v>5024</v>
      </c>
      <c r="G1272" s="0" t="s">
        <v>1155</v>
      </c>
      <c r="H1272" s="0" t="s">
        <v>1156</v>
      </c>
      <c r="I1272" s="0" t="s">
        <v>7991</v>
      </c>
      <c r="J1272" s="0" t="s">
        <v>7992</v>
      </c>
      <c r="K1272" s="0" t="s">
        <v>7993</v>
      </c>
    </row>
    <row r="1273" customFormat="false" ht="12.8" hidden="false" customHeight="false" outlineLevel="0" collapsed="false">
      <c r="A1273" s="0" t="s">
        <v>7998</v>
      </c>
      <c r="B1273" s="0" t="s">
        <v>7999</v>
      </c>
      <c r="C1273" s="0" t="s">
        <v>4</v>
      </c>
      <c r="D1273" s="0" t="s">
        <v>5023</v>
      </c>
      <c r="E1273" s="0" t="s">
        <v>5024</v>
      </c>
      <c r="F1273" s="0" t="s">
        <v>5024</v>
      </c>
      <c r="G1273" s="0" t="s">
        <v>1155</v>
      </c>
      <c r="H1273" s="0" t="s">
        <v>1156</v>
      </c>
      <c r="I1273" s="0" t="s">
        <v>7991</v>
      </c>
      <c r="J1273" s="0" t="s">
        <v>7992</v>
      </c>
      <c r="K1273" s="0" t="s">
        <v>7993</v>
      </c>
    </row>
    <row r="1274" customFormat="false" ht="12.8" hidden="false" customHeight="false" outlineLevel="0" collapsed="false">
      <c r="A1274" s="0" t="s">
        <v>8000</v>
      </c>
      <c r="B1274" s="0" t="s">
        <v>8001</v>
      </c>
      <c r="C1274" s="0" t="s">
        <v>4</v>
      </c>
      <c r="D1274" s="0" t="s">
        <v>5057</v>
      </c>
      <c r="E1274" s="0" t="s">
        <v>5058</v>
      </c>
      <c r="F1274" s="0" t="s">
        <v>5058</v>
      </c>
      <c r="G1274" s="0" t="s">
        <v>1155</v>
      </c>
      <c r="H1274" s="0" t="s">
        <v>1156</v>
      </c>
      <c r="I1274" s="0" t="s">
        <v>7991</v>
      </c>
      <c r="J1274" s="0" t="s">
        <v>7992</v>
      </c>
      <c r="K1274" s="0" t="s">
        <v>7993</v>
      </c>
    </row>
    <row r="1275" customFormat="false" ht="12.8" hidden="false" customHeight="false" outlineLevel="0" collapsed="false">
      <c r="A1275" s="0" t="s">
        <v>8002</v>
      </c>
      <c r="B1275" s="0" t="s">
        <v>8003</v>
      </c>
      <c r="C1275" s="0" t="s">
        <v>199</v>
      </c>
      <c r="D1275" s="0" t="s">
        <v>5061</v>
      </c>
      <c r="E1275" s="0" t="s">
        <v>5062</v>
      </c>
      <c r="F1275" s="0" t="s">
        <v>5062</v>
      </c>
      <c r="G1275" s="0" t="s">
        <v>2515</v>
      </c>
      <c r="H1275" s="0" t="s">
        <v>3002</v>
      </c>
      <c r="I1275" s="0" t="s">
        <v>8004</v>
      </c>
      <c r="J1275" s="0" t="s">
        <v>8005</v>
      </c>
      <c r="K1275" s="444" t="s">
        <v>8006</v>
      </c>
    </row>
    <row r="1276" customFormat="false" ht="12.8" hidden="false" customHeight="false" outlineLevel="0" collapsed="false">
      <c r="A1276" s="0" t="s">
        <v>8007</v>
      </c>
      <c r="B1276" s="0" t="s">
        <v>8008</v>
      </c>
      <c r="C1276" s="0" t="s">
        <v>199</v>
      </c>
      <c r="D1276" s="0" t="s">
        <v>5023</v>
      </c>
      <c r="E1276" s="0" t="s">
        <v>5024</v>
      </c>
      <c r="F1276" s="0" t="s">
        <v>5024</v>
      </c>
      <c r="G1276" s="0" t="s">
        <v>2515</v>
      </c>
      <c r="H1276" s="0" t="s">
        <v>3002</v>
      </c>
      <c r="I1276" s="0" t="s">
        <v>8004</v>
      </c>
      <c r="J1276" s="0" t="s">
        <v>8005</v>
      </c>
      <c r="K1276" s="444" t="s">
        <v>8006</v>
      </c>
    </row>
    <row r="1277" customFormat="false" ht="12.8" hidden="false" customHeight="false" outlineLevel="0" collapsed="false">
      <c r="A1277" s="0" t="s">
        <v>8009</v>
      </c>
      <c r="B1277" s="0" t="s">
        <v>8010</v>
      </c>
      <c r="C1277" s="0" t="s">
        <v>199</v>
      </c>
      <c r="D1277" s="0" t="s">
        <v>5023</v>
      </c>
      <c r="E1277" s="0" t="s">
        <v>5024</v>
      </c>
      <c r="F1277" s="0" t="s">
        <v>5024</v>
      </c>
      <c r="G1277" s="0" t="s">
        <v>2515</v>
      </c>
      <c r="H1277" s="0" t="s">
        <v>3002</v>
      </c>
      <c r="I1277" s="0" t="s">
        <v>8004</v>
      </c>
      <c r="J1277" s="0" t="s">
        <v>8005</v>
      </c>
      <c r="K1277" s="444" t="s">
        <v>8006</v>
      </c>
    </row>
    <row r="1278" customFormat="false" ht="12.8" hidden="false" customHeight="false" outlineLevel="0" collapsed="false">
      <c r="A1278" s="0" t="s">
        <v>8011</v>
      </c>
      <c r="B1278" s="0" t="s">
        <v>8012</v>
      </c>
      <c r="C1278" s="0" t="s">
        <v>199</v>
      </c>
      <c r="D1278" s="0" t="s">
        <v>5023</v>
      </c>
      <c r="E1278" s="0" t="s">
        <v>5024</v>
      </c>
      <c r="F1278" s="0" t="s">
        <v>5024</v>
      </c>
      <c r="G1278" s="0" t="s">
        <v>2515</v>
      </c>
      <c r="H1278" s="0" t="s">
        <v>3002</v>
      </c>
      <c r="I1278" s="0" t="s">
        <v>8004</v>
      </c>
      <c r="J1278" s="0" t="s">
        <v>8005</v>
      </c>
      <c r="K1278" s="444" t="s">
        <v>8006</v>
      </c>
    </row>
    <row r="1279" customFormat="false" ht="12.8" hidden="false" customHeight="false" outlineLevel="0" collapsed="false">
      <c r="A1279" s="0" t="s">
        <v>8013</v>
      </c>
      <c r="B1279" s="0" t="s">
        <v>8014</v>
      </c>
      <c r="C1279" s="0" t="s">
        <v>199</v>
      </c>
      <c r="D1279" s="0" t="s">
        <v>5023</v>
      </c>
      <c r="E1279" s="0" t="s">
        <v>5024</v>
      </c>
      <c r="F1279" s="0" t="s">
        <v>5024</v>
      </c>
      <c r="G1279" s="0" t="s">
        <v>2515</v>
      </c>
      <c r="H1279" s="0" t="s">
        <v>3002</v>
      </c>
      <c r="I1279" s="0" t="s">
        <v>8004</v>
      </c>
      <c r="J1279" s="0" t="s">
        <v>8005</v>
      </c>
      <c r="K1279" s="444" t="s">
        <v>8006</v>
      </c>
    </row>
    <row r="1280" customFormat="false" ht="12.8" hidden="false" customHeight="false" outlineLevel="0" collapsed="false">
      <c r="A1280" s="0" t="s">
        <v>8015</v>
      </c>
      <c r="B1280" s="0" t="s">
        <v>8016</v>
      </c>
      <c r="C1280" s="0" t="s">
        <v>199</v>
      </c>
      <c r="D1280" s="0" t="s">
        <v>5023</v>
      </c>
      <c r="E1280" s="0" t="s">
        <v>5024</v>
      </c>
      <c r="F1280" s="0" t="s">
        <v>5024</v>
      </c>
      <c r="G1280" s="0" t="s">
        <v>2515</v>
      </c>
      <c r="H1280" s="0" t="s">
        <v>3002</v>
      </c>
      <c r="I1280" s="0" t="s">
        <v>8004</v>
      </c>
      <c r="J1280" s="0" t="s">
        <v>8005</v>
      </c>
      <c r="K1280" s="444" t="s">
        <v>8006</v>
      </c>
    </row>
    <row r="1281" customFormat="false" ht="12.8" hidden="false" customHeight="false" outlineLevel="0" collapsed="false">
      <c r="A1281" s="0" t="s">
        <v>8017</v>
      </c>
      <c r="B1281" s="0" t="s">
        <v>8018</v>
      </c>
      <c r="C1281" s="0" t="s">
        <v>199</v>
      </c>
      <c r="D1281" s="0" t="s">
        <v>5023</v>
      </c>
      <c r="E1281" s="0" t="s">
        <v>5024</v>
      </c>
      <c r="F1281" s="0" t="s">
        <v>5024</v>
      </c>
      <c r="G1281" s="0" t="s">
        <v>2515</v>
      </c>
      <c r="H1281" s="0" t="s">
        <v>3002</v>
      </c>
      <c r="I1281" s="0" t="s">
        <v>8004</v>
      </c>
      <c r="J1281" s="0" t="s">
        <v>8005</v>
      </c>
      <c r="K1281" s="444" t="s">
        <v>8006</v>
      </c>
    </row>
    <row r="1282" customFormat="false" ht="12.8" hidden="false" customHeight="false" outlineLevel="0" collapsed="false">
      <c r="A1282" s="0" t="s">
        <v>8019</v>
      </c>
      <c r="B1282" s="0" t="s">
        <v>8020</v>
      </c>
      <c r="C1282" s="0" t="s">
        <v>219</v>
      </c>
      <c r="D1282" s="0" t="s">
        <v>5061</v>
      </c>
      <c r="E1282" s="0" t="s">
        <v>5062</v>
      </c>
      <c r="F1282" s="0" t="s">
        <v>5062</v>
      </c>
      <c r="G1282" s="0" t="s">
        <v>3278</v>
      </c>
      <c r="H1282" s="0" t="s">
        <v>3434</v>
      </c>
      <c r="I1282" s="0" t="s">
        <v>8021</v>
      </c>
      <c r="J1282" s="0" t="s">
        <v>8022</v>
      </c>
      <c r="K1282" s="0" t="s">
        <v>7993</v>
      </c>
    </row>
    <row r="1283" customFormat="false" ht="12.8" hidden="false" customHeight="false" outlineLevel="0" collapsed="false">
      <c r="A1283" s="0" t="s">
        <v>8023</v>
      </c>
      <c r="B1283" s="0" t="s">
        <v>8024</v>
      </c>
      <c r="C1283" s="0" t="s">
        <v>219</v>
      </c>
      <c r="D1283" s="0" t="s">
        <v>5023</v>
      </c>
      <c r="E1283" s="0" t="s">
        <v>5024</v>
      </c>
      <c r="F1283" s="0" t="s">
        <v>5024</v>
      </c>
      <c r="G1283" s="0" t="s">
        <v>3278</v>
      </c>
      <c r="H1283" s="0" t="s">
        <v>3434</v>
      </c>
      <c r="I1283" s="0" t="s">
        <v>8021</v>
      </c>
      <c r="J1283" s="0" t="s">
        <v>8022</v>
      </c>
      <c r="K1283" s="0" t="s">
        <v>7993</v>
      </c>
    </row>
    <row r="1284" customFormat="false" ht="12.8" hidden="false" customHeight="false" outlineLevel="0" collapsed="false">
      <c r="A1284" s="0" t="s">
        <v>8025</v>
      </c>
      <c r="B1284" s="0" t="s">
        <v>8026</v>
      </c>
      <c r="C1284" s="0" t="s">
        <v>219</v>
      </c>
      <c r="D1284" s="0" t="s">
        <v>5023</v>
      </c>
      <c r="E1284" s="0" t="s">
        <v>5024</v>
      </c>
      <c r="F1284" s="0" t="s">
        <v>5024</v>
      </c>
      <c r="G1284" s="0" t="s">
        <v>3278</v>
      </c>
      <c r="H1284" s="0" t="s">
        <v>3434</v>
      </c>
      <c r="I1284" s="0" t="s">
        <v>8021</v>
      </c>
      <c r="J1284" s="0" t="s">
        <v>8022</v>
      </c>
      <c r="K1284" s="0" t="s">
        <v>7993</v>
      </c>
    </row>
    <row r="1285" customFormat="false" ht="12.8" hidden="false" customHeight="false" outlineLevel="0" collapsed="false">
      <c r="A1285" s="0" t="s">
        <v>8027</v>
      </c>
      <c r="B1285" s="0" t="s">
        <v>8028</v>
      </c>
      <c r="C1285" s="0" t="s">
        <v>219</v>
      </c>
      <c r="D1285" s="0" t="s">
        <v>5023</v>
      </c>
      <c r="E1285" s="0" t="s">
        <v>5024</v>
      </c>
      <c r="F1285" s="0" t="s">
        <v>5024</v>
      </c>
      <c r="G1285" s="0" t="s">
        <v>3278</v>
      </c>
      <c r="H1285" s="0" t="s">
        <v>3434</v>
      </c>
      <c r="I1285" s="0" t="s">
        <v>8021</v>
      </c>
      <c r="J1285" s="0" t="s">
        <v>8022</v>
      </c>
      <c r="K1285" s="0" t="s">
        <v>7993</v>
      </c>
    </row>
    <row r="1286" customFormat="false" ht="12.8" hidden="false" customHeight="false" outlineLevel="0" collapsed="false">
      <c r="A1286" s="0" t="s">
        <v>8029</v>
      </c>
      <c r="B1286" s="0" t="s">
        <v>8030</v>
      </c>
      <c r="C1286" s="0" t="s">
        <v>43</v>
      </c>
      <c r="D1286" s="0" t="s">
        <v>5057</v>
      </c>
      <c r="E1286" s="0" t="s">
        <v>5058</v>
      </c>
      <c r="F1286" s="0" t="s">
        <v>5058</v>
      </c>
      <c r="G1286" s="0" t="s">
        <v>3278</v>
      </c>
      <c r="H1286" s="0" t="s">
        <v>3434</v>
      </c>
      <c r="I1286" s="0" t="s">
        <v>8031</v>
      </c>
      <c r="J1286" s="0" t="s">
        <v>8032</v>
      </c>
      <c r="K1286" s="0" t="s">
        <v>7993</v>
      </c>
    </row>
    <row r="1287" customFormat="false" ht="12.8" hidden="false" customHeight="false" outlineLevel="0" collapsed="false">
      <c r="A1287" s="0" t="s">
        <v>8033</v>
      </c>
      <c r="B1287" s="0" t="s">
        <v>8034</v>
      </c>
      <c r="C1287" s="0" t="s">
        <v>43</v>
      </c>
      <c r="D1287" s="0" t="s">
        <v>5061</v>
      </c>
      <c r="E1287" s="0" t="s">
        <v>5062</v>
      </c>
      <c r="F1287" s="0" t="s">
        <v>5062</v>
      </c>
      <c r="G1287" s="0" t="s">
        <v>3278</v>
      </c>
      <c r="H1287" s="0" t="s">
        <v>3434</v>
      </c>
      <c r="I1287" s="0" t="s">
        <v>8031</v>
      </c>
      <c r="J1287" s="0" t="s">
        <v>8032</v>
      </c>
      <c r="K1287" s="0" t="s">
        <v>7993</v>
      </c>
    </row>
    <row r="1288" customFormat="false" ht="12.8" hidden="false" customHeight="false" outlineLevel="0" collapsed="false">
      <c r="A1288" s="0" t="s">
        <v>8035</v>
      </c>
      <c r="B1288" s="0" t="s">
        <v>8036</v>
      </c>
      <c r="C1288" s="0" t="s">
        <v>43</v>
      </c>
      <c r="D1288" s="0" t="s">
        <v>5023</v>
      </c>
      <c r="E1288" s="0" t="s">
        <v>5024</v>
      </c>
      <c r="F1288" s="0" t="s">
        <v>5024</v>
      </c>
      <c r="G1288" s="0" t="s">
        <v>3278</v>
      </c>
      <c r="H1288" s="0" t="s">
        <v>3434</v>
      </c>
      <c r="I1288" s="0" t="s">
        <v>8031</v>
      </c>
      <c r="J1288" s="0" t="s">
        <v>8032</v>
      </c>
      <c r="K1288" s="0" t="s">
        <v>7993</v>
      </c>
    </row>
    <row r="1289" customFormat="false" ht="12.8" hidden="false" customHeight="false" outlineLevel="0" collapsed="false">
      <c r="A1289" s="0" t="s">
        <v>8037</v>
      </c>
      <c r="B1289" s="0" t="s">
        <v>8038</v>
      </c>
      <c r="C1289" s="0" t="s">
        <v>43</v>
      </c>
      <c r="D1289" s="0" t="s">
        <v>5023</v>
      </c>
      <c r="E1289" s="0" t="s">
        <v>5024</v>
      </c>
      <c r="F1289" s="0" t="s">
        <v>5024</v>
      </c>
      <c r="G1289" s="0" t="s">
        <v>3278</v>
      </c>
      <c r="H1289" s="0" t="s">
        <v>3434</v>
      </c>
      <c r="I1289" s="0" t="s">
        <v>8031</v>
      </c>
      <c r="J1289" s="0" t="s">
        <v>8032</v>
      </c>
      <c r="K1289" s="0" t="s">
        <v>7993</v>
      </c>
    </row>
    <row r="1290" customFormat="false" ht="12.8" hidden="false" customHeight="false" outlineLevel="0" collapsed="false">
      <c r="A1290" s="0" t="s">
        <v>8039</v>
      </c>
      <c r="B1290" s="0" t="s">
        <v>8040</v>
      </c>
      <c r="C1290" s="0" t="s">
        <v>300</v>
      </c>
      <c r="D1290" s="0" t="s">
        <v>5023</v>
      </c>
      <c r="E1290" s="0" t="s">
        <v>5024</v>
      </c>
      <c r="F1290" s="0" t="s">
        <v>5024</v>
      </c>
      <c r="G1290" s="0" t="s">
        <v>3278</v>
      </c>
      <c r="H1290" s="0" t="s">
        <v>3434</v>
      </c>
      <c r="I1290" s="0" t="s">
        <v>8041</v>
      </c>
      <c r="J1290" s="0" t="s">
        <v>8042</v>
      </c>
      <c r="K1290" s="0" t="s">
        <v>7993</v>
      </c>
      <c r="L1290" s="0" t="s">
        <v>6757</v>
      </c>
    </row>
    <row r="1291" customFormat="false" ht="12.8" hidden="false" customHeight="false" outlineLevel="0" collapsed="false">
      <c r="A1291" s="0" t="s">
        <v>8043</v>
      </c>
      <c r="B1291" s="0" t="s">
        <v>8044</v>
      </c>
      <c r="C1291" s="0" t="s">
        <v>300</v>
      </c>
      <c r="D1291" s="0" t="s">
        <v>5061</v>
      </c>
      <c r="E1291" s="0" t="s">
        <v>5062</v>
      </c>
      <c r="F1291" s="0" t="s">
        <v>5062</v>
      </c>
      <c r="G1291" s="0" t="s">
        <v>3278</v>
      </c>
      <c r="H1291" s="0" t="s">
        <v>3434</v>
      </c>
      <c r="I1291" s="0" t="s">
        <v>8041</v>
      </c>
      <c r="J1291" s="0" t="s">
        <v>8042</v>
      </c>
      <c r="K1291" s="0" t="s">
        <v>7993</v>
      </c>
      <c r="L1291" s="0" t="s">
        <v>6757</v>
      </c>
    </row>
    <row r="1292" customFormat="false" ht="12.8" hidden="false" customHeight="false" outlineLevel="0" collapsed="false">
      <c r="A1292" s="0" t="s">
        <v>8045</v>
      </c>
      <c r="B1292" s="0" t="s">
        <v>8046</v>
      </c>
      <c r="C1292" s="0" t="s">
        <v>300</v>
      </c>
      <c r="D1292" s="0" t="s">
        <v>5023</v>
      </c>
      <c r="E1292" s="0" t="s">
        <v>5024</v>
      </c>
      <c r="F1292" s="0" t="s">
        <v>5024</v>
      </c>
      <c r="G1292" s="0" t="s">
        <v>3278</v>
      </c>
      <c r="H1292" s="0" t="s">
        <v>3434</v>
      </c>
      <c r="I1292" s="0" t="s">
        <v>8041</v>
      </c>
      <c r="J1292" s="0" t="s">
        <v>8042</v>
      </c>
      <c r="K1292" s="0" t="s">
        <v>7993</v>
      </c>
      <c r="L1292" s="0" t="s">
        <v>6757</v>
      </c>
    </row>
    <row r="1293" customFormat="false" ht="12.8" hidden="false" customHeight="false" outlineLevel="0" collapsed="false">
      <c r="A1293" s="0" t="s">
        <v>8047</v>
      </c>
      <c r="B1293" s="0" t="s">
        <v>8048</v>
      </c>
      <c r="C1293" s="0" t="s">
        <v>300</v>
      </c>
      <c r="D1293" s="0" t="s">
        <v>5023</v>
      </c>
      <c r="E1293" s="0" t="s">
        <v>5024</v>
      </c>
      <c r="F1293" s="0" t="s">
        <v>5024</v>
      </c>
      <c r="G1293" s="0" t="s">
        <v>3278</v>
      </c>
      <c r="H1293" s="0" t="s">
        <v>3434</v>
      </c>
      <c r="I1293" s="0" t="s">
        <v>8041</v>
      </c>
      <c r="J1293" s="0" t="s">
        <v>8042</v>
      </c>
      <c r="K1293" s="0" t="s">
        <v>7993</v>
      </c>
      <c r="L1293" s="0" t="s">
        <v>6757</v>
      </c>
    </row>
    <row r="1294" customFormat="false" ht="12.8" hidden="false" customHeight="false" outlineLevel="0" collapsed="false">
      <c r="A1294" s="0" t="s">
        <v>8049</v>
      </c>
      <c r="B1294" s="0" t="s">
        <v>8050</v>
      </c>
      <c r="C1294" s="0" t="s">
        <v>330</v>
      </c>
      <c r="D1294" s="0" t="s">
        <v>5057</v>
      </c>
      <c r="E1294" s="0" t="s">
        <v>5058</v>
      </c>
      <c r="F1294" s="0" t="s">
        <v>5058</v>
      </c>
      <c r="G1294" s="0" t="s">
        <v>3278</v>
      </c>
      <c r="H1294" s="0" t="s">
        <v>3434</v>
      </c>
      <c r="I1294" s="0" t="s">
        <v>8051</v>
      </c>
      <c r="J1294" s="0" t="s">
        <v>8052</v>
      </c>
      <c r="K1294" s="0" t="s">
        <v>7993</v>
      </c>
    </row>
    <row r="1295" customFormat="false" ht="12.8" hidden="false" customHeight="false" outlineLevel="0" collapsed="false">
      <c r="A1295" s="0" t="s">
        <v>8053</v>
      </c>
      <c r="B1295" s="0" t="s">
        <v>8054</v>
      </c>
      <c r="C1295" s="0" t="s">
        <v>330</v>
      </c>
      <c r="D1295" s="0" t="s">
        <v>5061</v>
      </c>
      <c r="E1295" s="0" t="s">
        <v>5062</v>
      </c>
      <c r="F1295" s="0" t="s">
        <v>5062</v>
      </c>
      <c r="G1295" s="0" t="s">
        <v>3278</v>
      </c>
      <c r="H1295" s="0" t="s">
        <v>3434</v>
      </c>
      <c r="I1295" s="0" t="s">
        <v>8051</v>
      </c>
      <c r="J1295" s="0" t="s">
        <v>8052</v>
      </c>
      <c r="K1295" s="0" t="s">
        <v>7993</v>
      </c>
    </row>
    <row r="1296" customFormat="false" ht="12.8" hidden="false" customHeight="false" outlineLevel="0" collapsed="false">
      <c r="A1296" s="0" t="s">
        <v>8055</v>
      </c>
      <c r="B1296" s="0" t="s">
        <v>8056</v>
      </c>
      <c r="C1296" s="0" t="s">
        <v>330</v>
      </c>
      <c r="D1296" s="0" t="s">
        <v>5023</v>
      </c>
      <c r="E1296" s="0" t="s">
        <v>5024</v>
      </c>
      <c r="F1296" s="0" t="s">
        <v>5024</v>
      </c>
      <c r="G1296" s="0" t="s">
        <v>3278</v>
      </c>
      <c r="H1296" s="0" t="s">
        <v>3434</v>
      </c>
      <c r="I1296" s="0" t="s">
        <v>8051</v>
      </c>
      <c r="J1296" s="0" t="s">
        <v>8052</v>
      </c>
      <c r="K1296" s="0" t="s">
        <v>7993</v>
      </c>
    </row>
    <row r="1297" customFormat="false" ht="12.8" hidden="false" customHeight="false" outlineLevel="0" collapsed="false">
      <c r="A1297" s="0" t="s">
        <v>8057</v>
      </c>
      <c r="B1297" s="0" t="s">
        <v>8058</v>
      </c>
      <c r="C1297" s="0" t="s">
        <v>330</v>
      </c>
      <c r="D1297" s="0" t="s">
        <v>5023</v>
      </c>
      <c r="E1297" s="0" t="s">
        <v>5024</v>
      </c>
      <c r="F1297" s="0" t="s">
        <v>5024</v>
      </c>
      <c r="G1297" s="0" t="s">
        <v>3278</v>
      </c>
      <c r="H1297" s="0" t="s">
        <v>3434</v>
      </c>
      <c r="I1297" s="0" t="s">
        <v>8051</v>
      </c>
      <c r="J1297" s="0" t="s">
        <v>8052</v>
      </c>
      <c r="K1297" s="0" t="s">
        <v>7993</v>
      </c>
    </row>
    <row r="1298" customFormat="false" ht="12.8" hidden="false" customHeight="false" outlineLevel="0" collapsed="false">
      <c r="A1298" s="0" t="s">
        <v>8059</v>
      </c>
      <c r="B1298" s="0" t="s">
        <v>8060</v>
      </c>
      <c r="C1298" s="0" t="s">
        <v>250</v>
      </c>
      <c r="D1298" s="0" t="s">
        <v>5061</v>
      </c>
      <c r="E1298" s="0" t="s">
        <v>5062</v>
      </c>
      <c r="F1298" s="0" t="s">
        <v>5062</v>
      </c>
      <c r="G1298" s="0" t="s">
        <v>1883</v>
      </c>
      <c r="H1298" s="0" t="s">
        <v>2233</v>
      </c>
      <c r="I1298" s="0" t="s">
        <v>8061</v>
      </c>
      <c r="J1298" s="0" t="s">
        <v>8062</v>
      </c>
      <c r="K1298" s="0" t="s">
        <v>7993</v>
      </c>
    </row>
    <row r="1299" customFormat="false" ht="12.8" hidden="false" customHeight="false" outlineLevel="0" collapsed="false">
      <c r="A1299" s="0" t="s">
        <v>8063</v>
      </c>
      <c r="B1299" s="0" t="s">
        <v>8064</v>
      </c>
      <c r="C1299" s="0" t="s">
        <v>250</v>
      </c>
      <c r="D1299" s="0" t="s">
        <v>5057</v>
      </c>
      <c r="E1299" s="0" t="s">
        <v>5058</v>
      </c>
      <c r="F1299" s="0" t="s">
        <v>5058</v>
      </c>
      <c r="G1299" s="0" t="s">
        <v>1883</v>
      </c>
      <c r="H1299" s="0" t="s">
        <v>2233</v>
      </c>
      <c r="I1299" s="0" t="s">
        <v>8061</v>
      </c>
      <c r="J1299" s="0" t="s">
        <v>8062</v>
      </c>
      <c r="K1299" s="0" t="s">
        <v>7993</v>
      </c>
    </row>
    <row r="1300" customFormat="false" ht="12.8" hidden="false" customHeight="false" outlineLevel="0" collapsed="false">
      <c r="A1300" s="0" t="s">
        <v>8065</v>
      </c>
      <c r="B1300" s="0" t="s">
        <v>8066</v>
      </c>
      <c r="C1300" s="0" t="s">
        <v>105</v>
      </c>
      <c r="D1300" s="0" t="s">
        <v>5057</v>
      </c>
      <c r="E1300" s="0" t="s">
        <v>5058</v>
      </c>
      <c r="F1300" s="0" t="s">
        <v>5058</v>
      </c>
      <c r="G1300" s="0" t="s">
        <v>1883</v>
      </c>
      <c r="H1300" s="0" t="s">
        <v>2233</v>
      </c>
      <c r="I1300" s="0" t="s">
        <v>8067</v>
      </c>
      <c r="J1300" s="0" t="s">
        <v>8068</v>
      </c>
      <c r="K1300" s="0" t="s">
        <v>8069</v>
      </c>
    </row>
    <row r="1301" customFormat="false" ht="12.8" hidden="false" customHeight="false" outlineLevel="0" collapsed="false">
      <c r="A1301" s="0" t="s">
        <v>8070</v>
      </c>
      <c r="B1301" s="0" t="s">
        <v>8071</v>
      </c>
      <c r="C1301" s="0" t="s">
        <v>180</v>
      </c>
      <c r="D1301" s="0" t="s">
        <v>5061</v>
      </c>
      <c r="E1301" s="0" t="s">
        <v>5062</v>
      </c>
      <c r="F1301" s="0" t="s">
        <v>5062</v>
      </c>
      <c r="G1301" s="0" t="s">
        <v>1883</v>
      </c>
      <c r="H1301" s="0" t="s">
        <v>2233</v>
      </c>
      <c r="I1301" s="0" t="s">
        <v>8072</v>
      </c>
      <c r="J1301" s="0" t="s">
        <v>8073</v>
      </c>
      <c r="K1301" s="0" t="s">
        <v>7993</v>
      </c>
    </row>
    <row r="1302" customFormat="false" ht="12.8" hidden="false" customHeight="false" outlineLevel="0" collapsed="false">
      <c r="A1302" s="0" t="s">
        <v>8074</v>
      </c>
      <c r="B1302" s="0" t="s">
        <v>8075</v>
      </c>
      <c r="C1302" s="0" t="s">
        <v>180</v>
      </c>
      <c r="D1302" s="0" t="s">
        <v>5057</v>
      </c>
      <c r="E1302" s="0" t="s">
        <v>5058</v>
      </c>
      <c r="F1302" s="0" t="s">
        <v>5058</v>
      </c>
      <c r="G1302" s="0" t="s">
        <v>1883</v>
      </c>
      <c r="H1302" s="0" t="s">
        <v>2233</v>
      </c>
      <c r="I1302" s="0" t="s">
        <v>8072</v>
      </c>
      <c r="J1302" s="0" t="s">
        <v>8073</v>
      </c>
      <c r="K1302" s="0" t="s">
        <v>7993</v>
      </c>
    </row>
    <row r="1303" customFormat="false" ht="12.8" hidden="false" customHeight="false" outlineLevel="0" collapsed="false">
      <c r="A1303" s="0" t="s">
        <v>8076</v>
      </c>
      <c r="B1303" s="0" t="s">
        <v>8077</v>
      </c>
      <c r="C1303" s="0" t="s">
        <v>415</v>
      </c>
      <c r="D1303" s="0" t="s">
        <v>5061</v>
      </c>
      <c r="E1303" s="0" t="s">
        <v>5062</v>
      </c>
      <c r="F1303" s="0" t="s">
        <v>5062</v>
      </c>
      <c r="G1303" s="0" t="s">
        <v>1883</v>
      </c>
      <c r="H1303" s="0" t="s">
        <v>2233</v>
      </c>
      <c r="I1303" s="0" t="s">
        <v>8078</v>
      </c>
      <c r="J1303" s="0" t="s">
        <v>8079</v>
      </c>
      <c r="K1303" s="0" t="s">
        <v>7993</v>
      </c>
    </row>
    <row r="1304" customFormat="false" ht="12.8" hidden="false" customHeight="false" outlineLevel="0" collapsed="false">
      <c r="A1304" s="0" t="s">
        <v>8080</v>
      </c>
      <c r="B1304" s="0" t="s">
        <v>8081</v>
      </c>
      <c r="C1304" s="0" t="s">
        <v>347</v>
      </c>
      <c r="D1304" s="0" t="s">
        <v>5061</v>
      </c>
      <c r="E1304" s="0" t="s">
        <v>5062</v>
      </c>
      <c r="F1304" s="0" t="s">
        <v>5062</v>
      </c>
      <c r="G1304" s="0" t="s">
        <v>1883</v>
      </c>
      <c r="H1304" s="0" t="s">
        <v>2233</v>
      </c>
      <c r="I1304" s="0" t="s">
        <v>8082</v>
      </c>
      <c r="J1304" s="0" t="s">
        <v>8083</v>
      </c>
      <c r="K1304" s="0" t="s">
        <v>7993</v>
      </c>
    </row>
    <row r="1305" customFormat="false" ht="12.8" hidden="false" customHeight="false" outlineLevel="0" collapsed="false">
      <c r="A1305" s="0" t="s">
        <v>8084</v>
      </c>
      <c r="B1305" s="0" t="s">
        <v>8085</v>
      </c>
      <c r="C1305" s="0" t="s">
        <v>254</v>
      </c>
      <c r="D1305" s="0" t="s">
        <v>5061</v>
      </c>
      <c r="E1305" s="0" t="s">
        <v>5062</v>
      </c>
      <c r="F1305" s="0" t="s">
        <v>5062</v>
      </c>
      <c r="G1305" s="0" t="s">
        <v>1883</v>
      </c>
      <c r="H1305" s="0" t="s">
        <v>2233</v>
      </c>
      <c r="I1305" s="0" t="s">
        <v>8086</v>
      </c>
      <c r="J1305" s="0" t="s">
        <v>8087</v>
      </c>
      <c r="K1305" s="0" t="s">
        <v>8088</v>
      </c>
    </row>
    <row r="1306" customFormat="false" ht="12.8" hidden="false" customHeight="false" outlineLevel="0" collapsed="false">
      <c r="A1306" s="0" t="s">
        <v>8089</v>
      </c>
      <c r="B1306" s="0" t="s">
        <v>8090</v>
      </c>
      <c r="C1306" s="0" t="s">
        <v>356</v>
      </c>
      <c r="D1306" s="0" t="s">
        <v>5061</v>
      </c>
      <c r="E1306" s="0" t="s">
        <v>5062</v>
      </c>
      <c r="F1306" s="0" t="s">
        <v>5062</v>
      </c>
      <c r="G1306" s="0" t="s">
        <v>1883</v>
      </c>
      <c r="H1306" s="0" t="s">
        <v>2233</v>
      </c>
      <c r="I1306" s="0" t="s">
        <v>8091</v>
      </c>
      <c r="J1306" s="0" t="s">
        <v>8092</v>
      </c>
      <c r="K1306" s="0" t="s">
        <v>7993</v>
      </c>
    </row>
    <row r="1307" customFormat="false" ht="12.8" hidden="false" customHeight="false" outlineLevel="0" collapsed="false">
      <c r="A1307" s="0" t="s">
        <v>8093</v>
      </c>
      <c r="B1307" s="0" t="s">
        <v>8094</v>
      </c>
      <c r="C1307" s="0" t="s">
        <v>328</v>
      </c>
      <c r="D1307" s="0" t="s">
        <v>5061</v>
      </c>
      <c r="E1307" s="0" t="s">
        <v>5062</v>
      </c>
      <c r="F1307" s="0" t="s">
        <v>5062</v>
      </c>
      <c r="G1307" s="0" t="s">
        <v>1883</v>
      </c>
      <c r="H1307" s="0" t="s">
        <v>2233</v>
      </c>
      <c r="I1307" s="0" t="s">
        <v>8095</v>
      </c>
      <c r="J1307" s="0" t="s">
        <v>8096</v>
      </c>
      <c r="K1307" s="0" t="s">
        <v>7993</v>
      </c>
    </row>
    <row r="1308" customFormat="false" ht="12.8" hidden="false" customHeight="false" outlineLevel="0" collapsed="false">
      <c r="A1308" s="0" t="s">
        <v>8097</v>
      </c>
      <c r="B1308" s="0" t="s">
        <v>8098</v>
      </c>
      <c r="C1308" s="0" t="s">
        <v>23</v>
      </c>
      <c r="D1308" s="0" t="s">
        <v>5023</v>
      </c>
      <c r="E1308" s="0" t="s">
        <v>5024</v>
      </c>
      <c r="F1308" s="0" t="s">
        <v>5024</v>
      </c>
      <c r="G1308" s="0" t="s">
        <v>3278</v>
      </c>
      <c r="H1308" s="0" t="s">
        <v>3741</v>
      </c>
      <c r="I1308" s="0" t="s">
        <v>8099</v>
      </c>
      <c r="J1308" s="0" t="s">
        <v>8100</v>
      </c>
      <c r="K1308" s="0" t="s">
        <v>7993</v>
      </c>
    </row>
    <row r="1309" customFormat="false" ht="12.8" hidden="false" customHeight="false" outlineLevel="0" collapsed="false">
      <c r="A1309" s="0" t="s">
        <v>8101</v>
      </c>
      <c r="B1309" s="0" t="s">
        <v>8102</v>
      </c>
      <c r="C1309" s="0" t="s">
        <v>23</v>
      </c>
      <c r="D1309" s="0" t="s">
        <v>5023</v>
      </c>
      <c r="E1309" s="0" t="s">
        <v>5024</v>
      </c>
      <c r="F1309" s="0" t="s">
        <v>5024</v>
      </c>
      <c r="G1309" s="0" t="s">
        <v>3278</v>
      </c>
      <c r="H1309" s="0" t="s">
        <v>3741</v>
      </c>
      <c r="I1309" s="0" t="s">
        <v>8099</v>
      </c>
      <c r="J1309" s="0" t="s">
        <v>8100</v>
      </c>
      <c r="K1309" s="0" t="s">
        <v>7993</v>
      </c>
    </row>
    <row r="1310" customFormat="false" ht="12.8" hidden="false" customHeight="false" outlineLevel="0" collapsed="false">
      <c r="A1310" s="0" t="s">
        <v>8103</v>
      </c>
      <c r="B1310" s="0" t="s">
        <v>8104</v>
      </c>
      <c r="C1310" s="0" t="s">
        <v>23</v>
      </c>
      <c r="D1310" s="0" t="s">
        <v>5057</v>
      </c>
      <c r="E1310" s="0" t="s">
        <v>5058</v>
      </c>
      <c r="F1310" s="0" t="s">
        <v>5058</v>
      </c>
      <c r="G1310" s="0" t="s">
        <v>3278</v>
      </c>
      <c r="H1310" s="0" t="s">
        <v>3741</v>
      </c>
      <c r="I1310" s="0" t="s">
        <v>8099</v>
      </c>
      <c r="J1310" s="0" t="s">
        <v>8100</v>
      </c>
      <c r="K1310" s="0" t="s">
        <v>7993</v>
      </c>
    </row>
    <row r="1311" customFormat="false" ht="12.8" hidden="false" customHeight="false" outlineLevel="0" collapsed="false">
      <c r="A1311" s="0" t="s">
        <v>8105</v>
      </c>
      <c r="B1311" s="0" t="s">
        <v>8106</v>
      </c>
      <c r="C1311" s="0" t="s">
        <v>23</v>
      </c>
      <c r="D1311" s="0" t="s">
        <v>5061</v>
      </c>
      <c r="E1311" s="0" t="s">
        <v>5062</v>
      </c>
      <c r="F1311" s="0" t="s">
        <v>5062</v>
      </c>
      <c r="G1311" s="0" t="s">
        <v>3278</v>
      </c>
      <c r="H1311" s="0" t="s">
        <v>3741</v>
      </c>
      <c r="I1311" s="0" t="s">
        <v>8099</v>
      </c>
      <c r="J1311" s="0" t="s">
        <v>8100</v>
      </c>
      <c r="K1311" s="0" t="s">
        <v>7993</v>
      </c>
    </row>
    <row r="1312" customFormat="false" ht="12.8" hidden="false" customHeight="false" outlineLevel="0" collapsed="false">
      <c r="A1312" s="0" t="s">
        <v>8107</v>
      </c>
      <c r="B1312" s="0" t="s">
        <v>8108</v>
      </c>
      <c r="C1312" s="0" t="s">
        <v>424</v>
      </c>
      <c r="D1312" s="0" t="s">
        <v>5023</v>
      </c>
      <c r="E1312" s="0" t="s">
        <v>5024</v>
      </c>
      <c r="F1312" s="0" t="s">
        <v>5024</v>
      </c>
      <c r="G1312" s="0" t="s">
        <v>3278</v>
      </c>
      <c r="H1312" s="0" t="s">
        <v>3741</v>
      </c>
      <c r="I1312" s="0" t="s">
        <v>8109</v>
      </c>
      <c r="J1312" s="0" t="s">
        <v>8110</v>
      </c>
      <c r="K1312" s="0" t="s">
        <v>7993</v>
      </c>
      <c r="L1312" s="0" t="s">
        <v>8111</v>
      </c>
    </row>
    <row r="1313" customFormat="false" ht="12.8" hidden="false" customHeight="false" outlineLevel="0" collapsed="false">
      <c r="A1313" s="0" t="s">
        <v>8112</v>
      </c>
      <c r="B1313" s="0" t="s">
        <v>8113</v>
      </c>
      <c r="C1313" s="0" t="s">
        <v>424</v>
      </c>
      <c r="D1313" s="0" t="s">
        <v>5023</v>
      </c>
      <c r="E1313" s="0" t="s">
        <v>5024</v>
      </c>
      <c r="F1313" s="0" t="s">
        <v>5024</v>
      </c>
      <c r="G1313" s="0" t="s">
        <v>3278</v>
      </c>
      <c r="H1313" s="0" t="s">
        <v>3741</v>
      </c>
      <c r="I1313" s="0" t="s">
        <v>8109</v>
      </c>
      <c r="J1313" s="0" t="s">
        <v>8110</v>
      </c>
      <c r="K1313" s="0" t="s">
        <v>7993</v>
      </c>
    </row>
    <row r="1314" customFormat="false" ht="12.8" hidden="false" customHeight="false" outlineLevel="0" collapsed="false">
      <c r="A1314" s="0" t="s">
        <v>8114</v>
      </c>
      <c r="B1314" s="0" t="s">
        <v>8115</v>
      </c>
      <c r="C1314" s="0" t="s">
        <v>424</v>
      </c>
      <c r="D1314" s="0" t="s">
        <v>5061</v>
      </c>
      <c r="E1314" s="0" t="s">
        <v>5062</v>
      </c>
      <c r="F1314" s="0" t="s">
        <v>5062</v>
      </c>
      <c r="G1314" s="0" t="s">
        <v>3278</v>
      </c>
      <c r="H1314" s="0" t="s">
        <v>3741</v>
      </c>
      <c r="I1314" s="0" t="s">
        <v>8109</v>
      </c>
      <c r="J1314" s="0" t="s">
        <v>8110</v>
      </c>
      <c r="K1314" s="0" t="s">
        <v>7993</v>
      </c>
    </row>
    <row r="1315" customFormat="false" ht="12.8" hidden="false" customHeight="false" outlineLevel="0" collapsed="false">
      <c r="A1315" s="0" t="s">
        <v>8116</v>
      </c>
      <c r="B1315" s="0" t="s">
        <v>8117</v>
      </c>
      <c r="C1315" s="0" t="s">
        <v>409</v>
      </c>
      <c r="D1315" s="0" t="s">
        <v>5061</v>
      </c>
      <c r="E1315" s="0" t="s">
        <v>5062</v>
      </c>
      <c r="F1315" s="0" t="s">
        <v>5062</v>
      </c>
      <c r="G1315" s="0" t="s">
        <v>1155</v>
      </c>
      <c r="H1315" s="0" t="s">
        <v>1697</v>
      </c>
      <c r="I1315" s="0" t="s">
        <v>8118</v>
      </c>
      <c r="J1315" s="0" t="s">
        <v>8119</v>
      </c>
      <c r="K1315" s="0" t="s">
        <v>7993</v>
      </c>
    </row>
    <row r="1316" customFormat="false" ht="12.8" hidden="false" customHeight="false" outlineLevel="0" collapsed="false">
      <c r="A1316" s="0" t="s">
        <v>8120</v>
      </c>
      <c r="B1316" s="0" t="s">
        <v>8121</v>
      </c>
      <c r="C1316" s="0" t="s">
        <v>409</v>
      </c>
      <c r="D1316" s="0" t="s">
        <v>5057</v>
      </c>
      <c r="E1316" s="0" t="s">
        <v>5058</v>
      </c>
      <c r="F1316" s="0" t="s">
        <v>5058</v>
      </c>
      <c r="G1316" s="0" t="s">
        <v>1155</v>
      </c>
      <c r="H1316" s="0" t="s">
        <v>1697</v>
      </c>
      <c r="I1316" s="0" t="s">
        <v>8118</v>
      </c>
      <c r="J1316" s="0" t="s">
        <v>8119</v>
      </c>
      <c r="K1316" s="0" t="s">
        <v>7993</v>
      </c>
    </row>
    <row r="1317" customFormat="false" ht="12.8" hidden="false" customHeight="false" outlineLevel="0" collapsed="false">
      <c r="A1317" s="0" t="s">
        <v>8122</v>
      </c>
      <c r="B1317" s="0" t="s">
        <v>8123</v>
      </c>
      <c r="C1317" s="0" t="s">
        <v>409</v>
      </c>
      <c r="D1317" s="0" t="s">
        <v>5023</v>
      </c>
      <c r="E1317" s="0" t="s">
        <v>5024</v>
      </c>
      <c r="F1317" s="0" t="s">
        <v>5024</v>
      </c>
      <c r="G1317" s="0" t="s">
        <v>1155</v>
      </c>
      <c r="H1317" s="0" t="s">
        <v>1697</v>
      </c>
      <c r="I1317" s="0" t="s">
        <v>8118</v>
      </c>
      <c r="J1317" s="0" t="s">
        <v>8119</v>
      </c>
      <c r="K1317" s="0" t="s">
        <v>7993</v>
      </c>
    </row>
    <row r="1318" customFormat="false" ht="12.8" hidden="false" customHeight="false" outlineLevel="0" collapsed="false">
      <c r="A1318" s="0" t="s">
        <v>8124</v>
      </c>
      <c r="B1318" s="0" t="s">
        <v>8125</v>
      </c>
      <c r="C1318" s="0" t="s">
        <v>409</v>
      </c>
      <c r="D1318" s="0" t="s">
        <v>5023</v>
      </c>
      <c r="E1318" s="0" t="s">
        <v>5024</v>
      </c>
      <c r="F1318" s="0" t="s">
        <v>5024</v>
      </c>
      <c r="G1318" s="0" t="s">
        <v>1155</v>
      </c>
      <c r="H1318" s="0" t="s">
        <v>1697</v>
      </c>
      <c r="I1318" s="0" t="s">
        <v>8118</v>
      </c>
      <c r="J1318" s="0" t="s">
        <v>8119</v>
      </c>
      <c r="K1318" s="0" t="s">
        <v>7993</v>
      </c>
    </row>
    <row r="1319" customFormat="false" ht="12.8" hidden="false" customHeight="false" outlineLevel="0" collapsed="false">
      <c r="A1319" s="0" t="s">
        <v>8126</v>
      </c>
      <c r="B1319" s="0" t="s">
        <v>8127</v>
      </c>
      <c r="C1319" s="0" t="s">
        <v>409</v>
      </c>
      <c r="D1319" s="0" t="s">
        <v>5023</v>
      </c>
      <c r="E1319" s="0" t="s">
        <v>5024</v>
      </c>
      <c r="F1319" s="0" t="s">
        <v>5024</v>
      </c>
      <c r="G1319" s="0" t="s">
        <v>1155</v>
      </c>
      <c r="H1319" s="0" t="s">
        <v>1697</v>
      </c>
      <c r="I1319" s="0" t="s">
        <v>8118</v>
      </c>
      <c r="J1319" s="0" t="s">
        <v>8119</v>
      </c>
      <c r="K1319" s="0" t="s">
        <v>7993</v>
      </c>
    </row>
    <row r="1320" customFormat="false" ht="12.8" hidden="false" customHeight="false" outlineLevel="0" collapsed="false">
      <c r="A1320" s="0" t="s">
        <v>8128</v>
      </c>
      <c r="B1320" s="0" t="s">
        <v>8129</v>
      </c>
      <c r="C1320" s="0" t="s">
        <v>409</v>
      </c>
      <c r="D1320" s="0" t="s">
        <v>5023</v>
      </c>
      <c r="E1320" s="0" t="s">
        <v>5024</v>
      </c>
      <c r="F1320" s="0" t="s">
        <v>5024</v>
      </c>
      <c r="G1320" s="0" t="s">
        <v>1155</v>
      </c>
      <c r="H1320" s="0" t="s">
        <v>1697</v>
      </c>
      <c r="I1320" s="0" t="s">
        <v>8118</v>
      </c>
      <c r="J1320" s="0" t="s">
        <v>8119</v>
      </c>
      <c r="K1320" s="0" t="s">
        <v>7993</v>
      </c>
    </row>
    <row r="1321" customFormat="false" ht="12.8" hidden="false" customHeight="false" outlineLevel="0" collapsed="false">
      <c r="A1321" s="0" t="s">
        <v>8130</v>
      </c>
      <c r="B1321" s="0" t="s">
        <v>8131</v>
      </c>
      <c r="C1321" s="0" t="s">
        <v>422</v>
      </c>
      <c r="D1321" s="0" t="s">
        <v>5057</v>
      </c>
      <c r="E1321" s="0" t="s">
        <v>5058</v>
      </c>
      <c r="F1321" s="0" t="s">
        <v>5058</v>
      </c>
      <c r="G1321" s="0" t="s">
        <v>1155</v>
      </c>
      <c r="H1321" s="0" t="s">
        <v>1697</v>
      </c>
      <c r="I1321" s="0" t="s">
        <v>8132</v>
      </c>
      <c r="J1321" s="0" t="s">
        <v>8133</v>
      </c>
      <c r="K1321" s="0" t="s">
        <v>7993</v>
      </c>
    </row>
    <row r="1322" customFormat="false" ht="12.8" hidden="false" customHeight="false" outlineLevel="0" collapsed="false">
      <c r="A1322" s="0" t="s">
        <v>8134</v>
      </c>
      <c r="B1322" s="0" t="s">
        <v>8135</v>
      </c>
      <c r="C1322" s="0" t="s">
        <v>422</v>
      </c>
      <c r="D1322" s="0" t="s">
        <v>5023</v>
      </c>
      <c r="E1322" s="0" t="s">
        <v>5024</v>
      </c>
      <c r="F1322" s="0" t="s">
        <v>5024</v>
      </c>
      <c r="G1322" s="0" t="s">
        <v>1155</v>
      </c>
      <c r="H1322" s="0" t="s">
        <v>1697</v>
      </c>
      <c r="I1322" s="0" t="s">
        <v>8132</v>
      </c>
      <c r="J1322" s="0" t="s">
        <v>8133</v>
      </c>
      <c r="K1322" s="0" t="s">
        <v>7993</v>
      </c>
    </row>
    <row r="1323" customFormat="false" ht="12.8" hidden="false" customHeight="false" outlineLevel="0" collapsed="false">
      <c r="A1323" s="0" t="s">
        <v>8136</v>
      </c>
      <c r="B1323" s="0" t="s">
        <v>8137</v>
      </c>
      <c r="C1323" s="0" t="s">
        <v>422</v>
      </c>
      <c r="D1323" s="0" t="s">
        <v>5061</v>
      </c>
      <c r="E1323" s="0" t="s">
        <v>5062</v>
      </c>
      <c r="F1323" s="0" t="s">
        <v>5062</v>
      </c>
      <c r="G1323" s="0" t="s">
        <v>1155</v>
      </c>
      <c r="H1323" s="0" t="s">
        <v>1697</v>
      </c>
      <c r="I1323" s="0" t="s">
        <v>8132</v>
      </c>
      <c r="J1323" s="0" t="s">
        <v>8133</v>
      </c>
      <c r="K1323" s="0" t="s">
        <v>7993</v>
      </c>
    </row>
    <row r="1324" customFormat="false" ht="12.8" hidden="false" customHeight="false" outlineLevel="0" collapsed="false">
      <c r="A1324" s="0" t="s">
        <v>8138</v>
      </c>
      <c r="B1324" s="0" t="s">
        <v>8139</v>
      </c>
      <c r="C1324" s="0" t="s">
        <v>401</v>
      </c>
      <c r="D1324" s="0" t="s">
        <v>5061</v>
      </c>
      <c r="E1324" s="0" t="s">
        <v>5062</v>
      </c>
      <c r="F1324" s="0" t="s">
        <v>5062</v>
      </c>
      <c r="G1324" s="0" t="s">
        <v>1155</v>
      </c>
      <c r="H1324" s="0" t="s">
        <v>1697</v>
      </c>
      <c r="I1324" s="0" t="s">
        <v>8140</v>
      </c>
      <c r="J1324" s="0" t="s">
        <v>8141</v>
      </c>
      <c r="K1324" s="0" t="s">
        <v>7993</v>
      </c>
    </row>
    <row r="1325" customFormat="false" ht="12.8" hidden="false" customHeight="false" outlineLevel="0" collapsed="false">
      <c r="A1325" s="0" t="s">
        <v>8142</v>
      </c>
      <c r="B1325" s="0" t="s">
        <v>8143</v>
      </c>
      <c r="C1325" s="0" t="s">
        <v>17</v>
      </c>
      <c r="D1325" s="0" t="s">
        <v>5061</v>
      </c>
      <c r="E1325" s="0" t="s">
        <v>5062</v>
      </c>
      <c r="F1325" s="0" t="s">
        <v>5062</v>
      </c>
      <c r="G1325" s="0" t="s">
        <v>1155</v>
      </c>
      <c r="H1325" s="0" t="s">
        <v>1697</v>
      </c>
      <c r="I1325" s="0" t="s">
        <v>8144</v>
      </c>
      <c r="J1325" s="0" t="s">
        <v>8145</v>
      </c>
      <c r="K1325" s="444" t="s">
        <v>8146</v>
      </c>
    </row>
    <row r="1326" customFormat="false" ht="12.8" hidden="false" customHeight="false" outlineLevel="0" collapsed="false">
      <c r="A1326" s="0" t="s">
        <v>8147</v>
      </c>
      <c r="B1326" s="0" t="s">
        <v>8148</v>
      </c>
      <c r="C1326" s="0" t="s">
        <v>17</v>
      </c>
      <c r="D1326" s="0" t="s">
        <v>5023</v>
      </c>
      <c r="E1326" s="0" t="s">
        <v>5024</v>
      </c>
      <c r="F1326" s="0" t="s">
        <v>5024</v>
      </c>
      <c r="G1326" s="0" t="s">
        <v>1155</v>
      </c>
      <c r="H1326" s="0" t="s">
        <v>1697</v>
      </c>
      <c r="I1326" s="0" t="s">
        <v>8144</v>
      </c>
      <c r="J1326" s="0" t="s">
        <v>8145</v>
      </c>
      <c r="K1326" s="444" t="s">
        <v>8146</v>
      </c>
    </row>
    <row r="1327" customFormat="false" ht="12.8" hidden="false" customHeight="false" outlineLevel="0" collapsed="false">
      <c r="A1327" s="0" t="s">
        <v>8149</v>
      </c>
      <c r="B1327" s="0" t="s">
        <v>8150</v>
      </c>
      <c r="C1327" s="0" t="s">
        <v>17</v>
      </c>
      <c r="D1327" s="0" t="s">
        <v>5057</v>
      </c>
      <c r="E1327" s="0" t="s">
        <v>5058</v>
      </c>
      <c r="F1327" s="0" t="s">
        <v>5058</v>
      </c>
      <c r="G1327" s="0" t="s">
        <v>1155</v>
      </c>
      <c r="H1327" s="0" t="s">
        <v>1697</v>
      </c>
      <c r="I1327" s="0" t="s">
        <v>8144</v>
      </c>
      <c r="J1327" s="0" t="s">
        <v>8145</v>
      </c>
      <c r="K1327" s="444" t="s">
        <v>8146</v>
      </c>
    </row>
    <row r="1328" customFormat="false" ht="12.8" hidden="false" customHeight="false" outlineLevel="0" collapsed="false">
      <c r="A1328" s="0" t="s">
        <v>8151</v>
      </c>
      <c r="B1328" s="0" t="s">
        <v>8152</v>
      </c>
      <c r="C1328" s="0" t="s">
        <v>312</v>
      </c>
      <c r="D1328" s="0" t="s">
        <v>5023</v>
      </c>
      <c r="E1328" s="0" t="s">
        <v>5024</v>
      </c>
      <c r="F1328" s="0" t="s">
        <v>5024</v>
      </c>
      <c r="G1328" s="0" t="s">
        <v>2515</v>
      </c>
      <c r="H1328" s="0" t="s">
        <v>2516</v>
      </c>
      <c r="I1328" s="0" t="s">
        <v>8153</v>
      </c>
      <c r="J1328" s="0" t="s">
        <v>8154</v>
      </c>
      <c r="K1328" s="0" t="s">
        <v>7993</v>
      </c>
    </row>
    <row r="1329" customFormat="false" ht="12.8" hidden="false" customHeight="false" outlineLevel="0" collapsed="false">
      <c r="A1329" s="0" t="s">
        <v>8155</v>
      </c>
      <c r="B1329" s="0" t="s">
        <v>8156</v>
      </c>
      <c r="C1329" s="0" t="s">
        <v>312</v>
      </c>
      <c r="D1329" s="0" t="s">
        <v>5023</v>
      </c>
      <c r="E1329" s="0" t="s">
        <v>5024</v>
      </c>
      <c r="F1329" s="0" t="s">
        <v>5024</v>
      </c>
      <c r="G1329" s="0" t="s">
        <v>2515</v>
      </c>
      <c r="H1329" s="0" t="s">
        <v>2516</v>
      </c>
      <c r="I1329" s="0" t="s">
        <v>8153</v>
      </c>
      <c r="J1329" s="0" t="s">
        <v>8154</v>
      </c>
      <c r="K1329" s="0" t="s">
        <v>7993</v>
      </c>
    </row>
    <row r="1330" customFormat="false" ht="12.8" hidden="false" customHeight="false" outlineLevel="0" collapsed="false">
      <c r="A1330" s="0" t="s">
        <v>8157</v>
      </c>
      <c r="B1330" s="0" t="s">
        <v>8158</v>
      </c>
      <c r="C1330" s="0" t="s">
        <v>312</v>
      </c>
      <c r="D1330" s="0" t="s">
        <v>5057</v>
      </c>
      <c r="E1330" s="0" t="s">
        <v>5058</v>
      </c>
      <c r="F1330" s="0" t="s">
        <v>5058</v>
      </c>
      <c r="G1330" s="0" t="s">
        <v>2515</v>
      </c>
      <c r="H1330" s="0" t="s">
        <v>2516</v>
      </c>
      <c r="I1330" s="0" t="s">
        <v>8153</v>
      </c>
      <c r="J1330" s="0" t="s">
        <v>8154</v>
      </c>
      <c r="K1330" s="0" t="s">
        <v>7993</v>
      </c>
    </row>
    <row r="1331" customFormat="false" ht="12.8" hidden="false" customHeight="false" outlineLevel="0" collapsed="false">
      <c r="A1331" s="0" t="s">
        <v>8159</v>
      </c>
      <c r="B1331" s="0" t="s">
        <v>8160</v>
      </c>
      <c r="C1331" s="0" t="s">
        <v>312</v>
      </c>
      <c r="D1331" s="0" t="s">
        <v>5061</v>
      </c>
      <c r="E1331" s="0" t="s">
        <v>5062</v>
      </c>
      <c r="F1331" s="0" t="s">
        <v>5062</v>
      </c>
      <c r="G1331" s="0" t="s">
        <v>2515</v>
      </c>
      <c r="H1331" s="0" t="s">
        <v>2516</v>
      </c>
      <c r="I1331" s="0" t="s">
        <v>8153</v>
      </c>
      <c r="J1331" s="0" t="s">
        <v>8154</v>
      </c>
      <c r="K1331" s="0" t="s">
        <v>7993</v>
      </c>
    </row>
    <row r="1332" customFormat="false" ht="12.8" hidden="false" customHeight="false" outlineLevel="0" collapsed="false">
      <c r="A1332" s="0" t="s">
        <v>8161</v>
      </c>
      <c r="B1332" s="0" t="s">
        <v>8162</v>
      </c>
      <c r="C1332" s="0" t="s">
        <v>312</v>
      </c>
      <c r="D1332" s="0" t="s">
        <v>5023</v>
      </c>
      <c r="E1332" s="0" t="s">
        <v>5024</v>
      </c>
      <c r="F1332" s="0" t="s">
        <v>5024</v>
      </c>
      <c r="G1332" s="0" t="s">
        <v>2515</v>
      </c>
      <c r="H1332" s="0" t="s">
        <v>2516</v>
      </c>
      <c r="I1332" s="0" t="s">
        <v>8153</v>
      </c>
      <c r="J1332" s="0" t="s">
        <v>8154</v>
      </c>
      <c r="K1332" s="0" t="s">
        <v>7993</v>
      </c>
    </row>
    <row r="1333" customFormat="false" ht="12.8" hidden="false" customHeight="false" outlineLevel="0" collapsed="false">
      <c r="A1333" s="0" t="s">
        <v>8163</v>
      </c>
      <c r="B1333" s="0" t="s">
        <v>8164</v>
      </c>
      <c r="C1333" s="0" t="s">
        <v>312</v>
      </c>
      <c r="D1333" s="0" t="s">
        <v>5023</v>
      </c>
      <c r="E1333" s="0" t="s">
        <v>5024</v>
      </c>
      <c r="F1333" s="0" t="s">
        <v>5024</v>
      </c>
      <c r="G1333" s="0" t="s">
        <v>2515</v>
      </c>
      <c r="H1333" s="0" t="s">
        <v>2516</v>
      </c>
      <c r="I1333" s="0" t="s">
        <v>8153</v>
      </c>
      <c r="J1333" s="0" t="s">
        <v>8154</v>
      </c>
      <c r="K1333" s="0" t="s">
        <v>7993</v>
      </c>
    </row>
    <row r="1334" customFormat="false" ht="12.8" hidden="false" customHeight="false" outlineLevel="0" collapsed="false">
      <c r="A1334" s="0" t="s">
        <v>8165</v>
      </c>
      <c r="B1334" s="0" t="s">
        <v>8166</v>
      </c>
      <c r="C1334" s="0" t="s">
        <v>237</v>
      </c>
      <c r="D1334" s="0" t="s">
        <v>5061</v>
      </c>
      <c r="E1334" s="0" t="s">
        <v>5062</v>
      </c>
      <c r="F1334" s="0" t="s">
        <v>5062</v>
      </c>
      <c r="G1334" s="0" t="s">
        <v>2515</v>
      </c>
      <c r="H1334" s="0" t="s">
        <v>2862</v>
      </c>
      <c r="I1334" s="0" t="s">
        <v>8167</v>
      </c>
      <c r="J1334" s="0" t="s">
        <v>8168</v>
      </c>
      <c r="K1334" s="0" t="s">
        <v>7993</v>
      </c>
    </row>
    <row r="1335" customFormat="false" ht="12.8" hidden="false" customHeight="false" outlineLevel="0" collapsed="false">
      <c r="A1335" s="0" t="s">
        <v>8169</v>
      </c>
      <c r="B1335" s="0" t="s">
        <v>8170</v>
      </c>
      <c r="C1335" s="0" t="s">
        <v>11</v>
      </c>
      <c r="D1335" s="0" t="s">
        <v>5061</v>
      </c>
      <c r="E1335" s="0" t="s">
        <v>5062</v>
      </c>
      <c r="F1335" s="0" t="s">
        <v>5062</v>
      </c>
      <c r="G1335" s="0" t="s">
        <v>2515</v>
      </c>
      <c r="H1335" s="0" t="s">
        <v>2516</v>
      </c>
      <c r="I1335" s="0" t="s">
        <v>8171</v>
      </c>
      <c r="J1335" s="0" t="s">
        <v>8172</v>
      </c>
      <c r="K1335" s="0" t="s">
        <v>7993</v>
      </c>
    </row>
    <row r="1336" customFormat="false" ht="12.8" hidden="false" customHeight="false" outlineLevel="0" collapsed="false">
      <c r="A1336" s="0" t="s">
        <v>8173</v>
      </c>
      <c r="B1336" s="0" t="s">
        <v>8174</v>
      </c>
      <c r="C1336" s="0" t="s">
        <v>11</v>
      </c>
      <c r="D1336" s="0" t="s">
        <v>5057</v>
      </c>
      <c r="E1336" s="0" t="s">
        <v>5058</v>
      </c>
      <c r="F1336" s="0" t="s">
        <v>5058</v>
      </c>
      <c r="G1336" s="0" t="s">
        <v>2515</v>
      </c>
      <c r="H1336" s="0" t="s">
        <v>2516</v>
      </c>
      <c r="I1336" s="0" t="s">
        <v>8171</v>
      </c>
      <c r="J1336" s="0" t="s">
        <v>8172</v>
      </c>
      <c r="K1336" s="0" t="s">
        <v>7993</v>
      </c>
    </row>
    <row r="1337" customFormat="false" ht="12.8" hidden="false" customHeight="false" outlineLevel="0" collapsed="false">
      <c r="A1337" s="0" t="s">
        <v>8175</v>
      </c>
      <c r="B1337" s="0" t="s">
        <v>8176</v>
      </c>
      <c r="C1337" s="0" t="s">
        <v>12</v>
      </c>
      <c r="D1337" s="0" t="s">
        <v>5057</v>
      </c>
      <c r="E1337" s="0" t="s">
        <v>5058</v>
      </c>
      <c r="F1337" s="0" t="s">
        <v>5058</v>
      </c>
      <c r="G1337" s="0" t="s">
        <v>4869</v>
      </c>
      <c r="H1337" s="0" t="s">
        <v>7987</v>
      </c>
      <c r="I1337" s="0" t="s">
        <v>8177</v>
      </c>
    </row>
    <row r="1338" customFormat="false" ht="12.8" hidden="false" customHeight="false" outlineLevel="0" collapsed="false">
      <c r="A1338" s="0" t="s">
        <v>8178</v>
      </c>
      <c r="B1338" s="0" t="s">
        <v>8179</v>
      </c>
      <c r="C1338" s="0" t="s">
        <v>191</v>
      </c>
      <c r="D1338" s="0" t="s">
        <v>5023</v>
      </c>
      <c r="E1338" s="0" t="s">
        <v>5024</v>
      </c>
      <c r="F1338" s="0" t="s">
        <v>5024</v>
      </c>
      <c r="G1338" s="0" t="s">
        <v>2515</v>
      </c>
      <c r="H1338" s="0" t="s">
        <v>3002</v>
      </c>
      <c r="I1338" s="0" t="s">
        <v>8180</v>
      </c>
      <c r="J1338" s="0" t="s">
        <v>8181</v>
      </c>
      <c r="K1338" s="0" t="s">
        <v>7993</v>
      </c>
    </row>
    <row r="1339" customFormat="false" ht="12.8" hidden="false" customHeight="false" outlineLevel="0" collapsed="false">
      <c r="A1339" s="0" t="s">
        <v>8182</v>
      </c>
      <c r="B1339" s="0" t="s">
        <v>8183</v>
      </c>
      <c r="C1339" s="0" t="s">
        <v>191</v>
      </c>
      <c r="D1339" s="0" t="s">
        <v>5023</v>
      </c>
      <c r="E1339" s="0" t="s">
        <v>5024</v>
      </c>
      <c r="F1339" s="0" t="s">
        <v>5024</v>
      </c>
      <c r="G1339" s="0" t="s">
        <v>2515</v>
      </c>
      <c r="H1339" s="0" t="s">
        <v>3002</v>
      </c>
      <c r="I1339" s="0" t="s">
        <v>8180</v>
      </c>
      <c r="J1339" s="0" t="s">
        <v>8181</v>
      </c>
      <c r="K1339" s="0" t="s">
        <v>7993</v>
      </c>
    </row>
    <row r="1340" customFormat="false" ht="12.8" hidden="false" customHeight="false" outlineLevel="0" collapsed="false">
      <c r="A1340" s="0" t="s">
        <v>8184</v>
      </c>
      <c r="B1340" s="0" t="s">
        <v>8185</v>
      </c>
      <c r="C1340" s="0" t="s">
        <v>191</v>
      </c>
      <c r="D1340" s="0" t="s">
        <v>5061</v>
      </c>
      <c r="E1340" s="0" t="s">
        <v>5062</v>
      </c>
      <c r="F1340" s="0" t="s">
        <v>5062</v>
      </c>
      <c r="G1340" s="0" t="s">
        <v>2515</v>
      </c>
      <c r="H1340" s="0" t="s">
        <v>3002</v>
      </c>
      <c r="I1340" s="0" t="s">
        <v>8180</v>
      </c>
      <c r="J1340" s="0" t="s">
        <v>8181</v>
      </c>
      <c r="K1340" s="0" t="s">
        <v>7993</v>
      </c>
    </row>
    <row r="1341" customFormat="false" ht="12.8" hidden="false" customHeight="false" outlineLevel="0" collapsed="false">
      <c r="A1341" s="0" t="s">
        <v>8186</v>
      </c>
      <c r="B1341" s="0" t="s">
        <v>8187</v>
      </c>
      <c r="C1341" s="0" t="s">
        <v>191</v>
      </c>
      <c r="D1341" s="0" t="s">
        <v>5023</v>
      </c>
      <c r="E1341" s="0" t="s">
        <v>5024</v>
      </c>
      <c r="F1341" s="0" t="s">
        <v>5024</v>
      </c>
      <c r="G1341" s="0" t="s">
        <v>2515</v>
      </c>
      <c r="H1341" s="0" t="s">
        <v>3002</v>
      </c>
      <c r="I1341" s="0" t="s">
        <v>8180</v>
      </c>
      <c r="J1341" s="0" t="s">
        <v>8181</v>
      </c>
      <c r="K1341" s="0" t="s">
        <v>7993</v>
      </c>
    </row>
    <row r="1342" customFormat="false" ht="12.8" hidden="false" customHeight="false" outlineLevel="0" collapsed="false">
      <c r="A1342" s="0" t="s">
        <v>8188</v>
      </c>
      <c r="B1342" s="0" t="s">
        <v>8189</v>
      </c>
      <c r="C1342" s="0" t="s">
        <v>165</v>
      </c>
      <c r="D1342" s="0" t="s">
        <v>5023</v>
      </c>
      <c r="E1342" s="0" t="s">
        <v>5024</v>
      </c>
      <c r="F1342" s="0" t="s">
        <v>5024</v>
      </c>
      <c r="G1342" s="0" t="s">
        <v>3278</v>
      </c>
      <c r="H1342" s="0" t="s">
        <v>3279</v>
      </c>
      <c r="I1342" s="0" t="s">
        <v>8190</v>
      </c>
      <c r="J1342" s="0" t="s">
        <v>8191</v>
      </c>
      <c r="K1342" s="0" t="s">
        <v>7993</v>
      </c>
    </row>
    <row r="1343" customFormat="false" ht="12.8" hidden="false" customHeight="false" outlineLevel="0" collapsed="false">
      <c r="A1343" s="0" t="s">
        <v>8192</v>
      </c>
      <c r="B1343" s="0" t="s">
        <v>8193</v>
      </c>
      <c r="C1343" s="0" t="s">
        <v>165</v>
      </c>
      <c r="D1343" s="0" t="s">
        <v>5023</v>
      </c>
      <c r="E1343" s="0" t="s">
        <v>5024</v>
      </c>
      <c r="F1343" s="0" t="s">
        <v>5024</v>
      </c>
      <c r="G1343" s="0" t="s">
        <v>3278</v>
      </c>
      <c r="H1343" s="0" t="s">
        <v>3279</v>
      </c>
      <c r="I1343" s="0" t="s">
        <v>8190</v>
      </c>
      <c r="J1343" s="0" t="s">
        <v>8191</v>
      </c>
      <c r="K1343" s="0" t="s">
        <v>7993</v>
      </c>
    </row>
    <row r="1344" customFormat="false" ht="12.8" hidden="false" customHeight="false" outlineLevel="0" collapsed="false">
      <c r="A1344" s="0" t="s">
        <v>8194</v>
      </c>
      <c r="B1344" s="0" t="s">
        <v>8195</v>
      </c>
      <c r="C1344" s="0" t="s">
        <v>165</v>
      </c>
      <c r="D1344" s="0" t="s">
        <v>5023</v>
      </c>
      <c r="E1344" s="0" t="s">
        <v>5024</v>
      </c>
      <c r="F1344" s="0" t="s">
        <v>5024</v>
      </c>
      <c r="G1344" s="0" t="s">
        <v>3278</v>
      </c>
      <c r="H1344" s="0" t="s">
        <v>3279</v>
      </c>
      <c r="I1344" s="0" t="s">
        <v>8190</v>
      </c>
      <c r="J1344" s="0" t="s">
        <v>8191</v>
      </c>
      <c r="K1344" s="0" t="s">
        <v>7993</v>
      </c>
    </row>
    <row r="1345" customFormat="false" ht="12.8" hidden="false" customHeight="false" outlineLevel="0" collapsed="false">
      <c r="A1345" s="0" t="s">
        <v>8196</v>
      </c>
      <c r="B1345" s="0" t="s">
        <v>8197</v>
      </c>
      <c r="C1345" s="0" t="s">
        <v>95</v>
      </c>
      <c r="D1345" s="0" t="s">
        <v>5061</v>
      </c>
      <c r="E1345" s="0" t="s">
        <v>5062</v>
      </c>
      <c r="F1345" s="0" t="s">
        <v>5062</v>
      </c>
      <c r="G1345" s="0" t="s">
        <v>3278</v>
      </c>
      <c r="H1345" s="0" t="s">
        <v>3279</v>
      </c>
      <c r="I1345" s="0" t="s">
        <v>8198</v>
      </c>
      <c r="J1345" s="0" t="s">
        <v>8199</v>
      </c>
      <c r="K1345" s="0" t="s">
        <v>7993</v>
      </c>
    </row>
    <row r="1346" customFormat="false" ht="12.8" hidden="false" customHeight="false" outlineLevel="0" collapsed="false">
      <c r="A1346" s="0" t="s">
        <v>8200</v>
      </c>
      <c r="B1346" s="0" t="s">
        <v>8201</v>
      </c>
      <c r="C1346" s="0" t="s">
        <v>95</v>
      </c>
      <c r="D1346" s="0" t="s">
        <v>5023</v>
      </c>
      <c r="E1346" s="0" t="s">
        <v>5024</v>
      </c>
      <c r="F1346" s="0" t="s">
        <v>5024</v>
      </c>
      <c r="G1346" s="0" t="s">
        <v>3278</v>
      </c>
      <c r="H1346" s="0" t="s">
        <v>3279</v>
      </c>
      <c r="I1346" s="0" t="s">
        <v>8198</v>
      </c>
      <c r="J1346" s="0" t="s">
        <v>8199</v>
      </c>
      <c r="K1346" s="0" t="s">
        <v>7993</v>
      </c>
    </row>
    <row r="1347" customFormat="false" ht="12.8" hidden="false" customHeight="false" outlineLevel="0" collapsed="false">
      <c r="A1347" s="0" t="s">
        <v>8202</v>
      </c>
      <c r="B1347" s="0" t="s">
        <v>8203</v>
      </c>
      <c r="C1347" s="0" t="s">
        <v>95</v>
      </c>
      <c r="D1347" s="0" t="s">
        <v>5023</v>
      </c>
      <c r="E1347" s="0" t="s">
        <v>5024</v>
      </c>
      <c r="F1347" s="0" t="s">
        <v>5024</v>
      </c>
      <c r="G1347" s="0" t="s">
        <v>3278</v>
      </c>
      <c r="H1347" s="0" t="s">
        <v>3279</v>
      </c>
      <c r="I1347" s="0" t="s">
        <v>8198</v>
      </c>
      <c r="J1347" s="0" t="s">
        <v>8199</v>
      </c>
      <c r="K1347" s="0" t="s">
        <v>7993</v>
      </c>
    </row>
    <row r="1348" customFormat="false" ht="12.8" hidden="false" customHeight="false" outlineLevel="0" collapsed="false">
      <c r="A1348" s="0" t="s">
        <v>8204</v>
      </c>
      <c r="B1348" s="0" t="s">
        <v>8205</v>
      </c>
      <c r="C1348" s="0" t="s">
        <v>274</v>
      </c>
      <c r="D1348" s="0" t="s">
        <v>5057</v>
      </c>
      <c r="E1348" s="0" t="s">
        <v>5058</v>
      </c>
      <c r="F1348" s="0" t="s">
        <v>5058</v>
      </c>
      <c r="G1348" s="0" t="s">
        <v>1883</v>
      </c>
      <c r="H1348" s="0" t="s">
        <v>2100</v>
      </c>
      <c r="I1348" s="0" t="s">
        <v>8206</v>
      </c>
      <c r="J1348" s="0" t="s">
        <v>8207</v>
      </c>
      <c r="K1348" s="0" t="s">
        <v>8208</v>
      </c>
    </row>
    <row r="1349" customFormat="false" ht="12.8" hidden="false" customHeight="false" outlineLevel="0" collapsed="false">
      <c r="A1349" s="0" t="s">
        <v>8209</v>
      </c>
      <c r="B1349" s="0" t="s">
        <v>8210</v>
      </c>
      <c r="C1349" s="0" t="s">
        <v>98</v>
      </c>
      <c r="D1349" s="0" t="s">
        <v>5061</v>
      </c>
      <c r="E1349" s="0" t="s">
        <v>5062</v>
      </c>
      <c r="F1349" s="0" t="s">
        <v>5062</v>
      </c>
      <c r="G1349" s="0" t="s">
        <v>1155</v>
      </c>
      <c r="H1349" s="0" t="s">
        <v>1697</v>
      </c>
      <c r="I1349" s="0" t="s">
        <v>8211</v>
      </c>
      <c r="J1349" s="0" t="s">
        <v>8212</v>
      </c>
      <c r="K1349" s="0" t="s">
        <v>8213</v>
      </c>
    </row>
    <row r="1350" customFormat="false" ht="12.8" hidden="false" customHeight="false" outlineLevel="0" collapsed="false">
      <c r="A1350" s="0" t="s">
        <v>8214</v>
      </c>
      <c r="B1350" s="0" t="s">
        <v>8215</v>
      </c>
      <c r="C1350" s="0" t="s">
        <v>98</v>
      </c>
      <c r="D1350" s="0" t="s">
        <v>5023</v>
      </c>
      <c r="E1350" s="0" t="s">
        <v>5024</v>
      </c>
      <c r="F1350" s="0" t="s">
        <v>5024</v>
      </c>
      <c r="G1350" s="0" t="s">
        <v>1155</v>
      </c>
      <c r="H1350" s="0" t="s">
        <v>1697</v>
      </c>
      <c r="I1350" s="0" t="s">
        <v>8211</v>
      </c>
      <c r="J1350" s="0" t="s">
        <v>8212</v>
      </c>
      <c r="K1350" s="0" t="s">
        <v>8213</v>
      </c>
    </row>
    <row r="1351" customFormat="false" ht="12.8" hidden="false" customHeight="false" outlineLevel="0" collapsed="false">
      <c r="A1351" s="0" t="s">
        <v>8216</v>
      </c>
      <c r="B1351" s="0" t="s">
        <v>8217</v>
      </c>
      <c r="C1351" s="0" t="s">
        <v>98</v>
      </c>
      <c r="D1351" s="0" t="s">
        <v>5057</v>
      </c>
      <c r="E1351" s="0" t="s">
        <v>5058</v>
      </c>
      <c r="F1351" s="0" t="s">
        <v>5058</v>
      </c>
      <c r="G1351" s="0" t="s">
        <v>1155</v>
      </c>
      <c r="H1351" s="0" t="s">
        <v>1697</v>
      </c>
      <c r="I1351" s="0" t="s">
        <v>8211</v>
      </c>
      <c r="J1351" s="0" t="s">
        <v>8212</v>
      </c>
      <c r="K1351" s="0" t="s">
        <v>8213</v>
      </c>
    </row>
    <row r="1352" customFormat="false" ht="12.8" hidden="false" customHeight="false" outlineLevel="0" collapsed="false">
      <c r="A1352" s="0" t="s">
        <v>8218</v>
      </c>
      <c r="B1352" s="0" t="s">
        <v>8219</v>
      </c>
      <c r="C1352" s="0" t="s">
        <v>37</v>
      </c>
      <c r="D1352" s="0" t="s">
        <v>5057</v>
      </c>
      <c r="E1352" s="0" t="s">
        <v>5058</v>
      </c>
      <c r="F1352" s="0" t="s">
        <v>5058</v>
      </c>
      <c r="G1352" s="0" t="s">
        <v>4100</v>
      </c>
      <c r="H1352" s="0" t="s">
        <v>4354</v>
      </c>
      <c r="I1352" s="0" t="s">
        <v>8220</v>
      </c>
      <c r="J1352" s="0" t="s">
        <v>8221</v>
      </c>
      <c r="K1352" s="0" t="s">
        <v>7993</v>
      </c>
    </row>
    <row r="1353" customFormat="false" ht="12.8" hidden="false" customHeight="false" outlineLevel="0" collapsed="false">
      <c r="A1353" s="0" t="s">
        <v>8222</v>
      </c>
      <c r="B1353" s="0" t="s">
        <v>8223</v>
      </c>
      <c r="C1353" s="0" t="s">
        <v>37</v>
      </c>
      <c r="D1353" s="0" t="s">
        <v>5023</v>
      </c>
      <c r="E1353" s="0" t="s">
        <v>5024</v>
      </c>
      <c r="F1353" s="0" t="s">
        <v>5024</v>
      </c>
      <c r="G1353" s="0" t="s">
        <v>4100</v>
      </c>
      <c r="H1353" s="0" t="s">
        <v>4354</v>
      </c>
      <c r="I1353" s="0" t="s">
        <v>8220</v>
      </c>
      <c r="J1353" s="0" t="s">
        <v>8221</v>
      </c>
      <c r="K1353" s="0" t="s">
        <v>7993</v>
      </c>
    </row>
    <row r="1354" customFormat="false" ht="12.8" hidden="false" customHeight="false" outlineLevel="0" collapsed="false">
      <c r="A1354" s="0" t="s">
        <v>8224</v>
      </c>
      <c r="B1354" s="0" t="s">
        <v>8225</v>
      </c>
      <c r="C1354" s="0" t="s">
        <v>37</v>
      </c>
      <c r="D1354" s="0" t="s">
        <v>5023</v>
      </c>
      <c r="E1354" s="0" t="s">
        <v>5024</v>
      </c>
      <c r="F1354" s="0" t="s">
        <v>5024</v>
      </c>
      <c r="G1354" s="0" t="s">
        <v>4100</v>
      </c>
      <c r="H1354" s="0" t="s">
        <v>4354</v>
      </c>
      <c r="I1354" s="0" t="s">
        <v>8220</v>
      </c>
      <c r="J1354" s="0" t="s">
        <v>8221</v>
      </c>
      <c r="K1354" s="0" t="s">
        <v>7993</v>
      </c>
    </row>
    <row r="1355" customFormat="false" ht="12.8" hidden="false" customHeight="false" outlineLevel="0" collapsed="false">
      <c r="A1355" s="0" t="s">
        <v>8226</v>
      </c>
      <c r="B1355" s="0" t="s">
        <v>8227</v>
      </c>
      <c r="C1355" s="0" t="s">
        <v>37</v>
      </c>
      <c r="D1355" s="0" t="s">
        <v>5023</v>
      </c>
      <c r="E1355" s="0" t="s">
        <v>5024</v>
      </c>
      <c r="F1355" s="0" t="s">
        <v>5024</v>
      </c>
      <c r="G1355" s="0" t="s">
        <v>4100</v>
      </c>
      <c r="H1355" s="0" t="s">
        <v>4354</v>
      </c>
      <c r="I1355" s="0" t="s">
        <v>8220</v>
      </c>
      <c r="J1355" s="0" t="s">
        <v>8221</v>
      </c>
      <c r="K1355" s="0" t="s">
        <v>7993</v>
      </c>
    </row>
    <row r="1356" customFormat="false" ht="12.8" hidden="false" customHeight="false" outlineLevel="0" collapsed="false">
      <c r="A1356" s="0" t="s">
        <v>8228</v>
      </c>
      <c r="B1356" s="0" t="s">
        <v>8229</v>
      </c>
      <c r="C1356" s="0" t="s">
        <v>37</v>
      </c>
      <c r="D1356" s="0" t="s">
        <v>5023</v>
      </c>
      <c r="E1356" s="0" t="s">
        <v>5024</v>
      </c>
      <c r="F1356" s="0" t="s">
        <v>5024</v>
      </c>
      <c r="G1356" s="0" t="s">
        <v>4100</v>
      </c>
      <c r="H1356" s="0" t="s">
        <v>4354</v>
      </c>
      <c r="I1356" s="0" t="s">
        <v>8220</v>
      </c>
      <c r="J1356" s="0" t="s">
        <v>8221</v>
      </c>
      <c r="K1356" s="0" t="s">
        <v>7993</v>
      </c>
    </row>
    <row r="1357" customFormat="false" ht="12.8" hidden="false" customHeight="false" outlineLevel="0" collapsed="false">
      <c r="A1357" s="0" t="s">
        <v>8230</v>
      </c>
      <c r="B1357" s="0" t="s">
        <v>8231</v>
      </c>
      <c r="C1357" s="0" t="s">
        <v>119</v>
      </c>
      <c r="D1357" s="0" t="s">
        <v>5057</v>
      </c>
      <c r="E1357" s="0" t="s">
        <v>5058</v>
      </c>
      <c r="F1357" s="0" t="s">
        <v>5058</v>
      </c>
      <c r="G1357" s="0" t="s">
        <v>458</v>
      </c>
      <c r="H1357" s="0" t="s">
        <v>902</v>
      </c>
      <c r="I1357" s="0" t="s">
        <v>8232</v>
      </c>
      <c r="J1357" s="0" t="s">
        <v>8233</v>
      </c>
      <c r="K1357" s="0" t="s">
        <v>8088</v>
      </c>
    </row>
    <row r="1358" customFormat="false" ht="12.8" hidden="false" customHeight="false" outlineLevel="0" collapsed="false">
      <c r="A1358" s="0" t="s">
        <v>8234</v>
      </c>
      <c r="B1358" s="0" t="s">
        <v>8235</v>
      </c>
      <c r="C1358" s="0" t="s">
        <v>119</v>
      </c>
      <c r="D1358" s="0" t="s">
        <v>5061</v>
      </c>
      <c r="E1358" s="0" t="s">
        <v>5062</v>
      </c>
      <c r="F1358" s="0" t="s">
        <v>5062</v>
      </c>
      <c r="G1358" s="0" t="s">
        <v>458</v>
      </c>
      <c r="H1358" s="0" t="s">
        <v>902</v>
      </c>
      <c r="I1358" s="0" t="s">
        <v>8232</v>
      </c>
      <c r="J1358" s="0" t="s">
        <v>8233</v>
      </c>
      <c r="K1358" s="0" t="s">
        <v>8088</v>
      </c>
    </row>
    <row r="1359" customFormat="false" ht="12.8" hidden="false" customHeight="false" outlineLevel="0" collapsed="false">
      <c r="A1359" s="0" t="s">
        <v>8236</v>
      </c>
      <c r="B1359" s="0" t="s">
        <v>8237</v>
      </c>
      <c r="C1359" s="0" t="s">
        <v>162</v>
      </c>
      <c r="D1359" s="0" t="s">
        <v>5057</v>
      </c>
      <c r="E1359" s="0" t="s">
        <v>5058</v>
      </c>
      <c r="F1359" s="0" t="s">
        <v>5058</v>
      </c>
      <c r="G1359" s="0" t="s">
        <v>3278</v>
      </c>
      <c r="H1359" s="0" t="s">
        <v>3647</v>
      </c>
      <c r="I1359" s="0" t="s">
        <v>8238</v>
      </c>
      <c r="J1359" s="0" t="s">
        <v>8239</v>
      </c>
      <c r="K1359" s="444" t="s">
        <v>8240</v>
      </c>
    </row>
    <row r="1360" customFormat="false" ht="12.8" hidden="false" customHeight="false" outlineLevel="0" collapsed="false">
      <c r="A1360" s="0" t="s">
        <v>8241</v>
      </c>
      <c r="B1360" s="0" t="s">
        <v>8242</v>
      </c>
      <c r="C1360" s="0" t="s">
        <v>162</v>
      </c>
      <c r="D1360" s="0" t="s">
        <v>5061</v>
      </c>
      <c r="E1360" s="0" t="s">
        <v>5062</v>
      </c>
      <c r="F1360" s="0" t="s">
        <v>5062</v>
      </c>
      <c r="G1360" s="0" t="s">
        <v>3278</v>
      </c>
      <c r="H1360" s="0" t="s">
        <v>3647</v>
      </c>
      <c r="I1360" s="0" t="s">
        <v>8238</v>
      </c>
      <c r="J1360" s="0" t="s">
        <v>8239</v>
      </c>
      <c r="K1360" s="444" t="s">
        <v>8240</v>
      </c>
    </row>
    <row r="1361" customFormat="false" ht="12.8" hidden="false" customHeight="false" outlineLevel="0" collapsed="false">
      <c r="A1361" s="0" t="s">
        <v>8243</v>
      </c>
      <c r="B1361" s="0" t="s">
        <v>8244</v>
      </c>
      <c r="C1361" s="0" t="s">
        <v>145</v>
      </c>
      <c r="D1361" s="0" t="s">
        <v>5057</v>
      </c>
      <c r="E1361" s="0" t="s">
        <v>5058</v>
      </c>
      <c r="F1361" s="0" t="s">
        <v>5058</v>
      </c>
      <c r="G1361" s="0" t="s">
        <v>3278</v>
      </c>
      <c r="H1361" s="0" t="s">
        <v>3647</v>
      </c>
      <c r="I1361" s="0" t="s">
        <v>8245</v>
      </c>
      <c r="J1361" s="0" t="s">
        <v>8246</v>
      </c>
      <c r="K1361" s="444" t="s">
        <v>8247</v>
      </c>
    </row>
    <row r="1362" customFormat="false" ht="12.8" hidden="false" customHeight="false" outlineLevel="0" collapsed="false">
      <c r="A1362" s="0" t="s">
        <v>8248</v>
      </c>
      <c r="B1362" s="0" t="s">
        <v>8249</v>
      </c>
      <c r="C1362" s="0" t="s">
        <v>145</v>
      </c>
      <c r="D1362" s="0" t="s">
        <v>5061</v>
      </c>
      <c r="E1362" s="0" t="s">
        <v>5062</v>
      </c>
      <c r="F1362" s="0" t="s">
        <v>5062</v>
      </c>
      <c r="G1362" s="0" t="s">
        <v>3278</v>
      </c>
      <c r="H1362" s="0" t="s">
        <v>3647</v>
      </c>
      <c r="I1362" s="0" t="s">
        <v>8245</v>
      </c>
      <c r="J1362" s="0" t="s">
        <v>8246</v>
      </c>
      <c r="K1362" s="444" t="s">
        <v>8247</v>
      </c>
    </row>
    <row r="1363" customFormat="false" ht="12.8" hidden="false" customHeight="false" outlineLevel="0" collapsed="false">
      <c r="A1363" s="0" t="s">
        <v>8250</v>
      </c>
      <c r="B1363" s="0" t="s">
        <v>8251</v>
      </c>
      <c r="C1363" s="0" t="s">
        <v>173</v>
      </c>
      <c r="D1363" s="0" t="s">
        <v>5057</v>
      </c>
      <c r="E1363" s="0" t="s">
        <v>5058</v>
      </c>
      <c r="F1363" s="0" t="s">
        <v>5058</v>
      </c>
      <c r="G1363" s="0" t="s">
        <v>3278</v>
      </c>
      <c r="H1363" s="0" t="s">
        <v>3647</v>
      </c>
      <c r="I1363" s="0" t="s">
        <v>8252</v>
      </c>
      <c r="J1363" s="0" t="s">
        <v>8253</v>
      </c>
      <c r="K1363" s="444" t="s">
        <v>8254</v>
      </c>
    </row>
    <row r="1364" customFormat="false" ht="12.8" hidden="false" customHeight="false" outlineLevel="0" collapsed="false">
      <c r="A1364" s="0" t="s">
        <v>8255</v>
      </c>
      <c r="B1364" s="0" t="s">
        <v>8256</v>
      </c>
      <c r="C1364" s="0" t="s">
        <v>173</v>
      </c>
      <c r="D1364" s="0" t="s">
        <v>5061</v>
      </c>
      <c r="E1364" s="0" t="s">
        <v>5062</v>
      </c>
      <c r="F1364" s="0" t="s">
        <v>5062</v>
      </c>
      <c r="G1364" s="0" t="s">
        <v>3278</v>
      </c>
      <c r="H1364" s="0" t="s">
        <v>3647</v>
      </c>
      <c r="I1364" s="0" t="s">
        <v>8252</v>
      </c>
      <c r="J1364" s="0" t="s">
        <v>8253</v>
      </c>
      <c r="K1364" s="444" t="s">
        <v>8254</v>
      </c>
    </row>
    <row r="1365" customFormat="false" ht="12.8" hidden="false" customHeight="false" outlineLevel="0" collapsed="false">
      <c r="A1365" s="0" t="s">
        <v>8257</v>
      </c>
      <c r="B1365" s="0" t="s">
        <v>8258</v>
      </c>
      <c r="C1365" s="0" t="s">
        <v>368</v>
      </c>
      <c r="D1365" s="0" t="s">
        <v>5057</v>
      </c>
      <c r="E1365" s="0" t="s">
        <v>5058</v>
      </c>
      <c r="F1365" s="0" t="s">
        <v>5058</v>
      </c>
      <c r="G1365" s="0" t="s">
        <v>3278</v>
      </c>
      <c r="H1365" s="0" t="s">
        <v>3647</v>
      </c>
      <c r="I1365" s="0" t="s">
        <v>8259</v>
      </c>
      <c r="J1365" s="0" t="s">
        <v>8260</v>
      </c>
      <c r="K1365" s="444" t="s">
        <v>8261</v>
      </c>
    </row>
    <row r="1366" customFormat="false" ht="12.8" hidden="false" customHeight="false" outlineLevel="0" collapsed="false">
      <c r="A1366" s="0" t="s">
        <v>8262</v>
      </c>
      <c r="B1366" s="0" t="s">
        <v>8263</v>
      </c>
      <c r="C1366" s="0" t="s">
        <v>365</v>
      </c>
      <c r="D1366" s="0" t="s">
        <v>5057</v>
      </c>
      <c r="E1366" s="0" t="s">
        <v>5058</v>
      </c>
      <c r="F1366" s="0" t="s">
        <v>5058</v>
      </c>
      <c r="G1366" s="0" t="s">
        <v>3278</v>
      </c>
      <c r="H1366" s="0" t="s">
        <v>3647</v>
      </c>
      <c r="I1366" s="0" t="s">
        <v>8264</v>
      </c>
      <c r="J1366" s="0" t="s">
        <v>8265</v>
      </c>
      <c r="K1366" s="444" t="s">
        <v>8146</v>
      </c>
    </row>
    <row r="1367" customFormat="false" ht="12.8" hidden="false" customHeight="false" outlineLevel="0" collapsed="false">
      <c r="A1367" s="0" t="s">
        <v>8266</v>
      </c>
      <c r="B1367" s="0" t="s">
        <v>8267</v>
      </c>
      <c r="C1367" s="0" t="s">
        <v>365</v>
      </c>
      <c r="D1367" s="0" t="s">
        <v>5061</v>
      </c>
      <c r="E1367" s="0" t="s">
        <v>5062</v>
      </c>
      <c r="F1367" s="0" t="s">
        <v>5062</v>
      </c>
      <c r="G1367" s="0" t="s">
        <v>3278</v>
      </c>
      <c r="H1367" s="0" t="s">
        <v>3647</v>
      </c>
      <c r="I1367" s="0" t="s">
        <v>8264</v>
      </c>
      <c r="J1367" s="0" t="s">
        <v>8265</v>
      </c>
      <c r="K1367" s="444" t="s">
        <v>8146</v>
      </c>
    </row>
    <row r="1368" customFormat="false" ht="12.8" hidden="false" customHeight="false" outlineLevel="0" collapsed="false">
      <c r="A1368" s="0" t="s">
        <v>8268</v>
      </c>
      <c r="B1368" s="0" t="s">
        <v>8269</v>
      </c>
      <c r="C1368" s="0" t="s">
        <v>182</v>
      </c>
      <c r="D1368" s="0" t="s">
        <v>5057</v>
      </c>
      <c r="E1368" s="0" t="s">
        <v>5058</v>
      </c>
      <c r="F1368" s="0" t="s">
        <v>5058</v>
      </c>
      <c r="G1368" s="0" t="s">
        <v>3278</v>
      </c>
      <c r="H1368" s="0" t="s">
        <v>3647</v>
      </c>
      <c r="I1368" s="0" t="s">
        <v>8270</v>
      </c>
      <c r="J1368" s="0" t="s">
        <v>8271</v>
      </c>
      <c r="K1368" s="0" t="s">
        <v>7993</v>
      </c>
    </row>
    <row r="1369" customFormat="false" ht="12.8" hidden="false" customHeight="false" outlineLevel="0" collapsed="false">
      <c r="A1369" s="0" t="s">
        <v>8272</v>
      </c>
      <c r="B1369" s="0" t="s">
        <v>8273</v>
      </c>
      <c r="C1369" s="0" t="s">
        <v>182</v>
      </c>
      <c r="D1369" s="0" t="s">
        <v>5061</v>
      </c>
      <c r="E1369" s="0" t="s">
        <v>5062</v>
      </c>
      <c r="F1369" s="0" t="s">
        <v>5062</v>
      </c>
      <c r="G1369" s="0" t="s">
        <v>3278</v>
      </c>
      <c r="H1369" s="0" t="s">
        <v>3647</v>
      </c>
      <c r="I1369" s="0" t="s">
        <v>8270</v>
      </c>
      <c r="J1369" s="0" t="s">
        <v>8271</v>
      </c>
      <c r="K1369" s="0" t="s">
        <v>7993</v>
      </c>
    </row>
    <row r="1370" customFormat="false" ht="12.8" hidden="false" customHeight="false" outlineLevel="0" collapsed="false">
      <c r="A1370" s="0" t="s">
        <v>8274</v>
      </c>
      <c r="B1370" s="0" t="s">
        <v>8275</v>
      </c>
      <c r="C1370" s="0" t="s">
        <v>143</v>
      </c>
      <c r="D1370" s="0" t="s">
        <v>5057</v>
      </c>
      <c r="E1370" s="0" t="s">
        <v>5058</v>
      </c>
      <c r="F1370" s="0" t="s">
        <v>5058</v>
      </c>
      <c r="G1370" s="0" t="s">
        <v>3278</v>
      </c>
      <c r="H1370" s="0" t="s">
        <v>3647</v>
      </c>
      <c r="I1370" s="0" t="s">
        <v>8276</v>
      </c>
      <c r="J1370" s="0" t="s">
        <v>8277</v>
      </c>
      <c r="K1370" s="0" t="s">
        <v>7993</v>
      </c>
    </row>
    <row r="1371" customFormat="false" ht="12.8" hidden="false" customHeight="false" outlineLevel="0" collapsed="false">
      <c r="A1371" s="0" t="s">
        <v>8278</v>
      </c>
      <c r="B1371" s="0" t="s">
        <v>8279</v>
      </c>
      <c r="C1371" s="0" t="s">
        <v>143</v>
      </c>
      <c r="D1371" s="0" t="s">
        <v>5061</v>
      </c>
      <c r="E1371" s="0" t="s">
        <v>5062</v>
      </c>
      <c r="F1371" s="0" t="s">
        <v>5062</v>
      </c>
      <c r="G1371" s="0" t="s">
        <v>3278</v>
      </c>
      <c r="H1371" s="0" t="s">
        <v>3647</v>
      </c>
      <c r="I1371" s="0" t="s">
        <v>8276</v>
      </c>
      <c r="J1371" s="0" t="s">
        <v>8277</v>
      </c>
      <c r="K1371" s="0" t="s">
        <v>7993</v>
      </c>
    </row>
    <row r="1372" customFormat="false" ht="12.8" hidden="false" customHeight="false" outlineLevel="0" collapsed="false">
      <c r="A1372" s="0" t="s">
        <v>8280</v>
      </c>
      <c r="B1372" s="0" t="s">
        <v>8281</v>
      </c>
      <c r="C1372" s="0" t="s">
        <v>207</v>
      </c>
      <c r="D1372" s="0" t="s">
        <v>5057</v>
      </c>
      <c r="E1372" s="0" t="s">
        <v>5058</v>
      </c>
      <c r="F1372" s="0" t="s">
        <v>5058</v>
      </c>
      <c r="G1372" s="0" t="s">
        <v>3278</v>
      </c>
      <c r="H1372" s="0" t="s">
        <v>3647</v>
      </c>
      <c r="I1372" s="0" t="s">
        <v>8282</v>
      </c>
      <c r="J1372" s="0" t="s">
        <v>8283</v>
      </c>
      <c r="K1372" s="444" t="s">
        <v>8284</v>
      </c>
    </row>
    <row r="1373" customFormat="false" ht="12.8" hidden="false" customHeight="false" outlineLevel="0" collapsed="false">
      <c r="A1373" s="0" t="s">
        <v>8285</v>
      </c>
      <c r="B1373" s="0" t="s">
        <v>8286</v>
      </c>
      <c r="C1373" s="0" t="s">
        <v>303</v>
      </c>
      <c r="D1373" s="0" t="s">
        <v>5061</v>
      </c>
      <c r="E1373" s="0" t="s">
        <v>5062</v>
      </c>
      <c r="F1373" s="0" t="s">
        <v>5062</v>
      </c>
      <c r="G1373" s="0" t="s">
        <v>3278</v>
      </c>
      <c r="H1373" s="0" t="s">
        <v>3647</v>
      </c>
      <c r="I1373" s="0" t="s">
        <v>8287</v>
      </c>
      <c r="J1373" s="0" t="s">
        <v>8288</v>
      </c>
      <c r="K1373" s="444" t="s">
        <v>8146</v>
      </c>
    </row>
    <row r="1374" customFormat="false" ht="12.8" hidden="false" customHeight="false" outlineLevel="0" collapsed="false">
      <c r="A1374" s="0" t="s">
        <v>8289</v>
      </c>
      <c r="B1374" s="0" t="s">
        <v>8290</v>
      </c>
      <c r="C1374" s="0" t="s">
        <v>303</v>
      </c>
      <c r="D1374" s="0" t="s">
        <v>5057</v>
      </c>
      <c r="E1374" s="0" t="s">
        <v>5058</v>
      </c>
      <c r="F1374" s="0" t="s">
        <v>5058</v>
      </c>
      <c r="G1374" s="0" t="s">
        <v>3278</v>
      </c>
      <c r="H1374" s="0" t="s">
        <v>3647</v>
      </c>
      <c r="I1374" s="0" t="s">
        <v>8287</v>
      </c>
      <c r="J1374" s="0" t="s">
        <v>8288</v>
      </c>
      <c r="K1374" s="444" t="s">
        <v>8146</v>
      </c>
    </row>
    <row r="1375" customFormat="false" ht="12.8" hidden="false" customHeight="false" outlineLevel="0" collapsed="false">
      <c r="A1375" s="0" t="s">
        <v>8291</v>
      </c>
      <c r="B1375" s="0" t="s">
        <v>8292</v>
      </c>
      <c r="C1375" s="0" t="s">
        <v>259</v>
      </c>
      <c r="D1375" s="0" t="s">
        <v>5061</v>
      </c>
      <c r="E1375" s="0" t="s">
        <v>5062</v>
      </c>
      <c r="F1375" s="0" t="s">
        <v>5062</v>
      </c>
      <c r="G1375" s="0" t="s">
        <v>1883</v>
      </c>
      <c r="H1375" s="0" t="s">
        <v>2406</v>
      </c>
      <c r="I1375" s="0" t="s">
        <v>8293</v>
      </c>
      <c r="J1375" s="0" t="s">
        <v>8294</v>
      </c>
      <c r="K1375" s="0" t="s">
        <v>7993</v>
      </c>
    </row>
    <row r="1376" customFormat="false" ht="12.8" hidden="false" customHeight="false" outlineLevel="0" collapsed="false">
      <c r="A1376" s="0" t="s">
        <v>8295</v>
      </c>
      <c r="B1376" s="0" t="s">
        <v>8296</v>
      </c>
      <c r="C1376" s="0" t="s">
        <v>259</v>
      </c>
      <c r="D1376" s="0" t="s">
        <v>5057</v>
      </c>
      <c r="E1376" s="0" t="s">
        <v>5058</v>
      </c>
      <c r="F1376" s="0" t="s">
        <v>5058</v>
      </c>
      <c r="G1376" s="0" t="s">
        <v>1883</v>
      </c>
      <c r="H1376" s="0" t="s">
        <v>2406</v>
      </c>
      <c r="I1376" s="0" t="s">
        <v>8293</v>
      </c>
      <c r="J1376" s="0" t="s">
        <v>8294</v>
      </c>
      <c r="K1376" s="0" t="s">
        <v>7993</v>
      </c>
    </row>
    <row r="1377" customFormat="false" ht="12.8" hidden="false" customHeight="false" outlineLevel="0" collapsed="false">
      <c r="A1377" s="0" t="s">
        <v>8297</v>
      </c>
      <c r="B1377" s="0" t="s">
        <v>8298</v>
      </c>
      <c r="C1377" s="0" t="s">
        <v>181</v>
      </c>
      <c r="D1377" s="0" t="s">
        <v>5061</v>
      </c>
      <c r="E1377" s="0" t="s">
        <v>5062</v>
      </c>
      <c r="F1377" s="0" t="s">
        <v>5062</v>
      </c>
      <c r="G1377" s="0" t="s">
        <v>1883</v>
      </c>
      <c r="H1377" s="0" t="s">
        <v>2406</v>
      </c>
      <c r="I1377" s="0" t="s">
        <v>8299</v>
      </c>
      <c r="J1377" s="0" t="s">
        <v>8300</v>
      </c>
      <c r="K1377" s="0" t="s">
        <v>7993</v>
      </c>
      <c r="L1377" s="0" t="s">
        <v>6757</v>
      </c>
    </row>
    <row r="1378" customFormat="false" ht="12.8" hidden="false" customHeight="false" outlineLevel="0" collapsed="false">
      <c r="A1378" s="0" t="s">
        <v>8301</v>
      </c>
      <c r="B1378" s="0" t="s">
        <v>8302</v>
      </c>
      <c r="C1378" s="0" t="s">
        <v>181</v>
      </c>
      <c r="D1378" s="0" t="s">
        <v>5057</v>
      </c>
      <c r="E1378" s="0" t="s">
        <v>5058</v>
      </c>
      <c r="F1378" s="0" t="s">
        <v>5058</v>
      </c>
      <c r="G1378" s="0" t="s">
        <v>1883</v>
      </c>
      <c r="H1378" s="0" t="s">
        <v>2406</v>
      </c>
      <c r="I1378" s="0" t="s">
        <v>8299</v>
      </c>
      <c r="J1378" s="0" t="s">
        <v>8300</v>
      </c>
      <c r="K1378" s="0" t="s">
        <v>7993</v>
      </c>
      <c r="L1378" s="0" t="s">
        <v>6757</v>
      </c>
    </row>
    <row r="1379" customFormat="false" ht="12.8" hidden="false" customHeight="false" outlineLevel="0" collapsed="false">
      <c r="A1379" s="0" t="s">
        <v>8303</v>
      </c>
      <c r="B1379" s="0" t="s">
        <v>8304</v>
      </c>
      <c r="C1379" s="0" t="s">
        <v>181</v>
      </c>
      <c r="D1379" s="0" t="s">
        <v>5023</v>
      </c>
      <c r="E1379" s="0" t="s">
        <v>5024</v>
      </c>
      <c r="F1379" s="0" t="s">
        <v>5024</v>
      </c>
      <c r="G1379" s="0" t="s">
        <v>1883</v>
      </c>
      <c r="H1379" s="0" t="s">
        <v>2406</v>
      </c>
      <c r="I1379" s="0" t="s">
        <v>8299</v>
      </c>
      <c r="J1379" s="0" t="s">
        <v>8300</v>
      </c>
      <c r="K1379" s="0" t="s">
        <v>7993</v>
      </c>
      <c r="L1379" s="0" t="s">
        <v>6757</v>
      </c>
    </row>
    <row r="1380" customFormat="false" ht="12.8" hidden="false" customHeight="false" outlineLevel="0" collapsed="false">
      <c r="A1380" s="0" t="s">
        <v>8305</v>
      </c>
      <c r="B1380" s="0" t="s">
        <v>8306</v>
      </c>
      <c r="C1380" s="0" t="s">
        <v>252</v>
      </c>
      <c r="D1380" s="0" t="s">
        <v>5061</v>
      </c>
      <c r="E1380" s="0" t="s">
        <v>5062</v>
      </c>
      <c r="F1380" s="0" t="s">
        <v>5062</v>
      </c>
      <c r="G1380" s="0" t="s">
        <v>1883</v>
      </c>
      <c r="H1380" s="0" t="s">
        <v>2406</v>
      </c>
      <c r="I1380" s="0" t="s">
        <v>8307</v>
      </c>
      <c r="J1380" s="0" t="s">
        <v>8308</v>
      </c>
      <c r="K1380" s="0" t="s">
        <v>7993</v>
      </c>
    </row>
    <row r="1381" customFormat="false" ht="12.8" hidden="false" customHeight="false" outlineLevel="0" collapsed="false">
      <c r="A1381" s="0" t="s">
        <v>8309</v>
      </c>
      <c r="B1381" s="0" t="s">
        <v>8310</v>
      </c>
      <c r="C1381" s="0" t="s">
        <v>252</v>
      </c>
      <c r="D1381" s="0" t="s">
        <v>5057</v>
      </c>
      <c r="E1381" s="0" t="s">
        <v>5058</v>
      </c>
      <c r="F1381" s="0" t="s">
        <v>5058</v>
      </c>
      <c r="G1381" s="0" t="s">
        <v>1883</v>
      </c>
      <c r="H1381" s="0" t="s">
        <v>2406</v>
      </c>
      <c r="I1381" s="0" t="s">
        <v>8307</v>
      </c>
      <c r="J1381" s="0" t="s">
        <v>8308</v>
      </c>
      <c r="K1381" s="0" t="s">
        <v>7993</v>
      </c>
    </row>
    <row r="1382" customFormat="false" ht="12.8" hidden="false" customHeight="false" outlineLevel="0" collapsed="false">
      <c r="A1382" s="0" t="s">
        <v>8311</v>
      </c>
      <c r="B1382" s="0" t="s">
        <v>8312</v>
      </c>
      <c r="C1382" s="0" t="s">
        <v>252</v>
      </c>
      <c r="D1382" s="0" t="s">
        <v>5023</v>
      </c>
      <c r="E1382" s="0" t="s">
        <v>5024</v>
      </c>
      <c r="F1382" s="0" t="s">
        <v>5024</v>
      </c>
      <c r="G1382" s="0" t="s">
        <v>1883</v>
      </c>
      <c r="H1382" s="0" t="s">
        <v>2406</v>
      </c>
      <c r="I1382" s="0" t="s">
        <v>8307</v>
      </c>
      <c r="J1382" s="0" t="s">
        <v>8308</v>
      </c>
      <c r="K1382" s="0" t="s">
        <v>7993</v>
      </c>
    </row>
    <row r="1383" customFormat="false" ht="12.8" hidden="false" customHeight="false" outlineLevel="0" collapsed="false">
      <c r="A1383" s="0" t="s">
        <v>8313</v>
      </c>
      <c r="B1383" s="0" t="s">
        <v>8314</v>
      </c>
      <c r="C1383" s="0" t="s">
        <v>257</v>
      </c>
      <c r="D1383" s="0" t="s">
        <v>5061</v>
      </c>
      <c r="E1383" s="0" t="s">
        <v>5062</v>
      </c>
      <c r="F1383" s="0" t="s">
        <v>5062</v>
      </c>
      <c r="G1383" s="0" t="s">
        <v>1883</v>
      </c>
      <c r="H1383" s="0" t="s">
        <v>2406</v>
      </c>
      <c r="I1383" s="0" t="s">
        <v>8315</v>
      </c>
      <c r="J1383" s="0" t="s">
        <v>8316</v>
      </c>
      <c r="K1383" s="0" t="s">
        <v>7993</v>
      </c>
    </row>
    <row r="1384" customFormat="false" ht="12.8" hidden="false" customHeight="false" outlineLevel="0" collapsed="false">
      <c r="A1384" s="0" t="s">
        <v>8317</v>
      </c>
      <c r="B1384" s="0" t="s">
        <v>8318</v>
      </c>
      <c r="C1384" s="0" t="s">
        <v>257</v>
      </c>
      <c r="D1384" s="0" t="s">
        <v>5057</v>
      </c>
      <c r="E1384" s="0" t="s">
        <v>5058</v>
      </c>
      <c r="F1384" s="0" t="s">
        <v>5058</v>
      </c>
      <c r="G1384" s="0" t="s">
        <v>1883</v>
      </c>
      <c r="H1384" s="0" t="s">
        <v>2406</v>
      </c>
      <c r="I1384" s="0" t="s">
        <v>8315</v>
      </c>
      <c r="J1384" s="0" t="s">
        <v>8316</v>
      </c>
      <c r="K1384" s="0" t="s">
        <v>7993</v>
      </c>
    </row>
    <row r="1385" customFormat="false" ht="12.8" hidden="false" customHeight="false" outlineLevel="0" collapsed="false">
      <c r="A1385" s="0" t="s">
        <v>8319</v>
      </c>
      <c r="B1385" s="0" t="s">
        <v>8320</v>
      </c>
      <c r="C1385" s="0" t="s">
        <v>22</v>
      </c>
      <c r="D1385" s="0" t="s">
        <v>5061</v>
      </c>
      <c r="E1385" s="0" t="s">
        <v>5062</v>
      </c>
      <c r="F1385" s="0" t="s">
        <v>5062</v>
      </c>
      <c r="G1385" s="0" t="s">
        <v>1883</v>
      </c>
      <c r="H1385" s="0" t="s">
        <v>2406</v>
      </c>
      <c r="I1385" s="0" t="s">
        <v>8321</v>
      </c>
      <c r="J1385" s="0" t="s">
        <v>8322</v>
      </c>
      <c r="K1385" s="0" t="s">
        <v>7993</v>
      </c>
    </row>
    <row r="1386" customFormat="false" ht="12.8" hidden="false" customHeight="false" outlineLevel="0" collapsed="false">
      <c r="A1386" s="0" t="s">
        <v>8323</v>
      </c>
      <c r="B1386" s="0" t="s">
        <v>8324</v>
      </c>
      <c r="C1386" s="0" t="s">
        <v>22</v>
      </c>
      <c r="D1386" s="0" t="s">
        <v>5057</v>
      </c>
      <c r="E1386" s="0" t="s">
        <v>5058</v>
      </c>
      <c r="F1386" s="0" t="s">
        <v>5058</v>
      </c>
      <c r="G1386" s="0" t="s">
        <v>1883</v>
      </c>
      <c r="H1386" s="0" t="s">
        <v>2406</v>
      </c>
      <c r="I1386" s="0" t="s">
        <v>8321</v>
      </c>
      <c r="J1386" s="0" t="s">
        <v>8322</v>
      </c>
      <c r="K1386" s="0" t="s">
        <v>7993</v>
      </c>
    </row>
    <row r="1387" customFormat="false" ht="12.8" hidden="false" customHeight="false" outlineLevel="0" collapsed="false">
      <c r="A1387" s="0" t="s">
        <v>8325</v>
      </c>
      <c r="B1387" s="0" t="s">
        <v>8326</v>
      </c>
      <c r="C1387" s="0" t="s">
        <v>379</v>
      </c>
      <c r="D1387" s="0" t="s">
        <v>5061</v>
      </c>
      <c r="E1387" s="0" t="s">
        <v>5062</v>
      </c>
      <c r="F1387" s="0" t="s">
        <v>5062</v>
      </c>
      <c r="G1387" s="0" t="s">
        <v>1883</v>
      </c>
      <c r="H1387" s="0" t="s">
        <v>2406</v>
      </c>
      <c r="I1387" s="0" t="s">
        <v>8327</v>
      </c>
      <c r="J1387" s="0" t="s">
        <v>8328</v>
      </c>
      <c r="K1387" s="0" t="s">
        <v>7993</v>
      </c>
    </row>
    <row r="1388" customFormat="false" ht="12.8" hidden="false" customHeight="false" outlineLevel="0" collapsed="false">
      <c r="A1388" s="0" t="s">
        <v>8329</v>
      </c>
      <c r="B1388" s="0" t="s">
        <v>8330</v>
      </c>
      <c r="C1388" s="0" t="s">
        <v>379</v>
      </c>
      <c r="D1388" s="0" t="s">
        <v>5057</v>
      </c>
      <c r="E1388" s="0" t="s">
        <v>5058</v>
      </c>
      <c r="F1388" s="0" t="s">
        <v>5058</v>
      </c>
      <c r="G1388" s="0" t="s">
        <v>1883</v>
      </c>
      <c r="H1388" s="0" t="s">
        <v>2406</v>
      </c>
      <c r="I1388" s="0" t="s">
        <v>8327</v>
      </c>
      <c r="J1388" s="0" t="s">
        <v>8328</v>
      </c>
      <c r="K1388" s="0" t="s">
        <v>7993</v>
      </c>
    </row>
    <row r="1389" customFormat="false" ht="12.8" hidden="false" customHeight="false" outlineLevel="0" collapsed="false">
      <c r="A1389" s="0" t="s">
        <v>8331</v>
      </c>
      <c r="B1389" s="0" t="s">
        <v>8332</v>
      </c>
      <c r="C1389" s="0" t="s">
        <v>44</v>
      </c>
      <c r="D1389" s="0" t="s">
        <v>5061</v>
      </c>
      <c r="E1389" s="0" t="s">
        <v>5062</v>
      </c>
      <c r="F1389" s="0" t="s">
        <v>5062</v>
      </c>
      <c r="G1389" s="0" t="s">
        <v>1883</v>
      </c>
      <c r="H1389" s="0" t="s">
        <v>2406</v>
      </c>
      <c r="I1389" s="0" t="s">
        <v>8333</v>
      </c>
      <c r="J1389" s="0" t="s">
        <v>8334</v>
      </c>
      <c r="K1389" s="444" t="s">
        <v>8284</v>
      </c>
    </row>
    <row r="1390" customFormat="false" ht="12.8" hidden="false" customHeight="false" outlineLevel="0" collapsed="false">
      <c r="A1390" s="0" t="s">
        <v>8335</v>
      </c>
      <c r="B1390" s="0" t="s">
        <v>8336</v>
      </c>
      <c r="C1390" s="0" t="s">
        <v>44</v>
      </c>
      <c r="D1390" s="0" t="s">
        <v>5057</v>
      </c>
      <c r="E1390" s="0" t="s">
        <v>5058</v>
      </c>
      <c r="F1390" s="0" t="s">
        <v>5058</v>
      </c>
      <c r="G1390" s="0" t="s">
        <v>1883</v>
      </c>
      <c r="H1390" s="0" t="s">
        <v>2406</v>
      </c>
      <c r="I1390" s="0" t="s">
        <v>8333</v>
      </c>
      <c r="J1390" s="0" t="s">
        <v>8334</v>
      </c>
      <c r="K1390" s="444" t="s">
        <v>8284</v>
      </c>
    </row>
    <row r="1391" customFormat="false" ht="12.8" hidden="false" customHeight="false" outlineLevel="0" collapsed="false">
      <c r="A1391" s="0" t="s">
        <v>8337</v>
      </c>
      <c r="B1391" s="0" t="s">
        <v>8338</v>
      </c>
      <c r="C1391" s="0" t="s">
        <v>239</v>
      </c>
      <c r="D1391" s="0" t="s">
        <v>5061</v>
      </c>
      <c r="E1391" s="0" t="s">
        <v>5062</v>
      </c>
      <c r="F1391" s="0" t="s">
        <v>5062</v>
      </c>
      <c r="G1391" s="0" t="s">
        <v>1883</v>
      </c>
      <c r="H1391" s="0" t="s">
        <v>2406</v>
      </c>
      <c r="I1391" s="0" t="s">
        <v>8339</v>
      </c>
      <c r="J1391" s="0" t="s">
        <v>8340</v>
      </c>
      <c r="K1391" s="444" t="s">
        <v>8284</v>
      </c>
    </row>
    <row r="1392" customFormat="false" ht="12.8" hidden="false" customHeight="false" outlineLevel="0" collapsed="false">
      <c r="A1392" s="0" t="s">
        <v>8341</v>
      </c>
      <c r="B1392" s="0" t="s">
        <v>8342</v>
      </c>
      <c r="C1392" s="0" t="s">
        <v>239</v>
      </c>
      <c r="D1392" s="0" t="s">
        <v>5057</v>
      </c>
      <c r="E1392" s="0" t="s">
        <v>5058</v>
      </c>
      <c r="F1392" s="0" t="s">
        <v>5058</v>
      </c>
      <c r="G1392" s="0" t="s">
        <v>1883</v>
      </c>
      <c r="H1392" s="0" t="s">
        <v>2406</v>
      </c>
      <c r="I1392" s="0" t="s">
        <v>8339</v>
      </c>
      <c r="J1392" s="0" t="s">
        <v>8340</v>
      </c>
      <c r="K1392" s="444" t="s">
        <v>8284</v>
      </c>
    </row>
    <row r="1393" customFormat="false" ht="12.8" hidden="false" customHeight="false" outlineLevel="0" collapsed="false">
      <c r="A1393" s="0" t="s">
        <v>8343</v>
      </c>
      <c r="B1393" s="0" t="s">
        <v>8344</v>
      </c>
      <c r="C1393" s="0" t="s">
        <v>311</v>
      </c>
      <c r="D1393" s="0" t="s">
        <v>5061</v>
      </c>
      <c r="E1393" s="0" t="s">
        <v>5062</v>
      </c>
      <c r="F1393" s="0" t="s">
        <v>5062</v>
      </c>
      <c r="G1393" s="0" t="s">
        <v>1883</v>
      </c>
      <c r="H1393" s="0" t="s">
        <v>2406</v>
      </c>
      <c r="I1393" s="0" t="s">
        <v>8345</v>
      </c>
      <c r="J1393" s="0" t="s">
        <v>8346</v>
      </c>
      <c r="K1393" s="0" t="s">
        <v>7993</v>
      </c>
    </row>
    <row r="1394" customFormat="false" ht="12.8" hidden="false" customHeight="false" outlineLevel="0" collapsed="false">
      <c r="A1394" s="0" t="s">
        <v>8347</v>
      </c>
      <c r="B1394" s="0" t="s">
        <v>8348</v>
      </c>
      <c r="C1394" s="0" t="s">
        <v>311</v>
      </c>
      <c r="D1394" s="0" t="s">
        <v>5057</v>
      </c>
      <c r="E1394" s="0" t="s">
        <v>5058</v>
      </c>
      <c r="F1394" s="0" t="s">
        <v>5058</v>
      </c>
      <c r="G1394" s="0" t="s">
        <v>1883</v>
      </c>
      <c r="H1394" s="0" t="s">
        <v>2406</v>
      </c>
      <c r="I1394" s="0" t="s">
        <v>8345</v>
      </c>
      <c r="J1394" s="0" t="s">
        <v>8346</v>
      </c>
      <c r="K1394" s="0" t="s">
        <v>7993</v>
      </c>
    </row>
    <row r="1395" customFormat="false" ht="12.8" hidden="false" customHeight="false" outlineLevel="0" collapsed="false">
      <c r="A1395" s="0" t="s">
        <v>8349</v>
      </c>
      <c r="B1395" s="0" t="s">
        <v>8350</v>
      </c>
      <c r="C1395" s="0" t="s">
        <v>426</v>
      </c>
      <c r="D1395" s="0" t="s">
        <v>5061</v>
      </c>
      <c r="E1395" s="0" t="s">
        <v>5062</v>
      </c>
      <c r="F1395" s="0" t="s">
        <v>5062</v>
      </c>
      <c r="G1395" s="0" t="s">
        <v>1883</v>
      </c>
      <c r="H1395" s="0" t="s">
        <v>1995</v>
      </c>
      <c r="I1395" s="0" t="s">
        <v>8351</v>
      </c>
      <c r="J1395" s="0" t="s">
        <v>8352</v>
      </c>
      <c r="K1395" s="0" t="s">
        <v>7993</v>
      </c>
    </row>
    <row r="1396" customFormat="false" ht="12.8" hidden="false" customHeight="false" outlineLevel="0" collapsed="false">
      <c r="A1396" s="0" t="s">
        <v>8353</v>
      </c>
      <c r="B1396" s="0" t="s">
        <v>8354</v>
      </c>
      <c r="C1396" s="0" t="s">
        <v>426</v>
      </c>
      <c r="D1396" s="0" t="s">
        <v>5057</v>
      </c>
      <c r="E1396" s="0" t="s">
        <v>5058</v>
      </c>
      <c r="F1396" s="0" t="s">
        <v>5058</v>
      </c>
      <c r="G1396" s="0" t="s">
        <v>1883</v>
      </c>
      <c r="H1396" s="0" t="s">
        <v>1995</v>
      </c>
      <c r="I1396" s="0" t="s">
        <v>8351</v>
      </c>
      <c r="J1396" s="0" t="s">
        <v>8352</v>
      </c>
      <c r="K1396" s="0" t="s">
        <v>7993</v>
      </c>
    </row>
    <row r="1397" customFormat="false" ht="12.8" hidden="false" customHeight="false" outlineLevel="0" collapsed="false">
      <c r="A1397" s="0" t="s">
        <v>8355</v>
      </c>
      <c r="B1397" s="0" t="s">
        <v>8356</v>
      </c>
      <c r="C1397" s="0" t="s">
        <v>9</v>
      </c>
      <c r="D1397" s="0" t="s">
        <v>5061</v>
      </c>
      <c r="E1397" s="0" t="s">
        <v>5062</v>
      </c>
      <c r="F1397" s="0" t="s">
        <v>5062</v>
      </c>
      <c r="G1397" s="0" t="s">
        <v>1883</v>
      </c>
      <c r="H1397" s="0" t="s">
        <v>2100</v>
      </c>
      <c r="I1397" s="0" t="s">
        <v>8357</v>
      </c>
      <c r="J1397" s="0" t="s">
        <v>8358</v>
      </c>
      <c r="K1397" s="0" t="s">
        <v>7993</v>
      </c>
    </row>
    <row r="1398" customFormat="false" ht="12.8" hidden="false" customHeight="false" outlineLevel="0" collapsed="false">
      <c r="A1398" s="0" t="s">
        <v>8359</v>
      </c>
      <c r="B1398" s="0" t="s">
        <v>8360</v>
      </c>
      <c r="C1398" s="0" t="s">
        <v>47</v>
      </c>
      <c r="D1398" s="0" t="s">
        <v>5061</v>
      </c>
      <c r="E1398" s="0" t="s">
        <v>5062</v>
      </c>
      <c r="F1398" s="0" t="s">
        <v>5062</v>
      </c>
      <c r="G1398" s="0" t="s">
        <v>1883</v>
      </c>
      <c r="H1398" s="0" t="s">
        <v>2100</v>
      </c>
      <c r="I1398" s="0" t="s">
        <v>8361</v>
      </c>
      <c r="J1398" s="0" t="s">
        <v>8362</v>
      </c>
      <c r="K1398" s="0" t="s">
        <v>7993</v>
      </c>
    </row>
    <row r="1399" customFormat="false" ht="12.8" hidden="false" customHeight="false" outlineLevel="0" collapsed="false">
      <c r="A1399" s="0" t="s">
        <v>8363</v>
      </c>
      <c r="B1399" s="0" t="s">
        <v>8364</v>
      </c>
      <c r="C1399" s="0" t="s">
        <v>47</v>
      </c>
      <c r="D1399" s="0" t="s">
        <v>5057</v>
      </c>
      <c r="E1399" s="0" t="s">
        <v>5058</v>
      </c>
      <c r="F1399" s="0" t="s">
        <v>5058</v>
      </c>
      <c r="G1399" s="0" t="s">
        <v>1883</v>
      </c>
      <c r="H1399" s="0" t="s">
        <v>2100</v>
      </c>
      <c r="I1399" s="0" t="s">
        <v>8361</v>
      </c>
      <c r="J1399" s="0" t="s">
        <v>8362</v>
      </c>
      <c r="K1399" s="0" t="s">
        <v>7993</v>
      </c>
    </row>
    <row r="1400" customFormat="false" ht="12.8" hidden="false" customHeight="false" outlineLevel="0" collapsed="false">
      <c r="A1400" s="0" t="s">
        <v>8365</v>
      </c>
      <c r="B1400" s="0" t="s">
        <v>8366</v>
      </c>
      <c r="C1400" s="0" t="s">
        <v>266</v>
      </c>
      <c r="D1400" s="0" t="s">
        <v>5061</v>
      </c>
      <c r="E1400" s="0" t="s">
        <v>5062</v>
      </c>
      <c r="F1400" s="0" t="s">
        <v>5062</v>
      </c>
      <c r="G1400" s="0" t="s">
        <v>1883</v>
      </c>
      <c r="H1400" s="0" t="s">
        <v>1884</v>
      </c>
      <c r="I1400" s="0" t="s">
        <v>8367</v>
      </c>
      <c r="J1400" s="0" t="s">
        <v>8368</v>
      </c>
      <c r="K1400" s="0" t="s">
        <v>7993</v>
      </c>
    </row>
    <row r="1401" customFormat="false" ht="12.8" hidden="false" customHeight="false" outlineLevel="0" collapsed="false">
      <c r="A1401" s="0" t="s">
        <v>8369</v>
      </c>
      <c r="B1401" s="0" t="s">
        <v>8370</v>
      </c>
      <c r="C1401" s="0" t="s">
        <v>266</v>
      </c>
      <c r="D1401" s="0" t="s">
        <v>5057</v>
      </c>
      <c r="E1401" s="0" t="s">
        <v>5058</v>
      </c>
      <c r="F1401" s="0" t="s">
        <v>5058</v>
      </c>
      <c r="G1401" s="0" t="s">
        <v>1883</v>
      </c>
      <c r="H1401" s="0" t="s">
        <v>1884</v>
      </c>
      <c r="I1401" s="0" t="s">
        <v>8367</v>
      </c>
      <c r="J1401" s="0" t="s">
        <v>8368</v>
      </c>
      <c r="K1401" s="0" t="s">
        <v>7993</v>
      </c>
    </row>
    <row r="1402" customFormat="false" ht="12.8" hidden="false" customHeight="false" outlineLevel="0" collapsed="false">
      <c r="A1402" s="0" t="s">
        <v>8371</v>
      </c>
      <c r="B1402" s="0" t="s">
        <v>8372</v>
      </c>
      <c r="C1402" s="0" t="s">
        <v>76</v>
      </c>
      <c r="D1402" s="0" t="s">
        <v>5061</v>
      </c>
      <c r="E1402" s="0" t="s">
        <v>5062</v>
      </c>
      <c r="F1402" s="0" t="s">
        <v>5062</v>
      </c>
      <c r="G1402" s="0" t="s">
        <v>1883</v>
      </c>
      <c r="H1402" s="0" t="s">
        <v>1995</v>
      </c>
      <c r="I1402" s="0" t="s">
        <v>8373</v>
      </c>
      <c r="J1402" s="0" t="s">
        <v>8374</v>
      </c>
      <c r="K1402" s="0" t="s">
        <v>7993</v>
      </c>
    </row>
    <row r="1403" customFormat="false" ht="12.8" hidden="false" customHeight="false" outlineLevel="0" collapsed="false">
      <c r="A1403" s="0" t="s">
        <v>8375</v>
      </c>
      <c r="B1403" s="0" t="s">
        <v>8376</v>
      </c>
      <c r="C1403" s="0" t="s">
        <v>76</v>
      </c>
      <c r="D1403" s="0" t="s">
        <v>5057</v>
      </c>
      <c r="E1403" s="0" t="s">
        <v>5058</v>
      </c>
      <c r="F1403" s="0" t="s">
        <v>5058</v>
      </c>
      <c r="G1403" s="0" t="s">
        <v>1883</v>
      </c>
      <c r="H1403" s="0" t="s">
        <v>1995</v>
      </c>
      <c r="I1403" s="0" t="s">
        <v>8373</v>
      </c>
      <c r="J1403" s="0" t="s">
        <v>8374</v>
      </c>
      <c r="K1403" s="0" t="s">
        <v>7993</v>
      </c>
    </row>
    <row r="1404" customFormat="false" ht="12.8" hidden="false" customHeight="false" outlineLevel="0" collapsed="false">
      <c r="A1404" s="0" t="s">
        <v>8377</v>
      </c>
      <c r="B1404" s="0" t="s">
        <v>8378</v>
      </c>
      <c r="C1404" s="0" t="s">
        <v>243</v>
      </c>
      <c r="D1404" s="0" t="s">
        <v>5061</v>
      </c>
      <c r="E1404" s="0" t="s">
        <v>5062</v>
      </c>
      <c r="F1404" s="0" t="s">
        <v>5062</v>
      </c>
      <c r="G1404" s="0" t="s">
        <v>1883</v>
      </c>
      <c r="H1404" s="0" t="s">
        <v>1884</v>
      </c>
      <c r="I1404" s="0" t="s">
        <v>8379</v>
      </c>
      <c r="J1404" s="0" t="s">
        <v>8380</v>
      </c>
      <c r="K1404" s="0" t="s">
        <v>7993</v>
      </c>
    </row>
    <row r="1405" customFormat="false" ht="12.8" hidden="false" customHeight="false" outlineLevel="0" collapsed="false">
      <c r="A1405" s="0" t="s">
        <v>8381</v>
      </c>
      <c r="B1405" s="0" t="s">
        <v>8382</v>
      </c>
      <c r="C1405" s="0" t="s">
        <v>243</v>
      </c>
      <c r="D1405" s="0" t="s">
        <v>5057</v>
      </c>
      <c r="E1405" s="0" t="s">
        <v>5058</v>
      </c>
      <c r="F1405" s="0" t="s">
        <v>5058</v>
      </c>
      <c r="G1405" s="0" t="s">
        <v>1883</v>
      </c>
      <c r="H1405" s="0" t="s">
        <v>1884</v>
      </c>
      <c r="I1405" s="0" t="s">
        <v>8379</v>
      </c>
      <c r="J1405" s="0" t="s">
        <v>8380</v>
      </c>
      <c r="K1405" s="0" t="s">
        <v>7993</v>
      </c>
    </row>
    <row r="1406" customFormat="false" ht="12.8" hidden="false" customHeight="false" outlineLevel="0" collapsed="false">
      <c r="A1406" s="0" t="s">
        <v>8383</v>
      </c>
      <c r="B1406" s="0" t="s">
        <v>8384</v>
      </c>
      <c r="C1406" s="0" t="s">
        <v>265</v>
      </c>
      <c r="D1406" s="0" t="s">
        <v>5061</v>
      </c>
      <c r="E1406" s="0" t="s">
        <v>5062</v>
      </c>
      <c r="F1406" s="0" t="s">
        <v>5062</v>
      </c>
      <c r="G1406" s="0" t="s">
        <v>1883</v>
      </c>
      <c r="H1406" s="0" t="s">
        <v>1884</v>
      </c>
      <c r="I1406" s="0" t="s">
        <v>8385</v>
      </c>
      <c r="J1406" s="0" t="s">
        <v>8386</v>
      </c>
      <c r="K1406" s="444" t="s">
        <v>8387</v>
      </c>
    </row>
    <row r="1407" customFormat="false" ht="12.8" hidden="false" customHeight="false" outlineLevel="0" collapsed="false">
      <c r="A1407" s="0" t="s">
        <v>8388</v>
      </c>
      <c r="B1407" s="0" t="s">
        <v>8389</v>
      </c>
      <c r="C1407" s="0" t="s">
        <v>265</v>
      </c>
      <c r="D1407" s="0" t="s">
        <v>5057</v>
      </c>
      <c r="E1407" s="0" t="s">
        <v>5058</v>
      </c>
      <c r="F1407" s="0" t="s">
        <v>5058</v>
      </c>
      <c r="G1407" s="0" t="s">
        <v>1883</v>
      </c>
      <c r="H1407" s="0" t="s">
        <v>1884</v>
      </c>
      <c r="I1407" s="0" t="s">
        <v>8385</v>
      </c>
      <c r="J1407" s="0" t="s">
        <v>8386</v>
      </c>
      <c r="K1407" s="444" t="s">
        <v>8387</v>
      </c>
    </row>
    <row r="1408" customFormat="false" ht="12.8" hidden="false" customHeight="false" outlineLevel="0" collapsed="false">
      <c r="A1408" s="0" t="s">
        <v>8390</v>
      </c>
      <c r="B1408" s="0" t="s">
        <v>8391</v>
      </c>
      <c r="C1408" s="0" t="s">
        <v>346</v>
      </c>
      <c r="D1408" s="0" t="s">
        <v>5061</v>
      </c>
      <c r="E1408" s="0" t="s">
        <v>5062</v>
      </c>
      <c r="F1408" s="0" t="s">
        <v>5062</v>
      </c>
      <c r="G1408" s="0" t="s">
        <v>1883</v>
      </c>
      <c r="H1408" s="0" t="s">
        <v>1995</v>
      </c>
      <c r="I1408" s="0" t="s">
        <v>8392</v>
      </c>
      <c r="J1408" s="0" t="s">
        <v>8393</v>
      </c>
      <c r="K1408" s="0" t="s">
        <v>7993</v>
      </c>
    </row>
    <row r="1409" customFormat="false" ht="12.8" hidden="false" customHeight="false" outlineLevel="0" collapsed="false">
      <c r="A1409" s="0" t="s">
        <v>8394</v>
      </c>
      <c r="B1409" s="0" t="s">
        <v>8395</v>
      </c>
      <c r="C1409" s="0" t="s">
        <v>346</v>
      </c>
      <c r="D1409" s="0" t="s">
        <v>5057</v>
      </c>
      <c r="E1409" s="0" t="s">
        <v>5058</v>
      </c>
      <c r="F1409" s="0" t="s">
        <v>5058</v>
      </c>
      <c r="G1409" s="0" t="s">
        <v>1883</v>
      </c>
      <c r="H1409" s="0" t="s">
        <v>1995</v>
      </c>
      <c r="I1409" s="0" t="s">
        <v>8392</v>
      </c>
      <c r="J1409" s="0" t="s">
        <v>8393</v>
      </c>
      <c r="K1409" s="0" t="s">
        <v>7993</v>
      </c>
    </row>
    <row r="1410" customFormat="false" ht="12.8" hidden="false" customHeight="false" outlineLevel="0" collapsed="false">
      <c r="A1410" s="0" t="s">
        <v>8396</v>
      </c>
      <c r="B1410" s="0" t="s">
        <v>8397</v>
      </c>
      <c r="C1410" s="0" t="s">
        <v>382</v>
      </c>
      <c r="D1410" s="0" t="s">
        <v>5061</v>
      </c>
      <c r="E1410" s="0" t="s">
        <v>5062</v>
      </c>
      <c r="F1410" s="0" t="s">
        <v>5062</v>
      </c>
      <c r="G1410" s="0" t="s">
        <v>1155</v>
      </c>
      <c r="H1410" s="0" t="s">
        <v>1792</v>
      </c>
      <c r="I1410" s="0" t="s">
        <v>8398</v>
      </c>
      <c r="J1410" s="0" t="s">
        <v>8399</v>
      </c>
      <c r="K1410" s="444" t="s">
        <v>8146</v>
      </c>
    </row>
    <row r="1411" customFormat="false" ht="12.8" hidden="false" customHeight="false" outlineLevel="0" collapsed="false">
      <c r="A1411" s="0" t="s">
        <v>8400</v>
      </c>
      <c r="B1411" s="0" t="s">
        <v>8401</v>
      </c>
      <c r="C1411" s="0" t="s">
        <v>382</v>
      </c>
      <c r="D1411" s="0" t="s">
        <v>5023</v>
      </c>
      <c r="E1411" s="0" t="s">
        <v>5024</v>
      </c>
      <c r="F1411" s="0" t="s">
        <v>5024</v>
      </c>
      <c r="G1411" s="0" t="s">
        <v>1155</v>
      </c>
      <c r="H1411" s="0" t="s">
        <v>1792</v>
      </c>
      <c r="I1411" s="0" t="s">
        <v>8398</v>
      </c>
      <c r="J1411" s="0" t="s">
        <v>8399</v>
      </c>
      <c r="K1411" s="444" t="s">
        <v>8146</v>
      </c>
    </row>
    <row r="1412" customFormat="false" ht="12.8" hidden="false" customHeight="false" outlineLevel="0" collapsed="false">
      <c r="A1412" s="0" t="s">
        <v>8402</v>
      </c>
      <c r="B1412" s="0" t="s">
        <v>8403</v>
      </c>
      <c r="C1412" s="0" t="s">
        <v>382</v>
      </c>
      <c r="D1412" s="0" t="s">
        <v>5023</v>
      </c>
      <c r="E1412" s="0" t="s">
        <v>5024</v>
      </c>
      <c r="F1412" s="0" t="s">
        <v>5024</v>
      </c>
      <c r="G1412" s="0" t="s">
        <v>1155</v>
      </c>
      <c r="H1412" s="0" t="s">
        <v>1792</v>
      </c>
      <c r="I1412" s="0" t="s">
        <v>8398</v>
      </c>
      <c r="J1412" s="0" t="s">
        <v>8399</v>
      </c>
      <c r="K1412" s="444" t="s">
        <v>8146</v>
      </c>
    </row>
    <row r="1413" customFormat="false" ht="12.8" hidden="false" customHeight="false" outlineLevel="0" collapsed="false">
      <c r="A1413" s="0" t="s">
        <v>8404</v>
      </c>
      <c r="B1413" s="0" t="s">
        <v>8405</v>
      </c>
      <c r="C1413" s="0" t="s">
        <v>41</v>
      </c>
      <c r="D1413" s="0" t="s">
        <v>5061</v>
      </c>
      <c r="E1413" s="0" t="s">
        <v>5062</v>
      </c>
      <c r="F1413" s="0" t="s">
        <v>5062</v>
      </c>
      <c r="G1413" s="0" t="s">
        <v>2515</v>
      </c>
      <c r="H1413" s="0" t="s">
        <v>3002</v>
      </c>
      <c r="I1413" s="0" t="s">
        <v>8406</v>
      </c>
      <c r="J1413" s="0" t="s">
        <v>8407</v>
      </c>
      <c r="K1413" s="444" t="s">
        <v>8408</v>
      </c>
    </row>
    <row r="1414" customFormat="false" ht="12.8" hidden="false" customHeight="false" outlineLevel="0" collapsed="false">
      <c r="A1414" s="0" t="s">
        <v>8409</v>
      </c>
      <c r="B1414" s="0" t="s">
        <v>8410</v>
      </c>
      <c r="C1414" s="0" t="s">
        <v>41</v>
      </c>
      <c r="D1414" s="0" t="s">
        <v>5023</v>
      </c>
      <c r="E1414" s="0" t="s">
        <v>5024</v>
      </c>
      <c r="F1414" s="0" t="s">
        <v>5024</v>
      </c>
      <c r="G1414" s="0" t="s">
        <v>2515</v>
      </c>
      <c r="H1414" s="0" t="s">
        <v>3002</v>
      </c>
      <c r="I1414" s="0" t="s">
        <v>8406</v>
      </c>
      <c r="J1414" s="0" t="s">
        <v>8407</v>
      </c>
      <c r="K1414" s="444" t="s">
        <v>8408</v>
      </c>
    </row>
    <row r="1415" customFormat="false" ht="12.8" hidden="false" customHeight="false" outlineLevel="0" collapsed="false">
      <c r="A1415" s="0" t="s">
        <v>8411</v>
      </c>
      <c r="B1415" s="0" t="s">
        <v>8412</v>
      </c>
      <c r="C1415" s="0" t="s">
        <v>41</v>
      </c>
      <c r="D1415" s="0" t="s">
        <v>5057</v>
      </c>
      <c r="E1415" s="0" t="s">
        <v>5058</v>
      </c>
      <c r="F1415" s="0" t="s">
        <v>5058</v>
      </c>
      <c r="G1415" s="0" t="s">
        <v>2515</v>
      </c>
      <c r="H1415" s="0" t="s">
        <v>3002</v>
      </c>
      <c r="I1415" s="0" t="s">
        <v>8406</v>
      </c>
      <c r="J1415" s="0" t="s">
        <v>8407</v>
      </c>
      <c r="K1415" s="444" t="s">
        <v>8408</v>
      </c>
    </row>
    <row r="1416" customFormat="false" ht="12.8" hidden="false" customHeight="false" outlineLevel="0" collapsed="false">
      <c r="A1416" s="0" t="s">
        <v>8413</v>
      </c>
      <c r="B1416" s="0" t="s">
        <v>8414</v>
      </c>
      <c r="C1416" s="0" t="s">
        <v>41</v>
      </c>
      <c r="D1416" s="0" t="s">
        <v>5023</v>
      </c>
      <c r="E1416" s="0" t="s">
        <v>5024</v>
      </c>
      <c r="F1416" s="0" t="s">
        <v>5024</v>
      </c>
      <c r="G1416" s="0" t="s">
        <v>2515</v>
      </c>
      <c r="H1416" s="0" t="s">
        <v>3002</v>
      </c>
      <c r="I1416" s="0" t="s">
        <v>8406</v>
      </c>
      <c r="J1416" s="0" t="s">
        <v>8407</v>
      </c>
      <c r="K1416" s="444" t="s">
        <v>8408</v>
      </c>
    </row>
    <row r="1417" customFormat="false" ht="12.8" hidden="false" customHeight="false" outlineLevel="0" collapsed="false">
      <c r="A1417" s="0" t="s">
        <v>8415</v>
      </c>
      <c r="B1417" s="0" t="s">
        <v>8416</v>
      </c>
      <c r="C1417" s="0" t="s">
        <v>5</v>
      </c>
      <c r="D1417" s="0" t="s">
        <v>5061</v>
      </c>
      <c r="E1417" s="0" t="s">
        <v>5062</v>
      </c>
      <c r="F1417" s="0" t="s">
        <v>5062</v>
      </c>
      <c r="G1417" s="0" t="s">
        <v>2515</v>
      </c>
      <c r="H1417" s="0" t="s">
        <v>3144</v>
      </c>
      <c r="I1417" s="0" t="s">
        <v>8417</v>
      </c>
      <c r="J1417" s="0" t="s">
        <v>8418</v>
      </c>
      <c r="K1417" s="444" t="s">
        <v>8408</v>
      </c>
    </row>
    <row r="1418" customFormat="false" ht="12.8" hidden="false" customHeight="false" outlineLevel="0" collapsed="false">
      <c r="A1418" s="0" t="s">
        <v>8419</v>
      </c>
      <c r="B1418" s="0" t="s">
        <v>8420</v>
      </c>
      <c r="C1418" s="0" t="s">
        <v>5</v>
      </c>
      <c r="D1418" s="0" t="s">
        <v>5057</v>
      </c>
      <c r="E1418" s="0" t="s">
        <v>5058</v>
      </c>
      <c r="F1418" s="0" t="s">
        <v>5058</v>
      </c>
      <c r="G1418" s="0" t="s">
        <v>2515</v>
      </c>
      <c r="H1418" s="0" t="s">
        <v>3144</v>
      </c>
      <c r="I1418" s="0" t="s">
        <v>8417</v>
      </c>
      <c r="J1418" s="0" t="s">
        <v>8418</v>
      </c>
      <c r="K1418" s="444" t="s">
        <v>8408</v>
      </c>
    </row>
    <row r="1419" customFormat="false" ht="12.8" hidden="false" customHeight="false" outlineLevel="0" collapsed="false">
      <c r="A1419" s="0" t="s">
        <v>8421</v>
      </c>
      <c r="B1419" s="0" t="s">
        <v>8422</v>
      </c>
      <c r="C1419" s="0" t="s">
        <v>5</v>
      </c>
      <c r="D1419" s="0" t="s">
        <v>5023</v>
      </c>
      <c r="E1419" s="0" t="s">
        <v>5024</v>
      </c>
      <c r="F1419" s="0" t="s">
        <v>5024</v>
      </c>
      <c r="G1419" s="0" t="s">
        <v>2515</v>
      </c>
      <c r="H1419" s="0" t="s">
        <v>3144</v>
      </c>
      <c r="I1419" s="0" t="s">
        <v>8417</v>
      </c>
      <c r="J1419" s="0" t="s">
        <v>8418</v>
      </c>
      <c r="K1419" s="444" t="s">
        <v>8408</v>
      </c>
    </row>
    <row r="1420" customFormat="false" ht="12.8" hidden="false" customHeight="false" outlineLevel="0" collapsed="false">
      <c r="A1420" s="0" t="s">
        <v>8423</v>
      </c>
      <c r="B1420" s="0" t="s">
        <v>8424</v>
      </c>
      <c r="C1420" s="0" t="s">
        <v>5</v>
      </c>
      <c r="D1420" s="0" t="s">
        <v>5023</v>
      </c>
      <c r="E1420" s="0" t="s">
        <v>5024</v>
      </c>
      <c r="F1420" s="0" t="s">
        <v>5024</v>
      </c>
      <c r="G1420" s="0" t="s">
        <v>2515</v>
      </c>
      <c r="H1420" s="0" t="s">
        <v>3144</v>
      </c>
      <c r="I1420" s="0" t="s">
        <v>8417</v>
      </c>
      <c r="J1420" s="0" t="s">
        <v>8418</v>
      </c>
      <c r="K1420" s="444" t="s">
        <v>8408</v>
      </c>
    </row>
    <row r="1421" customFormat="false" ht="12.8" hidden="false" customHeight="false" outlineLevel="0" collapsed="false">
      <c r="A1421" s="0" t="s">
        <v>8425</v>
      </c>
      <c r="B1421" s="0" t="s">
        <v>8426</v>
      </c>
      <c r="C1421" s="0" t="s">
        <v>226</v>
      </c>
      <c r="D1421" s="0" t="s">
        <v>5061</v>
      </c>
      <c r="E1421" s="0" t="s">
        <v>5062</v>
      </c>
      <c r="F1421" s="0" t="s">
        <v>5062</v>
      </c>
      <c r="G1421" s="0" t="s">
        <v>2515</v>
      </c>
      <c r="H1421" s="0" t="s">
        <v>3144</v>
      </c>
      <c r="I1421" s="0" t="s">
        <v>8427</v>
      </c>
      <c r="J1421" s="0" t="s">
        <v>8428</v>
      </c>
      <c r="K1421" s="0" t="s">
        <v>7993</v>
      </c>
    </row>
    <row r="1422" customFormat="false" ht="12.8" hidden="false" customHeight="false" outlineLevel="0" collapsed="false">
      <c r="A1422" s="0" t="s">
        <v>8429</v>
      </c>
      <c r="B1422" s="0" t="s">
        <v>8430</v>
      </c>
      <c r="C1422" s="0" t="s">
        <v>226</v>
      </c>
      <c r="D1422" s="0" t="s">
        <v>5023</v>
      </c>
      <c r="E1422" s="0" t="s">
        <v>5024</v>
      </c>
      <c r="F1422" s="0" t="s">
        <v>5024</v>
      </c>
      <c r="G1422" s="0" t="s">
        <v>2515</v>
      </c>
      <c r="H1422" s="0" t="s">
        <v>3144</v>
      </c>
      <c r="I1422" s="0" t="s">
        <v>8427</v>
      </c>
      <c r="J1422" s="0" t="s">
        <v>8428</v>
      </c>
      <c r="K1422" s="0" t="s">
        <v>7993</v>
      </c>
    </row>
    <row r="1423" customFormat="false" ht="12.8" hidden="false" customHeight="false" outlineLevel="0" collapsed="false">
      <c r="A1423" s="0" t="s">
        <v>8431</v>
      </c>
      <c r="B1423" s="0" t="s">
        <v>8432</v>
      </c>
      <c r="C1423" s="0" t="s">
        <v>226</v>
      </c>
      <c r="D1423" s="0" t="s">
        <v>5023</v>
      </c>
      <c r="E1423" s="0" t="s">
        <v>5024</v>
      </c>
      <c r="F1423" s="0" t="s">
        <v>5024</v>
      </c>
      <c r="G1423" s="0" t="s">
        <v>2515</v>
      </c>
      <c r="H1423" s="0" t="s">
        <v>3144</v>
      </c>
      <c r="I1423" s="0" t="s">
        <v>8427</v>
      </c>
      <c r="J1423" s="0" t="s">
        <v>8428</v>
      </c>
      <c r="K1423" s="0" t="s">
        <v>7993</v>
      </c>
    </row>
    <row r="1424" customFormat="false" ht="12.8" hidden="false" customHeight="false" outlineLevel="0" collapsed="false">
      <c r="A1424" s="0" t="s">
        <v>8433</v>
      </c>
      <c r="B1424" s="0" t="s">
        <v>8434</v>
      </c>
      <c r="C1424" s="0" t="s">
        <v>226</v>
      </c>
      <c r="D1424" s="0" t="s">
        <v>5023</v>
      </c>
      <c r="E1424" s="0" t="s">
        <v>5024</v>
      </c>
      <c r="F1424" s="0" t="s">
        <v>5024</v>
      </c>
      <c r="G1424" s="0" t="s">
        <v>2515</v>
      </c>
      <c r="H1424" s="0" t="s">
        <v>3144</v>
      </c>
      <c r="I1424" s="0" t="s">
        <v>8427</v>
      </c>
      <c r="J1424" s="0" t="s">
        <v>8428</v>
      </c>
      <c r="K1424" s="0" t="s">
        <v>7993</v>
      </c>
    </row>
    <row r="1425" customFormat="false" ht="12.8" hidden="false" customHeight="false" outlineLevel="0" collapsed="false">
      <c r="A1425" s="0" t="s">
        <v>8435</v>
      </c>
      <c r="B1425" s="0" t="s">
        <v>8436</v>
      </c>
      <c r="C1425" s="0" t="s">
        <v>226</v>
      </c>
      <c r="D1425" s="0" t="s">
        <v>5023</v>
      </c>
      <c r="E1425" s="0" t="s">
        <v>5024</v>
      </c>
      <c r="F1425" s="0" t="s">
        <v>5024</v>
      </c>
      <c r="G1425" s="0" t="s">
        <v>2515</v>
      </c>
      <c r="H1425" s="0" t="s">
        <v>3144</v>
      </c>
      <c r="I1425" s="0" t="s">
        <v>8427</v>
      </c>
      <c r="J1425" s="0" t="s">
        <v>8428</v>
      </c>
      <c r="K1425" s="0" t="s">
        <v>7993</v>
      </c>
    </row>
    <row r="1426" customFormat="false" ht="12.8" hidden="false" customHeight="false" outlineLevel="0" collapsed="false">
      <c r="A1426" s="0" t="s">
        <v>8437</v>
      </c>
      <c r="B1426" s="0" t="s">
        <v>8438</v>
      </c>
      <c r="C1426" s="0" t="s">
        <v>184</v>
      </c>
      <c r="D1426" s="0" t="s">
        <v>5061</v>
      </c>
      <c r="E1426" s="0" t="s">
        <v>5062</v>
      </c>
      <c r="F1426" s="0" t="s">
        <v>5062</v>
      </c>
      <c r="G1426" s="0" t="s">
        <v>2515</v>
      </c>
      <c r="H1426" s="0" t="s">
        <v>3002</v>
      </c>
      <c r="I1426" s="0" t="s">
        <v>8439</v>
      </c>
      <c r="J1426" s="0" t="s">
        <v>8440</v>
      </c>
      <c r="K1426" s="444" t="s">
        <v>8408</v>
      </c>
    </row>
    <row r="1427" customFormat="false" ht="12.8" hidden="false" customHeight="false" outlineLevel="0" collapsed="false">
      <c r="A1427" s="0" t="s">
        <v>8441</v>
      </c>
      <c r="B1427" s="0" t="s">
        <v>8442</v>
      </c>
      <c r="C1427" s="0" t="s">
        <v>184</v>
      </c>
      <c r="D1427" s="0" t="s">
        <v>5057</v>
      </c>
      <c r="E1427" s="0" t="s">
        <v>5058</v>
      </c>
      <c r="F1427" s="0" t="s">
        <v>5058</v>
      </c>
      <c r="G1427" s="0" t="s">
        <v>2515</v>
      </c>
      <c r="H1427" s="0" t="s">
        <v>3002</v>
      </c>
      <c r="I1427" s="0" t="s">
        <v>8439</v>
      </c>
      <c r="J1427" s="0" t="s">
        <v>8440</v>
      </c>
      <c r="K1427" s="444" t="s">
        <v>8408</v>
      </c>
    </row>
    <row r="1428" customFormat="false" ht="12.8" hidden="false" customHeight="false" outlineLevel="0" collapsed="false">
      <c r="A1428" s="0" t="s">
        <v>8443</v>
      </c>
      <c r="B1428" s="0" t="s">
        <v>8444</v>
      </c>
      <c r="C1428" s="0" t="s">
        <v>184</v>
      </c>
      <c r="D1428" s="0" t="s">
        <v>5023</v>
      </c>
      <c r="E1428" s="0" t="s">
        <v>5024</v>
      </c>
      <c r="F1428" s="0" t="s">
        <v>5024</v>
      </c>
      <c r="G1428" s="0" t="s">
        <v>2515</v>
      </c>
      <c r="H1428" s="0" t="s">
        <v>3002</v>
      </c>
      <c r="I1428" s="0" t="s">
        <v>8439</v>
      </c>
      <c r="J1428" s="0" t="s">
        <v>8440</v>
      </c>
      <c r="K1428" s="444" t="s">
        <v>8408</v>
      </c>
    </row>
    <row r="1429" customFormat="false" ht="12.8" hidden="false" customHeight="false" outlineLevel="0" collapsed="false">
      <c r="A1429" s="0" t="s">
        <v>8445</v>
      </c>
      <c r="B1429" s="0" t="s">
        <v>8446</v>
      </c>
      <c r="C1429" s="0" t="s">
        <v>184</v>
      </c>
      <c r="D1429" s="0" t="s">
        <v>5023</v>
      </c>
      <c r="E1429" s="0" t="s">
        <v>5024</v>
      </c>
      <c r="F1429" s="0" t="s">
        <v>5024</v>
      </c>
      <c r="G1429" s="0" t="s">
        <v>2515</v>
      </c>
      <c r="H1429" s="0" t="s">
        <v>3002</v>
      </c>
      <c r="I1429" s="0" t="s">
        <v>8439</v>
      </c>
      <c r="J1429" s="0" t="s">
        <v>8440</v>
      </c>
      <c r="K1429" s="444" t="s">
        <v>8408</v>
      </c>
    </row>
    <row r="1430" customFormat="false" ht="12.8" hidden="false" customHeight="false" outlineLevel="0" collapsed="false">
      <c r="A1430" s="0" t="s">
        <v>8447</v>
      </c>
      <c r="B1430" s="0" t="s">
        <v>8448</v>
      </c>
      <c r="C1430" s="0" t="s">
        <v>184</v>
      </c>
      <c r="D1430" s="0" t="s">
        <v>5023</v>
      </c>
      <c r="E1430" s="0" t="s">
        <v>5024</v>
      </c>
      <c r="F1430" s="0" t="s">
        <v>5024</v>
      </c>
      <c r="G1430" s="0" t="s">
        <v>2515</v>
      </c>
      <c r="H1430" s="0" t="s">
        <v>3002</v>
      </c>
      <c r="I1430" s="0" t="s">
        <v>8439</v>
      </c>
      <c r="J1430" s="0" t="s">
        <v>8440</v>
      </c>
      <c r="K1430" s="444" t="s">
        <v>8408</v>
      </c>
    </row>
    <row r="1431" customFormat="false" ht="12.8" hidden="false" customHeight="false" outlineLevel="0" collapsed="false">
      <c r="A1431" s="0" t="s">
        <v>8449</v>
      </c>
      <c r="B1431" s="0" t="s">
        <v>8450</v>
      </c>
      <c r="C1431" s="0" t="s">
        <v>97</v>
      </c>
      <c r="D1431" s="0" t="s">
        <v>5061</v>
      </c>
      <c r="E1431" s="0" t="s">
        <v>5062</v>
      </c>
      <c r="F1431" s="0" t="s">
        <v>5062</v>
      </c>
      <c r="G1431" s="0" t="s">
        <v>2515</v>
      </c>
      <c r="H1431" s="0" t="s">
        <v>3002</v>
      </c>
      <c r="I1431" s="0" t="s">
        <v>8451</v>
      </c>
      <c r="J1431" s="0" t="s">
        <v>8452</v>
      </c>
      <c r="K1431" s="444" t="s">
        <v>8408</v>
      </c>
    </row>
    <row r="1432" customFormat="false" ht="12.8" hidden="false" customHeight="false" outlineLevel="0" collapsed="false">
      <c r="A1432" s="0" t="s">
        <v>8453</v>
      </c>
      <c r="B1432" s="0" t="s">
        <v>8454</v>
      </c>
      <c r="C1432" s="0" t="s">
        <v>97</v>
      </c>
      <c r="D1432" s="0" t="s">
        <v>5023</v>
      </c>
      <c r="E1432" s="0" t="s">
        <v>5024</v>
      </c>
      <c r="F1432" s="0" t="s">
        <v>5024</v>
      </c>
      <c r="G1432" s="0" t="s">
        <v>2515</v>
      </c>
      <c r="H1432" s="0" t="s">
        <v>3002</v>
      </c>
      <c r="I1432" s="0" t="s">
        <v>8451</v>
      </c>
      <c r="J1432" s="0" t="s">
        <v>8452</v>
      </c>
      <c r="K1432" s="444" t="s">
        <v>8408</v>
      </c>
    </row>
    <row r="1433" customFormat="false" ht="12.8" hidden="false" customHeight="false" outlineLevel="0" collapsed="false">
      <c r="A1433" s="0" t="s">
        <v>8455</v>
      </c>
      <c r="B1433" s="0" t="s">
        <v>8456</v>
      </c>
      <c r="C1433" s="0" t="s">
        <v>97</v>
      </c>
      <c r="D1433" s="0" t="s">
        <v>5057</v>
      </c>
      <c r="E1433" s="0" t="s">
        <v>5058</v>
      </c>
      <c r="F1433" s="0" t="s">
        <v>5058</v>
      </c>
      <c r="G1433" s="0" t="s">
        <v>2515</v>
      </c>
      <c r="H1433" s="0" t="s">
        <v>3002</v>
      </c>
      <c r="I1433" s="0" t="s">
        <v>8451</v>
      </c>
      <c r="J1433" s="0" t="s">
        <v>8452</v>
      </c>
      <c r="K1433" s="444" t="s">
        <v>8408</v>
      </c>
    </row>
    <row r="1434" customFormat="false" ht="12.8" hidden="false" customHeight="false" outlineLevel="0" collapsed="false">
      <c r="A1434" s="0" t="s">
        <v>8457</v>
      </c>
      <c r="B1434" s="0" t="s">
        <v>8458</v>
      </c>
      <c r="C1434" s="0" t="s">
        <v>97</v>
      </c>
      <c r="D1434" s="0" t="s">
        <v>5023</v>
      </c>
      <c r="E1434" s="0" t="s">
        <v>5024</v>
      </c>
      <c r="F1434" s="0" t="s">
        <v>5024</v>
      </c>
      <c r="G1434" s="0" t="s">
        <v>2515</v>
      </c>
      <c r="H1434" s="0" t="s">
        <v>3002</v>
      </c>
      <c r="I1434" s="0" t="s">
        <v>8451</v>
      </c>
      <c r="J1434" s="0" t="s">
        <v>8452</v>
      </c>
      <c r="K1434" s="444" t="s">
        <v>8408</v>
      </c>
    </row>
    <row r="1435" customFormat="false" ht="12.8" hidden="false" customHeight="false" outlineLevel="0" collapsed="false">
      <c r="A1435" s="0" t="s">
        <v>8459</v>
      </c>
      <c r="B1435" s="0" t="s">
        <v>8460</v>
      </c>
      <c r="C1435" s="0" t="s">
        <v>360</v>
      </c>
      <c r="D1435" s="0" t="s">
        <v>5061</v>
      </c>
      <c r="E1435" s="0" t="s">
        <v>5062</v>
      </c>
      <c r="F1435" s="0" t="s">
        <v>5062</v>
      </c>
      <c r="G1435" s="0" t="s">
        <v>2515</v>
      </c>
      <c r="H1435" s="0" t="s">
        <v>3144</v>
      </c>
      <c r="I1435" s="0" t="s">
        <v>8461</v>
      </c>
      <c r="J1435" s="0" t="s">
        <v>8462</v>
      </c>
      <c r="K1435" s="444" t="s">
        <v>8408</v>
      </c>
    </row>
    <row r="1436" customFormat="false" ht="12.8" hidden="false" customHeight="false" outlineLevel="0" collapsed="false">
      <c r="A1436" s="0" t="s">
        <v>8463</v>
      </c>
      <c r="B1436" s="0" t="s">
        <v>8464</v>
      </c>
      <c r="C1436" s="0" t="s">
        <v>360</v>
      </c>
      <c r="D1436" s="0" t="s">
        <v>5023</v>
      </c>
      <c r="E1436" s="0" t="s">
        <v>5024</v>
      </c>
      <c r="F1436" s="0" t="s">
        <v>5024</v>
      </c>
      <c r="G1436" s="0" t="s">
        <v>2515</v>
      </c>
      <c r="H1436" s="0" t="s">
        <v>3144</v>
      </c>
      <c r="I1436" s="0" t="s">
        <v>8461</v>
      </c>
      <c r="J1436" s="0" t="s">
        <v>8462</v>
      </c>
      <c r="K1436" s="444" t="s">
        <v>8408</v>
      </c>
    </row>
    <row r="1437" customFormat="false" ht="12.8" hidden="false" customHeight="false" outlineLevel="0" collapsed="false">
      <c r="A1437" s="0" t="s">
        <v>8465</v>
      </c>
      <c r="B1437" s="0" t="s">
        <v>8466</v>
      </c>
      <c r="C1437" s="0" t="s">
        <v>360</v>
      </c>
      <c r="D1437" s="0" t="s">
        <v>5057</v>
      </c>
      <c r="E1437" s="0" t="s">
        <v>5058</v>
      </c>
      <c r="F1437" s="0" t="s">
        <v>5058</v>
      </c>
      <c r="G1437" s="0" t="s">
        <v>2515</v>
      </c>
      <c r="H1437" s="0" t="s">
        <v>3144</v>
      </c>
      <c r="I1437" s="0" t="s">
        <v>8461</v>
      </c>
      <c r="J1437" s="0" t="s">
        <v>8462</v>
      </c>
      <c r="K1437" s="444" t="s">
        <v>8408</v>
      </c>
    </row>
    <row r="1438" customFormat="false" ht="12.8" hidden="false" customHeight="false" outlineLevel="0" collapsed="false">
      <c r="A1438" s="0" t="s">
        <v>8467</v>
      </c>
      <c r="B1438" s="0" t="s">
        <v>8468</v>
      </c>
      <c r="C1438" s="0" t="s">
        <v>360</v>
      </c>
      <c r="D1438" s="0" t="s">
        <v>5023</v>
      </c>
      <c r="E1438" s="0" t="s">
        <v>5024</v>
      </c>
      <c r="F1438" s="0" t="s">
        <v>5024</v>
      </c>
      <c r="G1438" s="0" t="s">
        <v>2515</v>
      </c>
      <c r="H1438" s="0" t="s">
        <v>3144</v>
      </c>
      <c r="I1438" s="0" t="s">
        <v>8461</v>
      </c>
      <c r="J1438" s="0" t="s">
        <v>8462</v>
      </c>
      <c r="K1438" s="444" t="s">
        <v>8408</v>
      </c>
    </row>
    <row r="1439" customFormat="false" ht="12.8" hidden="false" customHeight="false" outlineLevel="0" collapsed="false">
      <c r="A1439" s="0" t="s">
        <v>8469</v>
      </c>
      <c r="B1439" s="0" t="s">
        <v>8470</v>
      </c>
      <c r="C1439" s="0" t="s">
        <v>360</v>
      </c>
      <c r="D1439" s="0" t="s">
        <v>5023</v>
      </c>
      <c r="E1439" s="0" t="s">
        <v>5024</v>
      </c>
      <c r="F1439" s="0" t="s">
        <v>5024</v>
      </c>
      <c r="G1439" s="0" t="s">
        <v>2515</v>
      </c>
      <c r="H1439" s="0" t="s">
        <v>3144</v>
      </c>
      <c r="I1439" s="0" t="s">
        <v>8461</v>
      </c>
      <c r="J1439" s="0" t="s">
        <v>8462</v>
      </c>
      <c r="K1439" s="444" t="s">
        <v>8408</v>
      </c>
    </row>
    <row r="1440" customFormat="false" ht="12.8" hidden="false" customHeight="false" outlineLevel="0" collapsed="false">
      <c r="A1440" s="0" t="s">
        <v>8471</v>
      </c>
      <c r="B1440" s="0" t="s">
        <v>8472</v>
      </c>
      <c r="C1440" s="0" t="s">
        <v>86</v>
      </c>
      <c r="D1440" s="0" t="s">
        <v>5061</v>
      </c>
      <c r="E1440" s="0" t="s">
        <v>5062</v>
      </c>
      <c r="F1440" s="0" t="s">
        <v>5062</v>
      </c>
      <c r="G1440" s="0" t="s">
        <v>2515</v>
      </c>
      <c r="H1440" s="0" t="s">
        <v>2862</v>
      </c>
      <c r="I1440" s="0" t="s">
        <v>8473</v>
      </c>
      <c r="J1440" s="0" t="s">
        <v>8474</v>
      </c>
      <c r="K1440" s="444" t="s">
        <v>8475</v>
      </c>
    </row>
    <row r="1441" customFormat="false" ht="12.8" hidden="false" customHeight="false" outlineLevel="0" collapsed="false">
      <c r="A1441" s="0" t="s">
        <v>8476</v>
      </c>
      <c r="B1441" s="0" t="s">
        <v>8477</v>
      </c>
      <c r="C1441" s="0" t="s">
        <v>86</v>
      </c>
      <c r="D1441" s="0" t="s">
        <v>5057</v>
      </c>
      <c r="E1441" s="0" t="s">
        <v>5058</v>
      </c>
      <c r="F1441" s="0" t="s">
        <v>5058</v>
      </c>
      <c r="G1441" s="0" t="s">
        <v>2515</v>
      </c>
      <c r="H1441" s="0" t="s">
        <v>2862</v>
      </c>
      <c r="I1441" s="0" t="s">
        <v>8473</v>
      </c>
      <c r="J1441" s="0" t="s">
        <v>8474</v>
      </c>
      <c r="K1441" s="444" t="s">
        <v>8475</v>
      </c>
    </row>
    <row r="1442" customFormat="false" ht="12.8" hidden="false" customHeight="false" outlineLevel="0" collapsed="false">
      <c r="A1442" s="0" t="s">
        <v>8478</v>
      </c>
      <c r="B1442" s="0" t="s">
        <v>8479</v>
      </c>
      <c r="C1442" s="0" t="s">
        <v>86</v>
      </c>
      <c r="D1442" s="0" t="s">
        <v>5023</v>
      </c>
      <c r="E1442" s="0" t="s">
        <v>5024</v>
      </c>
      <c r="F1442" s="0" t="s">
        <v>5024</v>
      </c>
      <c r="G1442" s="0" t="s">
        <v>2515</v>
      </c>
      <c r="H1442" s="0" t="s">
        <v>2862</v>
      </c>
      <c r="I1442" s="0" t="s">
        <v>8473</v>
      </c>
      <c r="J1442" s="0" t="s">
        <v>8474</v>
      </c>
      <c r="K1442" s="444" t="s">
        <v>8475</v>
      </c>
      <c r="L1442" s="0" t="s">
        <v>8111</v>
      </c>
    </row>
    <row r="1443" customFormat="false" ht="12.8" hidden="false" customHeight="false" outlineLevel="0" collapsed="false">
      <c r="A1443" s="0" t="s">
        <v>8480</v>
      </c>
      <c r="B1443" s="0" t="s">
        <v>8481</v>
      </c>
      <c r="C1443" s="0" t="s">
        <v>86</v>
      </c>
      <c r="D1443" s="0" t="s">
        <v>5023</v>
      </c>
      <c r="E1443" s="0" t="s">
        <v>5024</v>
      </c>
      <c r="F1443" s="0" t="s">
        <v>5024</v>
      </c>
      <c r="G1443" s="0" t="s">
        <v>2515</v>
      </c>
      <c r="H1443" s="0" t="s">
        <v>2862</v>
      </c>
      <c r="I1443" s="0" t="s">
        <v>8473</v>
      </c>
      <c r="J1443" s="0" t="s">
        <v>8474</v>
      </c>
      <c r="K1443" s="444" t="s">
        <v>8475</v>
      </c>
    </row>
    <row r="1444" customFormat="false" ht="12.8" hidden="false" customHeight="false" outlineLevel="0" collapsed="false">
      <c r="A1444" s="0" t="s">
        <v>8482</v>
      </c>
      <c r="B1444" s="0" t="s">
        <v>8483</v>
      </c>
      <c r="C1444" s="0" t="s">
        <v>86</v>
      </c>
      <c r="D1444" s="0" t="s">
        <v>5023</v>
      </c>
      <c r="E1444" s="0" t="s">
        <v>5024</v>
      </c>
      <c r="F1444" s="0" t="s">
        <v>5024</v>
      </c>
      <c r="G1444" s="0" t="s">
        <v>2515</v>
      </c>
      <c r="H1444" s="0" t="s">
        <v>2862</v>
      </c>
      <c r="I1444" s="0" t="s">
        <v>8473</v>
      </c>
      <c r="J1444" s="0" t="s">
        <v>8474</v>
      </c>
      <c r="K1444" s="444" t="s">
        <v>8475</v>
      </c>
    </row>
    <row r="1445" customFormat="false" ht="12.8" hidden="false" customHeight="false" outlineLevel="0" collapsed="false">
      <c r="A1445" s="0" t="s">
        <v>8484</v>
      </c>
      <c r="B1445" s="0" t="s">
        <v>8485</v>
      </c>
      <c r="C1445" s="0" t="s">
        <v>86</v>
      </c>
      <c r="D1445" s="0" t="s">
        <v>5023</v>
      </c>
      <c r="E1445" s="0" t="s">
        <v>5024</v>
      </c>
      <c r="F1445" s="0" t="s">
        <v>5024</v>
      </c>
      <c r="G1445" s="0" t="s">
        <v>2515</v>
      </c>
      <c r="H1445" s="0" t="s">
        <v>2862</v>
      </c>
      <c r="I1445" s="0" t="s">
        <v>8473</v>
      </c>
      <c r="J1445" s="0" t="s">
        <v>8474</v>
      </c>
      <c r="K1445" s="444" t="s">
        <v>8475</v>
      </c>
    </row>
    <row r="1446" customFormat="false" ht="12.8" hidden="false" customHeight="false" outlineLevel="0" collapsed="false">
      <c r="A1446" s="0" t="s">
        <v>8486</v>
      </c>
      <c r="B1446" s="0" t="s">
        <v>8487</v>
      </c>
      <c r="C1446" s="0" t="s">
        <v>238</v>
      </c>
      <c r="D1446" s="0" t="s">
        <v>5061</v>
      </c>
      <c r="E1446" s="0" t="s">
        <v>5062</v>
      </c>
      <c r="F1446" s="0" t="s">
        <v>5062</v>
      </c>
      <c r="G1446" s="0" t="s">
        <v>2515</v>
      </c>
      <c r="H1446" s="0" t="s">
        <v>2862</v>
      </c>
      <c r="I1446" s="0" t="s">
        <v>8488</v>
      </c>
      <c r="J1446" s="0" t="s">
        <v>8489</v>
      </c>
      <c r="K1446" s="444" t="s">
        <v>8490</v>
      </c>
    </row>
    <row r="1447" customFormat="false" ht="12.8" hidden="false" customHeight="false" outlineLevel="0" collapsed="false">
      <c r="A1447" s="0" t="s">
        <v>8491</v>
      </c>
      <c r="B1447" s="0" t="s">
        <v>8492</v>
      </c>
      <c r="C1447" s="0" t="s">
        <v>238</v>
      </c>
      <c r="D1447" s="0" t="s">
        <v>5023</v>
      </c>
      <c r="E1447" s="0" t="s">
        <v>5024</v>
      </c>
      <c r="F1447" s="0" t="s">
        <v>5024</v>
      </c>
      <c r="G1447" s="0" t="s">
        <v>2515</v>
      </c>
      <c r="H1447" s="0" t="s">
        <v>2862</v>
      </c>
      <c r="I1447" s="0" t="s">
        <v>8488</v>
      </c>
      <c r="J1447" s="0" t="s">
        <v>8489</v>
      </c>
      <c r="K1447" s="444" t="s">
        <v>8490</v>
      </c>
    </row>
    <row r="1448" customFormat="false" ht="12.8" hidden="false" customHeight="false" outlineLevel="0" collapsed="false">
      <c r="A1448" s="0" t="s">
        <v>8493</v>
      </c>
      <c r="B1448" s="0" t="s">
        <v>8494</v>
      </c>
      <c r="C1448" s="0" t="s">
        <v>238</v>
      </c>
      <c r="D1448" s="0" t="s">
        <v>5023</v>
      </c>
      <c r="E1448" s="0" t="s">
        <v>5024</v>
      </c>
      <c r="F1448" s="0" t="s">
        <v>5024</v>
      </c>
      <c r="G1448" s="0" t="s">
        <v>2515</v>
      </c>
      <c r="H1448" s="0" t="s">
        <v>2862</v>
      </c>
      <c r="I1448" s="0" t="s">
        <v>8488</v>
      </c>
      <c r="J1448" s="0" t="s">
        <v>8489</v>
      </c>
      <c r="K1448" s="444" t="s">
        <v>8490</v>
      </c>
    </row>
    <row r="1449" customFormat="false" ht="12.8" hidden="false" customHeight="false" outlineLevel="0" collapsed="false">
      <c r="A1449" s="0" t="s">
        <v>8495</v>
      </c>
      <c r="B1449" s="0" t="s">
        <v>8496</v>
      </c>
      <c r="C1449" s="0" t="s">
        <v>238</v>
      </c>
      <c r="D1449" s="0" t="s">
        <v>5023</v>
      </c>
      <c r="E1449" s="0" t="s">
        <v>5024</v>
      </c>
      <c r="F1449" s="0" t="s">
        <v>5024</v>
      </c>
      <c r="G1449" s="0" t="s">
        <v>2515</v>
      </c>
      <c r="H1449" s="0" t="s">
        <v>2862</v>
      </c>
      <c r="I1449" s="0" t="s">
        <v>8488</v>
      </c>
      <c r="J1449" s="0" t="s">
        <v>8489</v>
      </c>
      <c r="K1449" s="444" t="s">
        <v>8490</v>
      </c>
    </row>
    <row r="1450" customFormat="false" ht="12.8" hidden="false" customHeight="false" outlineLevel="0" collapsed="false">
      <c r="A1450" s="0" t="s">
        <v>8497</v>
      </c>
      <c r="B1450" s="0" t="s">
        <v>8498</v>
      </c>
      <c r="C1450" s="0" t="s">
        <v>238</v>
      </c>
      <c r="D1450" s="0" t="s">
        <v>5023</v>
      </c>
      <c r="E1450" s="0" t="s">
        <v>5024</v>
      </c>
      <c r="F1450" s="0" t="s">
        <v>5024</v>
      </c>
      <c r="G1450" s="0" t="s">
        <v>2515</v>
      </c>
      <c r="H1450" s="0" t="s">
        <v>2862</v>
      </c>
      <c r="I1450" s="0" t="s">
        <v>8488</v>
      </c>
      <c r="J1450" s="0" t="s">
        <v>8489</v>
      </c>
      <c r="K1450" s="444" t="s">
        <v>8490</v>
      </c>
    </row>
    <row r="1451" customFormat="false" ht="12.8" hidden="false" customHeight="false" outlineLevel="0" collapsed="false">
      <c r="A1451" s="0" t="s">
        <v>8499</v>
      </c>
      <c r="B1451" s="0" t="s">
        <v>8500</v>
      </c>
      <c r="C1451" s="0" t="s">
        <v>238</v>
      </c>
      <c r="D1451" s="0" t="s">
        <v>5023</v>
      </c>
      <c r="E1451" s="0" t="s">
        <v>5024</v>
      </c>
      <c r="F1451" s="0" t="s">
        <v>5024</v>
      </c>
      <c r="G1451" s="0" t="s">
        <v>2515</v>
      </c>
      <c r="H1451" s="0" t="s">
        <v>2862</v>
      </c>
      <c r="I1451" s="0" t="s">
        <v>8488</v>
      </c>
      <c r="J1451" s="0" t="s">
        <v>8489</v>
      </c>
      <c r="K1451" s="444" t="s">
        <v>8490</v>
      </c>
    </row>
    <row r="1452" customFormat="false" ht="12.8" hidden="false" customHeight="false" outlineLevel="0" collapsed="false">
      <c r="A1452" s="0" t="s">
        <v>8501</v>
      </c>
      <c r="B1452" s="0" t="s">
        <v>8502</v>
      </c>
      <c r="C1452" s="0" t="s">
        <v>238</v>
      </c>
      <c r="D1452" s="0" t="s">
        <v>5023</v>
      </c>
      <c r="E1452" s="0" t="s">
        <v>5024</v>
      </c>
      <c r="F1452" s="0" t="s">
        <v>5024</v>
      </c>
      <c r="G1452" s="0" t="s">
        <v>2515</v>
      </c>
      <c r="H1452" s="0" t="s">
        <v>2862</v>
      </c>
      <c r="I1452" s="0" t="s">
        <v>8488</v>
      </c>
      <c r="J1452" s="0" t="s">
        <v>8489</v>
      </c>
      <c r="K1452" s="444" t="s">
        <v>8490</v>
      </c>
    </row>
    <row r="1453" customFormat="false" ht="12.8" hidden="false" customHeight="false" outlineLevel="0" collapsed="false">
      <c r="A1453" s="0" t="s">
        <v>8503</v>
      </c>
      <c r="B1453" s="0" t="s">
        <v>8504</v>
      </c>
      <c r="C1453" s="0" t="s">
        <v>238</v>
      </c>
      <c r="D1453" s="0" t="s">
        <v>5023</v>
      </c>
      <c r="E1453" s="0" t="s">
        <v>5024</v>
      </c>
      <c r="F1453" s="0" t="s">
        <v>5024</v>
      </c>
      <c r="G1453" s="0" t="s">
        <v>2515</v>
      </c>
      <c r="H1453" s="0" t="s">
        <v>2862</v>
      </c>
      <c r="I1453" s="0" t="s">
        <v>8488</v>
      </c>
      <c r="J1453" s="0" t="s">
        <v>8489</v>
      </c>
      <c r="K1453" s="444" t="s">
        <v>8490</v>
      </c>
    </row>
    <row r="1454" customFormat="false" ht="12.8" hidden="false" customHeight="false" outlineLevel="0" collapsed="false">
      <c r="A1454" s="0" t="s">
        <v>8505</v>
      </c>
      <c r="B1454" s="0" t="s">
        <v>8506</v>
      </c>
      <c r="C1454" s="0" t="s">
        <v>238</v>
      </c>
      <c r="D1454" s="0" t="s">
        <v>5023</v>
      </c>
      <c r="E1454" s="0" t="s">
        <v>5024</v>
      </c>
      <c r="F1454" s="0" t="s">
        <v>5024</v>
      </c>
      <c r="G1454" s="0" t="s">
        <v>2515</v>
      </c>
      <c r="H1454" s="0" t="s">
        <v>2862</v>
      </c>
      <c r="I1454" s="0" t="s">
        <v>8488</v>
      </c>
      <c r="J1454" s="0" t="s">
        <v>8489</v>
      </c>
      <c r="K1454" s="444" t="s">
        <v>8490</v>
      </c>
    </row>
    <row r="1455" customFormat="false" ht="12.8" hidden="false" customHeight="false" outlineLevel="0" collapsed="false">
      <c r="A1455" s="0" t="s">
        <v>8507</v>
      </c>
      <c r="B1455" s="0" t="s">
        <v>8508</v>
      </c>
      <c r="C1455" s="0" t="s">
        <v>238</v>
      </c>
      <c r="D1455" s="0" t="s">
        <v>5057</v>
      </c>
      <c r="E1455" s="0" t="s">
        <v>5058</v>
      </c>
      <c r="F1455" s="0" t="s">
        <v>5058</v>
      </c>
      <c r="G1455" s="0" t="s">
        <v>2515</v>
      </c>
      <c r="H1455" s="0" t="s">
        <v>2862</v>
      </c>
      <c r="I1455" s="0" t="s">
        <v>8488</v>
      </c>
      <c r="J1455" s="0" t="s">
        <v>8489</v>
      </c>
      <c r="K1455" s="444" t="s">
        <v>8490</v>
      </c>
    </row>
    <row r="1456" customFormat="false" ht="12.8" hidden="false" customHeight="false" outlineLevel="0" collapsed="false">
      <c r="A1456" s="0" t="s">
        <v>8509</v>
      </c>
      <c r="B1456" s="0" t="s">
        <v>8510</v>
      </c>
      <c r="C1456" s="0" t="s">
        <v>238</v>
      </c>
      <c r="D1456" s="0" t="s">
        <v>5057</v>
      </c>
      <c r="E1456" s="0" t="s">
        <v>5058</v>
      </c>
      <c r="F1456" s="0" t="s">
        <v>5058</v>
      </c>
      <c r="G1456" s="0" t="s">
        <v>2515</v>
      </c>
      <c r="H1456" s="0" t="s">
        <v>2862</v>
      </c>
      <c r="I1456" s="0" t="s">
        <v>8488</v>
      </c>
      <c r="J1456" s="0" t="s">
        <v>8489</v>
      </c>
      <c r="K1456" s="444" t="s">
        <v>8490</v>
      </c>
    </row>
    <row r="1457" customFormat="false" ht="12.8" hidden="false" customHeight="false" outlineLevel="0" collapsed="false">
      <c r="A1457" s="0" t="s">
        <v>8511</v>
      </c>
      <c r="B1457" s="0" t="s">
        <v>8512</v>
      </c>
      <c r="C1457" s="0" t="s">
        <v>323</v>
      </c>
      <c r="D1457" s="0" t="s">
        <v>5061</v>
      </c>
      <c r="E1457" s="0" t="s">
        <v>5062</v>
      </c>
      <c r="F1457" s="0" t="s">
        <v>5062</v>
      </c>
      <c r="G1457" s="0" t="s">
        <v>2515</v>
      </c>
      <c r="H1457" s="0" t="s">
        <v>2516</v>
      </c>
      <c r="I1457" s="0" t="s">
        <v>8513</v>
      </c>
      <c r="J1457" s="0" t="s">
        <v>8514</v>
      </c>
      <c r="K1457" s="0" t="s">
        <v>7993</v>
      </c>
    </row>
    <row r="1458" customFormat="false" ht="12.8" hidden="false" customHeight="false" outlineLevel="0" collapsed="false">
      <c r="A1458" s="0" t="s">
        <v>8515</v>
      </c>
      <c r="B1458" s="0" t="s">
        <v>8516</v>
      </c>
      <c r="C1458" s="0" t="s">
        <v>323</v>
      </c>
      <c r="D1458" s="0" t="s">
        <v>5057</v>
      </c>
      <c r="E1458" s="0" t="s">
        <v>5058</v>
      </c>
      <c r="F1458" s="0" t="s">
        <v>5058</v>
      </c>
      <c r="G1458" s="0" t="s">
        <v>2515</v>
      </c>
      <c r="H1458" s="0" t="s">
        <v>2516</v>
      </c>
      <c r="I1458" s="0" t="s">
        <v>8513</v>
      </c>
      <c r="J1458" s="0" t="s">
        <v>8514</v>
      </c>
      <c r="K1458" s="0" t="s">
        <v>7993</v>
      </c>
    </row>
    <row r="1459" customFormat="false" ht="12.8" hidden="false" customHeight="false" outlineLevel="0" collapsed="false">
      <c r="A1459" s="0" t="s">
        <v>8517</v>
      </c>
      <c r="B1459" s="0" t="s">
        <v>8518</v>
      </c>
      <c r="C1459" s="0" t="s">
        <v>323</v>
      </c>
      <c r="D1459" s="0" t="s">
        <v>5023</v>
      </c>
      <c r="E1459" s="0" t="s">
        <v>5024</v>
      </c>
      <c r="F1459" s="0" t="s">
        <v>5024</v>
      </c>
      <c r="G1459" s="0" t="s">
        <v>2515</v>
      </c>
      <c r="H1459" s="0" t="s">
        <v>2516</v>
      </c>
      <c r="I1459" s="0" t="s">
        <v>8513</v>
      </c>
      <c r="J1459" s="0" t="s">
        <v>8514</v>
      </c>
      <c r="K1459" s="0" t="s">
        <v>7993</v>
      </c>
    </row>
    <row r="1460" customFormat="false" ht="12.8" hidden="false" customHeight="false" outlineLevel="0" collapsed="false">
      <c r="A1460" s="0" t="s">
        <v>8519</v>
      </c>
      <c r="B1460" s="0" t="s">
        <v>8520</v>
      </c>
      <c r="C1460" s="0" t="s">
        <v>323</v>
      </c>
      <c r="D1460" s="0" t="s">
        <v>5023</v>
      </c>
      <c r="E1460" s="0" t="s">
        <v>5024</v>
      </c>
      <c r="F1460" s="0" t="s">
        <v>5024</v>
      </c>
      <c r="G1460" s="0" t="s">
        <v>2515</v>
      </c>
      <c r="H1460" s="0" t="s">
        <v>2516</v>
      </c>
      <c r="I1460" s="0" t="s">
        <v>8513</v>
      </c>
      <c r="J1460" s="0" t="s">
        <v>8514</v>
      </c>
      <c r="K1460" s="0" t="s">
        <v>7993</v>
      </c>
    </row>
    <row r="1461" customFormat="false" ht="12.8" hidden="false" customHeight="false" outlineLevel="0" collapsed="false">
      <c r="A1461" s="0" t="s">
        <v>8521</v>
      </c>
      <c r="B1461" s="0" t="s">
        <v>8522</v>
      </c>
      <c r="C1461" s="0" t="s">
        <v>45</v>
      </c>
      <c r="D1461" s="0" t="s">
        <v>5061</v>
      </c>
      <c r="E1461" s="0" t="s">
        <v>5062</v>
      </c>
      <c r="F1461" s="0" t="s">
        <v>5062</v>
      </c>
      <c r="G1461" s="0" t="s">
        <v>2515</v>
      </c>
      <c r="H1461" s="0" t="s">
        <v>2755</v>
      </c>
      <c r="I1461" s="0" t="s">
        <v>8523</v>
      </c>
      <c r="J1461" s="0" t="s">
        <v>8524</v>
      </c>
      <c r="K1461" s="0" t="s">
        <v>7993</v>
      </c>
    </row>
    <row r="1462" customFormat="false" ht="12.8" hidden="false" customHeight="false" outlineLevel="0" collapsed="false">
      <c r="A1462" s="0" t="s">
        <v>8525</v>
      </c>
      <c r="B1462" s="0" t="s">
        <v>8526</v>
      </c>
      <c r="C1462" s="0" t="s">
        <v>45</v>
      </c>
      <c r="D1462" s="0" t="s">
        <v>5057</v>
      </c>
      <c r="E1462" s="0" t="s">
        <v>5058</v>
      </c>
      <c r="F1462" s="0" t="s">
        <v>5058</v>
      </c>
      <c r="G1462" s="0" t="s">
        <v>2515</v>
      </c>
      <c r="H1462" s="0" t="s">
        <v>2755</v>
      </c>
      <c r="I1462" s="0" t="s">
        <v>8523</v>
      </c>
      <c r="J1462" s="0" t="s">
        <v>8524</v>
      </c>
      <c r="K1462" s="0" t="s">
        <v>7993</v>
      </c>
    </row>
    <row r="1463" customFormat="false" ht="12.8" hidden="false" customHeight="false" outlineLevel="0" collapsed="false">
      <c r="A1463" s="0" t="s">
        <v>8527</v>
      </c>
      <c r="B1463" s="0" t="s">
        <v>8528</v>
      </c>
      <c r="C1463" s="0" t="s">
        <v>210</v>
      </c>
      <c r="D1463" s="0" t="s">
        <v>5061</v>
      </c>
      <c r="E1463" s="0" t="s">
        <v>5062</v>
      </c>
      <c r="F1463" s="0" t="s">
        <v>5062</v>
      </c>
      <c r="G1463" s="0" t="s">
        <v>3278</v>
      </c>
      <c r="H1463" s="0" t="s">
        <v>3434</v>
      </c>
      <c r="I1463" s="0" t="s">
        <v>8529</v>
      </c>
      <c r="J1463" s="0" t="s">
        <v>8530</v>
      </c>
      <c r="K1463" s="444" t="s">
        <v>8531</v>
      </c>
    </row>
    <row r="1464" customFormat="false" ht="12.8" hidden="false" customHeight="false" outlineLevel="0" collapsed="false">
      <c r="A1464" s="0" t="s">
        <v>8532</v>
      </c>
      <c r="B1464" s="0" t="s">
        <v>8533</v>
      </c>
      <c r="C1464" s="0" t="s">
        <v>210</v>
      </c>
      <c r="D1464" s="0" t="s">
        <v>5023</v>
      </c>
      <c r="E1464" s="0" t="s">
        <v>5024</v>
      </c>
      <c r="F1464" s="0" t="s">
        <v>5024</v>
      </c>
      <c r="G1464" s="0" t="s">
        <v>3278</v>
      </c>
      <c r="H1464" s="0" t="s">
        <v>3434</v>
      </c>
      <c r="I1464" s="0" t="s">
        <v>8529</v>
      </c>
      <c r="J1464" s="0" t="s">
        <v>8530</v>
      </c>
      <c r="K1464" s="444" t="s">
        <v>8531</v>
      </c>
    </row>
    <row r="1465" customFormat="false" ht="12.8" hidden="false" customHeight="false" outlineLevel="0" collapsed="false">
      <c r="A1465" s="0" t="s">
        <v>8534</v>
      </c>
      <c r="B1465" s="0" t="s">
        <v>8535</v>
      </c>
      <c r="C1465" s="0" t="s">
        <v>210</v>
      </c>
      <c r="D1465" s="0" t="s">
        <v>5057</v>
      </c>
      <c r="E1465" s="0" t="s">
        <v>5058</v>
      </c>
      <c r="F1465" s="0" t="s">
        <v>5058</v>
      </c>
      <c r="G1465" s="0" t="s">
        <v>3278</v>
      </c>
      <c r="H1465" s="0" t="s">
        <v>3434</v>
      </c>
      <c r="I1465" s="0" t="s">
        <v>8529</v>
      </c>
      <c r="J1465" s="0" t="s">
        <v>8530</v>
      </c>
      <c r="K1465" s="444" t="s">
        <v>8531</v>
      </c>
    </row>
    <row r="1466" customFormat="false" ht="12.8" hidden="false" customHeight="false" outlineLevel="0" collapsed="false">
      <c r="A1466" s="0" t="s">
        <v>8536</v>
      </c>
      <c r="B1466" s="0" t="s">
        <v>8537</v>
      </c>
      <c r="C1466" s="0" t="s">
        <v>148</v>
      </c>
      <c r="D1466" s="0" t="s">
        <v>5061</v>
      </c>
      <c r="E1466" s="0" t="s">
        <v>5062</v>
      </c>
      <c r="F1466" s="0" t="s">
        <v>5062</v>
      </c>
      <c r="G1466" s="0" t="s">
        <v>1155</v>
      </c>
      <c r="H1466" s="0" t="s">
        <v>1477</v>
      </c>
      <c r="I1466" s="0" t="s">
        <v>8538</v>
      </c>
      <c r="J1466" s="0" t="s">
        <v>8539</v>
      </c>
      <c r="K1466" s="444" t="s">
        <v>8540</v>
      </c>
    </row>
    <row r="1467" customFormat="false" ht="12.8" hidden="false" customHeight="false" outlineLevel="0" collapsed="false">
      <c r="A1467" s="0" t="s">
        <v>8541</v>
      </c>
      <c r="B1467" s="0" t="s">
        <v>8542</v>
      </c>
      <c r="C1467" s="0" t="s">
        <v>148</v>
      </c>
      <c r="D1467" s="0" t="s">
        <v>5023</v>
      </c>
      <c r="E1467" s="0" t="s">
        <v>5024</v>
      </c>
      <c r="F1467" s="0" t="s">
        <v>5024</v>
      </c>
      <c r="G1467" s="0" t="s">
        <v>1155</v>
      </c>
      <c r="H1467" s="0" t="s">
        <v>1477</v>
      </c>
      <c r="I1467" s="0" t="s">
        <v>8538</v>
      </c>
      <c r="J1467" s="0" t="s">
        <v>8539</v>
      </c>
      <c r="K1467" s="444" t="s">
        <v>8540</v>
      </c>
    </row>
    <row r="1468" customFormat="false" ht="12.8" hidden="false" customHeight="false" outlineLevel="0" collapsed="false">
      <c r="A1468" s="0" t="s">
        <v>8543</v>
      </c>
      <c r="B1468" s="0" t="s">
        <v>8544</v>
      </c>
      <c r="C1468" s="0" t="s">
        <v>148</v>
      </c>
      <c r="D1468" s="0" t="s">
        <v>5023</v>
      </c>
      <c r="E1468" s="0" t="s">
        <v>5024</v>
      </c>
      <c r="F1468" s="0" t="s">
        <v>5024</v>
      </c>
      <c r="G1468" s="0" t="s">
        <v>1155</v>
      </c>
      <c r="H1468" s="0" t="s">
        <v>1477</v>
      </c>
      <c r="I1468" s="0" t="s">
        <v>8538</v>
      </c>
      <c r="J1468" s="0" t="s">
        <v>8539</v>
      </c>
      <c r="K1468" s="444" t="s">
        <v>8540</v>
      </c>
    </row>
    <row r="1469" customFormat="false" ht="12.8" hidden="false" customHeight="false" outlineLevel="0" collapsed="false">
      <c r="A1469" s="0" t="s">
        <v>8545</v>
      </c>
      <c r="B1469" s="0" t="s">
        <v>8546</v>
      </c>
      <c r="C1469" s="0" t="s">
        <v>148</v>
      </c>
      <c r="D1469" s="0" t="s">
        <v>5023</v>
      </c>
      <c r="E1469" s="0" t="s">
        <v>5024</v>
      </c>
      <c r="F1469" s="0" t="s">
        <v>5024</v>
      </c>
      <c r="G1469" s="0" t="s">
        <v>1155</v>
      </c>
      <c r="H1469" s="0" t="s">
        <v>1477</v>
      </c>
      <c r="I1469" s="0" t="s">
        <v>8538</v>
      </c>
      <c r="J1469" s="0" t="s">
        <v>8539</v>
      </c>
      <c r="K1469" s="444" t="s">
        <v>8540</v>
      </c>
    </row>
    <row r="1470" customFormat="false" ht="12.8" hidden="false" customHeight="false" outlineLevel="0" collapsed="false">
      <c r="A1470" s="0" t="s">
        <v>8547</v>
      </c>
      <c r="B1470" s="0" t="s">
        <v>8548</v>
      </c>
      <c r="C1470" s="0" t="s">
        <v>148</v>
      </c>
      <c r="D1470" s="0" t="s">
        <v>5023</v>
      </c>
      <c r="E1470" s="0" t="s">
        <v>5024</v>
      </c>
      <c r="F1470" s="0" t="s">
        <v>5024</v>
      </c>
      <c r="G1470" s="0" t="s">
        <v>1155</v>
      </c>
      <c r="H1470" s="0" t="s">
        <v>1477</v>
      </c>
      <c r="I1470" s="0" t="s">
        <v>8538</v>
      </c>
      <c r="J1470" s="0" t="s">
        <v>8539</v>
      </c>
      <c r="K1470" s="444" t="s">
        <v>8540</v>
      </c>
    </row>
    <row r="1471" customFormat="false" ht="12.8" hidden="false" customHeight="false" outlineLevel="0" collapsed="false">
      <c r="A1471" s="0" t="s">
        <v>8549</v>
      </c>
      <c r="B1471" s="0" t="s">
        <v>8550</v>
      </c>
      <c r="C1471" s="0" t="s">
        <v>148</v>
      </c>
      <c r="D1471" s="0" t="s">
        <v>5023</v>
      </c>
      <c r="E1471" s="0" t="s">
        <v>5024</v>
      </c>
      <c r="F1471" s="0" t="s">
        <v>5024</v>
      </c>
      <c r="G1471" s="0" t="s">
        <v>1155</v>
      </c>
      <c r="H1471" s="0" t="s">
        <v>1477</v>
      </c>
      <c r="I1471" s="0" t="s">
        <v>8538</v>
      </c>
      <c r="J1471" s="0" t="s">
        <v>8539</v>
      </c>
      <c r="K1471" s="444" t="s">
        <v>8540</v>
      </c>
    </row>
    <row r="1472" customFormat="false" ht="12.8" hidden="false" customHeight="false" outlineLevel="0" collapsed="false">
      <c r="A1472" s="0" t="s">
        <v>8551</v>
      </c>
      <c r="B1472" s="0" t="s">
        <v>8552</v>
      </c>
      <c r="C1472" s="0" t="s">
        <v>246</v>
      </c>
      <c r="D1472" s="0" t="s">
        <v>5061</v>
      </c>
      <c r="E1472" s="0" t="s">
        <v>5062</v>
      </c>
      <c r="F1472" s="0" t="s">
        <v>5062</v>
      </c>
      <c r="G1472" s="0" t="s">
        <v>1155</v>
      </c>
      <c r="H1472" s="0" t="s">
        <v>1477</v>
      </c>
      <c r="I1472" s="0" t="s">
        <v>8553</v>
      </c>
      <c r="J1472" s="0" t="s">
        <v>8554</v>
      </c>
      <c r="K1472" s="444" t="s">
        <v>8555</v>
      </c>
    </row>
    <row r="1473" customFormat="false" ht="12.8" hidden="false" customHeight="false" outlineLevel="0" collapsed="false">
      <c r="A1473" s="0" t="s">
        <v>8556</v>
      </c>
      <c r="B1473" s="0" t="s">
        <v>8557</v>
      </c>
      <c r="C1473" s="0" t="s">
        <v>246</v>
      </c>
      <c r="D1473" s="0" t="s">
        <v>5057</v>
      </c>
      <c r="E1473" s="0" t="s">
        <v>5058</v>
      </c>
      <c r="F1473" s="0" t="s">
        <v>5058</v>
      </c>
      <c r="G1473" s="0" t="s">
        <v>1155</v>
      </c>
      <c r="H1473" s="0" t="s">
        <v>1477</v>
      </c>
      <c r="I1473" s="0" t="s">
        <v>8553</v>
      </c>
      <c r="J1473" s="0" t="s">
        <v>8554</v>
      </c>
      <c r="K1473" s="444" t="s">
        <v>8555</v>
      </c>
    </row>
    <row r="1474" customFormat="false" ht="12.8" hidden="false" customHeight="false" outlineLevel="0" collapsed="false">
      <c r="A1474" s="0" t="s">
        <v>8558</v>
      </c>
      <c r="B1474" s="0" t="s">
        <v>8559</v>
      </c>
      <c r="C1474" s="0" t="s">
        <v>313</v>
      </c>
      <c r="D1474" s="0" t="s">
        <v>5061</v>
      </c>
      <c r="E1474" s="0" t="s">
        <v>5062</v>
      </c>
      <c r="F1474" s="0" t="s">
        <v>5062</v>
      </c>
      <c r="G1474" s="0" t="s">
        <v>1155</v>
      </c>
      <c r="H1474" s="0" t="s">
        <v>1477</v>
      </c>
      <c r="I1474" s="0" t="s">
        <v>8560</v>
      </c>
      <c r="J1474" s="0" t="s">
        <v>8561</v>
      </c>
      <c r="K1474" s="0" t="s">
        <v>8088</v>
      </c>
    </row>
    <row r="1475" customFormat="false" ht="12.8" hidden="false" customHeight="false" outlineLevel="0" collapsed="false">
      <c r="A1475" s="0" t="s">
        <v>8562</v>
      </c>
      <c r="B1475" s="0" t="s">
        <v>8563</v>
      </c>
      <c r="C1475" s="0" t="s">
        <v>313</v>
      </c>
      <c r="D1475" s="0" t="s">
        <v>5023</v>
      </c>
      <c r="E1475" s="0" t="s">
        <v>5024</v>
      </c>
      <c r="F1475" s="0" t="s">
        <v>5024</v>
      </c>
      <c r="G1475" s="0" t="s">
        <v>1155</v>
      </c>
      <c r="H1475" s="0" t="s">
        <v>1477</v>
      </c>
      <c r="I1475" s="0" t="s">
        <v>8560</v>
      </c>
      <c r="J1475" s="0" t="s">
        <v>8561</v>
      </c>
      <c r="K1475" s="0" t="s">
        <v>8088</v>
      </c>
    </row>
    <row r="1476" customFormat="false" ht="12.8" hidden="false" customHeight="false" outlineLevel="0" collapsed="false">
      <c r="A1476" s="0" t="s">
        <v>8564</v>
      </c>
      <c r="B1476" s="0" t="s">
        <v>8565</v>
      </c>
      <c r="C1476" s="0" t="s">
        <v>313</v>
      </c>
      <c r="D1476" s="0" t="s">
        <v>5057</v>
      </c>
      <c r="E1476" s="0" t="s">
        <v>5058</v>
      </c>
      <c r="F1476" s="0" t="s">
        <v>5058</v>
      </c>
      <c r="G1476" s="0" t="s">
        <v>1155</v>
      </c>
      <c r="H1476" s="0" t="s">
        <v>1477</v>
      </c>
      <c r="I1476" s="0" t="s">
        <v>8560</v>
      </c>
      <c r="J1476" s="0" t="s">
        <v>8561</v>
      </c>
      <c r="K1476" s="0" t="s">
        <v>8088</v>
      </c>
    </row>
    <row r="1477" customFormat="false" ht="12.8" hidden="false" customHeight="false" outlineLevel="0" collapsed="false">
      <c r="A1477" s="0" t="s">
        <v>8566</v>
      </c>
      <c r="B1477" s="0" t="s">
        <v>8567</v>
      </c>
      <c r="C1477" s="0" t="s">
        <v>313</v>
      </c>
      <c r="D1477" s="0" t="s">
        <v>5057</v>
      </c>
      <c r="E1477" s="0" t="s">
        <v>5058</v>
      </c>
      <c r="F1477" s="0" t="s">
        <v>5058</v>
      </c>
      <c r="G1477" s="0" t="s">
        <v>1155</v>
      </c>
      <c r="H1477" s="0" t="s">
        <v>1477</v>
      </c>
      <c r="I1477" s="0" t="s">
        <v>8560</v>
      </c>
      <c r="J1477" s="0" t="s">
        <v>8561</v>
      </c>
      <c r="K1477" s="0" t="s">
        <v>8088</v>
      </c>
    </row>
    <row r="1478" customFormat="false" ht="12.8" hidden="false" customHeight="false" outlineLevel="0" collapsed="false">
      <c r="A1478" s="0" t="s">
        <v>8568</v>
      </c>
      <c r="B1478" s="0" t="s">
        <v>8569</v>
      </c>
      <c r="C1478" s="0" t="s">
        <v>313</v>
      </c>
      <c r="D1478" s="0" t="s">
        <v>5023</v>
      </c>
      <c r="E1478" s="0" t="s">
        <v>5024</v>
      </c>
      <c r="F1478" s="0" t="s">
        <v>5024</v>
      </c>
      <c r="G1478" s="0" t="s">
        <v>1155</v>
      </c>
      <c r="H1478" s="0" t="s">
        <v>1477</v>
      </c>
      <c r="I1478" s="0" t="s">
        <v>8560</v>
      </c>
      <c r="J1478" s="0" t="s">
        <v>8561</v>
      </c>
      <c r="K1478" s="0" t="s">
        <v>8088</v>
      </c>
    </row>
    <row r="1479" customFormat="false" ht="12.8" hidden="false" customHeight="false" outlineLevel="0" collapsed="false">
      <c r="A1479" s="0" t="s">
        <v>8570</v>
      </c>
      <c r="B1479" s="0" t="s">
        <v>8571</v>
      </c>
      <c r="C1479" s="0" t="s">
        <v>395</v>
      </c>
      <c r="D1479" s="0" t="s">
        <v>5061</v>
      </c>
      <c r="E1479" s="0" t="s">
        <v>5062</v>
      </c>
      <c r="F1479" s="0" t="s">
        <v>5062</v>
      </c>
      <c r="G1479" s="0" t="s">
        <v>1155</v>
      </c>
      <c r="H1479" s="0" t="s">
        <v>1285</v>
      </c>
      <c r="I1479" s="0" t="s">
        <v>8572</v>
      </c>
      <c r="J1479" s="0" t="s">
        <v>8573</v>
      </c>
      <c r="K1479" s="0" t="s">
        <v>7044</v>
      </c>
    </row>
    <row r="1480" customFormat="false" ht="12.8" hidden="false" customHeight="false" outlineLevel="0" collapsed="false">
      <c r="A1480" s="0" t="s">
        <v>8574</v>
      </c>
      <c r="B1480" s="0" t="s">
        <v>8575</v>
      </c>
      <c r="C1480" s="0" t="s">
        <v>395</v>
      </c>
      <c r="D1480" s="0" t="s">
        <v>5023</v>
      </c>
      <c r="E1480" s="0" t="s">
        <v>5024</v>
      </c>
      <c r="F1480" s="0" t="s">
        <v>5024</v>
      </c>
      <c r="G1480" s="0" t="s">
        <v>1155</v>
      </c>
      <c r="H1480" s="0" t="s">
        <v>1285</v>
      </c>
      <c r="I1480" s="0" t="s">
        <v>8572</v>
      </c>
      <c r="J1480" s="0" t="s">
        <v>8573</v>
      </c>
      <c r="K1480" s="0" t="s">
        <v>7044</v>
      </c>
    </row>
    <row r="1481" customFormat="false" ht="12.8" hidden="false" customHeight="false" outlineLevel="0" collapsed="false">
      <c r="A1481" s="0" t="s">
        <v>8576</v>
      </c>
      <c r="B1481" s="0" t="s">
        <v>8577</v>
      </c>
      <c r="C1481" s="0" t="s">
        <v>395</v>
      </c>
      <c r="D1481" s="0" t="s">
        <v>5057</v>
      </c>
      <c r="E1481" s="0" t="s">
        <v>5058</v>
      </c>
      <c r="F1481" s="0" t="s">
        <v>5058</v>
      </c>
      <c r="G1481" s="0" t="s">
        <v>1155</v>
      </c>
      <c r="H1481" s="0" t="s">
        <v>1285</v>
      </c>
      <c r="I1481" s="0" t="s">
        <v>8572</v>
      </c>
      <c r="J1481" s="0" t="s">
        <v>8573</v>
      </c>
      <c r="K1481" s="0" t="s">
        <v>7044</v>
      </c>
    </row>
    <row r="1482" customFormat="false" ht="12.8" hidden="false" customHeight="false" outlineLevel="0" collapsed="false">
      <c r="A1482" s="0" t="s">
        <v>8578</v>
      </c>
      <c r="B1482" s="0" t="s">
        <v>8579</v>
      </c>
      <c r="C1482" s="0" t="s">
        <v>25</v>
      </c>
      <c r="D1482" s="0" t="s">
        <v>5061</v>
      </c>
      <c r="E1482" s="0" t="s">
        <v>5062</v>
      </c>
      <c r="F1482" s="0" t="s">
        <v>5062</v>
      </c>
      <c r="G1482" s="0" t="s">
        <v>1155</v>
      </c>
      <c r="H1482" s="0" t="s">
        <v>1285</v>
      </c>
      <c r="I1482" s="0" t="s">
        <v>8580</v>
      </c>
      <c r="J1482" s="0" t="s">
        <v>8581</v>
      </c>
      <c r="K1482" s="0" t="s">
        <v>8582</v>
      </c>
    </row>
    <row r="1483" customFormat="false" ht="12.8" hidden="false" customHeight="false" outlineLevel="0" collapsed="false">
      <c r="A1483" s="0" t="s">
        <v>8583</v>
      </c>
      <c r="B1483" s="0" t="s">
        <v>8584</v>
      </c>
      <c r="C1483" s="0" t="s">
        <v>25</v>
      </c>
      <c r="D1483" s="0" t="s">
        <v>5023</v>
      </c>
      <c r="E1483" s="0" t="s">
        <v>5024</v>
      </c>
      <c r="F1483" s="0" t="s">
        <v>5024</v>
      </c>
      <c r="G1483" s="0" t="s">
        <v>1155</v>
      </c>
      <c r="H1483" s="0" t="s">
        <v>1285</v>
      </c>
      <c r="I1483" s="0" t="s">
        <v>8580</v>
      </c>
      <c r="J1483" s="0" t="s">
        <v>8581</v>
      </c>
      <c r="K1483" s="0" t="s">
        <v>8582</v>
      </c>
    </row>
    <row r="1484" customFormat="false" ht="12.8" hidden="false" customHeight="false" outlineLevel="0" collapsed="false">
      <c r="A1484" s="0" t="s">
        <v>8585</v>
      </c>
      <c r="B1484" s="0" t="s">
        <v>8586</v>
      </c>
      <c r="C1484" s="0" t="s">
        <v>25</v>
      </c>
      <c r="D1484" s="0" t="s">
        <v>5023</v>
      </c>
      <c r="E1484" s="0" t="s">
        <v>5024</v>
      </c>
      <c r="F1484" s="0" t="s">
        <v>5024</v>
      </c>
      <c r="G1484" s="0" t="s">
        <v>1155</v>
      </c>
      <c r="H1484" s="0" t="s">
        <v>1285</v>
      </c>
      <c r="I1484" s="0" t="s">
        <v>8580</v>
      </c>
      <c r="J1484" s="0" t="s">
        <v>8581</v>
      </c>
      <c r="K1484" s="0" t="s">
        <v>8582</v>
      </c>
    </row>
    <row r="1485" customFormat="false" ht="12.8" hidden="false" customHeight="false" outlineLevel="0" collapsed="false">
      <c r="A1485" s="0" t="s">
        <v>8587</v>
      </c>
      <c r="B1485" s="0" t="s">
        <v>8588</v>
      </c>
      <c r="C1485" s="0" t="s">
        <v>25</v>
      </c>
      <c r="D1485" s="0" t="s">
        <v>5057</v>
      </c>
      <c r="E1485" s="0" t="s">
        <v>5058</v>
      </c>
      <c r="F1485" s="0" t="s">
        <v>5058</v>
      </c>
      <c r="G1485" s="0" t="s">
        <v>1155</v>
      </c>
      <c r="H1485" s="0" t="s">
        <v>1285</v>
      </c>
      <c r="I1485" s="0" t="s">
        <v>8580</v>
      </c>
      <c r="J1485" s="0" t="s">
        <v>8581</v>
      </c>
      <c r="K1485" s="0" t="s">
        <v>8582</v>
      </c>
    </row>
    <row r="1486" customFormat="false" ht="12.8" hidden="false" customHeight="false" outlineLevel="0" collapsed="false">
      <c r="A1486" s="0" t="s">
        <v>8589</v>
      </c>
      <c r="B1486" s="0" t="s">
        <v>8590</v>
      </c>
      <c r="C1486" s="0" t="s">
        <v>20</v>
      </c>
      <c r="D1486" s="0" t="s">
        <v>5061</v>
      </c>
      <c r="E1486" s="0" t="s">
        <v>5062</v>
      </c>
      <c r="F1486" s="0" t="s">
        <v>5062</v>
      </c>
      <c r="G1486" s="0" t="s">
        <v>1155</v>
      </c>
      <c r="H1486" s="0" t="s">
        <v>1285</v>
      </c>
      <c r="I1486" s="0" t="s">
        <v>8591</v>
      </c>
      <c r="J1486" s="0" t="s">
        <v>8592</v>
      </c>
      <c r="K1486" s="0" t="s">
        <v>7993</v>
      </c>
    </row>
    <row r="1487" customFormat="false" ht="12.8" hidden="false" customHeight="false" outlineLevel="0" collapsed="false">
      <c r="A1487" s="0" t="s">
        <v>8593</v>
      </c>
      <c r="B1487" s="0" t="s">
        <v>8594</v>
      </c>
      <c r="C1487" s="0" t="s">
        <v>20</v>
      </c>
      <c r="D1487" s="0" t="s">
        <v>5057</v>
      </c>
      <c r="E1487" s="0" t="s">
        <v>5058</v>
      </c>
      <c r="F1487" s="0" t="s">
        <v>5058</v>
      </c>
      <c r="G1487" s="0" t="s">
        <v>1155</v>
      </c>
      <c r="H1487" s="0" t="s">
        <v>1285</v>
      </c>
      <c r="I1487" s="0" t="s">
        <v>8591</v>
      </c>
      <c r="J1487" s="0" t="s">
        <v>8592</v>
      </c>
      <c r="K1487" s="0" t="s">
        <v>7993</v>
      </c>
    </row>
    <row r="1488" customFormat="false" ht="12.8" hidden="false" customHeight="false" outlineLevel="0" collapsed="false">
      <c r="A1488" s="0" t="s">
        <v>8595</v>
      </c>
      <c r="B1488" s="0" t="s">
        <v>8596</v>
      </c>
      <c r="C1488" s="0" t="s">
        <v>420</v>
      </c>
      <c r="D1488" s="0" t="s">
        <v>5061</v>
      </c>
      <c r="E1488" s="0" t="s">
        <v>5062</v>
      </c>
      <c r="F1488" s="0" t="s">
        <v>5062</v>
      </c>
      <c r="G1488" s="0" t="s">
        <v>1155</v>
      </c>
      <c r="H1488" s="0" t="s">
        <v>5065</v>
      </c>
      <c r="I1488" s="0" t="s">
        <v>8597</v>
      </c>
      <c r="J1488" s="0" t="s">
        <v>8598</v>
      </c>
      <c r="K1488" s="444" t="s">
        <v>7949</v>
      </c>
      <c r="L1488" s="0" t="s">
        <v>6757</v>
      </c>
    </row>
    <row r="1489" customFormat="false" ht="12.8" hidden="false" customHeight="false" outlineLevel="0" collapsed="false">
      <c r="A1489" s="0" t="s">
        <v>8599</v>
      </c>
      <c r="B1489" s="0" t="s">
        <v>8600</v>
      </c>
      <c r="C1489" s="0" t="s">
        <v>420</v>
      </c>
      <c r="D1489" s="0" t="s">
        <v>5057</v>
      </c>
      <c r="E1489" s="0" t="s">
        <v>5058</v>
      </c>
      <c r="F1489" s="0" t="s">
        <v>5058</v>
      </c>
      <c r="G1489" s="0" t="s">
        <v>1155</v>
      </c>
      <c r="H1489" s="0" t="s">
        <v>5065</v>
      </c>
      <c r="I1489" s="0" t="s">
        <v>8597</v>
      </c>
      <c r="J1489" s="0" t="s">
        <v>8598</v>
      </c>
      <c r="K1489" s="444" t="s">
        <v>7949</v>
      </c>
      <c r="L1489" s="0" t="s">
        <v>6757</v>
      </c>
    </row>
    <row r="1490" customFormat="false" ht="12.8" hidden="false" customHeight="false" outlineLevel="0" collapsed="false">
      <c r="A1490" s="0" t="s">
        <v>8601</v>
      </c>
      <c r="B1490" s="0" t="s">
        <v>8602</v>
      </c>
      <c r="C1490" s="0" t="s">
        <v>251</v>
      </c>
      <c r="D1490" s="0" t="s">
        <v>5061</v>
      </c>
      <c r="E1490" s="0" t="s">
        <v>5062</v>
      </c>
      <c r="F1490" s="0" t="s">
        <v>5062</v>
      </c>
      <c r="G1490" s="0" t="s">
        <v>1155</v>
      </c>
      <c r="H1490" s="0" t="s">
        <v>1572</v>
      </c>
      <c r="I1490" s="0" t="s">
        <v>8603</v>
      </c>
      <c r="J1490" s="0" t="s">
        <v>8604</v>
      </c>
      <c r="K1490" s="444" t="s">
        <v>8247</v>
      </c>
    </row>
    <row r="1491" customFormat="false" ht="12.8" hidden="false" customHeight="false" outlineLevel="0" collapsed="false">
      <c r="A1491" s="0" t="s">
        <v>8605</v>
      </c>
      <c r="B1491" s="0" t="s">
        <v>8606</v>
      </c>
      <c r="C1491" s="0" t="s">
        <v>251</v>
      </c>
      <c r="D1491" s="0" t="s">
        <v>5057</v>
      </c>
      <c r="E1491" s="0" t="s">
        <v>5058</v>
      </c>
      <c r="F1491" s="0" t="s">
        <v>5058</v>
      </c>
      <c r="G1491" s="0" t="s">
        <v>1155</v>
      </c>
      <c r="H1491" s="0" t="s">
        <v>1572</v>
      </c>
      <c r="I1491" s="0" t="s">
        <v>8603</v>
      </c>
      <c r="J1491" s="0" t="s">
        <v>8604</v>
      </c>
      <c r="K1491" s="444" t="s">
        <v>8247</v>
      </c>
    </row>
    <row r="1492" customFormat="false" ht="12.8" hidden="false" customHeight="false" outlineLevel="0" collapsed="false">
      <c r="A1492" s="0" t="s">
        <v>8607</v>
      </c>
      <c r="B1492" s="0" t="s">
        <v>8608</v>
      </c>
      <c r="C1492" s="0" t="s">
        <v>217</v>
      </c>
      <c r="D1492" s="0" t="s">
        <v>5061</v>
      </c>
      <c r="E1492" s="0" t="s">
        <v>5062</v>
      </c>
      <c r="F1492" s="0" t="s">
        <v>5062</v>
      </c>
      <c r="G1492" s="0" t="s">
        <v>1155</v>
      </c>
      <c r="H1492" s="0" t="s">
        <v>1572</v>
      </c>
      <c r="I1492" s="0" t="s">
        <v>8609</v>
      </c>
      <c r="J1492" s="0" t="s">
        <v>8610</v>
      </c>
      <c r="K1492" s="0" t="s">
        <v>7993</v>
      </c>
    </row>
    <row r="1493" customFormat="false" ht="12.8" hidden="false" customHeight="false" outlineLevel="0" collapsed="false">
      <c r="A1493" s="0" t="s">
        <v>8611</v>
      </c>
      <c r="B1493" s="0" t="s">
        <v>8612</v>
      </c>
      <c r="C1493" s="0" t="s">
        <v>217</v>
      </c>
      <c r="D1493" s="0" t="s">
        <v>5057</v>
      </c>
      <c r="E1493" s="0" t="s">
        <v>5058</v>
      </c>
      <c r="F1493" s="0" t="s">
        <v>5058</v>
      </c>
      <c r="G1493" s="0" t="s">
        <v>1155</v>
      </c>
      <c r="H1493" s="0" t="s">
        <v>1572</v>
      </c>
      <c r="I1493" s="0" t="s">
        <v>8609</v>
      </c>
      <c r="J1493" s="0" t="s">
        <v>8610</v>
      </c>
      <c r="K1493" s="0" t="s">
        <v>7993</v>
      </c>
    </row>
    <row r="1494" customFormat="false" ht="12.8" hidden="false" customHeight="false" outlineLevel="0" collapsed="false">
      <c r="A1494" s="0" t="s">
        <v>8613</v>
      </c>
      <c r="B1494" s="0" t="s">
        <v>8614</v>
      </c>
      <c r="C1494" s="0" t="s">
        <v>212</v>
      </c>
      <c r="D1494" s="0" t="s">
        <v>5061</v>
      </c>
      <c r="E1494" s="0" t="s">
        <v>5062</v>
      </c>
      <c r="F1494" s="0" t="s">
        <v>5062</v>
      </c>
      <c r="G1494" s="0" t="s">
        <v>1155</v>
      </c>
      <c r="H1494" s="0" t="s">
        <v>1382</v>
      </c>
      <c r="I1494" s="0" t="s">
        <v>8615</v>
      </c>
      <c r="J1494" s="0" t="s">
        <v>8616</v>
      </c>
      <c r="K1494" s="444" t="s">
        <v>8617</v>
      </c>
      <c r="L1494" s="0" t="s">
        <v>5405</v>
      </c>
    </row>
    <row r="1495" customFormat="false" ht="12.8" hidden="false" customHeight="false" outlineLevel="0" collapsed="false">
      <c r="A1495" s="0" t="s">
        <v>8618</v>
      </c>
      <c r="B1495" s="0" t="s">
        <v>8619</v>
      </c>
      <c r="C1495" s="0" t="s">
        <v>212</v>
      </c>
      <c r="D1495" s="0" t="s">
        <v>5057</v>
      </c>
      <c r="E1495" s="0" t="s">
        <v>5058</v>
      </c>
      <c r="F1495" s="0" t="s">
        <v>5058</v>
      </c>
      <c r="G1495" s="0" t="s">
        <v>1155</v>
      </c>
      <c r="H1495" s="0" t="s">
        <v>1382</v>
      </c>
      <c r="I1495" s="0" t="s">
        <v>8615</v>
      </c>
      <c r="J1495" s="0" t="s">
        <v>8616</v>
      </c>
      <c r="K1495" s="444" t="s">
        <v>8617</v>
      </c>
      <c r="L1495" s="0" t="s">
        <v>5405</v>
      </c>
    </row>
    <row r="1496" customFormat="false" ht="12.8" hidden="false" customHeight="false" outlineLevel="0" collapsed="false">
      <c r="A1496" s="0" t="s">
        <v>8620</v>
      </c>
      <c r="B1496" s="0" t="s">
        <v>8621</v>
      </c>
      <c r="C1496" s="0" t="s">
        <v>204</v>
      </c>
      <c r="D1496" s="0" t="s">
        <v>5061</v>
      </c>
      <c r="E1496" s="0" t="s">
        <v>5062</v>
      </c>
      <c r="F1496" s="0" t="s">
        <v>5062</v>
      </c>
      <c r="G1496" s="0" t="s">
        <v>1155</v>
      </c>
      <c r="H1496" s="0" t="s">
        <v>1382</v>
      </c>
      <c r="I1496" s="0" t="s">
        <v>8622</v>
      </c>
      <c r="J1496" s="0" t="s">
        <v>8623</v>
      </c>
      <c r="K1496" s="0" t="s">
        <v>8582</v>
      </c>
    </row>
    <row r="1497" customFormat="false" ht="12.8" hidden="false" customHeight="false" outlineLevel="0" collapsed="false">
      <c r="A1497" s="0" t="s">
        <v>8624</v>
      </c>
      <c r="B1497" s="0" t="s">
        <v>8625</v>
      </c>
      <c r="C1497" s="0" t="s">
        <v>204</v>
      </c>
      <c r="D1497" s="0" t="s">
        <v>5057</v>
      </c>
      <c r="E1497" s="0" t="s">
        <v>5058</v>
      </c>
      <c r="F1497" s="0" t="s">
        <v>5058</v>
      </c>
      <c r="G1497" s="0" t="s">
        <v>1155</v>
      </c>
      <c r="H1497" s="0" t="s">
        <v>1382</v>
      </c>
      <c r="I1497" s="0" t="s">
        <v>8622</v>
      </c>
      <c r="J1497" s="0" t="s">
        <v>8623</v>
      </c>
      <c r="K1497" s="0" t="s">
        <v>8582</v>
      </c>
    </row>
    <row r="1498" customFormat="false" ht="12.8" hidden="false" customHeight="false" outlineLevel="0" collapsed="false">
      <c r="A1498" s="0" t="s">
        <v>8626</v>
      </c>
      <c r="B1498" s="0" t="s">
        <v>8627</v>
      </c>
      <c r="C1498" s="0" t="s">
        <v>65</v>
      </c>
      <c r="D1498" s="0" t="s">
        <v>5061</v>
      </c>
      <c r="E1498" s="0" t="s">
        <v>5062</v>
      </c>
      <c r="F1498" s="0" t="s">
        <v>5062</v>
      </c>
      <c r="G1498" s="0" t="s">
        <v>1155</v>
      </c>
      <c r="H1498" s="0" t="s">
        <v>5065</v>
      </c>
      <c r="I1498" s="0" t="s">
        <v>8628</v>
      </c>
      <c r="J1498" s="0" t="s">
        <v>8629</v>
      </c>
      <c r="K1498" s="0" t="s">
        <v>7993</v>
      </c>
    </row>
    <row r="1499" customFormat="false" ht="12.8" hidden="false" customHeight="false" outlineLevel="0" collapsed="false">
      <c r="A1499" s="0" t="s">
        <v>8630</v>
      </c>
      <c r="B1499" s="0" t="s">
        <v>8631</v>
      </c>
      <c r="C1499" s="0" t="s">
        <v>65</v>
      </c>
      <c r="D1499" s="0" t="s">
        <v>5023</v>
      </c>
      <c r="E1499" s="0" t="s">
        <v>5024</v>
      </c>
      <c r="F1499" s="0" t="s">
        <v>5024</v>
      </c>
      <c r="G1499" s="0" t="s">
        <v>1155</v>
      </c>
      <c r="H1499" s="0" t="s">
        <v>5065</v>
      </c>
      <c r="I1499" s="0" t="s">
        <v>8628</v>
      </c>
      <c r="J1499" s="0" t="s">
        <v>8629</v>
      </c>
      <c r="K1499" s="0" t="s">
        <v>7993</v>
      </c>
    </row>
    <row r="1500" customFormat="false" ht="12.8" hidden="false" customHeight="false" outlineLevel="0" collapsed="false">
      <c r="A1500" s="0" t="s">
        <v>8632</v>
      </c>
      <c r="B1500" s="0" t="s">
        <v>8633</v>
      </c>
      <c r="C1500" s="0" t="s">
        <v>65</v>
      </c>
      <c r="D1500" s="0" t="s">
        <v>5057</v>
      </c>
      <c r="E1500" s="0" t="s">
        <v>5058</v>
      </c>
      <c r="F1500" s="0" t="s">
        <v>5058</v>
      </c>
      <c r="G1500" s="0" t="s">
        <v>1155</v>
      </c>
      <c r="H1500" s="0" t="s">
        <v>5065</v>
      </c>
      <c r="I1500" s="0" t="s">
        <v>8628</v>
      </c>
      <c r="J1500" s="0" t="s">
        <v>8629</v>
      </c>
      <c r="K1500" s="0" t="s">
        <v>7993</v>
      </c>
    </row>
    <row r="1501" customFormat="false" ht="12.8" hidden="false" customHeight="false" outlineLevel="0" collapsed="false">
      <c r="A1501" s="0" t="s">
        <v>8634</v>
      </c>
      <c r="B1501" s="0" t="s">
        <v>8635</v>
      </c>
      <c r="C1501" s="0" t="s">
        <v>94</v>
      </c>
      <c r="D1501" s="0" t="s">
        <v>5057</v>
      </c>
      <c r="E1501" s="0" t="s">
        <v>5058</v>
      </c>
      <c r="F1501" s="0" t="s">
        <v>5058</v>
      </c>
      <c r="G1501" s="0" t="s">
        <v>3278</v>
      </c>
      <c r="H1501" s="0" t="s">
        <v>3647</v>
      </c>
      <c r="I1501" s="0" t="s">
        <v>8636</v>
      </c>
      <c r="J1501" s="0" t="s">
        <v>8637</v>
      </c>
      <c r="K1501" s="0" t="s">
        <v>7993</v>
      </c>
    </row>
    <row r="1502" customFormat="false" ht="12.8" hidden="false" customHeight="false" outlineLevel="0" collapsed="false">
      <c r="A1502" s="0" t="s">
        <v>8638</v>
      </c>
      <c r="B1502" s="0" t="s">
        <v>8639</v>
      </c>
      <c r="C1502" s="0" t="s">
        <v>94</v>
      </c>
      <c r="D1502" s="0" t="s">
        <v>5061</v>
      </c>
      <c r="E1502" s="0" t="s">
        <v>5062</v>
      </c>
      <c r="F1502" s="0" t="s">
        <v>5062</v>
      </c>
      <c r="G1502" s="0" t="s">
        <v>3278</v>
      </c>
      <c r="H1502" s="0" t="s">
        <v>3647</v>
      </c>
      <c r="I1502" s="0" t="s">
        <v>8636</v>
      </c>
      <c r="J1502" s="0" t="s">
        <v>8637</v>
      </c>
      <c r="K1502" s="0" t="s">
        <v>7993</v>
      </c>
    </row>
    <row r="1503" customFormat="false" ht="12.8" hidden="false" customHeight="false" outlineLevel="0" collapsed="false">
      <c r="A1503" s="0" t="s">
        <v>8640</v>
      </c>
      <c r="B1503" s="0" t="s">
        <v>8641</v>
      </c>
      <c r="C1503" s="0" t="s">
        <v>320</v>
      </c>
      <c r="D1503" s="0" t="s">
        <v>5057</v>
      </c>
      <c r="E1503" s="0" t="s">
        <v>5058</v>
      </c>
      <c r="F1503" s="0" t="s">
        <v>5058</v>
      </c>
      <c r="G1503" s="0" t="s">
        <v>3278</v>
      </c>
      <c r="H1503" s="0" t="s">
        <v>3741</v>
      </c>
      <c r="I1503" s="0" t="s">
        <v>8642</v>
      </c>
      <c r="J1503" s="0" t="s">
        <v>8643</v>
      </c>
      <c r="K1503" s="444" t="s">
        <v>8247</v>
      </c>
    </row>
    <row r="1504" customFormat="false" ht="12.8" hidden="false" customHeight="false" outlineLevel="0" collapsed="false">
      <c r="A1504" s="0" t="s">
        <v>8644</v>
      </c>
      <c r="B1504" s="0" t="s">
        <v>8645</v>
      </c>
      <c r="C1504" s="0" t="s">
        <v>320</v>
      </c>
      <c r="D1504" s="0" t="s">
        <v>5061</v>
      </c>
      <c r="E1504" s="0" t="s">
        <v>5062</v>
      </c>
      <c r="F1504" s="0" t="s">
        <v>5062</v>
      </c>
      <c r="G1504" s="0" t="s">
        <v>3278</v>
      </c>
      <c r="H1504" s="0" t="s">
        <v>3741</v>
      </c>
      <c r="I1504" s="0" t="s">
        <v>8642</v>
      </c>
      <c r="J1504" s="0" t="s">
        <v>8643</v>
      </c>
      <c r="K1504" s="444" t="s">
        <v>8247</v>
      </c>
    </row>
    <row r="1505" customFormat="false" ht="12.8" hidden="false" customHeight="false" outlineLevel="0" collapsed="false">
      <c r="A1505" s="0" t="s">
        <v>8646</v>
      </c>
      <c r="B1505" s="0" t="s">
        <v>8647</v>
      </c>
      <c r="C1505" s="0" t="s">
        <v>320</v>
      </c>
      <c r="D1505" s="0" t="s">
        <v>5023</v>
      </c>
      <c r="E1505" s="0" t="s">
        <v>5024</v>
      </c>
      <c r="F1505" s="0" t="s">
        <v>5024</v>
      </c>
      <c r="G1505" s="0" t="s">
        <v>3278</v>
      </c>
      <c r="H1505" s="0" t="s">
        <v>3741</v>
      </c>
      <c r="I1505" s="0" t="s">
        <v>8642</v>
      </c>
      <c r="J1505" s="0" t="s">
        <v>8643</v>
      </c>
      <c r="K1505" s="444" t="s">
        <v>8247</v>
      </c>
    </row>
    <row r="1506" customFormat="false" ht="12.8" hidden="false" customHeight="false" outlineLevel="0" collapsed="false">
      <c r="A1506" s="0" t="s">
        <v>8648</v>
      </c>
      <c r="B1506" s="0" t="s">
        <v>8649</v>
      </c>
      <c r="C1506" s="0" t="s">
        <v>320</v>
      </c>
      <c r="D1506" s="0" t="s">
        <v>5023</v>
      </c>
      <c r="E1506" s="0" t="s">
        <v>5024</v>
      </c>
      <c r="F1506" s="0" t="s">
        <v>5024</v>
      </c>
      <c r="G1506" s="0" t="s">
        <v>3278</v>
      </c>
      <c r="H1506" s="0" t="s">
        <v>3741</v>
      </c>
      <c r="I1506" s="0" t="s">
        <v>8642</v>
      </c>
      <c r="J1506" s="0" t="s">
        <v>8643</v>
      </c>
      <c r="K1506" s="444" t="s">
        <v>8247</v>
      </c>
    </row>
    <row r="1507" customFormat="false" ht="12.8" hidden="false" customHeight="false" outlineLevel="0" collapsed="false">
      <c r="A1507" s="0" t="s">
        <v>8650</v>
      </c>
      <c r="B1507" s="0" t="s">
        <v>8651</v>
      </c>
      <c r="C1507" s="0" t="s">
        <v>197</v>
      </c>
      <c r="D1507" s="0" t="s">
        <v>5061</v>
      </c>
      <c r="E1507" s="0" t="s">
        <v>5062</v>
      </c>
      <c r="F1507" s="0" t="s">
        <v>5062</v>
      </c>
      <c r="G1507" s="0" t="s">
        <v>2515</v>
      </c>
      <c r="H1507" s="0" t="s">
        <v>2755</v>
      </c>
      <c r="I1507" s="0" t="s">
        <v>8652</v>
      </c>
      <c r="J1507" s="0" t="s">
        <v>8653</v>
      </c>
      <c r="K1507" s="444" t="s">
        <v>8408</v>
      </c>
    </row>
    <row r="1508" customFormat="false" ht="12.8" hidden="false" customHeight="false" outlineLevel="0" collapsed="false">
      <c r="A1508" s="0" t="s">
        <v>8654</v>
      </c>
      <c r="B1508" s="0" t="s">
        <v>8655</v>
      </c>
      <c r="C1508" s="0" t="s">
        <v>197</v>
      </c>
      <c r="D1508" s="0" t="s">
        <v>5023</v>
      </c>
      <c r="E1508" s="0" t="s">
        <v>5024</v>
      </c>
      <c r="F1508" s="0" t="s">
        <v>5024</v>
      </c>
      <c r="G1508" s="0" t="s">
        <v>2515</v>
      </c>
      <c r="H1508" s="0" t="s">
        <v>2755</v>
      </c>
      <c r="I1508" s="0" t="s">
        <v>8652</v>
      </c>
      <c r="J1508" s="0" t="s">
        <v>8653</v>
      </c>
      <c r="K1508" s="444" t="s">
        <v>8408</v>
      </c>
    </row>
    <row r="1509" customFormat="false" ht="12.8" hidden="false" customHeight="false" outlineLevel="0" collapsed="false">
      <c r="A1509" s="0" t="s">
        <v>8656</v>
      </c>
      <c r="B1509" s="0" t="s">
        <v>8657</v>
      </c>
      <c r="C1509" s="0" t="s">
        <v>197</v>
      </c>
      <c r="D1509" s="0" t="s">
        <v>5057</v>
      </c>
      <c r="E1509" s="0" t="s">
        <v>5058</v>
      </c>
      <c r="F1509" s="0" t="s">
        <v>5058</v>
      </c>
      <c r="G1509" s="0" t="s">
        <v>2515</v>
      </c>
      <c r="H1509" s="0" t="s">
        <v>2755</v>
      </c>
      <c r="I1509" s="0" t="s">
        <v>8652</v>
      </c>
      <c r="J1509" s="0" t="s">
        <v>8653</v>
      </c>
      <c r="K1509" s="444" t="s">
        <v>8408</v>
      </c>
    </row>
    <row r="1510" customFormat="false" ht="12.8" hidden="false" customHeight="false" outlineLevel="0" collapsed="false">
      <c r="A1510" s="0" t="s">
        <v>8658</v>
      </c>
      <c r="B1510" s="0" t="s">
        <v>8659</v>
      </c>
      <c r="C1510" s="0" t="s">
        <v>197</v>
      </c>
      <c r="D1510" s="0" t="s">
        <v>5023</v>
      </c>
      <c r="E1510" s="0" t="s">
        <v>5024</v>
      </c>
      <c r="F1510" s="0" t="s">
        <v>5024</v>
      </c>
      <c r="G1510" s="0" t="s">
        <v>2515</v>
      </c>
      <c r="H1510" s="0" t="s">
        <v>2755</v>
      </c>
      <c r="I1510" s="0" t="s">
        <v>8652</v>
      </c>
      <c r="J1510" s="0" t="s">
        <v>8653</v>
      </c>
      <c r="K1510" s="444" t="s">
        <v>8408</v>
      </c>
    </row>
    <row r="1511" customFormat="false" ht="12.8" hidden="false" customHeight="false" outlineLevel="0" collapsed="false">
      <c r="A1511" s="0" t="s">
        <v>8660</v>
      </c>
      <c r="B1511" s="0" t="s">
        <v>8661</v>
      </c>
      <c r="C1511" s="0" t="s">
        <v>38</v>
      </c>
      <c r="D1511" s="0" t="s">
        <v>5061</v>
      </c>
      <c r="E1511" s="0" t="s">
        <v>5062</v>
      </c>
      <c r="F1511" s="0" t="s">
        <v>5062</v>
      </c>
      <c r="G1511" s="0" t="s">
        <v>3278</v>
      </c>
      <c r="H1511" s="0" t="s">
        <v>3647</v>
      </c>
      <c r="I1511" s="0" t="s">
        <v>8662</v>
      </c>
      <c r="J1511" s="0" t="s">
        <v>8663</v>
      </c>
      <c r="K1511" s="0" t="s">
        <v>7993</v>
      </c>
    </row>
    <row r="1512" customFormat="false" ht="12.8" hidden="false" customHeight="false" outlineLevel="0" collapsed="false">
      <c r="A1512" s="0" t="s">
        <v>8664</v>
      </c>
      <c r="B1512" s="0" t="s">
        <v>8665</v>
      </c>
      <c r="C1512" s="0" t="s">
        <v>38</v>
      </c>
      <c r="D1512" s="0" t="s">
        <v>5057</v>
      </c>
      <c r="E1512" s="0" t="s">
        <v>5058</v>
      </c>
      <c r="F1512" s="0" t="s">
        <v>5058</v>
      </c>
      <c r="G1512" s="0" t="s">
        <v>3278</v>
      </c>
      <c r="H1512" s="0" t="s">
        <v>3647</v>
      </c>
      <c r="I1512" s="0" t="s">
        <v>8662</v>
      </c>
      <c r="J1512" s="0" t="s">
        <v>8663</v>
      </c>
      <c r="K1512" s="0" t="s">
        <v>7993</v>
      </c>
    </row>
    <row r="1513" customFormat="false" ht="12.8" hidden="false" customHeight="false" outlineLevel="0" collapsed="false">
      <c r="A1513" s="0" t="s">
        <v>8666</v>
      </c>
      <c r="B1513" s="0" t="s">
        <v>8667</v>
      </c>
      <c r="C1513" s="0" t="s">
        <v>83</v>
      </c>
      <c r="D1513" s="0" t="s">
        <v>5061</v>
      </c>
      <c r="E1513" s="0" t="s">
        <v>5062</v>
      </c>
      <c r="F1513" s="0" t="s">
        <v>5062</v>
      </c>
      <c r="G1513" s="0" t="s">
        <v>3278</v>
      </c>
      <c r="H1513" s="0" t="s">
        <v>3647</v>
      </c>
      <c r="I1513" s="0" t="s">
        <v>8668</v>
      </c>
      <c r="J1513" s="0" t="s">
        <v>8669</v>
      </c>
      <c r="K1513" s="0" t="s">
        <v>7993</v>
      </c>
    </row>
    <row r="1514" customFormat="false" ht="12.8" hidden="false" customHeight="false" outlineLevel="0" collapsed="false">
      <c r="A1514" s="0" t="s">
        <v>8670</v>
      </c>
      <c r="B1514" s="0" t="s">
        <v>8671</v>
      </c>
      <c r="C1514" s="0" t="s">
        <v>83</v>
      </c>
      <c r="D1514" s="0" t="s">
        <v>5057</v>
      </c>
      <c r="E1514" s="0" t="s">
        <v>5058</v>
      </c>
      <c r="F1514" s="0" t="s">
        <v>5058</v>
      </c>
      <c r="G1514" s="0" t="s">
        <v>3278</v>
      </c>
      <c r="H1514" s="0" t="s">
        <v>3647</v>
      </c>
      <c r="I1514" s="0" t="s">
        <v>8668</v>
      </c>
      <c r="J1514" s="0" t="s">
        <v>8669</v>
      </c>
      <c r="K1514" s="0" t="s">
        <v>7993</v>
      </c>
    </row>
    <row r="1515" customFormat="false" ht="12.8" hidden="false" customHeight="false" outlineLevel="0" collapsed="false">
      <c r="A1515" s="0" t="s">
        <v>8672</v>
      </c>
      <c r="B1515" s="0" t="s">
        <v>8673</v>
      </c>
      <c r="C1515" s="0" t="s">
        <v>317</v>
      </c>
      <c r="D1515" s="0" t="s">
        <v>5061</v>
      </c>
      <c r="E1515" s="0" t="s">
        <v>5062</v>
      </c>
      <c r="F1515" s="0" t="s">
        <v>5062</v>
      </c>
      <c r="G1515" s="0" t="s">
        <v>3278</v>
      </c>
      <c r="H1515" s="0" t="s">
        <v>3647</v>
      </c>
      <c r="I1515" s="0" t="s">
        <v>8674</v>
      </c>
      <c r="J1515" s="0" t="s">
        <v>8675</v>
      </c>
      <c r="K1515" s="444" t="s">
        <v>8146</v>
      </c>
    </row>
    <row r="1516" customFormat="false" ht="12.8" hidden="false" customHeight="false" outlineLevel="0" collapsed="false">
      <c r="A1516" s="0" t="s">
        <v>8676</v>
      </c>
      <c r="B1516" s="0" t="s">
        <v>8677</v>
      </c>
      <c r="C1516" s="0" t="s">
        <v>317</v>
      </c>
      <c r="D1516" s="0" t="s">
        <v>5057</v>
      </c>
      <c r="E1516" s="0" t="s">
        <v>5058</v>
      </c>
      <c r="F1516" s="0" t="s">
        <v>5058</v>
      </c>
      <c r="G1516" s="0" t="s">
        <v>3278</v>
      </c>
      <c r="H1516" s="0" t="s">
        <v>3647</v>
      </c>
      <c r="I1516" s="0" t="s">
        <v>8674</v>
      </c>
      <c r="J1516" s="0" t="s">
        <v>8675</v>
      </c>
      <c r="K1516" s="444" t="s">
        <v>8146</v>
      </c>
    </row>
    <row r="1517" customFormat="false" ht="12.8" hidden="false" customHeight="false" outlineLevel="0" collapsed="false">
      <c r="A1517" s="0" t="s">
        <v>8678</v>
      </c>
      <c r="B1517" s="0" t="s">
        <v>8679</v>
      </c>
      <c r="C1517" s="0" t="s">
        <v>369</v>
      </c>
      <c r="D1517" s="0" t="s">
        <v>5061</v>
      </c>
      <c r="E1517" s="0" t="s">
        <v>5062</v>
      </c>
      <c r="F1517" s="0" t="s">
        <v>5062</v>
      </c>
      <c r="G1517" s="0" t="s">
        <v>3278</v>
      </c>
      <c r="H1517" s="0" t="s">
        <v>3647</v>
      </c>
      <c r="I1517" s="0" t="s">
        <v>8680</v>
      </c>
      <c r="J1517" s="0" t="s">
        <v>8681</v>
      </c>
      <c r="K1517" s="444" t="s">
        <v>8682</v>
      </c>
    </row>
    <row r="1518" customFormat="false" ht="12.8" hidden="false" customHeight="false" outlineLevel="0" collapsed="false">
      <c r="A1518" s="0" t="s">
        <v>8683</v>
      </c>
      <c r="B1518" s="0" t="s">
        <v>8684</v>
      </c>
      <c r="C1518" s="0" t="s">
        <v>369</v>
      </c>
      <c r="D1518" s="0" t="s">
        <v>5057</v>
      </c>
      <c r="E1518" s="0" t="s">
        <v>5058</v>
      </c>
      <c r="F1518" s="0" t="s">
        <v>5058</v>
      </c>
      <c r="G1518" s="0" t="s">
        <v>3278</v>
      </c>
      <c r="H1518" s="0" t="s">
        <v>3647</v>
      </c>
      <c r="I1518" s="0" t="s">
        <v>8680</v>
      </c>
      <c r="J1518" s="0" t="s">
        <v>8681</v>
      </c>
      <c r="K1518" s="444" t="s">
        <v>8682</v>
      </c>
    </row>
    <row r="1519" customFormat="false" ht="12.8" hidden="false" customHeight="false" outlineLevel="0" collapsed="false">
      <c r="A1519" s="0" t="s">
        <v>8685</v>
      </c>
      <c r="B1519" s="0" t="s">
        <v>8686</v>
      </c>
      <c r="C1519" s="0" t="s">
        <v>211</v>
      </c>
      <c r="D1519" s="0" t="s">
        <v>5057</v>
      </c>
      <c r="E1519" s="0" t="s">
        <v>5058</v>
      </c>
      <c r="F1519" s="0" t="s">
        <v>5058</v>
      </c>
      <c r="G1519" s="0" t="s">
        <v>458</v>
      </c>
      <c r="H1519" s="0" t="s">
        <v>902</v>
      </c>
      <c r="I1519" s="0" t="s">
        <v>8687</v>
      </c>
      <c r="J1519" s="0" t="s">
        <v>8688</v>
      </c>
      <c r="K1519" s="444" t="s">
        <v>8689</v>
      </c>
    </row>
    <row r="1520" customFormat="false" ht="12.8" hidden="false" customHeight="false" outlineLevel="0" collapsed="false">
      <c r="A1520" s="0" t="s">
        <v>8690</v>
      </c>
      <c r="B1520" s="0" t="s">
        <v>8691</v>
      </c>
      <c r="C1520" s="0" t="s">
        <v>211</v>
      </c>
      <c r="D1520" s="0" t="s">
        <v>5061</v>
      </c>
      <c r="E1520" s="0" t="s">
        <v>5062</v>
      </c>
      <c r="F1520" s="0" t="s">
        <v>5062</v>
      </c>
      <c r="G1520" s="0" t="s">
        <v>458</v>
      </c>
      <c r="H1520" s="0" t="s">
        <v>902</v>
      </c>
      <c r="I1520" s="0" t="s">
        <v>8687</v>
      </c>
      <c r="J1520" s="0" t="s">
        <v>8688</v>
      </c>
      <c r="K1520" s="444" t="s">
        <v>8689</v>
      </c>
    </row>
    <row r="1521" customFormat="false" ht="12.8" hidden="false" customHeight="false" outlineLevel="0" collapsed="false">
      <c r="A1521" s="0" t="s">
        <v>8692</v>
      </c>
      <c r="B1521" s="0" t="s">
        <v>8693</v>
      </c>
      <c r="C1521" s="0" t="s">
        <v>279</v>
      </c>
      <c r="D1521" s="0" t="s">
        <v>5023</v>
      </c>
      <c r="E1521" s="0" t="s">
        <v>5024</v>
      </c>
      <c r="F1521" s="0" t="s">
        <v>5024</v>
      </c>
      <c r="G1521" s="0" t="s">
        <v>2515</v>
      </c>
      <c r="H1521" s="0" t="s">
        <v>2645</v>
      </c>
      <c r="I1521" s="0" t="s">
        <v>8694</v>
      </c>
      <c r="J1521" s="0" t="s">
        <v>8695</v>
      </c>
      <c r="K1521" s="0" t="s">
        <v>7993</v>
      </c>
    </row>
    <row r="1522" customFormat="false" ht="12.8" hidden="false" customHeight="false" outlineLevel="0" collapsed="false">
      <c r="A1522" s="0" t="s">
        <v>8696</v>
      </c>
      <c r="B1522" s="0" t="s">
        <v>8697</v>
      </c>
      <c r="C1522" s="0" t="s">
        <v>279</v>
      </c>
      <c r="D1522" s="0" t="s">
        <v>5023</v>
      </c>
      <c r="E1522" s="0" t="s">
        <v>5024</v>
      </c>
      <c r="F1522" s="0" t="s">
        <v>5024</v>
      </c>
      <c r="G1522" s="0" t="s">
        <v>2515</v>
      </c>
      <c r="H1522" s="0" t="s">
        <v>2645</v>
      </c>
      <c r="I1522" s="0" t="s">
        <v>8694</v>
      </c>
      <c r="J1522" s="0" t="s">
        <v>8695</v>
      </c>
      <c r="K1522" s="0" t="s">
        <v>7993</v>
      </c>
    </row>
    <row r="1523" customFormat="false" ht="12.8" hidden="false" customHeight="false" outlineLevel="0" collapsed="false">
      <c r="A1523" s="0" t="s">
        <v>8698</v>
      </c>
      <c r="B1523" s="0" t="s">
        <v>8699</v>
      </c>
      <c r="C1523" s="0" t="s">
        <v>279</v>
      </c>
      <c r="D1523" s="0" t="s">
        <v>5061</v>
      </c>
      <c r="E1523" s="0" t="s">
        <v>5062</v>
      </c>
      <c r="F1523" s="0" t="s">
        <v>5062</v>
      </c>
      <c r="G1523" s="0" t="s">
        <v>2515</v>
      </c>
      <c r="H1523" s="0" t="s">
        <v>2645</v>
      </c>
      <c r="I1523" s="0" t="s">
        <v>8694</v>
      </c>
      <c r="J1523" s="0" t="s">
        <v>8695</v>
      </c>
      <c r="K1523" s="0" t="s">
        <v>7993</v>
      </c>
    </row>
    <row r="1524" customFormat="false" ht="12.8" hidden="false" customHeight="false" outlineLevel="0" collapsed="false">
      <c r="A1524" s="0" t="s">
        <v>8700</v>
      </c>
      <c r="B1524" s="0" t="s">
        <v>8701</v>
      </c>
      <c r="C1524" s="0" t="s">
        <v>279</v>
      </c>
      <c r="D1524" s="0" t="s">
        <v>5057</v>
      </c>
      <c r="E1524" s="0" t="s">
        <v>5058</v>
      </c>
      <c r="F1524" s="0" t="s">
        <v>5058</v>
      </c>
      <c r="G1524" s="0" t="s">
        <v>2515</v>
      </c>
      <c r="H1524" s="0" t="s">
        <v>2645</v>
      </c>
      <c r="I1524" s="0" t="s">
        <v>8694</v>
      </c>
      <c r="J1524" s="0" t="s">
        <v>8695</v>
      </c>
      <c r="K1524" s="0" t="s">
        <v>7993</v>
      </c>
    </row>
    <row r="1525" customFormat="false" ht="12.8" hidden="false" customHeight="false" outlineLevel="0" collapsed="false">
      <c r="A1525" s="0" t="s">
        <v>8702</v>
      </c>
      <c r="B1525" s="0" t="s">
        <v>8703</v>
      </c>
      <c r="C1525" s="0" t="s">
        <v>150</v>
      </c>
      <c r="D1525" s="0" t="s">
        <v>5061</v>
      </c>
      <c r="E1525" s="0" t="s">
        <v>5062</v>
      </c>
      <c r="F1525" s="0" t="s">
        <v>5062</v>
      </c>
      <c r="G1525" s="0" t="s">
        <v>3278</v>
      </c>
      <c r="H1525" s="0" t="s">
        <v>3855</v>
      </c>
      <c r="I1525" s="0" t="s">
        <v>8704</v>
      </c>
      <c r="J1525" s="0" t="s">
        <v>8705</v>
      </c>
      <c r="K1525" s="0" t="s">
        <v>7993</v>
      </c>
    </row>
    <row r="1526" customFormat="false" ht="12.8" hidden="false" customHeight="false" outlineLevel="0" collapsed="false">
      <c r="A1526" s="0" t="s">
        <v>8706</v>
      </c>
      <c r="B1526" s="0" t="s">
        <v>8707</v>
      </c>
      <c r="C1526" s="0" t="s">
        <v>150</v>
      </c>
      <c r="D1526" s="0" t="s">
        <v>5023</v>
      </c>
      <c r="E1526" s="0" t="s">
        <v>5024</v>
      </c>
      <c r="F1526" s="0" t="s">
        <v>5024</v>
      </c>
      <c r="G1526" s="0" t="s">
        <v>3278</v>
      </c>
      <c r="H1526" s="0" t="s">
        <v>3855</v>
      </c>
      <c r="I1526" s="0" t="s">
        <v>8704</v>
      </c>
      <c r="J1526" s="0" t="s">
        <v>8705</v>
      </c>
      <c r="K1526" s="0" t="s">
        <v>7993</v>
      </c>
    </row>
    <row r="1527" customFormat="false" ht="12.8" hidden="false" customHeight="false" outlineLevel="0" collapsed="false">
      <c r="A1527" s="0" t="s">
        <v>8708</v>
      </c>
      <c r="B1527" s="0" t="s">
        <v>8709</v>
      </c>
      <c r="C1527" s="0" t="s">
        <v>150</v>
      </c>
      <c r="D1527" s="0" t="s">
        <v>5023</v>
      </c>
      <c r="E1527" s="0" t="s">
        <v>5024</v>
      </c>
      <c r="F1527" s="0" t="s">
        <v>5024</v>
      </c>
      <c r="G1527" s="0" t="s">
        <v>3278</v>
      </c>
      <c r="H1527" s="0" t="s">
        <v>3855</v>
      </c>
      <c r="I1527" s="0" t="s">
        <v>8704</v>
      </c>
      <c r="J1527" s="0" t="s">
        <v>8705</v>
      </c>
      <c r="K1527" s="0" t="s">
        <v>7993</v>
      </c>
    </row>
    <row r="1528" customFormat="false" ht="12.8" hidden="false" customHeight="false" outlineLevel="0" collapsed="false">
      <c r="A1528" s="0" t="s">
        <v>8710</v>
      </c>
      <c r="B1528" s="0" t="s">
        <v>8711</v>
      </c>
      <c r="C1528" s="0" t="s">
        <v>150</v>
      </c>
      <c r="D1528" s="0" t="s">
        <v>5023</v>
      </c>
      <c r="E1528" s="0" t="s">
        <v>5024</v>
      </c>
      <c r="F1528" s="0" t="s">
        <v>5024</v>
      </c>
      <c r="G1528" s="0" t="s">
        <v>3278</v>
      </c>
      <c r="H1528" s="0" t="s">
        <v>3855</v>
      </c>
      <c r="I1528" s="0" t="s">
        <v>8704</v>
      </c>
      <c r="J1528" s="0" t="s">
        <v>8705</v>
      </c>
      <c r="K1528" s="0" t="s">
        <v>7993</v>
      </c>
    </row>
    <row r="1529" customFormat="false" ht="12.8" hidden="false" customHeight="false" outlineLevel="0" collapsed="false">
      <c r="A1529" s="0" t="s">
        <v>8712</v>
      </c>
      <c r="B1529" s="0" t="s">
        <v>8713</v>
      </c>
      <c r="C1529" s="0" t="s">
        <v>150</v>
      </c>
      <c r="D1529" s="0" t="s">
        <v>5023</v>
      </c>
      <c r="E1529" s="0" t="s">
        <v>5024</v>
      </c>
      <c r="F1529" s="0" t="s">
        <v>5024</v>
      </c>
      <c r="G1529" s="0" t="s">
        <v>3278</v>
      </c>
      <c r="H1529" s="0" t="s">
        <v>3855</v>
      </c>
      <c r="I1529" s="0" t="s">
        <v>8704</v>
      </c>
      <c r="J1529" s="0" t="s">
        <v>8705</v>
      </c>
      <c r="K1529" s="0" t="s">
        <v>7993</v>
      </c>
    </row>
    <row r="1530" customFormat="false" ht="12.8" hidden="false" customHeight="false" outlineLevel="0" collapsed="false">
      <c r="A1530" s="0" t="s">
        <v>8714</v>
      </c>
      <c r="B1530" s="0" t="s">
        <v>8715</v>
      </c>
      <c r="C1530" s="0" t="s">
        <v>150</v>
      </c>
      <c r="D1530" s="0" t="s">
        <v>5023</v>
      </c>
      <c r="E1530" s="0" t="s">
        <v>5024</v>
      </c>
      <c r="F1530" s="0" t="s">
        <v>5024</v>
      </c>
      <c r="G1530" s="0" t="s">
        <v>3278</v>
      </c>
      <c r="H1530" s="0" t="s">
        <v>3855</v>
      </c>
      <c r="I1530" s="0" t="s">
        <v>8704</v>
      </c>
      <c r="J1530" s="0" t="s">
        <v>8705</v>
      </c>
      <c r="K1530" s="0" t="s">
        <v>7993</v>
      </c>
    </row>
    <row r="1531" customFormat="false" ht="12.8" hidden="false" customHeight="false" outlineLevel="0" collapsed="false">
      <c r="A1531" s="0" t="s">
        <v>8716</v>
      </c>
      <c r="B1531" s="0" t="s">
        <v>8717</v>
      </c>
      <c r="C1531" s="0" t="s">
        <v>242</v>
      </c>
      <c r="D1531" s="0" t="s">
        <v>5061</v>
      </c>
      <c r="E1531" s="0" t="s">
        <v>5062</v>
      </c>
      <c r="F1531" s="0" t="s">
        <v>5062</v>
      </c>
      <c r="G1531" s="0" t="s">
        <v>3278</v>
      </c>
      <c r="H1531" s="0" t="s">
        <v>3741</v>
      </c>
      <c r="I1531" s="0" t="s">
        <v>8718</v>
      </c>
      <c r="J1531" s="0" t="s">
        <v>8719</v>
      </c>
      <c r="K1531" s="0" t="s">
        <v>7993</v>
      </c>
    </row>
    <row r="1532" customFormat="false" ht="12.8" hidden="false" customHeight="false" outlineLevel="0" collapsed="false">
      <c r="A1532" s="0" t="s">
        <v>8720</v>
      </c>
      <c r="B1532" s="0" t="s">
        <v>8721</v>
      </c>
      <c r="C1532" s="0" t="s">
        <v>242</v>
      </c>
      <c r="D1532" s="0" t="s">
        <v>5057</v>
      </c>
      <c r="E1532" s="0" t="s">
        <v>5058</v>
      </c>
      <c r="F1532" s="0" t="s">
        <v>5058</v>
      </c>
      <c r="G1532" s="0" t="s">
        <v>3278</v>
      </c>
      <c r="H1532" s="0" t="s">
        <v>3741</v>
      </c>
      <c r="I1532" s="0" t="s">
        <v>8718</v>
      </c>
      <c r="J1532" s="0" t="s">
        <v>8719</v>
      </c>
      <c r="K1532" s="0" t="s">
        <v>7993</v>
      </c>
    </row>
    <row r="1533" customFormat="false" ht="12.8" hidden="false" customHeight="false" outlineLevel="0" collapsed="false">
      <c r="A1533" s="0" t="s">
        <v>8722</v>
      </c>
      <c r="B1533" s="0" t="s">
        <v>8723</v>
      </c>
      <c r="C1533" s="0" t="s">
        <v>171</v>
      </c>
      <c r="D1533" s="0" t="s">
        <v>5023</v>
      </c>
      <c r="E1533" s="0" t="s">
        <v>5024</v>
      </c>
      <c r="F1533" s="0" t="s">
        <v>5024</v>
      </c>
      <c r="G1533" s="0" t="s">
        <v>1155</v>
      </c>
      <c r="H1533" s="0" t="s">
        <v>1156</v>
      </c>
      <c r="I1533" s="0" t="s">
        <v>8724</v>
      </c>
      <c r="J1533" s="0" t="s">
        <v>8725</v>
      </c>
      <c r="K1533" s="0" t="s">
        <v>8088</v>
      </c>
    </row>
    <row r="1534" customFormat="false" ht="12.8" hidden="false" customHeight="false" outlineLevel="0" collapsed="false">
      <c r="A1534" s="0" t="s">
        <v>8726</v>
      </c>
      <c r="B1534" s="0" t="s">
        <v>8727</v>
      </c>
      <c r="C1534" s="0" t="s">
        <v>171</v>
      </c>
      <c r="D1534" s="0" t="s">
        <v>5023</v>
      </c>
      <c r="E1534" s="0" t="s">
        <v>5024</v>
      </c>
      <c r="F1534" s="0" t="s">
        <v>5024</v>
      </c>
      <c r="G1534" s="0" t="s">
        <v>1155</v>
      </c>
      <c r="H1534" s="0" t="s">
        <v>1156</v>
      </c>
      <c r="I1534" s="0" t="s">
        <v>8724</v>
      </c>
      <c r="J1534" s="0" t="s">
        <v>8725</v>
      </c>
      <c r="K1534" s="0" t="s">
        <v>8088</v>
      </c>
    </row>
    <row r="1535" customFormat="false" ht="12.8" hidden="false" customHeight="false" outlineLevel="0" collapsed="false">
      <c r="A1535" s="0" t="s">
        <v>8728</v>
      </c>
      <c r="B1535" s="0" t="s">
        <v>8729</v>
      </c>
      <c r="C1535" s="0" t="s">
        <v>171</v>
      </c>
      <c r="D1535" s="0" t="s">
        <v>5023</v>
      </c>
      <c r="E1535" s="0" t="s">
        <v>5024</v>
      </c>
      <c r="F1535" s="0" t="s">
        <v>5024</v>
      </c>
      <c r="G1535" s="0" t="s">
        <v>1155</v>
      </c>
      <c r="H1535" s="0" t="s">
        <v>1156</v>
      </c>
      <c r="I1535" s="0" t="s">
        <v>8724</v>
      </c>
      <c r="J1535" s="0" t="s">
        <v>8725</v>
      </c>
      <c r="K1535" s="0" t="s">
        <v>8088</v>
      </c>
    </row>
    <row r="1536" customFormat="false" ht="12.8" hidden="false" customHeight="false" outlineLevel="0" collapsed="false">
      <c r="A1536" s="0" t="s">
        <v>8730</v>
      </c>
      <c r="B1536" s="0" t="s">
        <v>8731</v>
      </c>
      <c r="C1536" s="0" t="s">
        <v>171</v>
      </c>
      <c r="D1536" s="0" t="s">
        <v>5023</v>
      </c>
      <c r="E1536" s="0" t="s">
        <v>5024</v>
      </c>
      <c r="F1536" s="0" t="s">
        <v>5024</v>
      </c>
      <c r="G1536" s="0" t="s">
        <v>1155</v>
      </c>
      <c r="H1536" s="0" t="s">
        <v>1156</v>
      </c>
      <c r="I1536" s="0" t="s">
        <v>8724</v>
      </c>
      <c r="J1536" s="0" t="s">
        <v>8725</v>
      </c>
      <c r="K1536" s="0" t="s">
        <v>8088</v>
      </c>
    </row>
    <row r="1537" customFormat="false" ht="12.8" hidden="false" customHeight="false" outlineLevel="0" collapsed="false">
      <c r="A1537" s="0" t="s">
        <v>8732</v>
      </c>
      <c r="B1537" s="0" t="s">
        <v>8733</v>
      </c>
      <c r="C1537" s="0" t="s">
        <v>171</v>
      </c>
      <c r="D1537" s="0" t="s">
        <v>5023</v>
      </c>
      <c r="E1537" s="0" t="s">
        <v>5024</v>
      </c>
      <c r="F1537" s="0" t="s">
        <v>5024</v>
      </c>
      <c r="G1537" s="0" t="s">
        <v>1155</v>
      </c>
      <c r="H1537" s="0" t="s">
        <v>1156</v>
      </c>
      <c r="I1537" s="0" t="s">
        <v>8724</v>
      </c>
      <c r="J1537" s="0" t="s">
        <v>8725</v>
      </c>
      <c r="K1537" s="0" t="s">
        <v>8088</v>
      </c>
    </row>
    <row r="1538" customFormat="false" ht="12.8" hidden="false" customHeight="false" outlineLevel="0" collapsed="false">
      <c r="A1538" s="0" t="s">
        <v>8734</v>
      </c>
      <c r="B1538" s="0" t="s">
        <v>8735</v>
      </c>
      <c r="C1538" s="0" t="s">
        <v>171</v>
      </c>
      <c r="D1538" s="0" t="s">
        <v>5061</v>
      </c>
      <c r="E1538" s="0" t="s">
        <v>5062</v>
      </c>
      <c r="F1538" s="0" t="s">
        <v>5062</v>
      </c>
      <c r="G1538" s="0" t="s">
        <v>1155</v>
      </c>
      <c r="H1538" s="0" t="s">
        <v>1156</v>
      </c>
      <c r="I1538" s="0" t="s">
        <v>8724</v>
      </c>
      <c r="J1538" s="0" t="s">
        <v>8725</v>
      </c>
      <c r="K1538" s="0" t="s">
        <v>8088</v>
      </c>
    </row>
    <row r="1539" customFormat="false" ht="12.8" hidden="false" customHeight="false" outlineLevel="0" collapsed="false">
      <c r="A1539" s="0" t="s">
        <v>8736</v>
      </c>
      <c r="B1539" s="0" t="s">
        <v>8737</v>
      </c>
      <c r="C1539" s="0" t="s">
        <v>362</v>
      </c>
      <c r="D1539" s="0" t="s">
        <v>5061</v>
      </c>
      <c r="E1539" s="0" t="s">
        <v>5062</v>
      </c>
      <c r="F1539" s="0" t="s">
        <v>5062</v>
      </c>
      <c r="G1539" s="0" t="s">
        <v>1155</v>
      </c>
      <c r="H1539" s="0" t="s">
        <v>1156</v>
      </c>
      <c r="I1539" s="0" t="s">
        <v>8738</v>
      </c>
      <c r="J1539" s="0" t="s">
        <v>8739</v>
      </c>
      <c r="K1539" s="444" t="s">
        <v>7949</v>
      </c>
    </row>
    <row r="1540" customFormat="false" ht="12.8" hidden="false" customHeight="false" outlineLevel="0" collapsed="false">
      <c r="A1540" s="0" t="s">
        <v>8740</v>
      </c>
      <c r="B1540" s="0" t="s">
        <v>8741</v>
      </c>
      <c r="C1540" s="0" t="s">
        <v>362</v>
      </c>
      <c r="D1540" s="0" t="s">
        <v>5023</v>
      </c>
      <c r="E1540" s="0" t="s">
        <v>5024</v>
      </c>
      <c r="F1540" s="0" t="s">
        <v>5024</v>
      </c>
      <c r="G1540" s="0" t="s">
        <v>1155</v>
      </c>
      <c r="H1540" s="0" t="s">
        <v>1156</v>
      </c>
      <c r="I1540" s="0" t="s">
        <v>8738</v>
      </c>
      <c r="J1540" s="0" t="s">
        <v>8739</v>
      </c>
      <c r="K1540" s="444" t="s">
        <v>7949</v>
      </c>
    </row>
    <row r="1541" customFormat="false" ht="12.8" hidden="false" customHeight="false" outlineLevel="0" collapsed="false">
      <c r="A1541" s="0" t="s">
        <v>8742</v>
      </c>
      <c r="B1541" s="0" t="s">
        <v>8743</v>
      </c>
      <c r="C1541" s="0" t="s">
        <v>362</v>
      </c>
      <c r="D1541" s="0" t="s">
        <v>5023</v>
      </c>
      <c r="E1541" s="0" t="s">
        <v>5024</v>
      </c>
      <c r="F1541" s="0" t="s">
        <v>5024</v>
      </c>
      <c r="G1541" s="0" t="s">
        <v>1155</v>
      </c>
      <c r="H1541" s="0" t="s">
        <v>1156</v>
      </c>
      <c r="I1541" s="0" t="s">
        <v>8738</v>
      </c>
      <c r="J1541" s="0" t="s">
        <v>8739</v>
      </c>
      <c r="K1541" s="444" t="s">
        <v>7949</v>
      </c>
    </row>
    <row r="1542" customFormat="false" ht="12.8" hidden="false" customHeight="false" outlineLevel="0" collapsed="false">
      <c r="A1542" s="0" t="s">
        <v>8744</v>
      </c>
      <c r="B1542" s="0" t="s">
        <v>8745</v>
      </c>
      <c r="C1542" s="0" t="s">
        <v>233</v>
      </c>
      <c r="D1542" s="0" t="s">
        <v>5061</v>
      </c>
      <c r="E1542" s="0" t="s">
        <v>5062</v>
      </c>
      <c r="F1542" s="0" t="s">
        <v>5062</v>
      </c>
      <c r="G1542" s="0" t="s">
        <v>1155</v>
      </c>
      <c r="H1542" s="0" t="s">
        <v>1156</v>
      </c>
      <c r="I1542" s="0" t="s">
        <v>8746</v>
      </c>
      <c r="J1542" s="0" t="s">
        <v>8747</v>
      </c>
      <c r="K1542" s="444" t="s">
        <v>8146</v>
      </c>
    </row>
    <row r="1543" customFormat="false" ht="12.8" hidden="false" customHeight="false" outlineLevel="0" collapsed="false">
      <c r="A1543" s="0" t="s">
        <v>8748</v>
      </c>
      <c r="B1543" s="0" t="s">
        <v>8749</v>
      </c>
      <c r="C1543" s="0" t="s">
        <v>233</v>
      </c>
      <c r="D1543" s="0" t="s">
        <v>5057</v>
      </c>
      <c r="E1543" s="0" t="s">
        <v>5058</v>
      </c>
      <c r="F1543" s="0" t="s">
        <v>5058</v>
      </c>
      <c r="G1543" s="0" t="s">
        <v>1155</v>
      </c>
      <c r="H1543" s="0" t="s">
        <v>1156</v>
      </c>
      <c r="I1543" s="0" t="s">
        <v>8746</v>
      </c>
      <c r="J1543" s="0" t="s">
        <v>8747</v>
      </c>
      <c r="K1543" s="444" t="s">
        <v>8146</v>
      </c>
    </row>
    <row r="1544" customFormat="false" ht="12.8" hidden="false" customHeight="false" outlineLevel="0" collapsed="false">
      <c r="A1544" s="0" t="s">
        <v>8750</v>
      </c>
      <c r="B1544" s="0" t="s">
        <v>8751</v>
      </c>
      <c r="C1544" s="0" t="s">
        <v>367</v>
      </c>
      <c r="D1544" s="0" t="s">
        <v>5061</v>
      </c>
      <c r="E1544" s="0" t="s">
        <v>5062</v>
      </c>
      <c r="F1544" s="0" t="s">
        <v>5062</v>
      </c>
      <c r="G1544" s="0" t="s">
        <v>1155</v>
      </c>
      <c r="H1544" s="0" t="s">
        <v>1156</v>
      </c>
      <c r="I1544" s="0" t="s">
        <v>8752</v>
      </c>
      <c r="J1544" s="0" t="s">
        <v>8753</v>
      </c>
      <c r="K1544" s="444" t="s">
        <v>8754</v>
      </c>
    </row>
    <row r="1545" customFormat="false" ht="12.8" hidden="false" customHeight="false" outlineLevel="0" collapsed="false">
      <c r="A1545" s="0" t="s">
        <v>8755</v>
      </c>
      <c r="B1545" s="0" t="s">
        <v>8756</v>
      </c>
      <c r="C1545" s="0" t="s">
        <v>367</v>
      </c>
      <c r="D1545" s="0" t="s">
        <v>5057</v>
      </c>
      <c r="E1545" s="0" t="s">
        <v>5058</v>
      </c>
      <c r="F1545" s="0" t="s">
        <v>5058</v>
      </c>
      <c r="G1545" s="0" t="s">
        <v>1155</v>
      </c>
      <c r="H1545" s="0" t="s">
        <v>1156</v>
      </c>
      <c r="I1545" s="0" t="s">
        <v>8752</v>
      </c>
      <c r="J1545" s="0" t="s">
        <v>8753</v>
      </c>
      <c r="K1545" s="444" t="s">
        <v>8754</v>
      </c>
    </row>
    <row r="1546" customFormat="false" ht="12.8" hidden="false" customHeight="false" outlineLevel="0" collapsed="false">
      <c r="A1546" s="0" t="s">
        <v>8757</v>
      </c>
      <c r="B1546" s="0" t="s">
        <v>8758</v>
      </c>
      <c r="C1546" s="0" t="s">
        <v>413</v>
      </c>
      <c r="D1546" s="0" t="s">
        <v>5061</v>
      </c>
      <c r="E1546" s="0" t="s">
        <v>5062</v>
      </c>
      <c r="F1546" s="0" t="s">
        <v>5062</v>
      </c>
      <c r="G1546" s="0" t="s">
        <v>1155</v>
      </c>
      <c r="H1546" s="0" t="s">
        <v>1156</v>
      </c>
      <c r="I1546" s="0" t="s">
        <v>8759</v>
      </c>
      <c r="J1546" s="0" t="s">
        <v>8760</v>
      </c>
      <c r="K1546" s="444" t="s">
        <v>8146</v>
      </c>
    </row>
    <row r="1547" customFormat="false" ht="12.8" hidden="false" customHeight="false" outlineLevel="0" collapsed="false">
      <c r="A1547" s="0" t="s">
        <v>8761</v>
      </c>
      <c r="B1547" s="0" t="s">
        <v>8762</v>
      </c>
      <c r="C1547" s="0" t="s">
        <v>164</v>
      </c>
      <c r="D1547" s="0" t="s">
        <v>5061</v>
      </c>
      <c r="E1547" s="0" t="s">
        <v>5062</v>
      </c>
      <c r="F1547" s="0" t="s">
        <v>5062</v>
      </c>
      <c r="G1547" s="0" t="s">
        <v>1155</v>
      </c>
      <c r="H1547" s="0" t="s">
        <v>1792</v>
      </c>
      <c r="I1547" s="0" t="s">
        <v>8763</v>
      </c>
      <c r="J1547" s="0" t="s">
        <v>8764</v>
      </c>
      <c r="K1547" s="0" t="s">
        <v>7993</v>
      </c>
    </row>
    <row r="1548" customFormat="false" ht="12.8" hidden="false" customHeight="false" outlineLevel="0" collapsed="false">
      <c r="A1548" s="0" t="s">
        <v>8765</v>
      </c>
      <c r="B1548" s="0" t="s">
        <v>8766</v>
      </c>
      <c r="C1548" s="0" t="s">
        <v>164</v>
      </c>
      <c r="D1548" s="0" t="s">
        <v>5023</v>
      </c>
      <c r="E1548" s="0" t="s">
        <v>5024</v>
      </c>
      <c r="F1548" s="0" t="s">
        <v>5024</v>
      </c>
      <c r="G1548" s="0" t="s">
        <v>1155</v>
      </c>
      <c r="H1548" s="0" t="s">
        <v>1792</v>
      </c>
      <c r="I1548" s="0" t="s">
        <v>8763</v>
      </c>
      <c r="J1548" s="0" t="s">
        <v>8764</v>
      </c>
      <c r="K1548" s="0" t="s">
        <v>7993</v>
      </c>
    </row>
    <row r="1549" customFormat="false" ht="12.8" hidden="false" customHeight="false" outlineLevel="0" collapsed="false">
      <c r="A1549" s="0" t="s">
        <v>8767</v>
      </c>
      <c r="B1549" s="0" t="s">
        <v>8768</v>
      </c>
      <c r="C1549" s="0" t="s">
        <v>164</v>
      </c>
      <c r="D1549" s="0" t="s">
        <v>5057</v>
      </c>
      <c r="E1549" s="0" t="s">
        <v>5058</v>
      </c>
      <c r="F1549" s="0" t="s">
        <v>5058</v>
      </c>
      <c r="G1549" s="0" t="s">
        <v>1155</v>
      </c>
      <c r="H1549" s="0" t="s">
        <v>1792</v>
      </c>
      <c r="I1549" s="0" t="s">
        <v>8763</v>
      </c>
      <c r="J1549" s="0" t="s">
        <v>8764</v>
      </c>
      <c r="K1549" s="0" t="s">
        <v>7993</v>
      </c>
    </row>
    <row r="1550" customFormat="false" ht="12.8" hidden="false" customHeight="false" outlineLevel="0" collapsed="false">
      <c r="A1550" s="0" t="s">
        <v>8769</v>
      </c>
      <c r="B1550" s="0" t="s">
        <v>8770</v>
      </c>
      <c r="C1550" s="0" t="s">
        <v>156</v>
      </c>
      <c r="D1550" s="0" t="s">
        <v>5061</v>
      </c>
      <c r="E1550" s="0" t="s">
        <v>5062</v>
      </c>
      <c r="F1550" s="0" t="s">
        <v>5062</v>
      </c>
      <c r="G1550" s="0" t="s">
        <v>1155</v>
      </c>
      <c r="H1550" s="0" t="s">
        <v>1792</v>
      </c>
      <c r="I1550" s="0" t="s">
        <v>8771</v>
      </c>
      <c r="J1550" s="0" t="s">
        <v>8772</v>
      </c>
      <c r="K1550" s="0" t="s">
        <v>7993</v>
      </c>
    </row>
    <row r="1551" customFormat="false" ht="12.8" hidden="false" customHeight="false" outlineLevel="0" collapsed="false">
      <c r="A1551" s="0" t="s">
        <v>8773</v>
      </c>
      <c r="B1551" s="0" t="s">
        <v>8774</v>
      </c>
      <c r="C1551" s="0" t="s">
        <v>156</v>
      </c>
      <c r="D1551" s="0" t="s">
        <v>5023</v>
      </c>
      <c r="E1551" s="0" t="s">
        <v>5024</v>
      </c>
      <c r="F1551" s="0" t="s">
        <v>5024</v>
      </c>
      <c r="G1551" s="0" t="s">
        <v>1155</v>
      </c>
      <c r="H1551" s="0" t="s">
        <v>1792</v>
      </c>
      <c r="I1551" s="0" t="s">
        <v>8771</v>
      </c>
      <c r="J1551" s="0" t="s">
        <v>8772</v>
      </c>
      <c r="K1551" s="0" t="s">
        <v>7993</v>
      </c>
    </row>
    <row r="1552" customFormat="false" ht="12.8" hidden="false" customHeight="false" outlineLevel="0" collapsed="false">
      <c r="A1552" s="0" t="s">
        <v>8775</v>
      </c>
      <c r="B1552" s="0" t="s">
        <v>8776</v>
      </c>
      <c r="C1552" s="0" t="s">
        <v>156</v>
      </c>
      <c r="D1552" s="0" t="s">
        <v>5023</v>
      </c>
      <c r="E1552" s="0" t="s">
        <v>5024</v>
      </c>
      <c r="F1552" s="0" t="s">
        <v>5024</v>
      </c>
      <c r="G1552" s="0" t="s">
        <v>1155</v>
      </c>
      <c r="H1552" s="0" t="s">
        <v>1792</v>
      </c>
      <c r="I1552" s="0" t="s">
        <v>8771</v>
      </c>
      <c r="J1552" s="0" t="s">
        <v>8772</v>
      </c>
      <c r="K1552" s="0" t="s">
        <v>7993</v>
      </c>
    </row>
    <row r="1553" customFormat="false" ht="12.8" hidden="false" customHeight="false" outlineLevel="0" collapsed="false">
      <c r="A1553" s="0" t="s">
        <v>8777</v>
      </c>
      <c r="B1553" s="0" t="s">
        <v>8778</v>
      </c>
      <c r="C1553" s="0" t="s">
        <v>156</v>
      </c>
      <c r="D1553" s="0" t="s">
        <v>5057</v>
      </c>
      <c r="E1553" s="0" t="s">
        <v>5058</v>
      </c>
      <c r="F1553" s="0" t="s">
        <v>5058</v>
      </c>
      <c r="G1553" s="0" t="s">
        <v>1155</v>
      </c>
      <c r="H1553" s="0" t="s">
        <v>1792</v>
      </c>
      <c r="I1553" s="0" t="s">
        <v>8771</v>
      </c>
      <c r="J1553" s="0" t="s">
        <v>8772</v>
      </c>
      <c r="K1553" s="0" t="s">
        <v>7993</v>
      </c>
    </row>
    <row r="1554" customFormat="false" ht="12.8" hidden="false" customHeight="false" outlineLevel="0" collapsed="false">
      <c r="A1554" s="0" t="s">
        <v>8779</v>
      </c>
      <c r="B1554" s="0" t="s">
        <v>8780</v>
      </c>
      <c r="C1554" s="0" t="s">
        <v>345</v>
      </c>
      <c r="D1554" s="0" t="s">
        <v>5061</v>
      </c>
      <c r="E1554" s="0" t="s">
        <v>5062</v>
      </c>
      <c r="F1554" s="0" t="s">
        <v>5062</v>
      </c>
      <c r="G1554" s="0" t="s">
        <v>1155</v>
      </c>
      <c r="H1554" s="0" t="s">
        <v>1792</v>
      </c>
      <c r="I1554" s="0" t="s">
        <v>8781</v>
      </c>
      <c r="J1554" s="0" t="s">
        <v>8782</v>
      </c>
      <c r="K1554" s="0" t="s">
        <v>7993</v>
      </c>
    </row>
    <row r="1555" customFormat="false" ht="12.8" hidden="false" customHeight="false" outlineLevel="0" collapsed="false">
      <c r="A1555" s="0" t="s">
        <v>8783</v>
      </c>
      <c r="B1555" s="0" t="s">
        <v>8784</v>
      </c>
      <c r="C1555" s="0" t="s">
        <v>345</v>
      </c>
      <c r="D1555" s="0" t="s">
        <v>5057</v>
      </c>
      <c r="E1555" s="0" t="s">
        <v>5058</v>
      </c>
      <c r="F1555" s="0" t="s">
        <v>5058</v>
      </c>
      <c r="G1555" s="0" t="s">
        <v>1155</v>
      </c>
      <c r="H1555" s="0" t="s">
        <v>1792</v>
      </c>
      <c r="I1555" s="0" t="s">
        <v>8781</v>
      </c>
      <c r="J1555" s="0" t="s">
        <v>8782</v>
      </c>
      <c r="K1555" s="0" t="s">
        <v>7993</v>
      </c>
    </row>
    <row r="1556" customFormat="false" ht="12.8" hidden="false" customHeight="false" outlineLevel="0" collapsed="false">
      <c r="A1556" s="0" t="s">
        <v>8785</v>
      </c>
      <c r="B1556" s="0" t="s">
        <v>8786</v>
      </c>
      <c r="C1556" s="0" t="s">
        <v>345</v>
      </c>
      <c r="D1556" s="0" t="s">
        <v>5057</v>
      </c>
      <c r="E1556" s="0" t="s">
        <v>5058</v>
      </c>
      <c r="F1556" s="0" t="s">
        <v>5058</v>
      </c>
      <c r="G1556" s="0" t="s">
        <v>1155</v>
      </c>
      <c r="H1556" s="0" t="s">
        <v>1792</v>
      </c>
      <c r="I1556" s="0" t="s">
        <v>8781</v>
      </c>
      <c r="J1556" s="0" t="s">
        <v>8782</v>
      </c>
      <c r="K1556" s="0" t="s">
        <v>7993</v>
      </c>
    </row>
    <row r="1557" customFormat="false" ht="12.8" hidden="false" customHeight="false" outlineLevel="0" collapsed="false">
      <c r="A1557" s="0" t="s">
        <v>8787</v>
      </c>
      <c r="B1557" s="0" t="s">
        <v>8788</v>
      </c>
      <c r="C1557" s="0" t="s">
        <v>372</v>
      </c>
      <c r="D1557" s="0" t="s">
        <v>5061</v>
      </c>
      <c r="E1557" s="0" t="s">
        <v>5062</v>
      </c>
      <c r="F1557" s="0" t="s">
        <v>5062</v>
      </c>
      <c r="G1557" s="0" t="s">
        <v>1155</v>
      </c>
      <c r="H1557" s="0" t="s">
        <v>1792</v>
      </c>
      <c r="I1557" s="0" t="s">
        <v>8789</v>
      </c>
      <c r="J1557" s="0" t="s">
        <v>8790</v>
      </c>
      <c r="K1557" s="444" t="s">
        <v>8146</v>
      </c>
    </row>
    <row r="1558" customFormat="false" ht="12.8" hidden="false" customHeight="false" outlineLevel="0" collapsed="false">
      <c r="A1558" s="0" t="s">
        <v>8791</v>
      </c>
      <c r="B1558" s="0" t="s">
        <v>8792</v>
      </c>
      <c r="C1558" s="0" t="s">
        <v>372</v>
      </c>
      <c r="D1558" s="0" t="s">
        <v>5057</v>
      </c>
      <c r="E1558" s="0" t="s">
        <v>5058</v>
      </c>
      <c r="F1558" s="0" t="s">
        <v>5058</v>
      </c>
      <c r="G1558" s="0" t="s">
        <v>1155</v>
      </c>
      <c r="H1558" s="0" t="s">
        <v>1792</v>
      </c>
      <c r="I1558" s="0" t="s">
        <v>8789</v>
      </c>
      <c r="J1558" s="0" t="s">
        <v>8790</v>
      </c>
      <c r="K1558" s="444" t="s">
        <v>8146</v>
      </c>
    </row>
    <row r="1559" customFormat="false" ht="12.8" hidden="false" customHeight="false" outlineLevel="0" collapsed="false">
      <c r="A1559" s="0" t="s">
        <v>8793</v>
      </c>
      <c r="B1559" s="0" t="s">
        <v>8794</v>
      </c>
      <c r="C1559" s="0" t="s">
        <v>163</v>
      </c>
      <c r="D1559" s="0" t="s">
        <v>5061</v>
      </c>
      <c r="E1559" s="0" t="s">
        <v>5062</v>
      </c>
      <c r="F1559" s="0" t="s">
        <v>5062</v>
      </c>
      <c r="G1559" s="0" t="s">
        <v>1155</v>
      </c>
      <c r="H1559" s="0" t="s">
        <v>1792</v>
      </c>
      <c r="I1559" s="0" t="s">
        <v>8795</v>
      </c>
      <c r="J1559" s="0" t="s">
        <v>8796</v>
      </c>
      <c r="K1559" s="444" t="s">
        <v>8146</v>
      </c>
    </row>
    <row r="1560" customFormat="false" ht="12.8" hidden="false" customHeight="false" outlineLevel="0" collapsed="false">
      <c r="A1560" s="0" t="s">
        <v>8797</v>
      </c>
      <c r="B1560" s="0" t="s">
        <v>8798</v>
      </c>
      <c r="C1560" s="0" t="s">
        <v>163</v>
      </c>
      <c r="D1560" s="0" t="s">
        <v>5023</v>
      </c>
      <c r="E1560" s="0" t="s">
        <v>5024</v>
      </c>
      <c r="F1560" s="0" t="s">
        <v>5024</v>
      </c>
      <c r="G1560" s="0" t="s">
        <v>1155</v>
      </c>
      <c r="H1560" s="0" t="s">
        <v>1792</v>
      </c>
      <c r="I1560" s="0" t="s">
        <v>8795</v>
      </c>
      <c r="J1560" s="0" t="s">
        <v>8796</v>
      </c>
      <c r="K1560" s="444" t="s">
        <v>8146</v>
      </c>
    </row>
    <row r="1561" customFormat="false" ht="12.8" hidden="false" customHeight="false" outlineLevel="0" collapsed="false">
      <c r="A1561" s="0" t="s">
        <v>8799</v>
      </c>
      <c r="B1561" s="0" t="s">
        <v>8800</v>
      </c>
      <c r="C1561" s="0" t="s">
        <v>163</v>
      </c>
      <c r="D1561" s="0" t="s">
        <v>5023</v>
      </c>
      <c r="E1561" s="0" t="s">
        <v>5024</v>
      </c>
      <c r="F1561" s="0" t="s">
        <v>5024</v>
      </c>
      <c r="G1561" s="0" t="s">
        <v>1155</v>
      </c>
      <c r="H1561" s="0" t="s">
        <v>1792</v>
      </c>
      <c r="I1561" s="0" t="s">
        <v>8795</v>
      </c>
      <c r="J1561" s="0" t="s">
        <v>8796</v>
      </c>
      <c r="K1561" s="444" t="s">
        <v>8146</v>
      </c>
    </row>
    <row r="1562" customFormat="false" ht="12.8" hidden="false" customHeight="false" outlineLevel="0" collapsed="false">
      <c r="A1562" s="0" t="s">
        <v>8801</v>
      </c>
      <c r="B1562" s="0" t="s">
        <v>8802</v>
      </c>
      <c r="C1562" s="0" t="s">
        <v>364</v>
      </c>
      <c r="D1562" s="0" t="s">
        <v>5061</v>
      </c>
      <c r="E1562" s="0" t="s">
        <v>5062</v>
      </c>
      <c r="F1562" s="0" t="s">
        <v>5062</v>
      </c>
      <c r="G1562" s="0" t="s">
        <v>1155</v>
      </c>
      <c r="H1562" s="0" t="s">
        <v>1792</v>
      </c>
      <c r="I1562" s="0" t="s">
        <v>8803</v>
      </c>
      <c r="J1562" s="0" t="s">
        <v>8804</v>
      </c>
      <c r="K1562" s="444" t="s">
        <v>8146</v>
      </c>
    </row>
    <row r="1563" customFormat="false" ht="12.8" hidden="false" customHeight="false" outlineLevel="0" collapsed="false">
      <c r="A1563" s="0" t="s">
        <v>8805</v>
      </c>
      <c r="B1563" s="0" t="s">
        <v>8806</v>
      </c>
      <c r="C1563" s="0" t="s">
        <v>364</v>
      </c>
      <c r="D1563" s="0" t="s">
        <v>5057</v>
      </c>
      <c r="E1563" s="0" t="s">
        <v>5058</v>
      </c>
      <c r="F1563" s="0" t="s">
        <v>5058</v>
      </c>
      <c r="G1563" s="0" t="s">
        <v>1155</v>
      </c>
      <c r="H1563" s="0" t="s">
        <v>1792</v>
      </c>
      <c r="I1563" s="0" t="s">
        <v>8803</v>
      </c>
      <c r="J1563" s="0" t="s">
        <v>8804</v>
      </c>
      <c r="K1563" s="444" t="s">
        <v>8146</v>
      </c>
    </row>
    <row r="1564" customFormat="false" ht="12.8" hidden="false" customHeight="false" outlineLevel="0" collapsed="false">
      <c r="A1564" s="0" t="s">
        <v>8807</v>
      </c>
      <c r="B1564" s="0" t="s">
        <v>8808</v>
      </c>
      <c r="C1564" s="0" t="s">
        <v>335</v>
      </c>
      <c r="D1564" s="0" t="s">
        <v>5061</v>
      </c>
      <c r="E1564" s="0" t="s">
        <v>5062</v>
      </c>
      <c r="F1564" s="0" t="s">
        <v>5062</v>
      </c>
      <c r="G1564" s="0" t="s">
        <v>3278</v>
      </c>
      <c r="H1564" s="0" t="s">
        <v>3279</v>
      </c>
      <c r="I1564" s="0" t="s">
        <v>8809</v>
      </c>
      <c r="J1564" s="0" t="s">
        <v>8810</v>
      </c>
      <c r="K1564" s="444" t="s">
        <v>8146</v>
      </c>
    </row>
    <row r="1565" customFormat="false" ht="12.8" hidden="false" customHeight="false" outlineLevel="0" collapsed="false">
      <c r="A1565" s="0" t="s">
        <v>8811</v>
      </c>
      <c r="B1565" s="0" t="s">
        <v>8812</v>
      </c>
      <c r="C1565" s="0" t="s">
        <v>335</v>
      </c>
      <c r="D1565" s="0" t="s">
        <v>5023</v>
      </c>
      <c r="E1565" s="0" t="s">
        <v>5024</v>
      </c>
      <c r="F1565" s="0" t="s">
        <v>5024</v>
      </c>
      <c r="G1565" s="0" t="s">
        <v>3278</v>
      </c>
      <c r="H1565" s="0" t="s">
        <v>3279</v>
      </c>
      <c r="I1565" s="0" t="s">
        <v>8809</v>
      </c>
      <c r="J1565" s="0" t="s">
        <v>8810</v>
      </c>
      <c r="K1565" s="444" t="s">
        <v>8146</v>
      </c>
    </row>
    <row r="1566" customFormat="false" ht="12.8" hidden="false" customHeight="false" outlineLevel="0" collapsed="false">
      <c r="A1566" s="0" t="s">
        <v>8813</v>
      </c>
      <c r="B1566" s="0" t="s">
        <v>8814</v>
      </c>
      <c r="C1566" s="0" t="s">
        <v>335</v>
      </c>
      <c r="D1566" s="0" t="s">
        <v>5023</v>
      </c>
      <c r="E1566" s="0" t="s">
        <v>5024</v>
      </c>
      <c r="F1566" s="0" t="s">
        <v>5024</v>
      </c>
      <c r="G1566" s="0" t="s">
        <v>3278</v>
      </c>
      <c r="H1566" s="0" t="s">
        <v>3279</v>
      </c>
      <c r="I1566" s="0" t="s">
        <v>8809</v>
      </c>
      <c r="J1566" s="0" t="s">
        <v>8810</v>
      </c>
      <c r="K1566" s="444" t="s">
        <v>8146</v>
      </c>
    </row>
    <row r="1567" customFormat="false" ht="12.8" hidden="false" customHeight="false" outlineLevel="0" collapsed="false">
      <c r="A1567" s="0" t="s">
        <v>8815</v>
      </c>
      <c r="B1567" s="0" t="s">
        <v>8816</v>
      </c>
      <c r="C1567" s="0" t="s">
        <v>410</v>
      </c>
      <c r="D1567" s="0" t="s">
        <v>5023</v>
      </c>
      <c r="E1567" s="0" t="s">
        <v>5024</v>
      </c>
      <c r="F1567" s="0" t="s">
        <v>5024</v>
      </c>
      <c r="G1567" s="0" t="s">
        <v>3278</v>
      </c>
      <c r="H1567" s="0" t="s">
        <v>3855</v>
      </c>
      <c r="I1567" s="0" t="s">
        <v>8817</v>
      </c>
      <c r="J1567" s="0" t="s">
        <v>8818</v>
      </c>
      <c r="K1567" s="0" t="s">
        <v>7993</v>
      </c>
    </row>
    <row r="1568" customFormat="false" ht="12.8" hidden="false" customHeight="false" outlineLevel="0" collapsed="false">
      <c r="A1568" s="0" t="s">
        <v>8819</v>
      </c>
      <c r="B1568" s="0" t="s">
        <v>8820</v>
      </c>
      <c r="C1568" s="0" t="s">
        <v>410</v>
      </c>
      <c r="D1568" s="0" t="s">
        <v>5023</v>
      </c>
      <c r="E1568" s="0" t="s">
        <v>5024</v>
      </c>
      <c r="F1568" s="0" t="s">
        <v>5024</v>
      </c>
      <c r="G1568" s="0" t="s">
        <v>3278</v>
      </c>
      <c r="H1568" s="0" t="s">
        <v>3855</v>
      </c>
      <c r="I1568" s="0" t="s">
        <v>8817</v>
      </c>
      <c r="J1568" s="0" t="s">
        <v>8818</v>
      </c>
      <c r="K1568" s="0" t="s">
        <v>7993</v>
      </c>
    </row>
    <row r="1569" customFormat="false" ht="12.8" hidden="false" customHeight="false" outlineLevel="0" collapsed="false">
      <c r="A1569" s="0" t="s">
        <v>8821</v>
      </c>
      <c r="B1569" s="0" t="s">
        <v>8822</v>
      </c>
      <c r="C1569" s="0" t="s">
        <v>410</v>
      </c>
      <c r="D1569" s="0" t="s">
        <v>5023</v>
      </c>
      <c r="E1569" s="0" t="s">
        <v>5024</v>
      </c>
      <c r="F1569" s="0" t="s">
        <v>5024</v>
      </c>
      <c r="G1569" s="0" t="s">
        <v>3278</v>
      </c>
      <c r="H1569" s="0" t="s">
        <v>3855</v>
      </c>
      <c r="I1569" s="0" t="s">
        <v>8817</v>
      </c>
      <c r="J1569" s="0" t="s">
        <v>8818</v>
      </c>
      <c r="K1569" s="0" t="s">
        <v>7993</v>
      </c>
    </row>
    <row r="1570" customFormat="false" ht="12.8" hidden="false" customHeight="false" outlineLevel="0" collapsed="false">
      <c r="A1570" s="0" t="s">
        <v>8823</v>
      </c>
      <c r="B1570" s="0" t="s">
        <v>8824</v>
      </c>
      <c r="C1570" s="0" t="s">
        <v>410</v>
      </c>
      <c r="D1570" s="0" t="s">
        <v>5061</v>
      </c>
      <c r="E1570" s="0" t="s">
        <v>5062</v>
      </c>
      <c r="F1570" s="0" t="s">
        <v>5062</v>
      </c>
      <c r="G1570" s="0" t="s">
        <v>3278</v>
      </c>
      <c r="H1570" s="0" t="s">
        <v>3855</v>
      </c>
      <c r="I1570" s="0" t="s">
        <v>8817</v>
      </c>
      <c r="J1570" s="0" t="s">
        <v>8818</v>
      </c>
      <c r="K1570" s="0" t="s">
        <v>7993</v>
      </c>
    </row>
    <row r="1571" customFormat="false" ht="12.8" hidden="false" customHeight="false" outlineLevel="0" collapsed="false">
      <c r="A1571" s="0" t="s">
        <v>8825</v>
      </c>
      <c r="B1571" s="0" t="s">
        <v>8826</v>
      </c>
      <c r="C1571" s="0" t="s">
        <v>410</v>
      </c>
      <c r="D1571" s="0" t="s">
        <v>5057</v>
      </c>
      <c r="E1571" s="0" t="s">
        <v>5058</v>
      </c>
      <c r="F1571" s="0" t="s">
        <v>5058</v>
      </c>
      <c r="G1571" s="0" t="s">
        <v>3278</v>
      </c>
      <c r="H1571" s="0" t="s">
        <v>3855</v>
      </c>
      <c r="I1571" s="0" t="s">
        <v>8817</v>
      </c>
      <c r="J1571" s="0" t="s">
        <v>8818</v>
      </c>
      <c r="K1571" s="0" t="s">
        <v>7993</v>
      </c>
    </row>
    <row r="1572" customFormat="false" ht="12.8" hidden="false" customHeight="false" outlineLevel="0" collapsed="false">
      <c r="A1572" s="0" t="s">
        <v>8827</v>
      </c>
      <c r="B1572" s="0" t="s">
        <v>8828</v>
      </c>
      <c r="C1572" s="0" t="s">
        <v>93</v>
      </c>
      <c r="D1572" s="0" t="s">
        <v>5023</v>
      </c>
      <c r="E1572" s="0" t="s">
        <v>5024</v>
      </c>
      <c r="F1572" s="0" t="s">
        <v>5024</v>
      </c>
      <c r="G1572" s="0" t="s">
        <v>458</v>
      </c>
      <c r="H1572" s="0" t="s">
        <v>459</v>
      </c>
      <c r="I1572" s="0" t="s">
        <v>8829</v>
      </c>
      <c r="J1572" s="0" t="s">
        <v>8830</v>
      </c>
      <c r="K1572" s="0" t="s">
        <v>8831</v>
      </c>
    </row>
    <row r="1573" customFormat="false" ht="12.8" hidden="false" customHeight="false" outlineLevel="0" collapsed="false">
      <c r="A1573" s="0" t="s">
        <v>8832</v>
      </c>
      <c r="B1573" s="0" t="s">
        <v>8833</v>
      </c>
      <c r="C1573" s="0" t="s">
        <v>93</v>
      </c>
      <c r="D1573" s="0" t="s">
        <v>5061</v>
      </c>
      <c r="E1573" s="0" t="s">
        <v>5062</v>
      </c>
      <c r="F1573" s="0" t="s">
        <v>5062</v>
      </c>
      <c r="G1573" s="0" t="s">
        <v>458</v>
      </c>
      <c r="H1573" s="0" t="s">
        <v>459</v>
      </c>
      <c r="I1573" s="0" t="s">
        <v>8829</v>
      </c>
      <c r="J1573" s="0" t="s">
        <v>8830</v>
      </c>
      <c r="K1573" s="0" t="s">
        <v>8831</v>
      </c>
    </row>
    <row r="1574" customFormat="false" ht="12.8" hidden="false" customHeight="false" outlineLevel="0" collapsed="false">
      <c r="A1574" s="0" t="s">
        <v>8834</v>
      </c>
      <c r="B1574" s="0" t="s">
        <v>8835</v>
      </c>
      <c r="C1574" s="0" t="s">
        <v>93</v>
      </c>
      <c r="D1574" s="0" t="s">
        <v>5057</v>
      </c>
      <c r="E1574" s="0" t="s">
        <v>5058</v>
      </c>
      <c r="F1574" s="0" t="s">
        <v>5058</v>
      </c>
      <c r="G1574" s="0" t="s">
        <v>458</v>
      </c>
      <c r="H1574" s="0" t="s">
        <v>459</v>
      </c>
      <c r="I1574" s="0" t="s">
        <v>8829</v>
      </c>
      <c r="J1574" s="0" t="s">
        <v>8830</v>
      </c>
      <c r="K1574" s="0" t="s">
        <v>8831</v>
      </c>
    </row>
    <row r="1575" customFormat="false" ht="12.8" hidden="false" customHeight="false" outlineLevel="0" collapsed="false">
      <c r="A1575" s="0" t="s">
        <v>8836</v>
      </c>
      <c r="B1575" s="0" t="s">
        <v>8837</v>
      </c>
      <c r="C1575" s="0" t="s">
        <v>297</v>
      </c>
      <c r="D1575" s="0" t="s">
        <v>5023</v>
      </c>
      <c r="E1575" s="0" t="s">
        <v>5024</v>
      </c>
      <c r="F1575" s="0" t="s">
        <v>5024</v>
      </c>
      <c r="G1575" s="0" t="s">
        <v>3278</v>
      </c>
      <c r="H1575" s="0" t="s">
        <v>3975</v>
      </c>
      <c r="I1575" s="0" t="s">
        <v>8838</v>
      </c>
      <c r="J1575" s="0" t="s">
        <v>8839</v>
      </c>
      <c r="K1575" s="444" t="s">
        <v>8146</v>
      </c>
    </row>
    <row r="1576" customFormat="false" ht="12.8" hidden="false" customHeight="false" outlineLevel="0" collapsed="false">
      <c r="A1576" s="0" t="s">
        <v>8840</v>
      </c>
      <c r="B1576" s="0" t="s">
        <v>8841</v>
      </c>
      <c r="C1576" s="0" t="s">
        <v>297</v>
      </c>
      <c r="D1576" s="0" t="s">
        <v>5061</v>
      </c>
      <c r="E1576" s="0" t="s">
        <v>5062</v>
      </c>
      <c r="F1576" s="0" t="s">
        <v>5062</v>
      </c>
      <c r="G1576" s="0" t="s">
        <v>3278</v>
      </c>
      <c r="H1576" s="0" t="s">
        <v>3975</v>
      </c>
      <c r="I1576" s="0" t="s">
        <v>8838</v>
      </c>
      <c r="J1576" s="0" t="s">
        <v>8839</v>
      </c>
      <c r="K1576" s="444" t="s">
        <v>8146</v>
      </c>
    </row>
    <row r="1577" customFormat="false" ht="12.8" hidden="false" customHeight="false" outlineLevel="0" collapsed="false">
      <c r="A1577" s="0" t="s">
        <v>8842</v>
      </c>
      <c r="B1577" s="0" t="s">
        <v>8843</v>
      </c>
      <c r="C1577" s="0" t="s">
        <v>297</v>
      </c>
      <c r="D1577" s="0" t="s">
        <v>5023</v>
      </c>
      <c r="E1577" s="0" t="s">
        <v>5024</v>
      </c>
      <c r="F1577" s="0" t="s">
        <v>5024</v>
      </c>
      <c r="G1577" s="0" t="s">
        <v>3278</v>
      </c>
      <c r="H1577" s="0" t="s">
        <v>3975</v>
      </c>
      <c r="I1577" s="0" t="s">
        <v>8838</v>
      </c>
      <c r="J1577" s="0" t="s">
        <v>8839</v>
      </c>
      <c r="K1577" s="444" t="s">
        <v>8146</v>
      </c>
    </row>
    <row r="1578" customFormat="false" ht="12.8" hidden="false" customHeight="false" outlineLevel="0" collapsed="false">
      <c r="A1578" s="0" t="s">
        <v>8844</v>
      </c>
      <c r="B1578" s="0" t="s">
        <v>8845</v>
      </c>
      <c r="C1578" s="0" t="s">
        <v>155</v>
      </c>
      <c r="D1578" s="0" t="s">
        <v>5057</v>
      </c>
      <c r="E1578" s="0" t="s">
        <v>5058</v>
      </c>
      <c r="F1578" s="0" t="s">
        <v>5058</v>
      </c>
      <c r="G1578" s="0" t="s">
        <v>3278</v>
      </c>
      <c r="H1578" s="0" t="s">
        <v>3855</v>
      </c>
      <c r="I1578" s="0" t="s">
        <v>8846</v>
      </c>
      <c r="J1578" s="0" t="s">
        <v>8847</v>
      </c>
      <c r="K1578" s="0" t="s">
        <v>7993</v>
      </c>
    </row>
    <row r="1579" customFormat="false" ht="12.8" hidden="false" customHeight="false" outlineLevel="0" collapsed="false">
      <c r="A1579" s="0" t="s">
        <v>8848</v>
      </c>
      <c r="B1579" s="0" t="s">
        <v>8849</v>
      </c>
      <c r="C1579" s="0" t="s">
        <v>155</v>
      </c>
      <c r="D1579" s="0" t="s">
        <v>5023</v>
      </c>
      <c r="E1579" s="0" t="s">
        <v>5024</v>
      </c>
      <c r="F1579" s="0" t="s">
        <v>5024</v>
      </c>
      <c r="G1579" s="0" t="s">
        <v>3278</v>
      </c>
      <c r="H1579" s="0" t="s">
        <v>3855</v>
      </c>
      <c r="I1579" s="0" t="s">
        <v>8846</v>
      </c>
      <c r="J1579" s="0" t="s">
        <v>8847</v>
      </c>
      <c r="K1579" s="0" t="s">
        <v>7993</v>
      </c>
    </row>
    <row r="1580" customFormat="false" ht="12.8" hidden="false" customHeight="false" outlineLevel="0" collapsed="false">
      <c r="A1580" s="0" t="s">
        <v>8850</v>
      </c>
      <c r="B1580" s="0" t="s">
        <v>8851</v>
      </c>
      <c r="C1580" s="0" t="s">
        <v>155</v>
      </c>
      <c r="D1580" s="0" t="s">
        <v>5023</v>
      </c>
      <c r="E1580" s="0" t="s">
        <v>5024</v>
      </c>
      <c r="F1580" s="0" t="s">
        <v>5024</v>
      </c>
      <c r="G1580" s="0" t="s">
        <v>3278</v>
      </c>
      <c r="H1580" s="0" t="s">
        <v>3855</v>
      </c>
      <c r="I1580" s="0" t="s">
        <v>8846</v>
      </c>
      <c r="J1580" s="0" t="s">
        <v>8847</v>
      </c>
      <c r="K1580" s="0" t="s">
        <v>7993</v>
      </c>
    </row>
    <row r="1581" customFormat="false" ht="12.8" hidden="false" customHeight="false" outlineLevel="0" collapsed="false">
      <c r="A1581" s="0" t="s">
        <v>8852</v>
      </c>
      <c r="B1581" s="0" t="s">
        <v>8853</v>
      </c>
      <c r="C1581" s="0" t="s">
        <v>155</v>
      </c>
      <c r="D1581" s="0" t="s">
        <v>5061</v>
      </c>
      <c r="E1581" s="0" t="s">
        <v>5062</v>
      </c>
      <c r="F1581" s="0" t="s">
        <v>5062</v>
      </c>
      <c r="G1581" s="0" t="s">
        <v>3278</v>
      </c>
      <c r="H1581" s="0" t="s">
        <v>3855</v>
      </c>
      <c r="I1581" s="0" t="s">
        <v>8846</v>
      </c>
      <c r="J1581" s="0" t="s">
        <v>8847</v>
      </c>
      <c r="K1581" s="0" t="s">
        <v>7993</v>
      </c>
    </row>
    <row r="1582" customFormat="false" ht="12.8" hidden="false" customHeight="false" outlineLevel="0" collapsed="false">
      <c r="A1582" s="0" t="s">
        <v>8854</v>
      </c>
      <c r="B1582" s="0" t="s">
        <v>8855</v>
      </c>
      <c r="C1582" s="0" t="s">
        <v>394</v>
      </c>
      <c r="D1582" s="0" t="s">
        <v>5061</v>
      </c>
      <c r="E1582" s="0" t="s">
        <v>5062</v>
      </c>
      <c r="F1582" s="0" t="s">
        <v>5062</v>
      </c>
      <c r="G1582" s="0" t="s">
        <v>3278</v>
      </c>
      <c r="H1582" s="0" t="s">
        <v>3975</v>
      </c>
      <c r="I1582" s="0" t="s">
        <v>8856</v>
      </c>
      <c r="J1582" s="0" t="s">
        <v>8857</v>
      </c>
      <c r="K1582" s="0" t="s">
        <v>7993</v>
      </c>
    </row>
    <row r="1583" customFormat="false" ht="12.8" hidden="false" customHeight="false" outlineLevel="0" collapsed="false">
      <c r="A1583" s="0" t="s">
        <v>8858</v>
      </c>
      <c r="B1583" s="0" t="s">
        <v>8859</v>
      </c>
      <c r="C1583" s="0" t="s">
        <v>295</v>
      </c>
      <c r="D1583" s="0" t="s">
        <v>5061</v>
      </c>
      <c r="E1583" s="0" t="s">
        <v>5062</v>
      </c>
      <c r="F1583" s="0" t="s">
        <v>5062</v>
      </c>
      <c r="G1583" s="0" t="s">
        <v>2515</v>
      </c>
      <c r="H1583" s="0" t="s">
        <v>3002</v>
      </c>
      <c r="I1583" s="0" t="s">
        <v>8860</v>
      </c>
      <c r="J1583" s="0" t="s">
        <v>8861</v>
      </c>
      <c r="K1583" s="0" t="s">
        <v>7993</v>
      </c>
    </row>
    <row r="1584" customFormat="false" ht="12.8" hidden="false" customHeight="false" outlineLevel="0" collapsed="false">
      <c r="A1584" s="0" t="s">
        <v>8862</v>
      </c>
      <c r="B1584" s="0" t="s">
        <v>8863</v>
      </c>
      <c r="C1584" s="0" t="s">
        <v>295</v>
      </c>
      <c r="D1584" s="0" t="s">
        <v>5023</v>
      </c>
      <c r="E1584" s="0" t="s">
        <v>5024</v>
      </c>
      <c r="F1584" s="0" t="s">
        <v>5024</v>
      </c>
      <c r="G1584" s="0" t="s">
        <v>2515</v>
      </c>
      <c r="H1584" s="0" t="s">
        <v>3002</v>
      </c>
      <c r="I1584" s="0" t="s">
        <v>8860</v>
      </c>
      <c r="J1584" s="0" t="s">
        <v>8861</v>
      </c>
      <c r="K1584" s="0" t="s">
        <v>7993</v>
      </c>
    </row>
    <row r="1585" customFormat="false" ht="12.8" hidden="false" customHeight="false" outlineLevel="0" collapsed="false">
      <c r="A1585" s="0" t="s">
        <v>8864</v>
      </c>
      <c r="B1585" s="0" t="s">
        <v>8865</v>
      </c>
      <c r="C1585" s="0" t="s">
        <v>295</v>
      </c>
      <c r="D1585" s="0" t="s">
        <v>5057</v>
      </c>
      <c r="E1585" s="0" t="s">
        <v>5058</v>
      </c>
      <c r="F1585" s="0" t="s">
        <v>5058</v>
      </c>
      <c r="G1585" s="0" t="s">
        <v>2515</v>
      </c>
      <c r="H1585" s="0" t="s">
        <v>3002</v>
      </c>
      <c r="I1585" s="0" t="s">
        <v>8860</v>
      </c>
      <c r="J1585" s="0" t="s">
        <v>8861</v>
      </c>
      <c r="K1585" s="0" t="s">
        <v>7993</v>
      </c>
    </row>
    <row r="1586" customFormat="false" ht="12.8" hidden="false" customHeight="false" outlineLevel="0" collapsed="false">
      <c r="A1586" s="0" t="s">
        <v>8866</v>
      </c>
      <c r="B1586" s="0" t="s">
        <v>8867</v>
      </c>
      <c r="C1586" s="0" t="s">
        <v>295</v>
      </c>
      <c r="D1586" s="0" t="s">
        <v>5023</v>
      </c>
      <c r="E1586" s="0" t="s">
        <v>5024</v>
      </c>
      <c r="F1586" s="0" t="s">
        <v>5024</v>
      </c>
      <c r="G1586" s="0" t="s">
        <v>2515</v>
      </c>
      <c r="H1586" s="0" t="s">
        <v>3002</v>
      </c>
      <c r="I1586" s="0" t="s">
        <v>8860</v>
      </c>
      <c r="J1586" s="0" t="s">
        <v>8861</v>
      </c>
      <c r="K1586" s="0" t="s">
        <v>7993</v>
      </c>
    </row>
    <row r="1587" customFormat="false" ht="12.8" hidden="false" customHeight="false" outlineLevel="0" collapsed="false">
      <c r="A1587" s="0" t="s">
        <v>8868</v>
      </c>
      <c r="B1587" s="0" t="s">
        <v>8869</v>
      </c>
      <c r="C1587" s="0" t="s">
        <v>295</v>
      </c>
      <c r="D1587" s="0" t="s">
        <v>5023</v>
      </c>
      <c r="E1587" s="0" t="s">
        <v>5024</v>
      </c>
      <c r="F1587" s="0" t="s">
        <v>5024</v>
      </c>
      <c r="G1587" s="0" t="s">
        <v>2515</v>
      </c>
      <c r="H1587" s="0" t="s">
        <v>3002</v>
      </c>
      <c r="I1587" s="0" t="s">
        <v>8860</v>
      </c>
      <c r="J1587" s="0" t="s">
        <v>8861</v>
      </c>
      <c r="K1587" s="0" t="s">
        <v>7993</v>
      </c>
    </row>
    <row r="1588" customFormat="false" ht="12.8" hidden="false" customHeight="false" outlineLevel="0" collapsed="false">
      <c r="A1588" s="0" t="s">
        <v>8870</v>
      </c>
      <c r="B1588" s="0" t="s">
        <v>8871</v>
      </c>
      <c r="C1588" s="0" t="s">
        <v>361</v>
      </c>
      <c r="D1588" s="0" t="s">
        <v>5061</v>
      </c>
      <c r="E1588" s="0" t="s">
        <v>5062</v>
      </c>
      <c r="F1588" s="0" t="s">
        <v>5062</v>
      </c>
      <c r="G1588" s="0" t="s">
        <v>2515</v>
      </c>
      <c r="H1588" s="0" t="s">
        <v>3144</v>
      </c>
      <c r="I1588" s="0" t="s">
        <v>8872</v>
      </c>
      <c r="J1588" s="0" t="s">
        <v>8873</v>
      </c>
      <c r="K1588" s="0" t="s">
        <v>7993</v>
      </c>
    </row>
    <row r="1589" customFormat="false" ht="12.8" hidden="false" customHeight="false" outlineLevel="0" collapsed="false">
      <c r="A1589" s="0" t="s">
        <v>8874</v>
      </c>
      <c r="B1589" s="0" t="s">
        <v>8875</v>
      </c>
      <c r="C1589" s="0" t="s">
        <v>361</v>
      </c>
      <c r="D1589" s="0" t="s">
        <v>5023</v>
      </c>
      <c r="E1589" s="0" t="s">
        <v>5024</v>
      </c>
      <c r="F1589" s="0" t="s">
        <v>5024</v>
      </c>
      <c r="G1589" s="0" t="s">
        <v>2515</v>
      </c>
      <c r="H1589" s="0" t="s">
        <v>3144</v>
      </c>
      <c r="I1589" s="0" t="s">
        <v>8872</v>
      </c>
      <c r="J1589" s="0" t="s">
        <v>8873</v>
      </c>
      <c r="K1589" s="0" t="s">
        <v>7993</v>
      </c>
    </row>
    <row r="1590" customFormat="false" ht="12.8" hidden="false" customHeight="false" outlineLevel="0" collapsed="false">
      <c r="A1590" s="0" t="s">
        <v>8876</v>
      </c>
      <c r="B1590" s="0" t="s">
        <v>8877</v>
      </c>
      <c r="C1590" s="0" t="s">
        <v>361</v>
      </c>
      <c r="D1590" s="0" t="s">
        <v>5023</v>
      </c>
      <c r="E1590" s="0" t="s">
        <v>5024</v>
      </c>
      <c r="F1590" s="0" t="s">
        <v>5024</v>
      </c>
      <c r="G1590" s="0" t="s">
        <v>2515</v>
      </c>
      <c r="H1590" s="0" t="s">
        <v>3144</v>
      </c>
      <c r="I1590" s="0" t="s">
        <v>8872</v>
      </c>
      <c r="J1590" s="0" t="s">
        <v>8873</v>
      </c>
      <c r="K1590" s="0" t="s">
        <v>7993</v>
      </c>
    </row>
    <row r="1591" customFormat="false" ht="12.8" hidden="false" customHeight="false" outlineLevel="0" collapsed="false">
      <c r="A1591" s="0" t="s">
        <v>8878</v>
      </c>
      <c r="B1591" s="0" t="s">
        <v>8879</v>
      </c>
      <c r="C1591" s="0" t="s">
        <v>361</v>
      </c>
      <c r="D1591" s="0" t="s">
        <v>5023</v>
      </c>
      <c r="E1591" s="0" t="s">
        <v>5024</v>
      </c>
      <c r="F1591" s="0" t="s">
        <v>5024</v>
      </c>
      <c r="G1591" s="0" t="s">
        <v>2515</v>
      </c>
      <c r="H1591" s="0" t="s">
        <v>3144</v>
      </c>
      <c r="I1591" s="0" t="s">
        <v>8872</v>
      </c>
      <c r="J1591" s="0" t="s">
        <v>8873</v>
      </c>
      <c r="K1591" s="0" t="s">
        <v>7993</v>
      </c>
    </row>
    <row r="1592" customFormat="false" ht="12.8" hidden="false" customHeight="false" outlineLevel="0" collapsed="false">
      <c r="A1592" s="0" t="s">
        <v>8880</v>
      </c>
      <c r="B1592" s="0" t="s">
        <v>8881</v>
      </c>
      <c r="C1592" s="0" t="s">
        <v>361</v>
      </c>
      <c r="D1592" s="0" t="s">
        <v>5023</v>
      </c>
      <c r="E1592" s="0" t="s">
        <v>5024</v>
      </c>
      <c r="F1592" s="0" t="s">
        <v>5024</v>
      </c>
      <c r="G1592" s="0" t="s">
        <v>2515</v>
      </c>
      <c r="H1592" s="0" t="s">
        <v>3144</v>
      </c>
      <c r="I1592" s="0" t="s">
        <v>8872</v>
      </c>
      <c r="J1592" s="0" t="s">
        <v>8873</v>
      </c>
      <c r="K1592" s="0" t="s">
        <v>7993</v>
      </c>
    </row>
    <row r="1593" customFormat="false" ht="12.8" hidden="false" customHeight="false" outlineLevel="0" collapsed="false">
      <c r="A1593" s="0" t="s">
        <v>8882</v>
      </c>
      <c r="B1593" s="0" t="s">
        <v>8883</v>
      </c>
      <c r="C1593" s="0" t="s">
        <v>361</v>
      </c>
      <c r="D1593" s="0" t="s">
        <v>5057</v>
      </c>
      <c r="E1593" s="0" t="s">
        <v>5058</v>
      </c>
      <c r="F1593" s="0" t="s">
        <v>5058</v>
      </c>
      <c r="G1593" s="0" t="s">
        <v>2515</v>
      </c>
      <c r="H1593" s="0" t="s">
        <v>3144</v>
      </c>
      <c r="I1593" s="0" t="s">
        <v>8872</v>
      </c>
      <c r="J1593" s="0" t="s">
        <v>8873</v>
      </c>
      <c r="K1593" s="0" t="s">
        <v>7993</v>
      </c>
    </row>
    <row r="1594" customFormat="false" ht="12.8" hidden="false" customHeight="false" outlineLevel="0" collapsed="false">
      <c r="A1594" s="0" t="s">
        <v>8884</v>
      </c>
      <c r="B1594" s="0" t="s">
        <v>8885</v>
      </c>
      <c r="C1594" s="0" t="s">
        <v>228</v>
      </c>
      <c r="D1594" s="0" t="s">
        <v>5061</v>
      </c>
      <c r="E1594" s="0" t="s">
        <v>5062</v>
      </c>
      <c r="F1594" s="0" t="s">
        <v>5062</v>
      </c>
      <c r="G1594" s="0" t="s">
        <v>3278</v>
      </c>
      <c r="H1594" s="0" t="s">
        <v>3279</v>
      </c>
      <c r="I1594" s="0" t="s">
        <v>8886</v>
      </c>
      <c r="J1594" s="0" t="s">
        <v>8887</v>
      </c>
      <c r="K1594" s="444" t="s">
        <v>8146</v>
      </c>
    </row>
    <row r="1595" customFormat="false" ht="12.8" hidden="false" customHeight="false" outlineLevel="0" collapsed="false">
      <c r="A1595" s="0" t="s">
        <v>8888</v>
      </c>
      <c r="B1595" s="0" t="s">
        <v>8889</v>
      </c>
      <c r="C1595" s="0" t="s">
        <v>228</v>
      </c>
      <c r="D1595" s="0" t="s">
        <v>5023</v>
      </c>
      <c r="E1595" s="0" t="s">
        <v>5024</v>
      </c>
      <c r="F1595" s="0" t="s">
        <v>5024</v>
      </c>
      <c r="G1595" s="0" t="s">
        <v>3278</v>
      </c>
      <c r="H1595" s="0" t="s">
        <v>3279</v>
      </c>
      <c r="I1595" s="0" t="s">
        <v>8886</v>
      </c>
      <c r="J1595" s="0" t="s">
        <v>8887</v>
      </c>
      <c r="K1595" s="444" t="s">
        <v>8146</v>
      </c>
    </row>
    <row r="1596" customFormat="false" ht="12.8" hidden="false" customHeight="false" outlineLevel="0" collapsed="false">
      <c r="A1596" s="0" t="s">
        <v>8890</v>
      </c>
      <c r="B1596" s="0" t="s">
        <v>8891</v>
      </c>
      <c r="C1596" s="0" t="s">
        <v>228</v>
      </c>
      <c r="D1596" s="0" t="s">
        <v>5023</v>
      </c>
      <c r="E1596" s="0" t="s">
        <v>5024</v>
      </c>
      <c r="F1596" s="0" t="s">
        <v>5024</v>
      </c>
      <c r="G1596" s="0" t="s">
        <v>3278</v>
      </c>
      <c r="H1596" s="0" t="s">
        <v>3279</v>
      </c>
      <c r="I1596" s="0" t="s">
        <v>8886</v>
      </c>
      <c r="J1596" s="0" t="s">
        <v>8887</v>
      </c>
      <c r="K1596" s="444" t="s">
        <v>8146</v>
      </c>
    </row>
    <row r="1597" customFormat="false" ht="12.8" hidden="false" customHeight="false" outlineLevel="0" collapsed="false">
      <c r="A1597" s="0" t="s">
        <v>8892</v>
      </c>
      <c r="B1597" s="0" t="s">
        <v>8893</v>
      </c>
      <c r="C1597" s="0" t="s">
        <v>253</v>
      </c>
      <c r="D1597" s="0" t="s">
        <v>5061</v>
      </c>
      <c r="E1597" s="0" t="s">
        <v>5062</v>
      </c>
      <c r="F1597" s="0" t="s">
        <v>5062</v>
      </c>
      <c r="G1597" s="0" t="s">
        <v>4100</v>
      </c>
      <c r="H1597" s="0" t="s">
        <v>4691</v>
      </c>
      <c r="I1597" s="0" t="s">
        <v>8894</v>
      </c>
      <c r="J1597" s="0" t="s">
        <v>8895</v>
      </c>
      <c r="K1597" s="0" t="s">
        <v>7993</v>
      </c>
    </row>
    <row r="1598" customFormat="false" ht="12.8" hidden="false" customHeight="false" outlineLevel="0" collapsed="false">
      <c r="A1598" s="0" t="s">
        <v>8896</v>
      </c>
      <c r="B1598" s="0" t="s">
        <v>8897</v>
      </c>
      <c r="C1598" s="0" t="s">
        <v>253</v>
      </c>
      <c r="D1598" s="0" t="s">
        <v>5023</v>
      </c>
      <c r="E1598" s="0" t="s">
        <v>5024</v>
      </c>
      <c r="F1598" s="0" t="s">
        <v>5024</v>
      </c>
      <c r="G1598" s="0" t="s">
        <v>4100</v>
      </c>
      <c r="H1598" s="0" t="s">
        <v>4691</v>
      </c>
      <c r="I1598" s="0" t="s">
        <v>8894</v>
      </c>
      <c r="J1598" s="0" t="s">
        <v>8895</v>
      </c>
      <c r="K1598" s="0" t="s">
        <v>7993</v>
      </c>
    </row>
    <row r="1599" customFormat="false" ht="12.8" hidden="false" customHeight="false" outlineLevel="0" collapsed="false">
      <c r="A1599" s="0" t="s">
        <v>8898</v>
      </c>
      <c r="B1599" s="0" t="s">
        <v>8899</v>
      </c>
      <c r="C1599" s="0" t="s">
        <v>253</v>
      </c>
      <c r="D1599" s="0" t="s">
        <v>5023</v>
      </c>
      <c r="E1599" s="0" t="s">
        <v>5024</v>
      </c>
      <c r="F1599" s="0" t="s">
        <v>5024</v>
      </c>
      <c r="G1599" s="0" t="s">
        <v>4100</v>
      </c>
      <c r="H1599" s="0" t="s">
        <v>4691</v>
      </c>
      <c r="I1599" s="0" t="s">
        <v>8894</v>
      </c>
      <c r="J1599" s="0" t="s">
        <v>8895</v>
      </c>
      <c r="K1599" s="0" t="s">
        <v>7993</v>
      </c>
    </row>
    <row r="1600" customFormat="false" ht="12.8" hidden="false" customHeight="false" outlineLevel="0" collapsed="false">
      <c r="A1600" s="0" t="s">
        <v>8900</v>
      </c>
      <c r="B1600" s="0" t="s">
        <v>8901</v>
      </c>
      <c r="C1600" s="0" t="s">
        <v>253</v>
      </c>
      <c r="D1600" s="0" t="s">
        <v>5023</v>
      </c>
      <c r="E1600" s="0" t="s">
        <v>5024</v>
      </c>
      <c r="F1600" s="0" t="s">
        <v>5024</v>
      </c>
      <c r="G1600" s="0" t="s">
        <v>4100</v>
      </c>
      <c r="H1600" s="0" t="s">
        <v>4691</v>
      </c>
      <c r="I1600" s="0" t="s">
        <v>8894</v>
      </c>
      <c r="J1600" s="0" t="s">
        <v>8895</v>
      </c>
      <c r="K1600" s="0" t="s">
        <v>7993</v>
      </c>
    </row>
    <row r="1601" customFormat="false" ht="12.8" hidden="false" customHeight="false" outlineLevel="0" collapsed="false">
      <c r="A1601" s="0" t="s">
        <v>8902</v>
      </c>
      <c r="B1601" s="0" t="s">
        <v>8903</v>
      </c>
      <c r="C1601" s="0" t="s">
        <v>253</v>
      </c>
      <c r="D1601" s="0" t="s">
        <v>5057</v>
      </c>
      <c r="E1601" s="0" t="s">
        <v>5058</v>
      </c>
      <c r="F1601" s="0" t="s">
        <v>5058</v>
      </c>
      <c r="G1601" s="0" t="s">
        <v>4100</v>
      </c>
      <c r="H1601" s="0" t="s">
        <v>4691</v>
      </c>
      <c r="I1601" s="0" t="s">
        <v>8894</v>
      </c>
      <c r="J1601" s="0" t="s">
        <v>8895</v>
      </c>
      <c r="K1601" s="0" t="s">
        <v>7993</v>
      </c>
    </row>
    <row r="1602" customFormat="false" ht="12.8" hidden="false" customHeight="false" outlineLevel="0" collapsed="false">
      <c r="A1602" s="0" t="s">
        <v>8904</v>
      </c>
      <c r="B1602" s="0" t="s">
        <v>8905</v>
      </c>
      <c r="C1602" s="0" t="s">
        <v>73</v>
      </c>
      <c r="D1602" s="0" t="s">
        <v>5061</v>
      </c>
      <c r="E1602" s="0" t="s">
        <v>5062</v>
      </c>
      <c r="F1602" s="0" t="s">
        <v>5062</v>
      </c>
      <c r="G1602" s="0" t="s">
        <v>4100</v>
      </c>
      <c r="H1602" s="0" t="s">
        <v>4691</v>
      </c>
      <c r="I1602" s="0" t="s">
        <v>8906</v>
      </c>
      <c r="J1602" s="0" t="s">
        <v>8907</v>
      </c>
      <c r="K1602" s="0" t="s">
        <v>7993</v>
      </c>
    </row>
    <row r="1603" customFormat="false" ht="12.8" hidden="false" customHeight="false" outlineLevel="0" collapsed="false">
      <c r="A1603" s="0" t="s">
        <v>8908</v>
      </c>
      <c r="B1603" s="0" t="s">
        <v>8909</v>
      </c>
      <c r="C1603" s="0" t="s">
        <v>194</v>
      </c>
      <c r="D1603" s="0" t="s">
        <v>5061</v>
      </c>
      <c r="E1603" s="0" t="s">
        <v>5062</v>
      </c>
      <c r="F1603" s="0" t="s">
        <v>5062</v>
      </c>
      <c r="G1603" s="0" t="s">
        <v>4100</v>
      </c>
      <c r="H1603" s="0" t="s">
        <v>4691</v>
      </c>
      <c r="I1603" s="0" t="s">
        <v>8910</v>
      </c>
      <c r="J1603" s="0" t="s">
        <v>8911</v>
      </c>
      <c r="K1603" s="0" t="s">
        <v>7993</v>
      </c>
    </row>
    <row r="1604" customFormat="false" ht="12.8" hidden="false" customHeight="false" outlineLevel="0" collapsed="false">
      <c r="A1604" s="0" t="s">
        <v>8912</v>
      </c>
      <c r="B1604" s="0" t="s">
        <v>8913</v>
      </c>
      <c r="C1604" s="0" t="s">
        <v>194</v>
      </c>
      <c r="D1604" s="0" t="s">
        <v>5023</v>
      </c>
      <c r="E1604" s="0" t="s">
        <v>5024</v>
      </c>
      <c r="F1604" s="0" t="s">
        <v>5024</v>
      </c>
      <c r="G1604" s="0" t="s">
        <v>4100</v>
      </c>
      <c r="H1604" s="0" t="s">
        <v>4691</v>
      </c>
      <c r="I1604" s="0" t="s">
        <v>8910</v>
      </c>
      <c r="J1604" s="0" t="s">
        <v>8911</v>
      </c>
      <c r="K1604" s="0" t="s">
        <v>7993</v>
      </c>
    </row>
    <row r="1605" customFormat="false" ht="12.8" hidden="false" customHeight="false" outlineLevel="0" collapsed="false">
      <c r="A1605" s="0" t="s">
        <v>8914</v>
      </c>
      <c r="B1605" s="0" t="s">
        <v>8915</v>
      </c>
      <c r="C1605" s="0" t="s">
        <v>293</v>
      </c>
      <c r="D1605" s="0" t="s">
        <v>5061</v>
      </c>
      <c r="E1605" s="0" t="s">
        <v>5062</v>
      </c>
      <c r="F1605" s="0" t="s">
        <v>5062</v>
      </c>
      <c r="G1605" s="0" t="s">
        <v>3278</v>
      </c>
      <c r="H1605" s="0" t="s">
        <v>3279</v>
      </c>
      <c r="I1605" s="0" t="s">
        <v>8916</v>
      </c>
      <c r="J1605" s="0" t="s">
        <v>8917</v>
      </c>
      <c r="K1605" s="0" t="s">
        <v>7993</v>
      </c>
    </row>
    <row r="1606" customFormat="false" ht="12.8" hidden="false" customHeight="false" outlineLevel="0" collapsed="false">
      <c r="A1606" s="0" t="s">
        <v>8918</v>
      </c>
      <c r="B1606" s="0" t="s">
        <v>8919</v>
      </c>
      <c r="C1606" s="0" t="s">
        <v>293</v>
      </c>
      <c r="D1606" s="0" t="s">
        <v>5023</v>
      </c>
      <c r="E1606" s="0" t="s">
        <v>5024</v>
      </c>
      <c r="F1606" s="0" t="s">
        <v>5024</v>
      </c>
      <c r="G1606" s="0" t="s">
        <v>3278</v>
      </c>
      <c r="H1606" s="0" t="s">
        <v>3279</v>
      </c>
      <c r="I1606" s="0" t="s">
        <v>8916</v>
      </c>
      <c r="J1606" s="0" t="s">
        <v>8917</v>
      </c>
      <c r="K1606" s="0" t="s">
        <v>7993</v>
      </c>
    </row>
    <row r="1607" customFormat="false" ht="12.8" hidden="false" customHeight="false" outlineLevel="0" collapsed="false">
      <c r="A1607" s="0" t="s">
        <v>8920</v>
      </c>
      <c r="B1607" s="0" t="s">
        <v>8921</v>
      </c>
      <c r="C1607" s="0" t="s">
        <v>293</v>
      </c>
      <c r="D1607" s="0" t="s">
        <v>5023</v>
      </c>
      <c r="E1607" s="0" t="s">
        <v>5024</v>
      </c>
      <c r="F1607" s="0" t="s">
        <v>5024</v>
      </c>
      <c r="G1607" s="0" t="s">
        <v>3278</v>
      </c>
      <c r="H1607" s="0" t="s">
        <v>3279</v>
      </c>
      <c r="I1607" s="0" t="s">
        <v>8916</v>
      </c>
      <c r="J1607" s="0" t="s">
        <v>8917</v>
      </c>
      <c r="K1607" s="0" t="s">
        <v>7993</v>
      </c>
    </row>
    <row r="1608" customFormat="false" ht="12.8" hidden="false" customHeight="false" outlineLevel="0" collapsed="false">
      <c r="A1608" s="0" t="s">
        <v>8922</v>
      </c>
      <c r="B1608" s="0" t="s">
        <v>8923</v>
      </c>
      <c r="C1608" s="0" t="s">
        <v>293</v>
      </c>
      <c r="D1608" s="0" t="s">
        <v>5023</v>
      </c>
      <c r="E1608" s="0" t="s">
        <v>5024</v>
      </c>
      <c r="F1608" s="0" t="s">
        <v>5024</v>
      </c>
      <c r="G1608" s="0" t="s">
        <v>3278</v>
      </c>
      <c r="H1608" s="0" t="s">
        <v>3279</v>
      </c>
      <c r="I1608" s="0" t="s">
        <v>8916</v>
      </c>
      <c r="J1608" s="0" t="s">
        <v>8917</v>
      </c>
      <c r="K1608" s="0" t="s">
        <v>7993</v>
      </c>
    </row>
    <row r="1609" customFormat="false" ht="12.8" hidden="false" customHeight="false" outlineLevel="0" collapsed="false">
      <c r="A1609" s="0" t="s">
        <v>8924</v>
      </c>
      <c r="B1609" s="0" t="s">
        <v>8925</v>
      </c>
      <c r="C1609" s="0" t="s">
        <v>135</v>
      </c>
      <c r="D1609" s="0" t="s">
        <v>5061</v>
      </c>
      <c r="E1609" s="0" t="s">
        <v>5062</v>
      </c>
      <c r="F1609" s="0" t="s">
        <v>5062</v>
      </c>
      <c r="G1609" s="0" t="s">
        <v>3278</v>
      </c>
      <c r="H1609" s="0" t="s">
        <v>3975</v>
      </c>
      <c r="I1609" s="0" t="s">
        <v>8926</v>
      </c>
      <c r="J1609" s="0" t="s">
        <v>8927</v>
      </c>
      <c r="K1609" s="0" t="s">
        <v>7044</v>
      </c>
    </row>
    <row r="1610" customFormat="false" ht="12.8" hidden="false" customHeight="false" outlineLevel="0" collapsed="false">
      <c r="A1610" s="0" t="s">
        <v>8928</v>
      </c>
      <c r="B1610" s="0" t="s">
        <v>8929</v>
      </c>
      <c r="C1610" s="0" t="s">
        <v>135</v>
      </c>
      <c r="D1610" s="0" t="s">
        <v>5057</v>
      </c>
      <c r="E1610" s="0" t="s">
        <v>5058</v>
      </c>
      <c r="F1610" s="0" t="s">
        <v>5058</v>
      </c>
      <c r="G1610" s="0" t="s">
        <v>3278</v>
      </c>
      <c r="H1610" s="0" t="s">
        <v>3975</v>
      </c>
      <c r="I1610" s="0" t="s">
        <v>8926</v>
      </c>
      <c r="J1610" s="0" t="s">
        <v>8927</v>
      </c>
      <c r="K1610" s="0" t="s">
        <v>7044</v>
      </c>
    </row>
    <row r="1611" customFormat="false" ht="12.8" hidden="false" customHeight="false" outlineLevel="0" collapsed="false">
      <c r="A1611" s="0" t="s">
        <v>8930</v>
      </c>
      <c r="B1611" s="0" t="s">
        <v>8931</v>
      </c>
      <c r="C1611" s="0" t="s">
        <v>27</v>
      </c>
      <c r="D1611" s="0" t="s">
        <v>5023</v>
      </c>
      <c r="E1611" s="0" t="s">
        <v>5024</v>
      </c>
      <c r="F1611" s="0" t="s">
        <v>5024</v>
      </c>
      <c r="G1611" s="0" t="s">
        <v>458</v>
      </c>
      <c r="H1611" s="0" t="s">
        <v>1034</v>
      </c>
      <c r="I1611" s="0" t="s">
        <v>8932</v>
      </c>
      <c r="J1611" s="0" t="s">
        <v>8933</v>
      </c>
      <c r="K1611" s="0" t="s">
        <v>7993</v>
      </c>
    </row>
    <row r="1612" customFormat="false" ht="12.8" hidden="false" customHeight="false" outlineLevel="0" collapsed="false">
      <c r="A1612" s="0" t="s">
        <v>8934</v>
      </c>
      <c r="B1612" s="0" t="s">
        <v>8935</v>
      </c>
      <c r="C1612" s="0" t="s">
        <v>27</v>
      </c>
      <c r="D1612" s="0" t="s">
        <v>5023</v>
      </c>
      <c r="E1612" s="0" t="s">
        <v>5024</v>
      </c>
      <c r="F1612" s="0" t="s">
        <v>5024</v>
      </c>
      <c r="G1612" s="0" t="s">
        <v>458</v>
      </c>
      <c r="H1612" s="0" t="s">
        <v>1034</v>
      </c>
      <c r="I1612" s="0" t="s">
        <v>8932</v>
      </c>
      <c r="J1612" s="0" t="s">
        <v>8933</v>
      </c>
      <c r="K1612" s="0" t="s">
        <v>7993</v>
      </c>
    </row>
    <row r="1613" customFormat="false" ht="12.8" hidden="false" customHeight="false" outlineLevel="0" collapsed="false">
      <c r="A1613" s="0" t="s">
        <v>8936</v>
      </c>
      <c r="B1613" s="0" t="s">
        <v>8937</v>
      </c>
      <c r="C1613" s="0" t="s">
        <v>27</v>
      </c>
      <c r="D1613" s="0" t="s">
        <v>5061</v>
      </c>
      <c r="E1613" s="0" t="s">
        <v>5062</v>
      </c>
      <c r="F1613" s="0" t="s">
        <v>5062</v>
      </c>
      <c r="G1613" s="0" t="s">
        <v>458</v>
      </c>
      <c r="H1613" s="0" t="s">
        <v>1034</v>
      </c>
      <c r="I1613" s="0" t="s">
        <v>8932</v>
      </c>
      <c r="J1613" s="0" t="s">
        <v>8933</v>
      </c>
      <c r="K1613" s="0" t="s">
        <v>7993</v>
      </c>
    </row>
    <row r="1614" customFormat="false" ht="12.8" hidden="false" customHeight="false" outlineLevel="0" collapsed="false">
      <c r="A1614" s="0" t="s">
        <v>8938</v>
      </c>
      <c r="B1614" s="0" t="s">
        <v>8939</v>
      </c>
      <c r="C1614" s="0" t="s">
        <v>27</v>
      </c>
      <c r="D1614" s="0" t="s">
        <v>5057</v>
      </c>
      <c r="E1614" s="0" t="s">
        <v>5058</v>
      </c>
      <c r="F1614" s="0" t="s">
        <v>5058</v>
      </c>
      <c r="G1614" s="0" t="s">
        <v>458</v>
      </c>
      <c r="H1614" s="0" t="s">
        <v>1034</v>
      </c>
      <c r="I1614" s="0" t="s">
        <v>8932</v>
      </c>
      <c r="J1614" s="0" t="s">
        <v>8933</v>
      </c>
      <c r="K1614" s="0" t="s">
        <v>7993</v>
      </c>
    </row>
    <row r="1615" customFormat="false" ht="12.8" hidden="false" customHeight="false" outlineLevel="0" collapsed="false">
      <c r="A1615" s="0" t="s">
        <v>8940</v>
      </c>
      <c r="B1615" s="0" t="s">
        <v>8941</v>
      </c>
      <c r="C1615" s="0" t="s">
        <v>27</v>
      </c>
      <c r="D1615" s="0" t="s">
        <v>5023</v>
      </c>
      <c r="E1615" s="0" t="s">
        <v>5024</v>
      </c>
      <c r="F1615" s="0" t="s">
        <v>5024</v>
      </c>
      <c r="G1615" s="0" t="s">
        <v>458</v>
      </c>
      <c r="H1615" s="0" t="s">
        <v>1034</v>
      </c>
      <c r="I1615" s="0" t="s">
        <v>8932</v>
      </c>
      <c r="J1615" s="0" t="s">
        <v>8933</v>
      </c>
      <c r="K1615" s="0" t="s">
        <v>7993</v>
      </c>
    </row>
    <row r="1616" customFormat="false" ht="12.8" hidden="false" customHeight="false" outlineLevel="0" collapsed="false">
      <c r="A1616" s="0" t="s">
        <v>8942</v>
      </c>
      <c r="B1616" s="0" t="s">
        <v>8943</v>
      </c>
      <c r="C1616" s="0" t="s">
        <v>327</v>
      </c>
      <c r="D1616" s="0" t="s">
        <v>5023</v>
      </c>
      <c r="E1616" s="0" t="s">
        <v>5024</v>
      </c>
      <c r="F1616" s="0" t="s">
        <v>5024</v>
      </c>
      <c r="G1616" s="0" t="s">
        <v>458</v>
      </c>
      <c r="H1616" s="0" t="s">
        <v>459</v>
      </c>
      <c r="I1616" s="0" t="s">
        <v>8944</v>
      </c>
      <c r="J1616" s="0" t="s">
        <v>8945</v>
      </c>
      <c r="K1616" s="0" t="s">
        <v>7993</v>
      </c>
    </row>
    <row r="1617" customFormat="false" ht="12.8" hidden="false" customHeight="false" outlineLevel="0" collapsed="false">
      <c r="A1617" s="0" t="s">
        <v>8946</v>
      </c>
      <c r="B1617" s="0" t="s">
        <v>8947</v>
      </c>
      <c r="C1617" s="0" t="s">
        <v>327</v>
      </c>
      <c r="D1617" s="0" t="s">
        <v>5061</v>
      </c>
      <c r="E1617" s="0" t="s">
        <v>5062</v>
      </c>
      <c r="F1617" s="0" t="s">
        <v>5062</v>
      </c>
      <c r="G1617" s="0" t="s">
        <v>458</v>
      </c>
      <c r="H1617" s="0" t="s">
        <v>459</v>
      </c>
      <c r="I1617" s="0" t="s">
        <v>8944</v>
      </c>
      <c r="J1617" s="0" t="s">
        <v>8945</v>
      </c>
      <c r="K1617" s="0" t="s">
        <v>7993</v>
      </c>
    </row>
    <row r="1618" customFormat="false" ht="12.8" hidden="false" customHeight="false" outlineLevel="0" collapsed="false">
      <c r="A1618" s="0" t="s">
        <v>8948</v>
      </c>
      <c r="B1618" s="0" t="s">
        <v>8949</v>
      </c>
      <c r="C1618" s="0" t="s">
        <v>327</v>
      </c>
      <c r="D1618" s="0" t="s">
        <v>5057</v>
      </c>
      <c r="E1618" s="0" t="s">
        <v>5058</v>
      </c>
      <c r="F1618" s="0" t="s">
        <v>5058</v>
      </c>
      <c r="G1618" s="0" t="s">
        <v>458</v>
      </c>
      <c r="H1618" s="0" t="s">
        <v>459</v>
      </c>
      <c r="I1618" s="0" t="s">
        <v>8944</v>
      </c>
      <c r="J1618" s="0" t="s">
        <v>8945</v>
      </c>
      <c r="K1618" s="0" t="s">
        <v>7993</v>
      </c>
    </row>
    <row r="1619" customFormat="false" ht="12.8" hidden="false" customHeight="false" outlineLevel="0" collapsed="false">
      <c r="A1619" s="0" t="s">
        <v>8950</v>
      </c>
      <c r="B1619" s="0" t="s">
        <v>8951</v>
      </c>
      <c r="C1619" s="0" t="s">
        <v>327</v>
      </c>
      <c r="D1619" s="0" t="s">
        <v>5023</v>
      </c>
      <c r="E1619" s="0" t="s">
        <v>5024</v>
      </c>
      <c r="F1619" s="0" t="s">
        <v>5024</v>
      </c>
      <c r="G1619" s="0" t="s">
        <v>458</v>
      </c>
      <c r="H1619" s="0" t="s">
        <v>459</v>
      </c>
      <c r="I1619" s="0" t="s">
        <v>8944</v>
      </c>
      <c r="J1619" s="0" t="s">
        <v>8945</v>
      </c>
      <c r="K1619" s="0" t="s">
        <v>7993</v>
      </c>
    </row>
    <row r="1620" customFormat="false" ht="12.8" hidden="false" customHeight="false" outlineLevel="0" collapsed="false">
      <c r="A1620" s="0" t="s">
        <v>8952</v>
      </c>
      <c r="B1620" s="0" t="s">
        <v>8953</v>
      </c>
      <c r="C1620" s="0" t="s">
        <v>327</v>
      </c>
      <c r="D1620" s="0" t="s">
        <v>5023</v>
      </c>
      <c r="E1620" s="0" t="s">
        <v>5024</v>
      </c>
      <c r="F1620" s="0" t="s">
        <v>5024</v>
      </c>
      <c r="G1620" s="0" t="s">
        <v>458</v>
      </c>
      <c r="H1620" s="0" t="s">
        <v>459</v>
      </c>
      <c r="I1620" s="0" t="s">
        <v>8944</v>
      </c>
      <c r="J1620" s="0" t="s">
        <v>8945</v>
      </c>
      <c r="K1620" s="0" t="s">
        <v>7993</v>
      </c>
    </row>
    <row r="1621" customFormat="false" ht="12.8" hidden="false" customHeight="false" outlineLevel="0" collapsed="false">
      <c r="A1621" s="0" t="s">
        <v>8954</v>
      </c>
      <c r="B1621" s="0" t="s">
        <v>8955</v>
      </c>
      <c r="C1621" s="0" t="s">
        <v>327</v>
      </c>
      <c r="D1621" s="0" t="s">
        <v>5023</v>
      </c>
      <c r="E1621" s="0" t="s">
        <v>5024</v>
      </c>
      <c r="F1621" s="0" t="s">
        <v>5024</v>
      </c>
      <c r="G1621" s="0" t="s">
        <v>458</v>
      </c>
      <c r="H1621" s="0" t="s">
        <v>459</v>
      </c>
      <c r="I1621" s="0" t="s">
        <v>8944</v>
      </c>
      <c r="J1621" s="0" t="s">
        <v>8945</v>
      </c>
      <c r="K1621" s="0" t="s">
        <v>7993</v>
      </c>
    </row>
    <row r="1622" customFormat="false" ht="12.8" hidden="false" customHeight="false" outlineLevel="0" collapsed="false">
      <c r="A1622" s="0" t="s">
        <v>8956</v>
      </c>
      <c r="B1622" s="0" t="s">
        <v>8957</v>
      </c>
      <c r="C1622" s="0" t="s">
        <v>309</v>
      </c>
      <c r="D1622" s="0" t="s">
        <v>5023</v>
      </c>
      <c r="E1622" s="0" t="s">
        <v>5024</v>
      </c>
      <c r="F1622" s="0" t="s">
        <v>5024</v>
      </c>
      <c r="G1622" s="0" t="s">
        <v>458</v>
      </c>
      <c r="H1622" s="0" t="s">
        <v>459</v>
      </c>
      <c r="I1622" s="0" t="s">
        <v>8958</v>
      </c>
      <c r="J1622" s="0" t="s">
        <v>8959</v>
      </c>
      <c r="K1622" s="0" t="s">
        <v>8582</v>
      </c>
    </row>
    <row r="1623" customFormat="false" ht="12.8" hidden="false" customHeight="false" outlineLevel="0" collapsed="false">
      <c r="A1623" s="0" t="s">
        <v>8960</v>
      </c>
      <c r="B1623" s="0" t="s">
        <v>8961</v>
      </c>
      <c r="C1623" s="0" t="s">
        <v>309</v>
      </c>
      <c r="D1623" s="0" t="s">
        <v>5061</v>
      </c>
      <c r="E1623" s="0" t="s">
        <v>5062</v>
      </c>
      <c r="F1623" s="0" t="s">
        <v>5062</v>
      </c>
      <c r="G1623" s="0" t="s">
        <v>458</v>
      </c>
      <c r="H1623" s="0" t="s">
        <v>459</v>
      </c>
      <c r="I1623" s="0" t="s">
        <v>8958</v>
      </c>
      <c r="J1623" s="0" t="s">
        <v>8959</v>
      </c>
      <c r="K1623" s="0" t="s">
        <v>8582</v>
      </c>
    </row>
    <row r="1624" customFormat="false" ht="12.8" hidden="false" customHeight="false" outlineLevel="0" collapsed="false">
      <c r="A1624" s="0" t="s">
        <v>8962</v>
      </c>
      <c r="B1624" s="0" t="s">
        <v>8963</v>
      </c>
      <c r="C1624" s="0" t="s">
        <v>309</v>
      </c>
      <c r="D1624" s="0" t="s">
        <v>5057</v>
      </c>
      <c r="E1624" s="0" t="s">
        <v>5058</v>
      </c>
      <c r="F1624" s="0" t="s">
        <v>5058</v>
      </c>
      <c r="G1624" s="0" t="s">
        <v>458</v>
      </c>
      <c r="H1624" s="0" t="s">
        <v>459</v>
      </c>
      <c r="I1624" s="0" t="s">
        <v>8958</v>
      </c>
      <c r="J1624" s="0" t="s">
        <v>8959</v>
      </c>
      <c r="K1624" s="0" t="s">
        <v>8582</v>
      </c>
    </row>
    <row r="1625" customFormat="false" ht="12.8" hidden="false" customHeight="false" outlineLevel="0" collapsed="false">
      <c r="A1625" s="0" t="s">
        <v>8964</v>
      </c>
      <c r="B1625" s="0" t="s">
        <v>8965</v>
      </c>
      <c r="C1625" s="0" t="s">
        <v>309</v>
      </c>
      <c r="D1625" s="0" t="s">
        <v>5023</v>
      </c>
      <c r="E1625" s="0" t="s">
        <v>5024</v>
      </c>
      <c r="F1625" s="0" t="s">
        <v>5024</v>
      </c>
      <c r="G1625" s="0" t="s">
        <v>458</v>
      </c>
      <c r="H1625" s="0" t="s">
        <v>459</v>
      </c>
      <c r="I1625" s="0" t="s">
        <v>8958</v>
      </c>
      <c r="J1625" s="0" t="s">
        <v>8959</v>
      </c>
      <c r="K1625" s="0" t="s">
        <v>8582</v>
      </c>
    </row>
    <row r="1626" customFormat="false" ht="12.8" hidden="false" customHeight="false" outlineLevel="0" collapsed="false">
      <c r="A1626" s="0" t="s">
        <v>8966</v>
      </c>
      <c r="B1626" s="0" t="s">
        <v>8967</v>
      </c>
      <c r="C1626" s="0" t="s">
        <v>309</v>
      </c>
      <c r="D1626" s="0" t="s">
        <v>5023</v>
      </c>
      <c r="E1626" s="0" t="s">
        <v>5024</v>
      </c>
      <c r="F1626" s="0" t="s">
        <v>5024</v>
      </c>
      <c r="G1626" s="0" t="s">
        <v>458</v>
      </c>
      <c r="H1626" s="0" t="s">
        <v>459</v>
      </c>
      <c r="I1626" s="0" t="s">
        <v>8958</v>
      </c>
      <c r="J1626" s="0" t="s">
        <v>8959</v>
      </c>
      <c r="K1626" s="0" t="s">
        <v>8582</v>
      </c>
    </row>
    <row r="1627" customFormat="false" ht="12.8" hidden="false" customHeight="false" outlineLevel="0" collapsed="false">
      <c r="A1627" s="0" t="s">
        <v>8968</v>
      </c>
      <c r="B1627" s="0" t="s">
        <v>8969</v>
      </c>
      <c r="C1627" s="0" t="s">
        <v>71</v>
      </c>
      <c r="D1627" s="0" t="s">
        <v>5023</v>
      </c>
      <c r="E1627" s="0" t="s">
        <v>5024</v>
      </c>
      <c r="F1627" s="0" t="s">
        <v>5024</v>
      </c>
      <c r="G1627" s="0" t="s">
        <v>3278</v>
      </c>
      <c r="H1627" s="0" t="s">
        <v>3855</v>
      </c>
      <c r="I1627" s="0" t="s">
        <v>8970</v>
      </c>
      <c r="J1627" s="0" t="s">
        <v>8971</v>
      </c>
      <c r="K1627" s="0" t="s">
        <v>8972</v>
      </c>
    </row>
    <row r="1628" customFormat="false" ht="12.8" hidden="false" customHeight="false" outlineLevel="0" collapsed="false">
      <c r="A1628" s="0" t="s">
        <v>8973</v>
      </c>
      <c r="B1628" s="0" t="s">
        <v>8974</v>
      </c>
      <c r="C1628" s="0" t="s">
        <v>71</v>
      </c>
      <c r="D1628" s="0" t="s">
        <v>5061</v>
      </c>
      <c r="E1628" s="0" t="s">
        <v>5062</v>
      </c>
      <c r="F1628" s="0" t="s">
        <v>5062</v>
      </c>
      <c r="G1628" s="0" t="s">
        <v>3278</v>
      </c>
      <c r="H1628" s="0" t="s">
        <v>3855</v>
      </c>
      <c r="I1628" s="0" t="s">
        <v>8970</v>
      </c>
      <c r="J1628" s="0" t="s">
        <v>8971</v>
      </c>
      <c r="K1628" s="0" t="s">
        <v>8972</v>
      </c>
    </row>
    <row r="1629" customFormat="false" ht="12.8" hidden="false" customHeight="false" outlineLevel="0" collapsed="false">
      <c r="A1629" s="0" t="s">
        <v>8975</v>
      </c>
      <c r="B1629" s="0" t="s">
        <v>8976</v>
      </c>
      <c r="C1629" s="0" t="s">
        <v>71</v>
      </c>
      <c r="D1629" s="0" t="s">
        <v>5023</v>
      </c>
      <c r="E1629" s="0" t="s">
        <v>5024</v>
      </c>
      <c r="F1629" s="0" t="s">
        <v>5024</v>
      </c>
      <c r="G1629" s="0" t="s">
        <v>3278</v>
      </c>
      <c r="H1629" s="0" t="s">
        <v>3855</v>
      </c>
      <c r="I1629" s="0" t="s">
        <v>8970</v>
      </c>
      <c r="J1629" s="0" t="s">
        <v>8971</v>
      </c>
      <c r="K1629" s="0" t="s">
        <v>8972</v>
      </c>
    </row>
    <row r="1630" customFormat="false" ht="12.8" hidden="false" customHeight="false" outlineLevel="0" collapsed="false">
      <c r="A1630" s="0" t="s">
        <v>8977</v>
      </c>
      <c r="B1630" s="0" t="s">
        <v>8978</v>
      </c>
      <c r="C1630" s="0" t="s">
        <v>371</v>
      </c>
      <c r="D1630" s="0" t="s">
        <v>5061</v>
      </c>
      <c r="E1630" s="0" t="s">
        <v>5062</v>
      </c>
      <c r="F1630" s="0" t="s">
        <v>5062</v>
      </c>
      <c r="G1630" s="0" t="s">
        <v>3278</v>
      </c>
      <c r="H1630" s="0" t="s">
        <v>3647</v>
      </c>
      <c r="I1630" s="0" t="s">
        <v>8979</v>
      </c>
    </row>
    <row r="1631" customFormat="false" ht="12.8" hidden="false" customHeight="false" outlineLevel="0" collapsed="false">
      <c r="A1631" s="0" t="s">
        <v>8980</v>
      </c>
      <c r="B1631" s="0" t="s">
        <v>8981</v>
      </c>
      <c r="C1631" s="0" t="s">
        <v>61</v>
      </c>
      <c r="D1631" s="0" t="s">
        <v>5023</v>
      </c>
      <c r="E1631" s="0" t="s">
        <v>5024</v>
      </c>
      <c r="F1631" s="0" t="s">
        <v>5024</v>
      </c>
      <c r="G1631" s="0" t="s">
        <v>3278</v>
      </c>
      <c r="H1631" s="0" t="s">
        <v>3279</v>
      </c>
      <c r="I1631" s="0" t="s">
        <v>8982</v>
      </c>
      <c r="J1631" s="0" t="s">
        <v>8983</v>
      </c>
      <c r="K1631" s="0" t="s">
        <v>7993</v>
      </c>
    </row>
    <row r="1632" customFormat="false" ht="12.8" hidden="false" customHeight="false" outlineLevel="0" collapsed="false">
      <c r="A1632" s="0" t="s">
        <v>8984</v>
      </c>
      <c r="B1632" s="0" t="s">
        <v>8985</v>
      </c>
      <c r="C1632" s="0" t="s">
        <v>61</v>
      </c>
      <c r="D1632" s="0" t="s">
        <v>5061</v>
      </c>
      <c r="E1632" s="0" t="s">
        <v>5062</v>
      </c>
      <c r="F1632" s="0" t="s">
        <v>5062</v>
      </c>
      <c r="G1632" s="0" t="s">
        <v>3278</v>
      </c>
      <c r="H1632" s="0" t="s">
        <v>3279</v>
      </c>
      <c r="I1632" s="0" t="s">
        <v>8982</v>
      </c>
      <c r="J1632" s="0" t="s">
        <v>8983</v>
      </c>
      <c r="K1632" s="0" t="s">
        <v>7993</v>
      </c>
    </row>
    <row r="1633" customFormat="false" ht="12.8" hidden="false" customHeight="false" outlineLevel="0" collapsed="false">
      <c r="A1633" s="0" t="s">
        <v>8986</v>
      </c>
      <c r="B1633" s="0" t="s">
        <v>8987</v>
      </c>
      <c r="C1633" s="0" t="s">
        <v>61</v>
      </c>
      <c r="D1633" s="0" t="s">
        <v>5023</v>
      </c>
      <c r="E1633" s="0" t="s">
        <v>5024</v>
      </c>
      <c r="F1633" s="0" t="s">
        <v>5024</v>
      </c>
      <c r="G1633" s="0" t="s">
        <v>3278</v>
      </c>
      <c r="H1633" s="0" t="s">
        <v>3279</v>
      </c>
      <c r="I1633" s="0" t="s">
        <v>8982</v>
      </c>
      <c r="J1633" s="0" t="s">
        <v>8983</v>
      </c>
      <c r="K1633" s="0" t="s">
        <v>7993</v>
      </c>
    </row>
    <row r="1634" customFormat="false" ht="12.8" hidden="false" customHeight="false" outlineLevel="0" collapsed="false">
      <c r="A1634" s="0" t="s">
        <v>8988</v>
      </c>
      <c r="B1634" s="0" t="s">
        <v>8989</v>
      </c>
      <c r="C1634" s="0" t="s">
        <v>61</v>
      </c>
      <c r="D1634" s="0" t="s">
        <v>5057</v>
      </c>
      <c r="E1634" s="0" t="s">
        <v>5058</v>
      </c>
      <c r="F1634" s="0" t="s">
        <v>5058</v>
      </c>
      <c r="G1634" s="0" t="s">
        <v>3278</v>
      </c>
      <c r="H1634" s="0" t="s">
        <v>3279</v>
      </c>
      <c r="I1634" s="0" t="s">
        <v>8982</v>
      </c>
      <c r="J1634" s="0" t="s">
        <v>8983</v>
      </c>
      <c r="K1634" s="0" t="s">
        <v>7993</v>
      </c>
    </row>
    <row r="1635" customFormat="false" ht="12.8" hidden="false" customHeight="false" outlineLevel="0" collapsed="false">
      <c r="A1635" s="0" t="s">
        <v>8990</v>
      </c>
      <c r="B1635" s="0" t="s">
        <v>8991</v>
      </c>
      <c r="C1635" s="0" t="s">
        <v>61</v>
      </c>
      <c r="D1635" s="0" t="s">
        <v>5023</v>
      </c>
      <c r="E1635" s="0" t="s">
        <v>5024</v>
      </c>
      <c r="F1635" s="0" t="s">
        <v>5024</v>
      </c>
      <c r="G1635" s="0" t="s">
        <v>3278</v>
      </c>
      <c r="H1635" s="0" t="s">
        <v>3279</v>
      </c>
      <c r="I1635" s="0" t="s">
        <v>8982</v>
      </c>
      <c r="J1635" s="0" t="s">
        <v>8983</v>
      </c>
      <c r="K1635" s="0" t="s">
        <v>7993</v>
      </c>
    </row>
    <row r="1636" customFormat="false" ht="12.8" hidden="false" customHeight="false" outlineLevel="0" collapsed="false">
      <c r="A1636" s="0" t="s">
        <v>8992</v>
      </c>
      <c r="B1636" s="0" t="s">
        <v>8993</v>
      </c>
      <c r="C1636" s="0" t="s">
        <v>61</v>
      </c>
      <c r="D1636" s="0" t="s">
        <v>5023</v>
      </c>
      <c r="E1636" s="0" t="s">
        <v>5024</v>
      </c>
      <c r="F1636" s="0" t="s">
        <v>5024</v>
      </c>
      <c r="G1636" s="0" t="s">
        <v>3278</v>
      </c>
      <c r="H1636" s="0" t="s">
        <v>3279</v>
      </c>
      <c r="I1636" s="0" t="s">
        <v>8982</v>
      </c>
      <c r="J1636" s="0" t="s">
        <v>8983</v>
      </c>
      <c r="K1636" s="0" t="s">
        <v>7993</v>
      </c>
    </row>
    <row r="1637" customFormat="false" ht="12.8" hidden="false" customHeight="false" outlineLevel="0" collapsed="false">
      <c r="A1637" s="0" t="s">
        <v>8994</v>
      </c>
      <c r="B1637" s="0" t="s">
        <v>8995</v>
      </c>
      <c r="C1637" s="0" t="s">
        <v>283</v>
      </c>
      <c r="D1637" s="0" t="s">
        <v>5023</v>
      </c>
      <c r="E1637" s="0" t="s">
        <v>5024</v>
      </c>
      <c r="F1637" s="0" t="s">
        <v>5024</v>
      </c>
      <c r="G1637" s="0" t="s">
        <v>3278</v>
      </c>
      <c r="H1637" s="0" t="s">
        <v>3855</v>
      </c>
      <c r="I1637" s="0" t="s">
        <v>8996</v>
      </c>
      <c r="J1637" s="0" t="s">
        <v>8997</v>
      </c>
      <c r="K1637" s="444" t="s">
        <v>8998</v>
      </c>
    </row>
    <row r="1638" customFormat="false" ht="12.8" hidden="false" customHeight="false" outlineLevel="0" collapsed="false">
      <c r="A1638" s="0" t="s">
        <v>8999</v>
      </c>
      <c r="B1638" s="0" t="s">
        <v>9000</v>
      </c>
      <c r="C1638" s="0" t="s">
        <v>283</v>
      </c>
      <c r="D1638" s="0" t="s">
        <v>5023</v>
      </c>
      <c r="E1638" s="0" t="s">
        <v>5024</v>
      </c>
      <c r="F1638" s="0" t="s">
        <v>5024</v>
      </c>
      <c r="G1638" s="0" t="s">
        <v>3278</v>
      </c>
      <c r="H1638" s="0" t="s">
        <v>3855</v>
      </c>
      <c r="I1638" s="0" t="s">
        <v>8996</v>
      </c>
      <c r="J1638" s="0" t="s">
        <v>8997</v>
      </c>
      <c r="K1638" s="444" t="s">
        <v>8998</v>
      </c>
    </row>
    <row r="1639" customFormat="false" ht="12.8" hidden="false" customHeight="false" outlineLevel="0" collapsed="false">
      <c r="A1639" s="0" t="s">
        <v>9001</v>
      </c>
      <c r="B1639" s="0" t="s">
        <v>9002</v>
      </c>
      <c r="C1639" s="0" t="s">
        <v>283</v>
      </c>
      <c r="D1639" s="0" t="s">
        <v>5023</v>
      </c>
      <c r="E1639" s="0" t="s">
        <v>5024</v>
      </c>
      <c r="F1639" s="0" t="s">
        <v>5024</v>
      </c>
      <c r="G1639" s="0" t="s">
        <v>3278</v>
      </c>
      <c r="H1639" s="0" t="s">
        <v>3855</v>
      </c>
      <c r="I1639" s="0" t="s">
        <v>8996</v>
      </c>
      <c r="J1639" s="0" t="s">
        <v>8997</v>
      </c>
      <c r="K1639" s="444" t="s">
        <v>8998</v>
      </c>
    </row>
    <row r="1640" customFormat="false" ht="12.8" hidden="false" customHeight="false" outlineLevel="0" collapsed="false">
      <c r="A1640" s="0" t="s">
        <v>9003</v>
      </c>
      <c r="B1640" s="0" t="s">
        <v>9004</v>
      </c>
      <c r="C1640" s="0" t="s">
        <v>283</v>
      </c>
      <c r="D1640" s="0" t="s">
        <v>5023</v>
      </c>
      <c r="E1640" s="0" t="s">
        <v>5024</v>
      </c>
      <c r="F1640" s="0" t="s">
        <v>5024</v>
      </c>
      <c r="G1640" s="0" t="s">
        <v>3278</v>
      </c>
      <c r="H1640" s="0" t="s">
        <v>3855</v>
      </c>
      <c r="I1640" s="0" t="s">
        <v>8996</v>
      </c>
      <c r="J1640" s="0" t="s">
        <v>8997</v>
      </c>
      <c r="K1640" s="444" t="s">
        <v>8998</v>
      </c>
    </row>
    <row r="1641" customFormat="false" ht="12.8" hidden="false" customHeight="false" outlineLevel="0" collapsed="false">
      <c r="A1641" s="0" t="s">
        <v>9005</v>
      </c>
      <c r="B1641" s="0" t="s">
        <v>9006</v>
      </c>
      <c r="C1641" s="0" t="s">
        <v>283</v>
      </c>
      <c r="D1641" s="0" t="s">
        <v>5061</v>
      </c>
      <c r="E1641" s="0" t="s">
        <v>5062</v>
      </c>
      <c r="F1641" s="0" t="s">
        <v>5062</v>
      </c>
      <c r="G1641" s="0" t="s">
        <v>3278</v>
      </c>
      <c r="H1641" s="0" t="s">
        <v>3855</v>
      </c>
      <c r="I1641" s="0" t="s">
        <v>8996</v>
      </c>
      <c r="J1641" s="0" t="s">
        <v>8997</v>
      </c>
      <c r="K1641" s="444" t="s">
        <v>8998</v>
      </c>
    </row>
    <row r="1642" customFormat="false" ht="12.8" hidden="false" customHeight="false" outlineLevel="0" collapsed="false">
      <c r="A1642" s="0" t="s">
        <v>9007</v>
      </c>
      <c r="B1642" s="0" t="s">
        <v>9008</v>
      </c>
      <c r="C1642" s="0" t="s">
        <v>283</v>
      </c>
      <c r="D1642" s="0" t="s">
        <v>5023</v>
      </c>
      <c r="E1642" s="0" t="s">
        <v>5024</v>
      </c>
      <c r="F1642" s="0" t="s">
        <v>5024</v>
      </c>
      <c r="G1642" s="0" t="s">
        <v>3278</v>
      </c>
      <c r="H1642" s="0" t="s">
        <v>3855</v>
      </c>
      <c r="I1642" s="0" t="s">
        <v>8996</v>
      </c>
      <c r="J1642" s="0" t="s">
        <v>8997</v>
      </c>
      <c r="K1642" s="444" t="s">
        <v>8998</v>
      </c>
    </row>
    <row r="1643" customFormat="false" ht="12.8" hidden="false" customHeight="false" outlineLevel="0" collapsed="false">
      <c r="A1643" s="0" t="s">
        <v>9009</v>
      </c>
      <c r="B1643" s="0" t="s">
        <v>9010</v>
      </c>
      <c r="C1643" s="0" t="s">
        <v>283</v>
      </c>
      <c r="D1643" s="0" t="s">
        <v>5023</v>
      </c>
      <c r="E1643" s="0" t="s">
        <v>5024</v>
      </c>
      <c r="F1643" s="0" t="s">
        <v>5024</v>
      </c>
      <c r="G1643" s="0" t="s">
        <v>3278</v>
      </c>
      <c r="H1643" s="0" t="s">
        <v>3855</v>
      </c>
      <c r="I1643" s="0" t="s">
        <v>8996</v>
      </c>
      <c r="J1643" s="0" t="s">
        <v>8997</v>
      </c>
      <c r="K1643" s="444" t="s">
        <v>8998</v>
      </c>
    </row>
    <row r="1644" customFormat="false" ht="12.8" hidden="false" customHeight="false" outlineLevel="0" collapsed="false">
      <c r="A1644" s="0" t="s">
        <v>9011</v>
      </c>
      <c r="B1644" s="0" t="s">
        <v>9012</v>
      </c>
      <c r="C1644" s="0" t="s">
        <v>283</v>
      </c>
      <c r="D1644" s="0" t="s">
        <v>5023</v>
      </c>
      <c r="E1644" s="0" t="s">
        <v>5024</v>
      </c>
      <c r="F1644" s="0" t="s">
        <v>5024</v>
      </c>
      <c r="G1644" s="0" t="s">
        <v>3278</v>
      </c>
      <c r="H1644" s="0" t="s">
        <v>3855</v>
      </c>
      <c r="I1644" s="0" t="s">
        <v>8996</v>
      </c>
      <c r="J1644" s="0" t="s">
        <v>8997</v>
      </c>
      <c r="K1644" s="444" t="s">
        <v>8998</v>
      </c>
    </row>
    <row r="1645" customFormat="false" ht="12.8" hidden="false" customHeight="false" outlineLevel="0" collapsed="false">
      <c r="A1645" s="0" t="s">
        <v>9013</v>
      </c>
      <c r="B1645" s="0" t="s">
        <v>9014</v>
      </c>
      <c r="C1645" s="0" t="s">
        <v>329</v>
      </c>
      <c r="D1645" s="0" t="s">
        <v>5023</v>
      </c>
      <c r="E1645" s="0" t="s">
        <v>5024</v>
      </c>
      <c r="F1645" s="0" t="s">
        <v>5024</v>
      </c>
      <c r="G1645" s="0" t="s">
        <v>3278</v>
      </c>
      <c r="H1645" s="0" t="s">
        <v>3855</v>
      </c>
      <c r="I1645" s="0" t="s">
        <v>9015</v>
      </c>
      <c r="J1645" s="0" t="s">
        <v>9016</v>
      </c>
      <c r="K1645" s="444" t="s">
        <v>9017</v>
      </c>
    </row>
    <row r="1646" customFormat="false" ht="12.8" hidden="false" customHeight="false" outlineLevel="0" collapsed="false">
      <c r="A1646" s="0" t="s">
        <v>9018</v>
      </c>
      <c r="B1646" s="0" t="s">
        <v>9019</v>
      </c>
      <c r="C1646" s="0" t="s">
        <v>390</v>
      </c>
      <c r="D1646" s="0" t="s">
        <v>5023</v>
      </c>
      <c r="E1646" s="0" t="s">
        <v>5024</v>
      </c>
      <c r="F1646" s="0" t="s">
        <v>5024</v>
      </c>
      <c r="G1646" s="0" t="s">
        <v>3278</v>
      </c>
      <c r="H1646" s="0" t="s">
        <v>3855</v>
      </c>
      <c r="I1646" s="0" t="s">
        <v>9020</v>
      </c>
      <c r="J1646" s="0" t="s">
        <v>9021</v>
      </c>
      <c r="K1646" s="444" t="s">
        <v>9022</v>
      </c>
    </row>
    <row r="1647" customFormat="false" ht="12.8" hidden="false" customHeight="false" outlineLevel="0" collapsed="false">
      <c r="A1647" s="0" t="s">
        <v>9023</v>
      </c>
      <c r="B1647" s="0" t="s">
        <v>9024</v>
      </c>
      <c r="C1647" s="0" t="s">
        <v>189</v>
      </c>
      <c r="D1647" s="0" t="s">
        <v>5023</v>
      </c>
      <c r="E1647" s="0" t="s">
        <v>5024</v>
      </c>
      <c r="F1647" s="0" t="s">
        <v>5024</v>
      </c>
      <c r="G1647" s="0" t="s">
        <v>3278</v>
      </c>
      <c r="H1647" s="0" t="s">
        <v>3855</v>
      </c>
      <c r="I1647" s="0" t="s">
        <v>9025</v>
      </c>
      <c r="J1647" s="0" t="s">
        <v>9026</v>
      </c>
      <c r="K1647" s="444" t="s">
        <v>9017</v>
      </c>
    </row>
    <row r="1648" customFormat="false" ht="12.8" hidden="false" customHeight="false" outlineLevel="0" collapsed="false">
      <c r="A1648" s="0" t="s">
        <v>9027</v>
      </c>
      <c r="B1648" s="0" t="s">
        <v>9028</v>
      </c>
      <c r="C1648" s="0" t="s">
        <v>158</v>
      </c>
      <c r="D1648" s="0" t="s">
        <v>5023</v>
      </c>
      <c r="E1648" s="0" t="s">
        <v>5024</v>
      </c>
      <c r="F1648" s="0" t="s">
        <v>5024</v>
      </c>
      <c r="G1648" s="0" t="s">
        <v>3278</v>
      </c>
      <c r="H1648" s="0" t="s">
        <v>3855</v>
      </c>
      <c r="I1648" s="0" t="s">
        <v>9029</v>
      </c>
      <c r="J1648" s="0" t="s">
        <v>9030</v>
      </c>
      <c r="K1648" s="444" t="s">
        <v>9022</v>
      </c>
    </row>
    <row r="1649" customFormat="false" ht="12.8" hidden="false" customHeight="false" outlineLevel="0" collapsed="false">
      <c r="A1649" s="0" t="s">
        <v>9031</v>
      </c>
      <c r="B1649" s="0" t="s">
        <v>9032</v>
      </c>
      <c r="C1649" s="0" t="s">
        <v>245</v>
      </c>
      <c r="D1649" s="0" t="s">
        <v>5061</v>
      </c>
      <c r="E1649" s="0" t="s">
        <v>5062</v>
      </c>
      <c r="F1649" s="0" t="s">
        <v>5062</v>
      </c>
      <c r="G1649" s="0" t="s">
        <v>458</v>
      </c>
      <c r="H1649" s="0" t="s">
        <v>781</v>
      </c>
      <c r="I1649" s="0" t="s">
        <v>9033</v>
      </c>
      <c r="J1649" s="0" t="s">
        <v>9034</v>
      </c>
      <c r="K1649" s="444" t="s">
        <v>7949</v>
      </c>
    </row>
    <row r="1650" customFormat="false" ht="12.8" hidden="false" customHeight="false" outlineLevel="0" collapsed="false">
      <c r="A1650" s="0" t="s">
        <v>9035</v>
      </c>
      <c r="B1650" s="0" t="s">
        <v>9036</v>
      </c>
      <c r="C1650" s="0" t="s">
        <v>245</v>
      </c>
      <c r="D1650" s="0" t="s">
        <v>5057</v>
      </c>
      <c r="E1650" s="0" t="s">
        <v>5058</v>
      </c>
      <c r="F1650" s="0" t="s">
        <v>5058</v>
      </c>
      <c r="G1650" s="0" t="s">
        <v>458</v>
      </c>
      <c r="H1650" s="0" t="s">
        <v>781</v>
      </c>
      <c r="I1650" s="0" t="s">
        <v>9033</v>
      </c>
      <c r="J1650" s="0" t="s">
        <v>9034</v>
      </c>
      <c r="K1650" s="444" t="s">
        <v>7949</v>
      </c>
    </row>
    <row r="1651" customFormat="false" ht="12.8" hidden="false" customHeight="false" outlineLevel="0" collapsed="false">
      <c r="A1651" s="0" t="s">
        <v>9037</v>
      </c>
      <c r="B1651" s="0" t="s">
        <v>9038</v>
      </c>
      <c r="C1651" s="0" t="s">
        <v>170</v>
      </c>
      <c r="D1651" s="0" t="s">
        <v>5061</v>
      </c>
      <c r="E1651" s="0" t="s">
        <v>5062</v>
      </c>
      <c r="F1651" s="0" t="s">
        <v>5062</v>
      </c>
      <c r="G1651" s="0" t="s">
        <v>458</v>
      </c>
      <c r="H1651" s="0" t="s">
        <v>643</v>
      </c>
      <c r="I1651" s="0" t="s">
        <v>9039</v>
      </c>
      <c r="J1651" s="0" t="s">
        <v>9040</v>
      </c>
      <c r="K1651" s="0" t="s">
        <v>9041</v>
      </c>
    </row>
    <row r="1652" customFormat="false" ht="12.8" hidden="false" customHeight="false" outlineLevel="0" collapsed="false">
      <c r="A1652" s="0" t="s">
        <v>9042</v>
      </c>
      <c r="B1652" s="0" t="s">
        <v>9043</v>
      </c>
      <c r="C1652" s="0" t="s">
        <v>170</v>
      </c>
      <c r="D1652" s="0" t="s">
        <v>5057</v>
      </c>
      <c r="E1652" s="0" t="s">
        <v>5058</v>
      </c>
      <c r="F1652" s="0" t="s">
        <v>5058</v>
      </c>
      <c r="G1652" s="0" t="s">
        <v>458</v>
      </c>
      <c r="H1652" s="0" t="s">
        <v>643</v>
      </c>
      <c r="I1652" s="0" t="s">
        <v>9039</v>
      </c>
      <c r="J1652" s="0" t="s">
        <v>9040</v>
      </c>
      <c r="K1652" s="0" t="s">
        <v>9041</v>
      </c>
    </row>
    <row r="1653" customFormat="false" ht="12.8" hidden="false" customHeight="false" outlineLevel="0" collapsed="false">
      <c r="A1653" s="0" t="s">
        <v>9044</v>
      </c>
      <c r="B1653" s="0" t="s">
        <v>9045</v>
      </c>
      <c r="C1653" s="0" t="s">
        <v>301</v>
      </c>
      <c r="D1653" s="0" t="s">
        <v>5061</v>
      </c>
      <c r="E1653" s="0" t="s">
        <v>5062</v>
      </c>
      <c r="F1653" s="0" t="s">
        <v>5062</v>
      </c>
      <c r="G1653" s="0" t="s">
        <v>458</v>
      </c>
      <c r="H1653" s="0" t="s">
        <v>781</v>
      </c>
      <c r="I1653" s="0" t="s">
        <v>9046</v>
      </c>
      <c r="J1653" s="0" t="s">
        <v>9047</v>
      </c>
      <c r="K1653" s="0" t="s">
        <v>7993</v>
      </c>
    </row>
    <row r="1654" customFormat="false" ht="12.8" hidden="false" customHeight="false" outlineLevel="0" collapsed="false">
      <c r="A1654" s="0" t="s">
        <v>9048</v>
      </c>
      <c r="B1654" s="0" t="s">
        <v>9049</v>
      </c>
      <c r="C1654" s="0" t="s">
        <v>301</v>
      </c>
      <c r="D1654" s="0" t="s">
        <v>5057</v>
      </c>
      <c r="E1654" s="0" t="s">
        <v>5058</v>
      </c>
      <c r="F1654" s="0" t="s">
        <v>5058</v>
      </c>
      <c r="G1654" s="0" t="s">
        <v>458</v>
      </c>
      <c r="H1654" s="0" t="s">
        <v>781</v>
      </c>
      <c r="I1654" s="0" t="s">
        <v>9046</v>
      </c>
      <c r="J1654" s="0" t="s">
        <v>9047</v>
      </c>
      <c r="K1654" s="0" t="s">
        <v>7993</v>
      </c>
    </row>
    <row r="1655" customFormat="false" ht="12.8" hidden="false" customHeight="false" outlineLevel="0" collapsed="false">
      <c r="A1655" s="0" t="s">
        <v>9050</v>
      </c>
      <c r="B1655" s="0" t="s">
        <v>9051</v>
      </c>
      <c r="C1655" s="0" t="s">
        <v>324</v>
      </c>
      <c r="D1655" s="0" t="s">
        <v>5061</v>
      </c>
      <c r="E1655" s="0" t="s">
        <v>5062</v>
      </c>
      <c r="F1655" s="0" t="s">
        <v>5062</v>
      </c>
      <c r="G1655" s="0" t="s">
        <v>458</v>
      </c>
      <c r="H1655" s="0" t="s">
        <v>643</v>
      </c>
      <c r="I1655" s="0" t="s">
        <v>9052</v>
      </c>
      <c r="J1655" s="0" t="s">
        <v>9053</v>
      </c>
      <c r="K1655" s="444" t="s">
        <v>9054</v>
      </c>
    </row>
    <row r="1656" customFormat="false" ht="12.8" hidden="false" customHeight="false" outlineLevel="0" collapsed="false">
      <c r="A1656" s="0" t="s">
        <v>9055</v>
      </c>
      <c r="B1656" s="0" t="s">
        <v>9056</v>
      </c>
      <c r="C1656" s="0" t="s">
        <v>324</v>
      </c>
      <c r="D1656" s="0" t="s">
        <v>5057</v>
      </c>
      <c r="E1656" s="0" t="s">
        <v>5058</v>
      </c>
      <c r="F1656" s="0" t="s">
        <v>5058</v>
      </c>
      <c r="G1656" s="0" t="s">
        <v>458</v>
      </c>
      <c r="H1656" s="0" t="s">
        <v>643</v>
      </c>
      <c r="I1656" s="0" t="s">
        <v>9052</v>
      </c>
      <c r="J1656" s="0" t="s">
        <v>9053</v>
      </c>
      <c r="K1656" s="444" t="s">
        <v>9054</v>
      </c>
    </row>
    <row r="1657" customFormat="false" ht="12.8" hidden="false" customHeight="false" outlineLevel="0" collapsed="false">
      <c r="A1657" s="0" t="s">
        <v>9057</v>
      </c>
      <c r="B1657" s="0" t="s">
        <v>9058</v>
      </c>
      <c r="C1657" s="0" t="s">
        <v>324</v>
      </c>
      <c r="D1657" s="0" t="s">
        <v>5023</v>
      </c>
      <c r="E1657" s="0" t="s">
        <v>5024</v>
      </c>
      <c r="F1657" s="0" t="s">
        <v>5024</v>
      </c>
      <c r="G1657" s="0" t="s">
        <v>458</v>
      </c>
      <c r="H1657" s="0" t="s">
        <v>643</v>
      </c>
      <c r="I1657" s="0" t="s">
        <v>9052</v>
      </c>
      <c r="J1657" s="0" t="s">
        <v>9053</v>
      </c>
      <c r="K1657" s="444" t="s">
        <v>9054</v>
      </c>
    </row>
    <row r="1658" customFormat="false" ht="12.8" hidden="false" customHeight="false" outlineLevel="0" collapsed="false">
      <c r="A1658" s="0" t="s">
        <v>9059</v>
      </c>
      <c r="B1658" s="0" t="s">
        <v>9060</v>
      </c>
      <c r="C1658" s="0" t="s">
        <v>324</v>
      </c>
      <c r="D1658" s="0" t="s">
        <v>5023</v>
      </c>
      <c r="E1658" s="0" t="s">
        <v>5024</v>
      </c>
      <c r="F1658" s="0" t="s">
        <v>5024</v>
      </c>
      <c r="G1658" s="0" t="s">
        <v>458</v>
      </c>
      <c r="H1658" s="0" t="s">
        <v>643</v>
      </c>
      <c r="I1658" s="0" t="s">
        <v>9052</v>
      </c>
      <c r="J1658" s="0" t="s">
        <v>9053</v>
      </c>
      <c r="K1658" s="444" t="s">
        <v>9054</v>
      </c>
    </row>
    <row r="1659" customFormat="false" ht="12.8" hidden="false" customHeight="false" outlineLevel="0" collapsed="false">
      <c r="A1659" s="0" t="s">
        <v>9061</v>
      </c>
      <c r="B1659" s="0" t="s">
        <v>9062</v>
      </c>
      <c r="C1659" s="0" t="s">
        <v>324</v>
      </c>
      <c r="D1659" s="0" t="s">
        <v>5023</v>
      </c>
      <c r="E1659" s="0" t="s">
        <v>5024</v>
      </c>
      <c r="F1659" s="0" t="s">
        <v>5024</v>
      </c>
      <c r="G1659" s="0" t="s">
        <v>458</v>
      </c>
      <c r="H1659" s="0" t="s">
        <v>643</v>
      </c>
      <c r="I1659" s="0" t="s">
        <v>9052</v>
      </c>
      <c r="J1659" s="0" t="s">
        <v>9053</v>
      </c>
      <c r="K1659" s="444" t="s">
        <v>9054</v>
      </c>
    </row>
    <row r="1660" customFormat="false" ht="12.8" hidden="false" customHeight="false" outlineLevel="0" collapsed="false">
      <c r="A1660" s="0" t="s">
        <v>9063</v>
      </c>
      <c r="B1660" s="0" t="s">
        <v>9064</v>
      </c>
      <c r="C1660" s="0" t="s">
        <v>324</v>
      </c>
      <c r="D1660" s="0" t="s">
        <v>5023</v>
      </c>
      <c r="E1660" s="0" t="s">
        <v>5024</v>
      </c>
      <c r="F1660" s="0" t="s">
        <v>5024</v>
      </c>
      <c r="G1660" s="0" t="s">
        <v>458</v>
      </c>
      <c r="H1660" s="0" t="s">
        <v>643</v>
      </c>
      <c r="I1660" s="0" t="s">
        <v>9052</v>
      </c>
      <c r="J1660" s="0" t="s">
        <v>9053</v>
      </c>
      <c r="K1660" s="444" t="s">
        <v>9054</v>
      </c>
    </row>
    <row r="1661" customFormat="false" ht="12.8" hidden="false" customHeight="false" outlineLevel="0" collapsed="false">
      <c r="A1661" s="0" t="s">
        <v>9065</v>
      </c>
      <c r="B1661" s="0" t="s">
        <v>9066</v>
      </c>
      <c r="C1661" s="0" t="s">
        <v>247</v>
      </c>
      <c r="D1661" s="0" t="s">
        <v>5061</v>
      </c>
      <c r="E1661" s="0" t="s">
        <v>5062</v>
      </c>
      <c r="F1661" s="0" t="s">
        <v>5062</v>
      </c>
      <c r="G1661" s="0" t="s">
        <v>458</v>
      </c>
      <c r="H1661" s="0" t="s">
        <v>643</v>
      </c>
      <c r="I1661" s="0" t="s">
        <v>9067</v>
      </c>
      <c r="J1661" s="0" t="s">
        <v>9068</v>
      </c>
      <c r="K1661" s="0" t="s">
        <v>7993</v>
      </c>
    </row>
    <row r="1662" customFormat="false" ht="12.8" hidden="false" customHeight="false" outlineLevel="0" collapsed="false">
      <c r="A1662" s="0" t="s">
        <v>9069</v>
      </c>
      <c r="B1662" s="0" t="s">
        <v>9070</v>
      </c>
      <c r="C1662" s="0" t="s">
        <v>247</v>
      </c>
      <c r="D1662" s="0" t="s">
        <v>5057</v>
      </c>
      <c r="E1662" s="0" t="s">
        <v>5058</v>
      </c>
      <c r="F1662" s="0" t="s">
        <v>5058</v>
      </c>
      <c r="G1662" s="0" t="s">
        <v>458</v>
      </c>
      <c r="H1662" s="0" t="s">
        <v>643</v>
      </c>
      <c r="I1662" s="0" t="s">
        <v>9067</v>
      </c>
      <c r="J1662" s="0" t="s">
        <v>9068</v>
      </c>
      <c r="K1662" s="0" t="s">
        <v>7993</v>
      </c>
    </row>
    <row r="1663" customFormat="false" ht="12.8" hidden="false" customHeight="false" outlineLevel="0" collapsed="false">
      <c r="A1663" s="0" t="s">
        <v>9071</v>
      </c>
      <c r="B1663" s="0" t="s">
        <v>9072</v>
      </c>
      <c r="C1663" s="0" t="s">
        <v>247</v>
      </c>
      <c r="D1663" s="0" t="s">
        <v>5023</v>
      </c>
      <c r="E1663" s="0" t="s">
        <v>5024</v>
      </c>
      <c r="F1663" s="0" t="s">
        <v>5024</v>
      </c>
      <c r="G1663" s="0" t="s">
        <v>458</v>
      </c>
      <c r="H1663" s="0" t="s">
        <v>643</v>
      </c>
      <c r="I1663" s="0" t="s">
        <v>9067</v>
      </c>
      <c r="J1663" s="0" t="s">
        <v>9068</v>
      </c>
      <c r="K1663" s="0" t="s">
        <v>7993</v>
      </c>
    </row>
    <row r="1664" customFormat="false" ht="12.8" hidden="false" customHeight="false" outlineLevel="0" collapsed="false">
      <c r="A1664" s="0" t="s">
        <v>9073</v>
      </c>
      <c r="B1664" s="0" t="s">
        <v>9074</v>
      </c>
      <c r="C1664" s="0" t="s">
        <v>161</v>
      </c>
      <c r="D1664" s="0" t="s">
        <v>5061</v>
      </c>
      <c r="E1664" s="0" t="s">
        <v>5062</v>
      </c>
      <c r="F1664" s="0" t="s">
        <v>5062</v>
      </c>
      <c r="G1664" s="0" t="s">
        <v>458</v>
      </c>
      <c r="H1664" s="0" t="s">
        <v>643</v>
      </c>
      <c r="I1664" s="0" t="s">
        <v>9075</v>
      </c>
      <c r="J1664" s="0" t="s">
        <v>9076</v>
      </c>
      <c r="K1664" s="0" t="s">
        <v>7993</v>
      </c>
    </row>
    <row r="1665" customFormat="false" ht="12.8" hidden="false" customHeight="false" outlineLevel="0" collapsed="false">
      <c r="A1665" s="0" t="s">
        <v>9077</v>
      </c>
      <c r="B1665" s="0" t="s">
        <v>9078</v>
      </c>
      <c r="C1665" s="0" t="s">
        <v>130</v>
      </c>
      <c r="D1665" s="0" t="s">
        <v>5061</v>
      </c>
      <c r="E1665" s="0" t="s">
        <v>5062</v>
      </c>
      <c r="F1665" s="0" t="s">
        <v>5062</v>
      </c>
      <c r="G1665" s="0" t="s">
        <v>458</v>
      </c>
      <c r="H1665" s="0" t="s">
        <v>643</v>
      </c>
      <c r="I1665" s="0" t="s">
        <v>9079</v>
      </c>
      <c r="J1665" s="0" t="s">
        <v>9080</v>
      </c>
      <c r="K1665" s="0" t="s">
        <v>8088</v>
      </c>
    </row>
    <row r="1666" customFormat="false" ht="12.8" hidden="false" customHeight="false" outlineLevel="0" collapsed="false">
      <c r="A1666" s="0" t="s">
        <v>9081</v>
      </c>
      <c r="B1666" s="0" t="s">
        <v>9082</v>
      </c>
      <c r="C1666" s="0" t="s">
        <v>130</v>
      </c>
      <c r="D1666" s="0" t="s">
        <v>5057</v>
      </c>
      <c r="E1666" s="0" t="s">
        <v>5058</v>
      </c>
      <c r="F1666" s="0" t="s">
        <v>5058</v>
      </c>
      <c r="G1666" s="0" t="s">
        <v>458</v>
      </c>
      <c r="H1666" s="0" t="s">
        <v>643</v>
      </c>
      <c r="I1666" s="0" t="s">
        <v>9079</v>
      </c>
      <c r="J1666" s="0" t="s">
        <v>9080</v>
      </c>
      <c r="K1666" s="0" t="s">
        <v>8088</v>
      </c>
    </row>
    <row r="1667" customFormat="false" ht="12.8" hidden="false" customHeight="false" outlineLevel="0" collapsed="false">
      <c r="A1667" s="0" t="s">
        <v>9083</v>
      </c>
      <c r="B1667" s="0" t="s">
        <v>9084</v>
      </c>
      <c r="C1667" s="0" t="s">
        <v>334</v>
      </c>
      <c r="D1667" s="0" t="s">
        <v>5061</v>
      </c>
      <c r="E1667" s="0" t="s">
        <v>5062</v>
      </c>
      <c r="F1667" s="0" t="s">
        <v>5062</v>
      </c>
      <c r="G1667" s="0" t="s">
        <v>458</v>
      </c>
      <c r="H1667" s="0" t="s">
        <v>1034</v>
      </c>
      <c r="I1667" s="0" t="s">
        <v>9085</v>
      </c>
      <c r="J1667" s="0" t="s">
        <v>9086</v>
      </c>
      <c r="K1667" s="444" t="s">
        <v>8146</v>
      </c>
    </row>
    <row r="1668" customFormat="false" ht="12.8" hidden="false" customHeight="false" outlineLevel="0" collapsed="false">
      <c r="A1668" s="0" t="s">
        <v>9087</v>
      </c>
      <c r="B1668" s="0" t="s">
        <v>9088</v>
      </c>
      <c r="C1668" s="0" t="s">
        <v>334</v>
      </c>
      <c r="D1668" s="0" t="s">
        <v>5057</v>
      </c>
      <c r="E1668" s="0" t="s">
        <v>5058</v>
      </c>
      <c r="F1668" s="0" t="s">
        <v>5058</v>
      </c>
      <c r="G1668" s="0" t="s">
        <v>458</v>
      </c>
      <c r="H1668" s="0" t="s">
        <v>1034</v>
      </c>
      <c r="I1668" s="0" t="s">
        <v>9085</v>
      </c>
      <c r="J1668" s="0" t="s">
        <v>9086</v>
      </c>
      <c r="K1668" s="444" t="s">
        <v>8146</v>
      </c>
    </row>
    <row r="1669" customFormat="false" ht="12.8" hidden="false" customHeight="false" outlineLevel="0" collapsed="false">
      <c r="A1669" s="0" t="s">
        <v>9089</v>
      </c>
      <c r="B1669" s="0" t="s">
        <v>9090</v>
      </c>
      <c r="C1669" s="0" t="s">
        <v>103</v>
      </c>
      <c r="D1669" s="0" t="s">
        <v>5061</v>
      </c>
      <c r="E1669" s="0" t="s">
        <v>5062</v>
      </c>
      <c r="F1669" s="0" t="s">
        <v>5062</v>
      </c>
      <c r="G1669" s="0" t="s">
        <v>458</v>
      </c>
      <c r="H1669" s="0" t="s">
        <v>1034</v>
      </c>
      <c r="I1669" s="0" t="s">
        <v>9091</v>
      </c>
      <c r="J1669" s="0" t="s">
        <v>9092</v>
      </c>
      <c r="K1669" s="444" t="s">
        <v>9093</v>
      </c>
    </row>
    <row r="1670" customFormat="false" ht="12.8" hidden="false" customHeight="false" outlineLevel="0" collapsed="false">
      <c r="A1670" s="0" t="s">
        <v>9094</v>
      </c>
      <c r="B1670" s="0" t="s">
        <v>9095</v>
      </c>
      <c r="C1670" s="0" t="s">
        <v>103</v>
      </c>
      <c r="D1670" s="0" t="s">
        <v>5057</v>
      </c>
      <c r="E1670" s="0" t="s">
        <v>5058</v>
      </c>
      <c r="F1670" s="0" t="s">
        <v>5058</v>
      </c>
      <c r="G1670" s="0" t="s">
        <v>458</v>
      </c>
      <c r="H1670" s="0" t="s">
        <v>1034</v>
      </c>
      <c r="I1670" s="0" t="s">
        <v>9091</v>
      </c>
      <c r="J1670" s="0" t="s">
        <v>9092</v>
      </c>
      <c r="K1670" s="444" t="s">
        <v>9093</v>
      </c>
    </row>
    <row r="1671" customFormat="false" ht="12.8" hidden="false" customHeight="false" outlineLevel="0" collapsed="false">
      <c r="A1671" s="0" t="s">
        <v>9096</v>
      </c>
      <c r="B1671" s="0" t="s">
        <v>9097</v>
      </c>
      <c r="C1671" s="0" t="s">
        <v>16</v>
      </c>
      <c r="D1671" s="0" t="s">
        <v>5061</v>
      </c>
      <c r="E1671" s="0" t="s">
        <v>5062</v>
      </c>
      <c r="F1671" s="0" t="s">
        <v>5062</v>
      </c>
      <c r="G1671" s="0" t="s">
        <v>458</v>
      </c>
      <c r="H1671" s="0" t="s">
        <v>1097</v>
      </c>
      <c r="I1671" s="0" t="s">
        <v>9098</v>
      </c>
      <c r="J1671" s="0" t="s">
        <v>9099</v>
      </c>
      <c r="K1671" s="0" t="s">
        <v>7993</v>
      </c>
    </row>
    <row r="1672" customFormat="false" ht="12.8" hidden="false" customHeight="false" outlineLevel="0" collapsed="false">
      <c r="A1672" s="0" t="s">
        <v>9100</v>
      </c>
      <c r="B1672" s="0" t="s">
        <v>9101</v>
      </c>
      <c r="C1672" s="0" t="s">
        <v>16</v>
      </c>
      <c r="D1672" s="0" t="s">
        <v>5057</v>
      </c>
      <c r="E1672" s="0" t="s">
        <v>5058</v>
      </c>
      <c r="F1672" s="0" t="s">
        <v>5058</v>
      </c>
      <c r="G1672" s="0" t="s">
        <v>458</v>
      </c>
      <c r="H1672" s="0" t="s">
        <v>1097</v>
      </c>
      <c r="I1672" s="0" t="s">
        <v>9098</v>
      </c>
      <c r="J1672" s="0" t="s">
        <v>9099</v>
      </c>
      <c r="K1672" s="0" t="s">
        <v>7993</v>
      </c>
    </row>
    <row r="1673" customFormat="false" ht="12.8" hidden="false" customHeight="false" outlineLevel="0" collapsed="false">
      <c r="A1673" s="0" t="s">
        <v>9102</v>
      </c>
      <c r="B1673" s="0" t="s">
        <v>9103</v>
      </c>
      <c r="C1673" s="0" t="s">
        <v>227</v>
      </c>
      <c r="D1673" s="0" t="s">
        <v>5061</v>
      </c>
      <c r="E1673" s="0" t="s">
        <v>5062</v>
      </c>
      <c r="F1673" s="0" t="s">
        <v>5062</v>
      </c>
      <c r="G1673" s="0" t="s">
        <v>458</v>
      </c>
      <c r="H1673" s="0" t="s">
        <v>1034</v>
      </c>
      <c r="I1673" s="0" t="s">
        <v>9104</v>
      </c>
      <c r="J1673" s="0" t="s">
        <v>9105</v>
      </c>
      <c r="K1673" s="444" t="s">
        <v>9093</v>
      </c>
    </row>
    <row r="1674" customFormat="false" ht="12.8" hidden="false" customHeight="false" outlineLevel="0" collapsed="false">
      <c r="A1674" s="0" t="s">
        <v>9106</v>
      </c>
      <c r="B1674" s="0" t="s">
        <v>9107</v>
      </c>
      <c r="C1674" s="0" t="s">
        <v>227</v>
      </c>
      <c r="D1674" s="0" t="s">
        <v>5057</v>
      </c>
      <c r="E1674" s="0" t="s">
        <v>5058</v>
      </c>
      <c r="F1674" s="0" t="s">
        <v>5058</v>
      </c>
      <c r="G1674" s="0" t="s">
        <v>458</v>
      </c>
      <c r="H1674" s="0" t="s">
        <v>1034</v>
      </c>
      <c r="I1674" s="0" t="s">
        <v>9104</v>
      </c>
      <c r="J1674" s="0" t="s">
        <v>9105</v>
      </c>
      <c r="K1674" s="444" t="s">
        <v>9093</v>
      </c>
    </row>
    <row r="1675" customFormat="false" ht="12.8" hidden="false" customHeight="false" outlineLevel="0" collapsed="false">
      <c r="A1675" s="0" t="s">
        <v>9108</v>
      </c>
      <c r="B1675" s="0" t="s">
        <v>9109</v>
      </c>
      <c r="C1675" s="0" t="s">
        <v>306</v>
      </c>
      <c r="D1675" s="0" t="s">
        <v>5061</v>
      </c>
      <c r="E1675" s="0" t="s">
        <v>5062</v>
      </c>
      <c r="F1675" s="0" t="s">
        <v>5062</v>
      </c>
      <c r="G1675" s="0" t="s">
        <v>458</v>
      </c>
      <c r="H1675" s="0" t="s">
        <v>1097</v>
      </c>
      <c r="I1675" s="0" t="s">
        <v>9110</v>
      </c>
      <c r="J1675" s="0" t="s">
        <v>9111</v>
      </c>
      <c r="K1675" s="444" t="s">
        <v>9112</v>
      </c>
    </row>
    <row r="1676" customFormat="false" ht="12.8" hidden="false" customHeight="false" outlineLevel="0" collapsed="false">
      <c r="A1676" s="0" t="s">
        <v>9113</v>
      </c>
      <c r="B1676" s="0" t="s">
        <v>9114</v>
      </c>
      <c r="C1676" s="0" t="s">
        <v>306</v>
      </c>
      <c r="D1676" s="0" t="s">
        <v>5023</v>
      </c>
      <c r="E1676" s="0" t="s">
        <v>5024</v>
      </c>
      <c r="F1676" s="0" t="s">
        <v>5024</v>
      </c>
      <c r="G1676" s="0" t="s">
        <v>458</v>
      </c>
      <c r="H1676" s="0" t="s">
        <v>1097</v>
      </c>
      <c r="I1676" s="0" t="s">
        <v>9110</v>
      </c>
      <c r="J1676" s="0" t="s">
        <v>9111</v>
      </c>
      <c r="K1676" s="444" t="s">
        <v>9112</v>
      </c>
    </row>
    <row r="1677" customFormat="false" ht="12.8" hidden="false" customHeight="false" outlineLevel="0" collapsed="false">
      <c r="A1677" s="0" t="s">
        <v>9115</v>
      </c>
      <c r="B1677" s="0" t="s">
        <v>9116</v>
      </c>
      <c r="C1677" s="0" t="s">
        <v>306</v>
      </c>
      <c r="D1677" s="0" t="s">
        <v>5023</v>
      </c>
      <c r="E1677" s="0" t="s">
        <v>5024</v>
      </c>
      <c r="F1677" s="0" t="s">
        <v>5024</v>
      </c>
      <c r="G1677" s="0" t="s">
        <v>458</v>
      </c>
      <c r="H1677" s="0" t="s">
        <v>1097</v>
      </c>
      <c r="I1677" s="0" t="s">
        <v>9110</v>
      </c>
      <c r="J1677" s="0" t="s">
        <v>9111</v>
      </c>
      <c r="K1677" s="444" t="s">
        <v>9112</v>
      </c>
    </row>
    <row r="1678" customFormat="false" ht="12.8" hidden="false" customHeight="false" outlineLevel="0" collapsed="false">
      <c r="A1678" s="0" t="s">
        <v>9117</v>
      </c>
      <c r="B1678" s="0" t="s">
        <v>9118</v>
      </c>
      <c r="C1678" s="0" t="s">
        <v>306</v>
      </c>
      <c r="D1678" s="0" t="s">
        <v>5023</v>
      </c>
      <c r="E1678" s="0" t="s">
        <v>5024</v>
      </c>
      <c r="F1678" s="0" t="s">
        <v>5024</v>
      </c>
      <c r="G1678" s="0" t="s">
        <v>458</v>
      </c>
      <c r="H1678" s="0" t="s">
        <v>1097</v>
      </c>
      <c r="I1678" s="0" t="s">
        <v>9110</v>
      </c>
      <c r="J1678" s="0" t="s">
        <v>9111</v>
      </c>
      <c r="K1678" s="444" t="s">
        <v>9112</v>
      </c>
    </row>
    <row r="1679" customFormat="false" ht="12.8" hidden="false" customHeight="false" outlineLevel="0" collapsed="false">
      <c r="A1679" s="0" t="s">
        <v>9119</v>
      </c>
      <c r="B1679" s="0" t="s">
        <v>9120</v>
      </c>
      <c r="C1679" s="0" t="s">
        <v>306</v>
      </c>
      <c r="D1679" s="0" t="s">
        <v>5023</v>
      </c>
      <c r="E1679" s="0" t="s">
        <v>5024</v>
      </c>
      <c r="F1679" s="0" t="s">
        <v>5024</v>
      </c>
      <c r="G1679" s="0" t="s">
        <v>458</v>
      </c>
      <c r="H1679" s="0" t="s">
        <v>1097</v>
      </c>
      <c r="I1679" s="0" t="s">
        <v>9110</v>
      </c>
      <c r="J1679" s="0" t="s">
        <v>9111</v>
      </c>
      <c r="K1679" s="444" t="s">
        <v>9112</v>
      </c>
    </row>
    <row r="1680" customFormat="false" ht="12.8" hidden="false" customHeight="false" outlineLevel="0" collapsed="false">
      <c r="A1680" s="0" t="s">
        <v>9121</v>
      </c>
      <c r="B1680" s="0" t="s">
        <v>9122</v>
      </c>
      <c r="C1680" s="0" t="s">
        <v>8</v>
      </c>
      <c r="D1680" s="0" t="s">
        <v>5061</v>
      </c>
      <c r="E1680" s="0" t="s">
        <v>5062</v>
      </c>
      <c r="F1680" s="0" t="s">
        <v>5062</v>
      </c>
      <c r="G1680" s="0" t="s">
        <v>458</v>
      </c>
      <c r="H1680" s="0" t="s">
        <v>1097</v>
      </c>
      <c r="I1680" s="0" t="s">
        <v>9123</v>
      </c>
      <c r="J1680" s="0" t="s">
        <v>9124</v>
      </c>
      <c r="K1680" s="0" t="s">
        <v>7993</v>
      </c>
    </row>
    <row r="1681" customFormat="false" ht="12.8" hidden="false" customHeight="false" outlineLevel="0" collapsed="false">
      <c r="A1681" s="0" t="s">
        <v>9125</v>
      </c>
      <c r="B1681" s="0" t="s">
        <v>9126</v>
      </c>
      <c r="C1681" s="0" t="s">
        <v>8</v>
      </c>
      <c r="D1681" s="0" t="s">
        <v>5057</v>
      </c>
      <c r="E1681" s="0" t="s">
        <v>5058</v>
      </c>
      <c r="F1681" s="0" t="s">
        <v>5058</v>
      </c>
      <c r="G1681" s="0" t="s">
        <v>458</v>
      </c>
      <c r="H1681" s="0" t="s">
        <v>1097</v>
      </c>
      <c r="I1681" s="0" t="s">
        <v>9123</v>
      </c>
      <c r="J1681" s="0" t="s">
        <v>9124</v>
      </c>
      <c r="K1681" s="0" t="s">
        <v>7993</v>
      </c>
    </row>
    <row r="1682" customFormat="false" ht="12.8" hidden="false" customHeight="false" outlineLevel="0" collapsed="false">
      <c r="A1682" s="0" t="s">
        <v>9127</v>
      </c>
      <c r="B1682" s="0" t="s">
        <v>9128</v>
      </c>
      <c r="C1682" s="0" t="s">
        <v>53</v>
      </c>
      <c r="D1682" s="0" t="s">
        <v>5061</v>
      </c>
      <c r="E1682" s="0" t="s">
        <v>5062</v>
      </c>
      <c r="F1682" s="0" t="s">
        <v>5062</v>
      </c>
      <c r="G1682" s="0" t="s">
        <v>458</v>
      </c>
      <c r="H1682" s="0" t="s">
        <v>902</v>
      </c>
      <c r="I1682" s="0" t="s">
        <v>9129</v>
      </c>
      <c r="J1682" s="0" t="s">
        <v>9130</v>
      </c>
      <c r="K1682" s="0" t="s">
        <v>7993</v>
      </c>
    </row>
    <row r="1683" customFormat="false" ht="12.8" hidden="false" customHeight="false" outlineLevel="0" collapsed="false">
      <c r="A1683" s="0" t="s">
        <v>9131</v>
      </c>
      <c r="B1683" s="0" t="s">
        <v>9132</v>
      </c>
      <c r="C1683" s="0" t="s">
        <v>53</v>
      </c>
      <c r="D1683" s="0" t="s">
        <v>5057</v>
      </c>
      <c r="E1683" s="0" t="s">
        <v>5058</v>
      </c>
      <c r="F1683" s="0" t="s">
        <v>5058</v>
      </c>
      <c r="G1683" s="0" t="s">
        <v>458</v>
      </c>
      <c r="H1683" s="0" t="s">
        <v>902</v>
      </c>
      <c r="I1683" s="0" t="s">
        <v>9129</v>
      </c>
      <c r="J1683" s="0" t="s">
        <v>9130</v>
      </c>
      <c r="K1683" s="0" t="s">
        <v>7993</v>
      </c>
    </row>
    <row r="1684" customFormat="false" ht="12.8" hidden="false" customHeight="false" outlineLevel="0" collapsed="false">
      <c r="A1684" s="0" t="s">
        <v>9133</v>
      </c>
      <c r="B1684" s="0" t="s">
        <v>9134</v>
      </c>
      <c r="C1684" s="0" t="s">
        <v>354</v>
      </c>
      <c r="D1684" s="0" t="s">
        <v>5061</v>
      </c>
      <c r="E1684" s="0" t="s">
        <v>5062</v>
      </c>
      <c r="F1684" s="0" t="s">
        <v>5062</v>
      </c>
      <c r="G1684" s="0" t="s">
        <v>3278</v>
      </c>
      <c r="H1684" s="0" t="s">
        <v>3741</v>
      </c>
      <c r="I1684" s="0" t="s">
        <v>9135</v>
      </c>
      <c r="J1684" s="0" t="s">
        <v>9136</v>
      </c>
      <c r="K1684" s="0" t="s">
        <v>7993</v>
      </c>
    </row>
    <row r="1685" customFormat="false" ht="12.8" hidden="false" customHeight="false" outlineLevel="0" collapsed="false">
      <c r="A1685" s="0" t="s">
        <v>9137</v>
      </c>
      <c r="B1685" s="0" t="s">
        <v>9138</v>
      </c>
      <c r="C1685" s="0" t="s">
        <v>354</v>
      </c>
      <c r="D1685" s="0" t="s">
        <v>5023</v>
      </c>
      <c r="E1685" s="0" t="s">
        <v>5024</v>
      </c>
      <c r="F1685" s="0" t="s">
        <v>5024</v>
      </c>
      <c r="G1685" s="0" t="s">
        <v>3278</v>
      </c>
      <c r="H1685" s="0" t="s">
        <v>3741</v>
      </c>
      <c r="I1685" s="0" t="s">
        <v>9135</v>
      </c>
      <c r="J1685" s="0" t="s">
        <v>9136</v>
      </c>
      <c r="K1685" s="0" t="s">
        <v>7993</v>
      </c>
    </row>
    <row r="1686" customFormat="false" ht="12.8" hidden="false" customHeight="false" outlineLevel="0" collapsed="false">
      <c r="A1686" s="0" t="s">
        <v>9139</v>
      </c>
      <c r="B1686" s="0" t="s">
        <v>9140</v>
      </c>
      <c r="C1686" s="0" t="s">
        <v>354</v>
      </c>
      <c r="D1686" s="0" t="s">
        <v>5057</v>
      </c>
      <c r="E1686" s="0" t="s">
        <v>5058</v>
      </c>
      <c r="F1686" s="0" t="s">
        <v>5058</v>
      </c>
      <c r="G1686" s="0" t="s">
        <v>3278</v>
      </c>
      <c r="H1686" s="0" t="s">
        <v>3741</v>
      </c>
      <c r="I1686" s="0" t="s">
        <v>9135</v>
      </c>
      <c r="J1686" s="0" t="s">
        <v>9136</v>
      </c>
      <c r="K1686" s="0" t="s">
        <v>7993</v>
      </c>
    </row>
    <row r="1687" customFormat="false" ht="12.8" hidden="false" customHeight="false" outlineLevel="0" collapsed="false">
      <c r="A1687" s="0" t="s">
        <v>9141</v>
      </c>
      <c r="B1687" s="0" t="s">
        <v>9142</v>
      </c>
      <c r="C1687" s="0" t="s">
        <v>114</v>
      </c>
      <c r="D1687" s="0" t="s">
        <v>9143</v>
      </c>
      <c r="E1687" s="0" t="s">
        <v>5058</v>
      </c>
      <c r="F1687" s="0" t="s">
        <v>5058</v>
      </c>
      <c r="G1687" s="0" t="s">
        <v>2515</v>
      </c>
      <c r="H1687" s="0" t="s">
        <v>2755</v>
      </c>
      <c r="I1687" s="0" t="s">
        <v>9144</v>
      </c>
      <c r="J1687" s="0" t="s">
        <v>9145</v>
      </c>
      <c r="K1687" s="444" t="s">
        <v>9146</v>
      </c>
    </row>
    <row r="1688" customFormat="false" ht="12.8" hidden="false" customHeight="false" outlineLevel="0" collapsed="false">
      <c r="A1688" s="0" t="s">
        <v>9147</v>
      </c>
      <c r="B1688" s="0" t="s">
        <v>9148</v>
      </c>
      <c r="C1688" s="0" t="s">
        <v>34</v>
      </c>
      <c r="D1688" s="0" t="s">
        <v>5061</v>
      </c>
      <c r="E1688" s="0" t="s">
        <v>5062</v>
      </c>
      <c r="F1688" s="0" t="s">
        <v>5062</v>
      </c>
      <c r="G1688" s="0" t="s">
        <v>2515</v>
      </c>
      <c r="H1688" s="0" t="s">
        <v>2645</v>
      </c>
      <c r="I1688" s="0" t="s">
        <v>9149</v>
      </c>
      <c r="J1688" s="0" t="s">
        <v>9150</v>
      </c>
      <c r="K1688" s="0" t="s">
        <v>7993</v>
      </c>
    </row>
    <row r="1689" customFormat="false" ht="12.8" hidden="false" customHeight="false" outlineLevel="0" collapsed="false">
      <c r="A1689" s="0" t="s">
        <v>9151</v>
      </c>
      <c r="B1689" s="0" t="s">
        <v>9152</v>
      </c>
      <c r="C1689" s="0" t="s">
        <v>34</v>
      </c>
      <c r="D1689" s="0" t="s">
        <v>5057</v>
      </c>
      <c r="E1689" s="0" t="s">
        <v>5058</v>
      </c>
      <c r="F1689" s="0" t="s">
        <v>5058</v>
      </c>
      <c r="G1689" s="0" t="s">
        <v>2515</v>
      </c>
      <c r="H1689" s="0" t="s">
        <v>2645</v>
      </c>
      <c r="I1689" s="0" t="s">
        <v>9149</v>
      </c>
      <c r="J1689" s="0" t="s">
        <v>9150</v>
      </c>
      <c r="K1689" s="0" t="s">
        <v>7993</v>
      </c>
    </row>
    <row r="1690" customFormat="false" ht="12.8" hidden="false" customHeight="false" outlineLevel="0" collapsed="false">
      <c r="A1690" s="0" t="s">
        <v>9153</v>
      </c>
      <c r="B1690" s="0" t="s">
        <v>9154</v>
      </c>
      <c r="C1690" s="0" t="s">
        <v>34</v>
      </c>
      <c r="D1690" s="0" t="s">
        <v>5023</v>
      </c>
      <c r="E1690" s="0" t="s">
        <v>5024</v>
      </c>
      <c r="F1690" s="0" t="s">
        <v>5024</v>
      </c>
      <c r="G1690" s="0" t="s">
        <v>2515</v>
      </c>
      <c r="H1690" s="0" t="s">
        <v>2645</v>
      </c>
      <c r="I1690" s="0" t="s">
        <v>9149</v>
      </c>
      <c r="J1690" s="0" t="s">
        <v>9150</v>
      </c>
      <c r="K1690" s="0" t="s">
        <v>7993</v>
      </c>
    </row>
    <row r="1691" customFormat="false" ht="12.8" hidden="false" customHeight="false" outlineLevel="0" collapsed="false">
      <c r="A1691" s="0" t="s">
        <v>9155</v>
      </c>
      <c r="B1691" s="0" t="s">
        <v>9156</v>
      </c>
      <c r="C1691" s="0" t="s">
        <v>304</v>
      </c>
      <c r="D1691" s="0" t="s">
        <v>5061</v>
      </c>
      <c r="E1691" s="0" t="s">
        <v>5062</v>
      </c>
      <c r="F1691" s="0" t="s">
        <v>5062</v>
      </c>
      <c r="G1691" s="0" t="s">
        <v>2515</v>
      </c>
      <c r="H1691" s="0" t="s">
        <v>2645</v>
      </c>
      <c r="I1691" s="0" t="s">
        <v>9157</v>
      </c>
      <c r="J1691" s="0" t="s">
        <v>9158</v>
      </c>
      <c r="K1691" s="0" t="s">
        <v>7993</v>
      </c>
    </row>
    <row r="1692" customFormat="false" ht="12.8" hidden="false" customHeight="false" outlineLevel="0" collapsed="false">
      <c r="A1692" s="0" t="s">
        <v>9159</v>
      </c>
      <c r="B1692" s="0" t="s">
        <v>9160</v>
      </c>
      <c r="C1692" s="0" t="s">
        <v>304</v>
      </c>
      <c r="D1692" s="0" t="s">
        <v>5057</v>
      </c>
      <c r="E1692" s="0" t="s">
        <v>5058</v>
      </c>
      <c r="F1692" s="0" t="s">
        <v>5058</v>
      </c>
      <c r="G1692" s="0" t="s">
        <v>2515</v>
      </c>
      <c r="H1692" s="0" t="s">
        <v>2645</v>
      </c>
      <c r="I1692" s="0" t="s">
        <v>9157</v>
      </c>
      <c r="J1692" s="0" t="s">
        <v>9158</v>
      </c>
      <c r="K1692" s="0" t="s">
        <v>7993</v>
      </c>
    </row>
    <row r="1693" customFormat="false" ht="12.8" hidden="false" customHeight="false" outlineLevel="0" collapsed="false">
      <c r="A1693" s="0" t="s">
        <v>9161</v>
      </c>
      <c r="B1693" s="0" t="s">
        <v>9162</v>
      </c>
      <c r="C1693" s="0" t="s">
        <v>304</v>
      </c>
      <c r="D1693" s="0" t="s">
        <v>5023</v>
      </c>
      <c r="E1693" s="0" t="s">
        <v>5024</v>
      </c>
      <c r="F1693" s="0" t="s">
        <v>5024</v>
      </c>
      <c r="G1693" s="0" t="s">
        <v>2515</v>
      </c>
      <c r="H1693" s="0" t="s">
        <v>2645</v>
      </c>
      <c r="I1693" s="0" t="s">
        <v>9157</v>
      </c>
      <c r="J1693" s="0" t="s">
        <v>9158</v>
      </c>
      <c r="K1693" s="0" t="s">
        <v>7993</v>
      </c>
    </row>
    <row r="1694" customFormat="false" ht="12.8" hidden="false" customHeight="false" outlineLevel="0" collapsed="false">
      <c r="A1694" s="0" t="s">
        <v>9163</v>
      </c>
      <c r="B1694" s="0" t="s">
        <v>9164</v>
      </c>
      <c r="C1694" s="0" t="s">
        <v>304</v>
      </c>
      <c r="D1694" s="0" t="s">
        <v>5023</v>
      </c>
      <c r="E1694" s="0" t="s">
        <v>5024</v>
      </c>
      <c r="F1694" s="0" t="s">
        <v>5024</v>
      </c>
      <c r="G1694" s="0" t="s">
        <v>2515</v>
      </c>
      <c r="H1694" s="0" t="s">
        <v>2645</v>
      </c>
      <c r="I1694" s="0" t="s">
        <v>9157</v>
      </c>
      <c r="J1694" s="0" t="s">
        <v>9158</v>
      </c>
      <c r="K1694" s="0" t="s">
        <v>7993</v>
      </c>
    </row>
    <row r="1695" customFormat="false" ht="12.8" hidden="false" customHeight="false" outlineLevel="0" collapsed="false">
      <c r="A1695" s="0" t="s">
        <v>9165</v>
      </c>
      <c r="B1695" s="0" t="s">
        <v>9166</v>
      </c>
      <c r="C1695" s="0" t="s">
        <v>304</v>
      </c>
      <c r="D1695" s="0" t="s">
        <v>5023</v>
      </c>
      <c r="E1695" s="0" t="s">
        <v>5024</v>
      </c>
      <c r="F1695" s="0" t="s">
        <v>5024</v>
      </c>
      <c r="G1695" s="0" t="s">
        <v>2515</v>
      </c>
      <c r="H1695" s="0" t="s">
        <v>2645</v>
      </c>
      <c r="I1695" s="0" t="s">
        <v>9157</v>
      </c>
      <c r="J1695" s="0" t="s">
        <v>9158</v>
      </c>
      <c r="K1695" s="0" t="s">
        <v>7993</v>
      </c>
    </row>
    <row r="1696" customFormat="false" ht="12.8" hidden="false" customHeight="false" outlineLevel="0" collapsed="false">
      <c r="A1696" s="0" t="s">
        <v>9167</v>
      </c>
      <c r="B1696" s="0" t="s">
        <v>9168</v>
      </c>
      <c r="C1696" s="0" t="s">
        <v>35</v>
      </c>
      <c r="D1696" s="0" t="s">
        <v>5061</v>
      </c>
      <c r="E1696" s="0" t="s">
        <v>5062</v>
      </c>
      <c r="F1696" s="0" t="s">
        <v>5062</v>
      </c>
      <c r="G1696" s="0" t="s">
        <v>2515</v>
      </c>
      <c r="H1696" s="0" t="s">
        <v>2862</v>
      </c>
      <c r="I1696" s="0" t="s">
        <v>9169</v>
      </c>
      <c r="J1696" s="0" t="s">
        <v>9170</v>
      </c>
      <c r="K1696" s="0" t="s">
        <v>7993</v>
      </c>
    </row>
    <row r="1697" customFormat="false" ht="12.8" hidden="false" customHeight="false" outlineLevel="0" collapsed="false">
      <c r="A1697" s="0" t="s">
        <v>9171</v>
      </c>
      <c r="B1697" s="0" t="s">
        <v>9172</v>
      </c>
      <c r="C1697" s="0" t="s">
        <v>35</v>
      </c>
      <c r="D1697" s="0" t="s">
        <v>5023</v>
      </c>
      <c r="E1697" s="0" t="s">
        <v>5024</v>
      </c>
      <c r="F1697" s="0" t="s">
        <v>5024</v>
      </c>
      <c r="G1697" s="0" t="s">
        <v>2515</v>
      </c>
      <c r="H1697" s="0" t="s">
        <v>2862</v>
      </c>
      <c r="I1697" s="0" t="s">
        <v>9169</v>
      </c>
      <c r="J1697" s="0" t="s">
        <v>9170</v>
      </c>
      <c r="K1697" s="0" t="s">
        <v>7993</v>
      </c>
    </row>
    <row r="1698" customFormat="false" ht="12.8" hidden="false" customHeight="false" outlineLevel="0" collapsed="false">
      <c r="A1698" s="0" t="s">
        <v>9173</v>
      </c>
      <c r="B1698" s="0" t="s">
        <v>9174</v>
      </c>
      <c r="C1698" s="0" t="s">
        <v>35</v>
      </c>
      <c r="D1698" s="0" t="s">
        <v>5057</v>
      </c>
      <c r="E1698" s="0" t="s">
        <v>5058</v>
      </c>
      <c r="F1698" s="0" t="s">
        <v>5058</v>
      </c>
      <c r="G1698" s="0" t="s">
        <v>2515</v>
      </c>
      <c r="H1698" s="0" t="s">
        <v>2862</v>
      </c>
      <c r="I1698" s="0" t="s">
        <v>9169</v>
      </c>
      <c r="J1698" s="0" t="s">
        <v>9170</v>
      </c>
      <c r="K1698" s="0" t="s">
        <v>7993</v>
      </c>
    </row>
    <row r="1699" customFormat="false" ht="12.8" hidden="false" customHeight="false" outlineLevel="0" collapsed="false">
      <c r="A1699" s="0" t="s">
        <v>9175</v>
      </c>
      <c r="B1699" s="0" t="s">
        <v>9176</v>
      </c>
      <c r="C1699" s="0" t="s">
        <v>35</v>
      </c>
      <c r="D1699" s="0" t="s">
        <v>5023</v>
      </c>
      <c r="E1699" s="0" t="s">
        <v>5024</v>
      </c>
      <c r="F1699" s="0" t="s">
        <v>5024</v>
      </c>
      <c r="G1699" s="0" t="s">
        <v>2515</v>
      </c>
      <c r="H1699" s="0" t="s">
        <v>2862</v>
      </c>
      <c r="I1699" s="0" t="s">
        <v>9169</v>
      </c>
      <c r="J1699" s="0" t="s">
        <v>9170</v>
      </c>
      <c r="K1699" s="0" t="s">
        <v>7993</v>
      </c>
    </row>
    <row r="1700" customFormat="false" ht="12.8" hidden="false" customHeight="false" outlineLevel="0" collapsed="false">
      <c r="A1700" s="0" t="s">
        <v>9177</v>
      </c>
      <c r="B1700" s="0" t="s">
        <v>9178</v>
      </c>
      <c r="C1700" s="0" t="s">
        <v>35</v>
      </c>
      <c r="D1700" s="0" t="s">
        <v>5023</v>
      </c>
      <c r="E1700" s="0" t="s">
        <v>5024</v>
      </c>
      <c r="F1700" s="0" t="s">
        <v>5024</v>
      </c>
      <c r="G1700" s="0" t="s">
        <v>2515</v>
      </c>
      <c r="H1700" s="0" t="s">
        <v>2862</v>
      </c>
      <c r="I1700" s="0" t="s">
        <v>9169</v>
      </c>
      <c r="J1700" s="0" t="s">
        <v>9170</v>
      </c>
      <c r="K1700" s="0" t="s">
        <v>7993</v>
      </c>
    </row>
    <row r="1701" customFormat="false" ht="12.8" hidden="false" customHeight="false" outlineLevel="0" collapsed="false">
      <c r="A1701" s="0" t="s">
        <v>9179</v>
      </c>
      <c r="B1701" s="0" t="s">
        <v>9180</v>
      </c>
      <c r="C1701" s="0" t="s">
        <v>234</v>
      </c>
      <c r="D1701" s="0" t="s">
        <v>5061</v>
      </c>
      <c r="E1701" s="0" t="s">
        <v>5062</v>
      </c>
      <c r="F1701" s="0" t="s">
        <v>5062</v>
      </c>
      <c r="G1701" s="0" t="s">
        <v>4100</v>
      </c>
      <c r="H1701" s="0" t="s">
        <v>4354</v>
      </c>
      <c r="I1701" s="0" t="s">
        <v>9181</v>
      </c>
      <c r="J1701" s="0" t="s">
        <v>9182</v>
      </c>
      <c r="K1701" s="444" t="s">
        <v>9183</v>
      </c>
    </row>
    <row r="1702" customFormat="false" ht="12.8" hidden="false" customHeight="false" outlineLevel="0" collapsed="false">
      <c r="A1702" s="0" t="s">
        <v>9184</v>
      </c>
      <c r="B1702" s="0" t="s">
        <v>9185</v>
      </c>
      <c r="C1702" s="0" t="s">
        <v>201</v>
      </c>
      <c r="D1702" s="0" t="s">
        <v>5061</v>
      </c>
      <c r="E1702" s="0" t="s">
        <v>5062</v>
      </c>
      <c r="F1702" s="0" t="s">
        <v>5062</v>
      </c>
      <c r="G1702" s="0" t="s">
        <v>1155</v>
      </c>
      <c r="H1702" s="0" t="s">
        <v>1697</v>
      </c>
      <c r="I1702" s="0" t="s">
        <v>9186</v>
      </c>
      <c r="J1702" s="0" t="s">
        <v>9187</v>
      </c>
      <c r="K1702" s="444" t="s">
        <v>9188</v>
      </c>
    </row>
    <row r="1703" customFormat="false" ht="12.8" hidden="false" customHeight="false" outlineLevel="0" collapsed="false">
      <c r="A1703" s="0" t="s">
        <v>9189</v>
      </c>
      <c r="B1703" s="0" t="s">
        <v>9190</v>
      </c>
      <c r="C1703" s="0" t="s">
        <v>201</v>
      </c>
      <c r="D1703" s="0" t="s">
        <v>5057</v>
      </c>
      <c r="E1703" s="0" t="s">
        <v>5058</v>
      </c>
      <c r="F1703" s="0" t="s">
        <v>5058</v>
      </c>
      <c r="G1703" s="0" t="s">
        <v>1155</v>
      </c>
      <c r="H1703" s="0" t="s">
        <v>1697</v>
      </c>
      <c r="I1703" s="0" t="s">
        <v>9186</v>
      </c>
      <c r="J1703" s="0" t="s">
        <v>9187</v>
      </c>
      <c r="K1703" s="444" t="s">
        <v>9188</v>
      </c>
    </row>
    <row r="1704" customFormat="false" ht="12.8" hidden="false" customHeight="false" outlineLevel="0" collapsed="false">
      <c r="A1704" s="0" t="s">
        <v>9191</v>
      </c>
      <c r="B1704" s="0" t="s">
        <v>9192</v>
      </c>
      <c r="C1704" s="0" t="s">
        <v>201</v>
      </c>
      <c r="D1704" s="0" t="s">
        <v>5023</v>
      </c>
      <c r="E1704" s="0" t="s">
        <v>5024</v>
      </c>
      <c r="F1704" s="0" t="s">
        <v>5024</v>
      </c>
      <c r="G1704" s="0" t="s">
        <v>1155</v>
      </c>
      <c r="H1704" s="0" t="s">
        <v>1697</v>
      </c>
      <c r="I1704" s="0" t="s">
        <v>9186</v>
      </c>
      <c r="J1704" s="0" t="s">
        <v>9187</v>
      </c>
      <c r="K1704" s="444" t="s">
        <v>9188</v>
      </c>
    </row>
    <row r="1705" customFormat="false" ht="12.8" hidden="false" customHeight="false" outlineLevel="0" collapsed="false">
      <c r="A1705" s="0" t="s">
        <v>9193</v>
      </c>
      <c r="B1705" s="0" t="s">
        <v>9194</v>
      </c>
      <c r="C1705" s="0" t="s">
        <v>201</v>
      </c>
      <c r="D1705" s="0" t="s">
        <v>5023</v>
      </c>
      <c r="E1705" s="0" t="s">
        <v>5024</v>
      </c>
      <c r="F1705" s="0" t="s">
        <v>5024</v>
      </c>
      <c r="G1705" s="0" t="s">
        <v>1155</v>
      </c>
      <c r="H1705" s="0" t="s">
        <v>1697</v>
      </c>
      <c r="I1705" s="0" t="s">
        <v>9186</v>
      </c>
      <c r="J1705" s="0" t="s">
        <v>9187</v>
      </c>
      <c r="K1705" s="444" t="s">
        <v>9188</v>
      </c>
    </row>
    <row r="1706" customFormat="false" ht="12.8" hidden="false" customHeight="false" outlineLevel="0" collapsed="false">
      <c r="A1706" s="0" t="s">
        <v>9195</v>
      </c>
      <c r="B1706" s="0" t="s">
        <v>9196</v>
      </c>
      <c r="C1706" s="0" t="s">
        <v>201</v>
      </c>
      <c r="D1706" s="0" t="s">
        <v>5023</v>
      </c>
      <c r="E1706" s="0" t="s">
        <v>5024</v>
      </c>
      <c r="F1706" s="0" t="s">
        <v>5024</v>
      </c>
      <c r="G1706" s="0" t="s">
        <v>1155</v>
      </c>
      <c r="H1706" s="0" t="s">
        <v>1697</v>
      </c>
      <c r="I1706" s="0" t="s">
        <v>9186</v>
      </c>
      <c r="J1706" s="0" t="s">
        <v>9187</v>
      </c>
      <c r="K1706" s="444" t="s">
        <v>9188</v>
      </c>
    </row>
    <row r="1707" customFormat="false" ht="12.8" hidden="false" customHeight="false" outlineLevel="0" collapsed="false">
      <c r="A1707" s="0" t="s">
        <v>9197</v>
      </c>
      <c r="B1707" s="0" t="s">
        <v>9198</v>
      </c>
      <c r="C1707" s="0" t="s">
        <v>201</v>
      </c>
      <c r="D1707" s="0" t="s">
        <v>5057</v>
      </c>
      <c r="E1707" s="0" t="s">
        <v>5058</v>
      </c>
      <c r="F1707" s="0" t="s">
        <v>5058</v>
      </c>
      <c r="G1707" s="0" t="s">
        <v>1155</v>
      </c>
      <c r="H1707" s="0" t="s">
        <v>1697</v>
      </c>
      <c r="I1707" s="0" t="s">
        <v>9186</v>
      </c>
      <c r="J1707" s="0" t="s">
        <v>9187</v>
      </c>
      <c r="K1707" s="444" t="s">
        <v>9188</v>
      </c>
    </row>
    <row r="1708" customFormat="false" ht="12.8" hidden="false" customHeight="false" outlineLevel="0" collapsed="false">
      <c r="A1708" s="0" t="s">
        <v>9199</v>
      </c>
      <c r="B1708" s="0" t="s">
        <v>9200</v>
      </c>
      <c r="C1708" s="0" t="s">
        <v>201</v>
      </c>
      <c r="D1708" s="0" t="s">
        <v>5023</v>
      </c>
      <c r="E1708" s="0" t="s">
        <v>5024</v>
      </c>
      <c r="F1708" s="0" t="s">
        <v>5024</v>
      </c>
      <c r="G1708" s="0" t="s">
        <v>1155</v>
      </c>
      <c r="H1708" s="0" t="s">
        <v>1697</v>
      </c>
      <c r="I1708" s="0" t="s">
        <v>9186</v>
      </c>
      <c r="J1708" s="0" t="s">
        <v>9187</v>
      </c>
      <c r="K1708" s="444" t="s">
        <v>9188</v>
      </c>
    </row>
    <row r="1709" customFormat="false" ht="12.8" hidden="false" customHeight="false" outlineLevel="0" collapsed="false">
      <c r="A1709" s="0" t="s">
        <v>9201</v>
      </c>
      <c r="B1709" s="0" t="s">
        <v>9202</v>
      </c>
      <c r="C1709" s="0" t="s">
        <v>359</v>
      </c>
      <c r="D1709" s="0" t="s">
        <v>5061</v>
      </c>
      <c r="E1709" s="0" t="s">
        <v>5062</v>
      </c>
      <c r="F1709" s="0" t="s">
        <v>5062</v>
      </c>
      <c r="G1709" s="0" t="s">
        <v>3278</v>
      </c>
      <c r="H1709" s="0" t="s">
        <v>3647</v>
      </c>
      <c r="I1709" s="0" t="s">
        <v>9203</v>
      </c>
      <c r="J1709" s="0" t="s">
        <v>9204</v>
      </c>
      <c r="K1709" s="444" t="s">
        <v>8146</v>
      </c>
    </row>
    <row r="1710" customFormat="false" ht="12.8" hidden="false" customHeight="false" outlineLevel="0" collapsed="false">
      <c r="A1710" s="0" t="s">
        <v>9205</v>
      </c>
      <c r="B1710" s="0" t="s">
        <v>9206</v>
      </c>
      <c r="C1710" s="0" t="s">
        <v>359</v>
      </c>
      <c r="D1710" s="0" t="s">
        <v>5057</v>
      </c>
      <c r="E1710" s="0" t="s">
        <v>5058</v>
      </c>
      <c r="F1710" s="0" t="s">
        <v>5058</v>
      </c>
      <c r="G1710" s="0" t="s">
        <v>3278</v>
      </c>
      <c r="H1710" s="0" t="s">
        <v>3647</v>
      </c>
      <c r="I1710" s="0" t="s">
        <v>9203</v>
      </c>
      <c r="J1710" s="0" t="s">
        <v>9204</v>
      </c>
      <c r="K1710" s="444" t="s">
        <v>8146</v>
      </c>
    </row>
    <row r="1711" customFormat="false" ht="12.8" hidden="false" customHeight="false" outlineLevel="0" collapsed="false">
      <c r="A1711" s="0" t="s">
        <v>9207</v>
      </c>
      <c r="B1711" s="0" t="s">
        <v>9208</v>
      </c>
      <c r="C1711" s="0" t="s">
        <v>256</v>
      </c>
      <c r="D1711" s="0" t="s">
        <v>5057</v>
      </c>
      <c r="E1711" s="0" t="s">
        <v>5058</v>
      </c>
      <c r="F1711" s="0" t="s">
        <v>5058</v>
      </c>
      <c r="G1711" s="0" t="s">
        <v>4100</v>
      </c>
      <c r="H1711" s="0" t="s">
        <v>7773</v>
      </c>
      <c r="I1711" s="0" t="s">
        <v>9209</v>
      </c>
      <c r="J1711" s="0" t="s">
        <v>9210</v>
      </c>
      <c r="K1711" s="0" t="s">
        <v>7993</v>
      </c>
    </row>
    <row r="1712" customFormat="false" ht="12.8" hidden="false" customHeight="false" outlineLevel="0" collapsed="false">
      <c r="A1712" s="0" t="s">
        <v>9211</v>
      </c>
      <c r="B1712" s="0" t="s">
        <v>9212</v>
      </c>
      <c r="C1712" s="0" t="s">
        <v>256</v>
      </c>
      <c r="D1712" s="0" t="s">
        <v>5061</v>
      </c>
      <c r="E1712" s="0" t="s">
        <v>5062</v>
      </c>
      <c r="F1712" s="0" t="s">
        <v>5062</v>
      </c>
      <c r="G1712" s="0" t="s">
        <v>4100</v>
      </c>
      <c r="H1712" s="0" t="s">
        <v>7773</v>
      </c>
      <c r="I1712" s="0" t="s">
        <v>9209</v>
      </c>
      <c r="J1712" s="0" t="s">
        <v>9210</v>
      </c>
      <c r="K1712" s="0" t="s">
        <v>7993</v>
      </c>
    </row>
    <row r="1713" customFormat="false" ht="12.8" hidden="false" customHeight="false" outlineLevel="0" collapsed="false">
      <c r="A1713" s="0" t="s">
        <v>9213</v>
      </c>
      <c r="B1713" s="0" t="s">
        <v>9214</v>
      </c>
      <c r="C1713" s="0" t="s">
        <v>397</v>
      </c>
      <c r="D1713" s="0" t="s">
        <v>5057</v>
      </c>
      <c r="E1713" s="0" t="s">
        <v>5058</v>
      </c>
      <c r="F1713" s="0" t="s">
        <v>5058</v>
      </c>
      <c r="G1713" s="0" t="s">
        <v>4100</v>
      </c>
      <c r="H1713" s="0" t="s">
        <v>4101</v>
      </c>
      <c r="I1713" s="0" t="s">
        <v>9215</v>
      </c>
      <c r="J1713" s="0" t="s">
        <v>9216</v>
      </c>
      <c r="K1713" s="0" t="s">
        <v>7993</v>
      </c>
    </row>
    <row r="1714" customFormat="false" ht="12.8" hidden="false" customHeight="false" outlineLevel="0" collapsed="false">
      <c r="A1714" s="0" t="s">
        <v>9217</v>
      </c>
      <c r="B1714" s="0" t="s">
        <v>9218</v>
      </c>
      <c r="C1714" s="0" t="s">
        <v>397</v>
      </c>
      <c r="D1714" s="0" t="s">
        <v>5023</v>
      </c>
      <c r="E1714" s="0" t="s">
        <v>5024</v>
      </c>
      <c r="F1714" s="0" t="s">
        <v>5024</v>
      </c>
      <c r="G1714" s="0" t="s">
        <v>4100</v>
      </c>
      <c r="H1714" s="0" t="s">
        <v>4101</v>
      </c>
      <c r="I1714" s="0" t="s">
        <v>9215</v>
      </c>
      <c r="J1714" s="0" t="s">
        <v>9216</v>
      </c>
      <c r="K1714" s="0" t="s">
        <v>7993</v>
      </c>
    </row>
    <row r="1715" customFormat="false" ht="12.8" hidden="false" customHeight="false" outlineLevel="0" collapsed="false">
      <c r="A1715" s="0" t="s">
        <v>9219</v>
      </c>
      <c r="B1715" s="0" t="s">
        <v>9220</v>
      </c>
      <c r="C1715" s="0" t="s">
        <v>397</v>
      </c>
      <c r="D1715" s="0" t="s">
        <v>5023</v>
      </c>
      <c r="E1715" s="0" t="s">
        <v>5024</v>
      </c>
      <c r="F1715" s="0" t="s">
        <v>5024</v>
      </c>
      <c r="G1715" s="0" t="s">
        <v>4100</v>
      </c>
      <c r="H1715" s="0" t="s">
        <v>4101</v>
      </c>
      <c r="I1715" s="0" t="s">
        <v>9215</v>
      </c>
      <c r="J1715" s="0" t="s">
        <v>9216</v>
      </c>
      <c r="K1715" s="0" t="s">
        <v>7993</v>
      </c>
    </row>
    <row r="1716" customFormat="false" ht="12.8" hidden="false" customHeight="false" outlineLevel="0" collapsed="false">
      <c r="A1716" s="0" t="s">
        <v>9221</v>
      </c>
      <c r="B1716" s="0" t="s">
        <v>9222</v>
      </c>
      <c r="C1716" s="0" t="s">
        <v>397</v>
      </c>
      <c r="D1716" s="0" t="s">
        <v>5023</v>
      </c>
      <c r="E1716" s="0" t="s">
        <v>5024</v>
      </c>
      <c r="F1716" s="0" t="s">
        <v>5024</v>
      </c>
      <c r="G1716" s="0" t="s">
        <v>4100</v>
      </c>
      <c r="H1716" s="0" t="s">
        <v>4101</v>
      </c>
      <c r="I1716" s="0" t="s">
        <v>9215</v>
      </c>
      <c r="J1716" s="0" t="s">
        <v>9216</v>
      </c>
      <c r="K1716" s="0" t="s">
        <v>7993</v>
      </c>
    </row>
    <row r="1717" customFormat="false" ht="12.8" hidden="false" customHeight="false" outlineLevel="0" collapsed="false">
      <c r="A1717" s="0" t="s">
        <v>9223</v>
      </c>
      <c r="B1717" s="0" t="s">
        <v>9224</v>
      </c>
      <c r="C1717" s="0" t="s">
        <v>302</v>
      </c>
      <c r="D1717" s="0" t="s">
        <v>5057</v>
      </c>
      <c r="E1717" s="0" t="s">
        <v>5058</v>
      </c>
      <c r="F1717" s="0" t="s">
        <v>5058</v>
      </c>
      <c r="G1717" s="0" t="s">
        <v>4100</v>
      </c>
      <c r="H1717" s="0" t="s">
        <v>7773</v>
      </c>
      <c r="I1717" s="0" t="s">
        <v>9225</v>
      </c>
      <c r="J1717" s="0" t="s">
        <v>9226</v>
      </c>
      <c r="K1717" s="0" t="s">
        <v>7044</v>
      </c>
    </row>
    <row r="1718" customFormat="false" ht="12.8" hidden="false" customHeight="false" outlineLevel="0" collapsed="false">
      <c r="A1718" s="0" t="s">
        <v>9227</v>
      </c>
      <c r="B1718" s="0" t="s">
        <v>9228</v>
      </c>
      <c r="C1718" s="0" t="s">
        <v>302</v>
      </c>
      <c r="D1718" s="0" t="s">
        <v>5061</v>
      </c>
      <c r="E1718" s="0" t="s">
        <v>5062</v>
      </c>
      <c r="F1718" s="0" t="s">
        <v>5062</v>
      </c>
      <c r="G1718" s="0" t="s">
        <v>4100</v>
      </c>
      <c r="H1718" s="0" t="s">
        <v>7773</v>
      </c>
      <c r="I1718" s="0" t="s">
        <v>9225</v>
      </c>
      <c r="J1718" s="0" t="s">
        <v>9226</v>
      </c>
      <c r="K1718" s="0" t="s">
        <v>7044</v>
      </c>
    </row>
    <row r="1719" customFormat="false" ht="12.8" hidden="false" customHeight="false" outlineLevel="0" collapsed="false">
      <c r="A1719" s="0" t="s">
        <v>9229</v>
      </c>
      <c r="B1719" s="0" t="s">
        <v>9230</v>
      </c>
      <c r="C1719" s="0" t="s">
        <v>223</v>
      </c>
      <c r="D1719" s="0" t="s">
        <v>5057</v>
      </c>
      <c r="E1719" s="0" t="s">
        <v>5058</v>
      </c>
      <c r="F1719" s="0" t="s">
        <v>5058</v>
      </c>
      <c r="G1719" s="0" t="s">
        <v>4100</v>
      </c>
      <c r="H1719" s="0" t="s">
        <v>4521</v>
      </c>
      <c r="I1719" s="0" t="s">
        <v>9231</v>
      </c>
      <c r="J1719" s="0" t="s">
        <v>9232</v>
      </c>
      <c r="K1719" s="0" t="s">
        <v>7993</v>
      </c>
    </row>
    <row r="1720" customFormat="false" ht="12.8" hidden="false" customHeight="false" outlineLevel="0" collapsed="false">
      <c r="A1720" s="0" t="s">
        <v>9233</v>
      </c>
      <c r="B1720" s="0" t="s">
        <v>9234</v>
      </c>
      <c r="C1720" s="0" t="s">
        <v>223</v>
      </c>
      <c r="D1720" s="0" t="s">
        <v>5023</v>
      </c>
      <c r="E1720" s="0" t="s">
        <v>5024</v>
      </c>
      <c r="F1720" s="0" t="s">
        <v>5024</v>
      </c>
      <c r="G1720" s="0" t="s">
        <v>4100</v>
      </c>
      <c r="H1720" s="0" t="s">
        <v>4521</v>
      </c>
      <c r="I1720" s="0" t="s">
        <v>9231</v>
      </c>
      <c r="J1720" s="0" t="s">
        <v>9232</v>
      </c>
      <c r="K1720" s="0" t="s">
        <v>7993</v>
      </c>
    </row>
    <row r="1721" customFormat="false" ht="12.8" hidden="false" customHeight="false" outlineLevel="0" collapsed="false">
      <c r="A1721" s="0" t="s">
        <v>9235</v>
      </c>
      <c r="B1721" s="0" t="s">
        <v>9236</v>
      </c>
      <c r="C1721" s="0" t="s">
        <v>223</v>
      </c>
      <c r="D1721" s="0" t="s">
        <v>5023</v>
      </c>
      <c r="E1721" s="0" t="s">
        <v>5024</v>
      </c>
      <c r="F1721" s="0" t="s">
        <v>5024</v>
      </c>
      <c r="G1721" s="0" t="s">
        <v>4100</v>
      </c>
      <c r="H1721" s="0" t="s">
        <v>4521</v>
      </c>
      <c r="I1721" s="0" t="s">
        <v>9231</v>
      </c>
      <c r="J1721" s="0" t="s">
        <v>9232</v>
      </c>
      <c r="K1721" s="0" t="s">
        <v>7993</v>
      </c>
    </row>
    <row r="1722" customFormat="false" ht="12.8" hidden="false" customHeight="false" outlineLevel="0" collapsed="false">
      <c r="A1722" s="0" t="s">
        <v>9237</v>
      </c>
      <c r="B1722" s="0" t="s">
        <v>9238</v>
      </c>
      <c r="C1722" s="0" t="s">
        <v>223</v>
      </c>
      <c r="D1722" s="0" t="s">
        <v>5061</v>
      </c>
      <c r="E1722" s="0" t="s">
        <v>5062</v>
      </c>
      <c r="F1722" s="0" t="s">
        <v>5062</v>
      </c>
      <c r="G1722" s="0" t="s">
        <v>4100</v>
      </c>
      <c r="H1722" s="0" t="s">
        <v>4521</v>
      </c>
      <c r="I1722" s="0" t="s">
        <v>9231</v>
      </c>
      <c r="J1722" s="0" t="s">
        <v>9232</v>
      </c>
      <c r="K1722" s="0" t="s">
        <v>7993</v>
      </c>
    </row>
    <row r="1723" customFormat="false" ht="12.8" hidden="false" customHeight="false" outlineLevel="0" collapsed="false">
      <c r="A1723" s="0" t="s">
        <v>9239</v>
      </c>
      <c r="B1723" s="0" t="s">
        <v>9240</v>
      </c>
      <c r="C1723" s="0" t="s">
        <v>221</v>
      </c>
      <c r="D1723" s="0" t="s">
        <v>5057</v>
      </c>
      <c r="E1723" s="0" t="s">
        <v>5058</v>
      </c>
      <c r="F1723" s="0" t="s">
        <v>5058</v>
      </c>
      <c r="G1723" s="0" t="s">
        <v>4100</v>
      </c>
      <c r="H1723" s="0" t="s">
        <v>4521</v>
      </c>
      <c r="I1723" s="0" t="s">
        <v>9241</v>
      </c>
      <c r="J1723" s="0" t="s">
        <v>9242</v>
      </c>
      <c r="K1723" s="0" t="s">
        <v>7993</v>
      </c>
    </row>
    <row r="1724" customFormat="false" ht="12.8" hidden="false" customHeight="false" outlineLevel="0" collapsed="false">
      <c r="A1724" s="0" t="s">
        <v>9243</v>
      </c>
      <c r="B1724" s="0" t="s">
        <v>9244</v>
      </c>
      <c r="C1724" s="0" t="s">
        <v>221</v>
      </c>
      <c r="D1724" s="0" t="s">
        <v>5061</v>
      </c>
      <c r="E1724" s="0" t="s">
        <v>5062</v>
      </c>
      <c r="F1724" s="0" t="s">
        <v>5062</v>
      </c>
      <c r="G1724" s="0" t="s">
        <v>4100</v>
      </c>
      <c r="H1724" s="0" t="s">
        <v>4521</v>
      </c>
      <c r="I1724" s="0" t="s">
        <v>9241</v>
      </c>
      <c r="J1724" s="0" t="s">
        <v>9242</v>
      </c>
      <c r="K1724" s="0" t="s">
        <v>7993</v>
      </c>
    </row>
    <row r="1725" customFormat="false" ht="12.8" hidden="false" customHeight="false" outlineLevel="0" collapsed="false">
      <c r="A1725" s="0" t="s">
        <v>9245</v>
      </c>
      <c r="B1725" s="0" t="s">
        <v>9246</v>
      </c>
      <c r="C1725" s="0" t="s">
        <v>221</v>
      </c>
      <c r="D1725" s="0" t="s">
        <v>5023</v>
      </c>
      <c r="E1725" s="0" t="s">
        <v>5024</v>
      </c>
      <c r="F1725" s="0" t="s">
        <v>5024</v>
      </c>
      <c r="G1725" s="0" t="s">
        <v>4100</v>
      </c>
      <c r="H1725" s="0" t="s">
        <v>4521</v>
      </c>
      <c r="I1725" s="0" t="s">
        <v>9241</v>
      </c>
      <c r="J1725" s="0" t="s">
        <v>9242</v>
      </c>
      <c r="K1725" s="0" t="s">
        <v>7993</v>
      </c>
    </row>
    <row r="1726" customFormat="false" ht="12.8" hidden="false" customHeight="false" outlineLevel="0" collapsed="false">
      <c r="A1726" s="0" t="s">
        <v>9247</v>
      </c>
      <c r="B1726" s="0" t="s">
        <v>9248</v>
      </c>
      <c r="C1726" s="0" t="s">
        <v>221</v>
      </c>
      <c r="D1726" s="0" t="s">
        <v>5023</v>
      </c>
      <c r="E1726" s="0" t="s">
        <v>5024</v>
      </c>
      <c r="F1726" s="0" t="s">
        <v>5024</v>
      </c>
      <c r="G1726" s="0" t="s">
        <v>4100</v>
      </c>
      <c r="H1726" s="0" t="s">
        <v>4521</v>
      </c>
      <c r="I1726" s="0" t="s">
        <v>9241</v>
      </c>
      <c r="J1726" s="0" t="s">
        <v>9242</v>
      </c>
      <c r="K1726" s="0" t="s">
        <v>7993</v>
      </c>
    </row>
    <row r="1727" customFormat="false" ht="12.8" hidden="false" customHeight="false" outlineLevel="0" collapsed="false">
      <c r="A1727" s="0" t="s">
        <v>9249</v>
      </c>
      <c r="B1727" s="0" t="s">
        <v>9250</v>
      </c>
      <c r="C1727" s="0" t="s">
        <v>260</v>
      </c>
      <c r="D1727" s="0" t="s">
        <v>5057</v>
      </c>
      <c r="E1727" s="0" t="s">
        <v>5058</v>
      </c>
      <c r="F1727" s="0" t="s">
        <v>5058</v>
      </c>
      <c r="G1727" s="0" t="s">
        <v>4100</v>
      </c>
      <c r="H1727" s="0" t="s">
        <v>4101</v>
      </c>
      <c r="I1727" s="0" t="s">
        <v>9251</v>
      </c>
      <c r="J1727" s="0" t="s">
        <v>9252</v>
      </c>
      <c r="K1727" s="0" t="s">
        <v>7993</v>
      </c>
    </row>
    <row r="1728" customFormat="false" ht="12.8" hidden="false" customHeight="false" outlineLevel="0" collapsed="false">
      <c r="A1728" s="0" t="s">
        <v>9253</v>
      </c>
      <c r="B1728" s="0" t="s">
        <v>9254</v>
      </c>
      <c r="C1728" s="0" t="s">
        <v>51</v>
      </c>
      <c r="D1728" s="0" t="s">
        <v>5057</v>
      </c>
      <c r="E1728" s="0" t="s">
        <v>5058</v>
      </c>
      <c r="F1728" s="0" t="s">
        <v>5058</v>
      </c>
      <c r="G1728" s="0" t="s">
        <v>4100</v>
      </c>
      <c r="H1728" s="0" t="s">
        <v>4521</v>
      </c>
      <c r="I1728" s="0" t="s">
        <v>9255</v>
      </c>
      <c r="J1728" s="0" t="s">
        <v>9256</v>
      </c>
      <c r="K1728" s="0" t="s">
        <v>7993</v>
      </c>
    </row>
    <row r="1729" customFormat="false" ht="12.8" hidden="false" customHeight="false" outlineLevel="0" collapsed="false">
      <c r="A1729" s="0" t="s">
        <v>9257</v>
      </c>
      <c r="B1729" s="0" t="s">
        <v>9258</v>
      </c>
      <c r="C1729" s="0" t="s">
        <v>51</v>
      </c>
      <c r="D1729" s="0" t="s">
        <v>5061</v>
      </c>
      <c r="E1729" s="0" t="s">
        <v>5062</v>
      </c>
      <c r="F1729" s="0" t="s">
        <v>5062</v>
      </c>
      <c r="G1729" s="0" t="s">
        <v>4100</v>
      </c>
      <c r="H1729" s="0" t="s">
        <v>4521</v>
      </c>
      <c r="I1729" s="0" t="s">
        <v>9255</v>
      </c>
      <c r="J1729" s="0" t="s">
        <v>9256</v>
      </c>
      <c r="K1729" s="0" t="s">
        <v>7993</v>
      </c>
    </row>
    <row r="1730" customFormat="false" ht="12.8" hidden="false" customHeight="false" outlineLevel="0" collapsed="false">
      <c r="A1730" s="0" t="s">
        <v>9259</v>
      </c>
      <c r="B1730" s="0" t="s">
        <v>9260</v>
      </c>
      <c r="C1730" s="0" t="s">
        <v>51</v>
      </c>
      <c r="D1730" s="0" t="s">
        <v>5023</v>
      </c>
      <c r="E1730" s="0" t="s">
        <v>5024</v>
      </c>
      <c r="F1730" s="0" t="s">
        <v>5024</v>
      </c>
      <c r="G1730" s="0" t="s">
        <v>4100</v>
      </c>
      <c r="H1730" s="0" t="s">
        <v>4521</v>
      </c>
      <c r="I1730" s="0" t="s">
        <v>9255</v>
      </c>
      <c r="J1730" s="0" t="s">
        <v>9256</v>
      </c>
      <c r="K1730" s="0" t="s">
        <v>7993</v>
      </c>
    </row>
    <row r="1731" customFormat="false" ht="12.8" hidden="false" customHeight="false" outlineLevel="0" collapsed="false">
      <c r="A1731" s="0" t="s">
        <v>9261</v>
      </c>
      <c r="B1731" s="0" t="s">
        <v>9262</v>
      </c>
      <c r="C1731" s="0" t="s">
        <v>69</v>
      </c>
      <c r="D1731" s="0" t="s">
        <v>5057</v>
      </c>
      <c r="E1731" s="0" t="s">
        <v>5058</v>
      </c>
      <c r="F1731" s="0" t="s">
        <v>5058</v>
      </c>
      <c r="G1731" s="0" t="s">
        <v>4100</v>
      </c>
      <c r="H1731" s="0" t="s">
        <v>7773</v>
      </c>
      <c r="I1731" s="0" t="s">
        <v>9263</v>
      </c>
      <c r="J1731" s="0" t="s">
        <v>9264</v>
      </c>
      <c r="K1731" s="0" t="s">
        <v>7993</v>
      </c>
    </row>
    <row r="1732" customFormat="false" ht="12.8" hidden="false" customHeight="false" outlineLevel="0" collapsed="false">
      <c r="A1732" s="0" t="s">
        <v>9265</v>
      </c>
      <c r="B1732" s="0" t="s">
        <v>9266</v>
      </c>
      <c r="C1732" s="0" t="s">
        <v>69</v>
      </c>
      <c r="D1732" s="0" t="s">
        <v>5023</v>
      </c>
      <c r="E1732" s="0" t="s">
        <v>5024</v>
      </c>
      <c r="F1732" s="0" t="s">
        <v>5024</v>
      </c>
      <c r="G1732" s="0" t="s">
        <v>4100</v>
      </c>
      <c r="H1732" s="0" t="s">
        <v>7773</v>
      </c>
      <c r="I1732" s="0" t="s">
        <v>9263</v>
      </c>
      <c r="J1732" s="0" t="s">
        <v>9264</v>
      </c>
      <c r="K1732" s="0" t="s">
        <v>7993</v>
      </c>
    </row>
    <row r="1733" customFormat="false" ht="12.8" hidden="false" customHeight="false" outlineLevel="0" collapsed="false">
      <c r="A1733" s="0" t="s">
        <v>9267</v>
      </c>
      <c r="B1733" s="0" t="s">
        <v>9268</v>
      </c>
      <c r="C1733" s="0" t="s">
        <v>64</v>
      </c>
      <c r="D1733" s="0" t="s">
        <v>5057</v>
      </c>
      <c r="E1733" s="0" t="s">
        <v>5058</v>
      </c>
      <c r="F1733" s="0" t="s">
        <v>5058</v>
      </c>
      <c r="G1733" s="0" t="s">
        <v>4100</v>
      </c>
      <c r="H1733" s="0" t="s">
        <v>4521</v>
      </c>
      <c r="I1733" s="0" t="s">
        <v>9269</v>
      </c>
      <c r="J1733" s="0" t="s">
        <v>9270</v>
      </c>
      <c r="K1733" s="444" t="s">
        <v>8247</v>
      </c>
    </row>
    <row r="1734" customFormat="false" ht="12.8" hidden="false" customHeight="false" outlineLevel="0" collapsed="false">
      <c r="A1734" s="0" t="s">
        <v>9271</v>
      </c>
      <c r="B1734" s="0" t="s">
        <v>9272</v>
      </c>
      <c r="C1734" s="0" t="s">
        <v>64</v>
      </c>
      <c r="D1734" s="0" t="s">
        <v>5061</v>
      </c>
      <c r="E1734" s="0" t="s">
        <v>5062</v>
      </c>
      <c r="F1734" s="0" t="s">
        <v>5062</v>
      </c>
      <c r="G1734" s="0" t="s">
        <v>4100</v>
      </c>
      <c r="H1734" s="0" t="s">
        <v>4521</v>
      </c>
      <c r="I1734" s="0" t="s">
        <v>9269</v>
      </c>
      <c r="J1734" s="0" t="s">
        <v>9270</v>
      </c>
      <c r="K1734" s="444" t="s">
        <v>8247</v>
      </c>
    </row>
    <row r="1735" customFormat="false" ht="12.8" hidden="false" customHeight="false" outlineLevel="0" collapsed="false">
      <c r="A1735" s="0" t="s">
        <v>9273</v>
      </c>
      <c r="B1735" s="0" t="s">
        <v>9274</v>
      </c>
      <c r="C1735" s="0" t="s">
        <v>264</v>
      </c>
      <c r="D1735" s="0" t="s">
        <v>5057</v>
      </c>
      <c r="E1735" s="0" t="s">
        <v>5058</v>
      </c>
      <c r="F1735" s="0" t="s">
        <v>5058</v>
      </c>
      <c r="G1735" s="0" t="s">
        <v>4100</v>
      </c>
      <c r="H1735" s="0" t="s">
        <v>4521</v>
      </c>
      <c r="I1735" s="0" t="s">
        <v>9275</v>
      </c>
      <c r="J1735" s="0" t="s">
        <v>9276</v>
      </c>
      <c r="K1735" s="0" t="s">
        <v>7993</v>
      </c>
    </row>
    <row r="1736" customFormat="false" ht="12.8" hidden="false" customHeight="false" outlineLevel="0" collapsed="false">
      <c r="A1736" s="0" t="s">
        <v>9277</v>
      </c>
      <c r="B1736" s="0" t="s">
        <v>9278</v>
      </c>
      <c r="C1736" s="0" t="s">
        <v>264</v>
      </c>
      <c r="D1736" s="0" t="s">
        <v>5061</v>
      </c>
      <c r="E1736" s="0" t="s">
        <v>5062</v>
      </c>
      <c r="F1736" s="0" t="s">
        <v>5062</v>
      </c>
      <c r="G1736" s="0" t="s">
        <v>4100</v>
      </c>
      <c r="H1736" s="0" t="s">
        <v>4521</v>
      </c>
      <c r="I1736" s="0" t="s">
        <v>9275</v>
      </c>
      <c r="J1736" s="0" t="s">
        <v>9276</v>
      </c>
      <c r="K1736" s="0" t="s">
        <v>7993</v>
      </c>
    </row>
    <row r="1737" customFormat="false" ht="12.8" hidden="false" customHeight="false" outlineLevel="0" collapsed="false">
      <c r="A1737" s="0" t="s">
        <v>9279</v>
      </c>
      <c r="B1737" s="0" t="s">
        <v>9280</v>
      </c>
      <c r="C1737" s="0" t="s">
        <v>185</v>
      </c>
      <c r="D1737" s="0" t="s">
        <v>5057</v>
      </c>
      <c r="E1737" s="0" t="s">
        <v>5058</v>
      </c>
      <c r="F1737" s="0" t="s">
        <v>5058</v>
      </c>
      <c r="G1737" s="0" t="s">
        <v>4100</v>
      </c>
      <c r="H1737" s="0" t="s">
        <v>4354</v>
      </c>
      <c r="I1737" s="0" t="s">
        <v>9281</v>
      </c>
      <c r="J1737" s="0" t="s">
        <v>9282</v>
      </c>
      <c r="K1737" s="444" t="s">
        <v>9283</v>
      </c>
    </row>
    <row r="1738" customFormat="false" ht="12.8" hidden="false" customHeight="false" outlineLevel="0" collapsed="false">
      <c r="A1738" s="0" t="s">
        <v>9284</v>
      </c>
      <c r="B1738" s="0" t="s">
        <v>9285</v>
      </c>
      <c r="C1738" s="0" t="s">
        <v>157</v>
      </c>
      <c r="D1738" s="0" t="s">
        <v>5061</v>
      </c>
      <c r="E1738" s="0" t="s">
        <v>5062</v>
      </c>
      <c r="F1738" s="0" t="s">
        <v>5062</v>
      </c>
      <c r="G1738" s="0" t="s">
        <v>2515</v>
      </c>
      <c r="H1738" s="0" t="s">
        <v>3144</v>
      </c>
      <c r="I1738" s="0" t="s">
        <v>9286</v>
      </c>
      <c r="J1738" s="0" t="s">
        <v>9287</v>
      </c>
      <c r="K1738" s="0" t="s">
        <v>7993</v>
      </c>
    </row>
    <row r="1739" customFormat="false" ht="12.8" hidden="false" customHeight="false" outlineLevel="0" collapsed="false">
      <c r="A1739" s="0" t="s">
        <v>9288</v>
      </c>
      <c r="B1739" s="0" t="s">
        <v>9289</v>
      </c>
      <c r="C1739" s="0" t="s">
        <v>157</v>
      </c>
      <c r="D1739" s="0" t="s">
        <v>5057</v>
      </c>
      <c r="E1739" s="0" t="s">
        <v>5058</v>
      </c>
      <c r="F1739" s="0" t="s">
        <v>5058</v>
      </c>
      <c r="G1739" s="0" t="s">
        <v>2515</v>
      </c>
      <c r="H1739" s="0" t="s">
        <v>3144</v>
      </c>
      <c r="I1739" s="0" t="s">
        <v>9286</v>
      </c>
      <c r="J1739" s="0" t="s">
        <v>9287</v>
      </c>
      <c r="K1739" s="0" t="s">
        <v>7993</v>
      </c>
    </row>
    <row r="1740" customFormat="false" ht="12.8" hidden="false" customHeight="false" outlineLevel="0" collapsed="false">
      <c r="A1740" s="0" t="s">
        <v>9290</v>
      </c>
      <c r="B1740" s="0" t="s">
        <v>9291</v>
      </c>
      <c r="C1740" s="0" t="s">
        <v>157</v>
      </c>
      <c r="D1740" s="0" t="s">
        <v>5023</v>
      </c>
      <c r="E1740" s="0" t="s">
        <v>5024</v>
      </c>
      <c r="F1740" s="0" t="s">
        <v>5024</v>
      </c>
      <c r="G1740" s="0" t="s">
        <v>2515</v>
      </c>
      <c r="H1740" s="0" t="s">
        <v>3144</v>
      </c>
      <c r="I1740" s="0" t="s">
        <v>9286</v>
      </c>
      <c r="J1740" s="0" t="s">
        <v>9287</v>
      </c>
      <c r="K1740" s="0" t="s">
        <v>7993</v>
      </c>
    </row>
    <row r="1741" customFormat="false" ht="12.8" hidden="false" customHeight="false" outlineLevel="0" collapsed="false">
      <c r="A1741" s="0" t="s">
        <v>9292</v>
      </c>
      <c r="B1741" s="0" t="s">
        <v>9293</v>
      </c>
      <c r="C1741" s="0" t="s">
        <v>157</v>
      </c>
      <c r="D1741" s="0" t="s">
        <v>5023</v>
      </c>
      <c r="E1741" s="0" t="s">
        <v>5024</v>
      </c>
      <c r="F1741" s="0" t="s">
        <v>5024</v>
      </c>
      <c r="G1741" s="0" t="s">
        <v>2515</v>
      </c>
      <c r="H1741" s="0" t="s">
        <v>3144</v>
      </c>
      <c r="I1741" s="0" t="s">
        <v>9286</v>
      </c>
      <c r="J1741" s="0" t="s">
        <v>9287</v>
      </c>
      <c r="K1741" s="0" t="s">
        <v>7993</v>
      </c>
    </row>
    <row r="1742" customFormat="false" ht="12.8" hidden="false" customHeight="false" outlineLevel="0" collapsed="false">
      <c r="A1742" s="0" t="s">
        <v>9294</v>
      </c>
      <c r="B1742" s="0" t="s">
        <v>9295</v>
      </c>
      <c r="C1742" s="0" t="s">
        <v>159</v>
      </c>
      <c r="D1742" s="0" t="s">
        <v>5061</v>
      </c>
      <c r="E1742" s="0" t="s">
        <v>5062</v>
      </c>
      <c r="F1742" s="0" t="s">
        <v>5062</v>
      </c>
      <c r="G1742" s="0" t="s">
        <v>3278</v>
      </c>
      <c r="H1742" s="0" t="s">
        <v>3741</v>
      </c>
      <c r="I1742" s="0" t="s">
        <v>9296</v>
      </c>
      <c r="J1742" s="0" t="s">
        <v>9297</v>
      </c>
      <c r="K1742" s="0" t="s">
        <v>7993</v>
      </c>
    </row>
    <row r="1743" customFormat="false" ht="12.8" hidden="false" customHeight="false" outlineLevel="0" collapsed="false">
      <c r="A1743" s="0" t="s">
        <v>9298</v>
      </c>
      <c r="B1743" s="0" t="s">
        <v>9299</v>
      </c>
      <c r="C1743" s="0" t="s">
        <v>159</v>
      </c>
      <c r="D1743" s="0" t="s">
        <v>5023</v>
      </c>
      <c r="E1743" s="0" t="s">
        <v>5024</v>
      </c>
      <c r="F1743" s="0" t="s">
        <v>5024</v>
      </c>
      <c r="G1743" s="0" t="s">
        <v>3278</v>
      </c>
      <c r="H1743" s="0" t="s">
        <v>3741</v>
      </c>
      <c r="I1743" s="0" t="s">
        <v>9296</v>
      </c>
      <c r="J1743" s="0" t="s">
        <v>9297</v>
      </c>
      <c r="K1743" s="0" t="s">
        <v>7993</v>
      </c>
    </row>
    <row r="1744" customFormat="false" ht="12.8" hidden="false" customHeight="false" outlineLevel="0" collapsed="false">
      <c r="A1744" s="0" t="s">
        <v>9300</v>
      </c>
      <c r="B1744" s="0" t="s">
        <v>9301</v>
      </c>
      <c r="C1744" s="0" t="s">
        <v>188</v>
      </c>
      <c r="D1744" s="0" t="s">
        <v>5061</v>
      </c>
      <c r="E1744" s="0" t="s">
        <v>5062</v>
      </c>
      <c r="F1744" s="0" t="s">
        <v>5062</v>
      </c>
      <c r="G1744" s="0" t="s">
        <v>3278</v>
      </c>
      <c r="H1744" s="0" t="s">
        <v>3855</v>
      </c>
      <c r="I1744" s="0" t="s">
        <v>9302</v>
      </c>
      <c r="J1744" s="0" t="s">
        <v>9303</v>
      </c>
      <c r="K1744" s="0" t="s">
        <v>7993</v>
      </c>
    </row>
    <row r="1745" customFormat="false" ht="12.8" hidden="false" customHeight="false" outlineLevel="0" collapsed="false">
      <c r="A1745" s="0" t="s">
        <v>9304</v>
      </c>
      <c r="B1745" s="0" t="s">
        <v>9305</v>
      </c>
      <c r="C1745" s="0" t="s">
        <v>6</v>
      </c>
      <c r="D1745" s="0" t="s">
        <v>5061</v>
      </c>
      <c r="E1745" s="0" t="s">
        <v>5062</v>
      </c>
      <c r="F1745" s="0" t="s">
        <v>5062</v>
      </c>
      <c r="G1745" s="0" t="s">
        <v>2515</v>
      </c>
      <c r="H1745" s="0" t="s">
        <v>3002</v>
      </c>
      <c r="I1745" s="0" t="s">
        <v>9306</v>
      </c>
      <c r="J1745" s="0" t="s">
        <v>9307</v>
      </c>
      <c r="K1745" s="0" t="s">
        <v>7993</v>
      </c>
    </row>
    <row r="1746" customFormat="false" ht="12.8" hidden="false" customHeight="false" outlineLevel="0" collapsed="false">
      <c r="A1746" s="0" t="s">
        <v>9308</v>
      </c>
      <c r="B1746" s="0" t="s">
        <v>9309</v>
      </c>
      <c r="C1746" s="0" t="s">
        <v>6</v>
      </c>
      <c r="D1746" s="0" t="s">
        <v>5057</v>
      </c>
      <c r="E1746" s="0" t="s">
        <v>5058</v>
      </c>
      <c r="F1746" s="0" t="s">
        <v>5058</v>
      </c>
      <c r="G1746" s="0" t="s">
        <v>2515</v>
      </c>
      <c r="H1746" s="0" t="s">
        <v>3002</v>
      </c>
      <c r="I1746" s="0" t="s">
        <v>9306</v>
      </c>
      <c r="J1746" s="0" t="s">
        <v>9307</v>
      </c>
      <c r="K1746" s="0" t="s">
        <v>7993</v>
      </c>
    </row>
    <row r="1747" customFormat="false" ht="12.8" hidden="false" customHeight="false" outlineLevel="0" collapsed="false">
      <c r="A1747" s="0" t="s">
        <v>9310</v>
      </c>
      <c r="B1747" s="0" t="s">
        <v>9311</v>
      </c>
      <c r="C1747" s="0" t="s">
        <v>6</v>
      </c>
      <c r="D1747" s="0" t="s">
        <v>5023</v>
      </c>
      <c r="E1747" s="0" t="s">
        <v>5024</v>
      </c>
      <c r="F1747" s="0" t="s">
        <v>5024</v>
      </c>
      <c r="G1747" s="0" t="s">
        <v>2515</v>
      </c>
      <c r="H1747" s="0" t="s">
        <v>3002</v>
      </c>
      <c r="I1747" s="0" t="s">
        <v>9306</v>
      </c>
      <c r="J1747" s="0" t="s">
        <v>9307</v>
      </c>
      <c r="K1747" s="0" t="s">
        <v>7993</v>
      </c>
    </row>
    <row r="1748" customFormat="false" ht="12.8" hidden="false" customHeight="false" outlineLevel="0" collapsed="false">
      <c r="A1748" s="0" t="s">
        <v>9312</v>
      </c>
      <c r="B1748" s="0" t="s">
        <v>9313</v>
      </c>
      <c r="C1748" s="0" t="s">
        <v>6</v>
      </c>
      <c r="D1748" s="0" t="s">
        <v>5023</v>
      </c>
      <c r="E1748" s="0" t="s">
        <v>5024</v>
      </c>
      <c r="F1748" s="0" t="s">
        <v>5024</v>
      </c>
      <c r="G1748" s="0" t="s">
        <v>2515</v>
      </c>
      <c r="H1748" s="0" t="s">
        <v>3002</v>
      </c>
      <c r="I1748" s="0" t="s">
        <v>9306</v>
      </c>
      <c r="J1748" s="0" t="s">
        <v>9307</v>
      </c>
      <c r="K1748" s="0" t="s">
        <v>7993</v>
      </c>
    </row>
    <row r="1749" customFormat="false" ht="12.8" hidden="false" customHeight="false" outlineLevel="0" collapsed="false">
      <c r="A1749" s="0" t="s">
        <v>9314</v>
      </c>
      <c r="B1749" s="0" t="s">
        <v>9315</v>
      </c>
      <c r="C1749" s="0" t="s">
        <v>6</v>
      </c>
      <c r="D1749" s="0" t="s">
        <v>5023</v>
      </c>
      <c r="E1749" s="0" t="s">
        <v>5024</v>
      </c>
      <c r="F1749" s="0" t="s">
        <v>5024</v>
      </c>
      <c r="G1749" s="0" t="s">
        <v>2515</v>
      </c>
      <c r="H1749" s="0" t="s">
        <v>3002</v>
      </c>
      <c r="I1749" s="0" t="s">
        <v>9306</v>
      </c>
      <c r="J1749" s="0" t="s">
        <v>9307</v>
      </c>
      <c r="K1749" s="0" t="s">
        <v>7993</v>
      </c>
    </row>
    <row r="1750" customFormat="false" ht="12.8" hidden="false" customHeight="false" outlineLevel="0" collapsed="false">
      <c r="A1750" s="0" t="s">
        <v>9316</v>
      </c>
      <c r="B1750" s="0" t="s">
        <v>9317</v>
      </c>
      <c r="C1750" s="0" t="s">
        <v>6</v>
      </c>
      <c r="D1750" s="0" t="s">
        <v>5023</v>
      </c>
      <c r="E1750" s="0" t="s">
        <v>5024</v>
      </c>
      <c r="F1750" s="0" t="s">
        <v>5024</v>
      </c>
      <c r="G1750" s="0" t="s">
        <v>2515</v>
      </c>
      <c r="H1750" s="0" t="s">
        <v>3002</v>
      </c>
      <c r="I1750" s="0" t="s">
        <v>9306</v>
      </c>
      <c r="J1750" s="0" t="s">
        <v>9307</v>
      </c>
      <c r="K1750" s="0" t="s">
        <v>7993</v>
      </c>
    </row>
    <row r="1751" customFormat="false" ht="12.8" hidden="false" customHeight="false" outlineLevel="0" collapsed="false">
      <c r="A1751" s="0" t="s">
        <v>9318</v>
      </c>
      <c r="B1751" s="0" t="s">
        <v>9319</v>
      </c>
      <c r="C1751" s="0" t="s">
        <v>78</v>
      </c>
      <c r="D1751" s="0" t="s">
        <v>5061</v>
      </c>
      <c r="E1751" s="0" t="s">
        <v>5062</v>
      </c>
      <c r="F1751" s="0" t="s">
        <v>5062</v>
      </c>
      <c r="G1751" s="0" t="s">
        <v>3278</v>
      </c>
      <c r="H1751" s="0" t="s">
        <v>3741</v>
      </c>
      <c r="I1751" s="0" t="s">
        <v>9320</v>
      </c>
      <c r="J1751" s="0" t="s">
        <v>9321</v>
      </c>
      <c r="K1751" s="0" t="s">
        <v>7993</v>
      </c>
    </row>
    <row r="1752" customFormat="false" ht="12.8" hidden="false" customHeight="false" outlineLevel="0" collapsed="false">
      <c r="A1752" s="0" t="s">
        <v>9322</v>
      </c>
      <c r="B1752" s="0" t="s">
        <v>9323</v>
      </c>
      <c r="C1752" s="0" t="s">
        <v>78</v>
      </c>
      <c r="D1752" s="0" t="s">
        <v>5023</v>
      </c>
      <c r="E1752" s="0" t="s">
        <v>5024</v>
      </c>
      <c r="F1752" s="0" t="s">
        <v>5024</v>
      </c>
      <c r="G1752" s="0" t="s">
        <v>3278</v>
      </c>
      <c r="H1752" s="0" t="s">
        <v>3741</v>
      </c>
      <c r="I1752" s="0" t="s">
        <v>9320</v>
      </c>
      <c r="J1752" s="0" t="s">
        <v>9321</v>
      </c>
      <c r="K1752" s="0" t="s">
        <v>7993</v>
      </c>
    </row>
    <row r="1753" customFormat="false" ht="12.8" hidden="false" customHeight="false" outlineLevel="0" collapsed="false">
      <c r="A1753" s="0" t="s">
        <v>9324</v>
      </c>
      <c r="B1753" s="0" t="s">
        <v>9325</v>
      </c>
      <c r="C1753" s="0" t="s">
        <v>78</v>
      </c>
      <c r="D1753" s="0" t="s">
        <v>5057</v>
      </c>
      <c r="E1753" s="0" t="s">
        <v>5058</v>
      </c>
      <c r="F1753" s="0" t="s">
        <v>5058</v>
      </c>
      <c r="G1753" s="0" t="s">
        <v>3278</v>
      </c>
      <c r="H1753" s="0" t="s">
        <v>3741</v>
      </c>
      <c r="I1753" s="0" t="s">
        <v>9320</v>
      </c>
      <c r="J1753" s="0" t="s">
        <v>9321</v>
      </c>
      <c r="K1753" s="0" t="s">
        <v>7993</v>
      </c>
    </row>
    <row r="1754" customFormat="false" ht="12.8" hidden="false" customHeight="false" outlineLevel="0" collapsed="false">
      <c r="A1754" s="0" t="s">
        <v>9326</v>
      </c>
      <c r="B1754" s="0" t="s">
        <v>9327</v>
      </c>
      <c r="C1754" s="0" t="s">
        <v>230</v>
      </c>
      <c r="D1754" s="0" t="s">
        <v>5057</v>
      </c>
      <c r="E1754" s="0" t="s">
        <v>5058</v>
      </c>
      <c r="F1754" s="0" t="s">
        <v>5058</v>
      </c>
      <c r="G1754" s="0" t="s">
        <v>2515</v>
      </c>
      <c r="H1754" s="0" t="s">
        <v>3144</v>
      </c>
      <c r="I1754" s="0" t="s">
        <v>9328</v>
      </c>
      <c r="J1754" s="0" t="s">
        <v>9329</v>
      </c>
      <c r="K1754" s="0" t="s">
        <v>7993</v>
      </c>
    </row>
    <row r="1755" customFormat="false" ht="12.8" hidden="false" customHeight="false" outlineLevel="0" collapsed="false">
      <c r="A1755" s="0" t="s">
        <v>9330</v>
      </c>
      <c r="B1755" s="0" t="s">
        <v>9331</v>
      </c>
      <c r="C1755" s="0" t="s">
        <v>230</v>
      </c>
      <c r="D1755" s="0" t="s">
        <v>5023</v>
      </c>
      <c r="E1755" s="0" t="s">
        <v>5024</v>
      </c>
      <c r="F1755" s="0" t="s">
        <v>5024</v>
      </c>
      <c r="G1755" s="0" t="s">
        <v>2515</v>
      </c>
      <c r="H1755" s="0" t="s">
        <v>3144</v>
      </c>
      <c r="I1755" s="0" t="s">
        <v>9328</v>
      </c>
      <c r="J1755" s="0" t="s">
        <v>9329</v>
      </c>
      <c r="K1755" s="0" t="s">
        <v>7993</v>
      </c>
    </row>
    <row r="1756" customFormat="false" ht="12.8" hidden="false" customHeight="false" outlineLevel="0" collapsed="false">
      <c r="A1756" s="0" t="s">
        <v>9332</v>
      </c>
      <c r="B1756" s="0" t="s">
        <v>9333</v>
      </c>
      <c r="C1756" s="0" t="s">
        <v>230</v>
      </c>
      <c r="D1756" s="0" t="s">
        <v>5061</v>
      </c>
      <c r="E1756" s="0" t="s">
        <v>5062</v>
      </c>
      <c r="F1756" s="0" t="s">
        <v>5062</v>
      </c>
      <c r="G1756" s="0" t="s">
        <v>2515</v>
      </c>
      <c r="H1756" s="0" t="s">
        <v>3144</v>
      </c>
      <c r="I1756" s="0" t="s">
        <v>9328</v>
      </c>
      <c r="J1756" s="0" t="s">
        <v>9329</v>
      </c>
      <c r="K1756" s="0" t="s">
        <v>7993</v>
      </c>
    </row>
    <row r="1757" customFormat="false" ht="12.8" hidden="false" customHeight="false" outlineLevel="0" collapsed="false">
      <c r="A1757" s="0" t="s">
        <v>9334</v>
      </c>
      <c r="B1757" s="0" t="s">
        <v>9335</v>
      </c>
      <c r="C1757" s="0" t="s">
        <v>230</v>
      </c>
      <c r="D1757" s="0" t="s">
        <v>5023</v>
      </c>
      <c r="E1757" s="0" t="s">
        <v>5024</v>
      </c>
      <c r="F1757" s="0" t="s">
        <v>5024</v>
      </c>
      <c r="G1757" s="0" t="s">
        <v>2515</v>
      </c>
      <c r="H1757" s="0" t="s">
        <v>3144</v>
      </c>
      <c r="I1757" s="0" t="s">
        <v>9328</v>
      </c>
      <c r="J1757" s="0" t="s">
        <v>9329</v>
      </c>
      <c r="K1757" s="0" t="s">
        <v>7993</v>
      </c>
    </row>
    <row r="1758" customFormat="false" ht="12.8" hidden="false" customHeight="false" outlineLevel="0" collapsed="false">
      <c r="A1758" s="0" t="s">
        <v>9336</v>
      </c>
      <c r="B1758" s="0" t="s">
        <v>9337</v>
      </c>
      <c r="C1758" s="0" t="s">
        <v>230</v>
      </c>
      <c r="D1758" s="0" t="s">
        <v>5023</v>
      </c>
      <c r="E1758" s="0" t="s">
        <v>5024</v>
      </c>
      <c r="F1758" s="0" t="s">
        <v>5024</v>
      </c>
      <c r="G1758" s="0" t="s">
        <v>2515</v>
      </c>
      <c r="H1758" s="0" t="s">
        <v>3144</v>
      </c>
      <c r="I1758" s="0" t="s">
        <v>9328</v>
      </c>
      <c r="J1758" s="0" t="s">
        <v>9329</v>
      </c>
      <c r="K1758" s="0" t="s">
        <v>7993</v>
      </c>
    </row>
    <row r="1759" customFormat="false" ht="12.8" hidden="false" customHeight="false" outlineLevel="0" collapsed="false">
      <c r="A1759" s="0" t="s">
        <v>9338</v>
      </c>
      <c r="B1759" s="0" t="s">
        <v>9339</v>
      </c>
      <c r="C1759" s="0" t="s">
        <v>224</v>
      </c>
      <c r="D1759" s="0" t="s">
        <v>5057</v>
      </c>
      <c r="E1759" s="0" t="s">
        <v>5058</v>
      </c>
      <c r="F1759" s="0" t="s">
        <v>5058</v>
      </c>
      <c r="G1759" s="0" t="s">
        <v>4100</v>
      </c>
      <c r="H1759" s="0" t="s">
        <v>4780</v>
      </c>
      <c r="I1759" s="0" t="s">
        <v>9340</v>
      </c>
      <c r="J1759" s="0" t="s">
        <v>9341</v>
      </c>
      <c r="K1759" s="444" t="s">
        <v>8146</v>
      </c>
    </row>
    <row r="1760" customFormat="false" ht="12.8" hidden="false" customHeight="false" outlineLevel="0" collapsed="false">
      <c r="A1760" s="0" t="s">
        <v>9342</v>
      </c>
      <c r="B1760" s="0" t="s">
        <v>9343</v>
      </c>
      <c r="C1760" s="0" t="s">
        <v>224</v>
      </c>
      <c r="D1760" s="0" t="s">
        <v>5023</v>
      </c>
      <c r="E1760" s="0" t="s">
        <v>5024</v>
      </c>
      <c r="F1760" s="0" t="s">
        <v>5024</v>
      </c>
      <c r="G1760" s="0" t="s">
        <v>4100</v>
      </c>
      <c r="H1760" s="0" t="s">
        <v>4780</v>
      </c>
      <c r="I1760" s="0" t="s">
        <v>9340</v>
      </c>
      <c r="J1760" s="0" t="s">
        <v>9341</v>
      </c>
      <c r="K1760" s="444" t="s">
        <v>8146</v>
      </c>
    </row>
    <row r="1761" customFormat="false" ht="12.8" hidden="false" customHeight="false" outlineLevel="0" collapsed="false">
      <c r="A1761" s="0" t="s">
        <v>9344</v>
      </c>
      <c r="B1761" s="0" t="s">
        <v>9345</v>
      </c>
      <c r="C1761" s="0" t="s">
        <v>224</v>
      </c>
      <c r="D1761" s="0" t="s">
        <v>5023</v>
      </c>
      <c r="E1761" s="0" t="s">
        <v>5024</v>
      </c>
      <c r="F1761" s="0" t="s">
        <v>5024</v>
      </c>
      <c r="G1761" s="0" t="s">
        <v>4100</v>
      </c>
      <c r="H1761" s="0" t="s">
        <v>4780</v>
      </c>
      <c r="I1761" s="0" t="s">
        <v>9340</v>
      </c>
      <c r="J1761" s="0" t="s">
        <v>9341</v>
      </c>
      <c r="K1761" s="444" t="s">
        <v>8146</v>
      </c>
    </row>
    <row r="1762" customFormat="false" ht="12.8" hidden="false" customHeight="false" outlineLevel="0" collapsed="false">
      <c r="A1762" s="0" t="s">
        <v>9346</v>
      </c>
      <c r="B1762" s="0" t="s">
        <v>9347</v>
      </c>
      <c r="C1762" s="0" t="s">
        <v>84</v>
      </c>
      <c r="D1762" s="0" t="s">
        <v>5057</v>
      </c>
      <c r="E1762" s="0" t="s">
        <v>5058</v>
      </c>
      <c r="F1762" s="0" t="s">
        <v>5058</v>
      </c>
      <c r="G1762" s="0" t="s">
        <v>4100</v>
      </c>
      <c r="H1762" s="0" t="s">
        <v>4780</v>
      </c>
      <c r="I1762" s="0" t="s">
        <v>9348</v>
      </c>
      <c r="J1762" s="0" t="s">
        <v>9349</v>
      </c>
      <c r="K1762" s="444" t="s">
        <v>9350</v>
      </c>
    </row>
    <row r="1763" customFormat="false" ht="12.8" hidden="false" customHeight="false" outlineLevel="0" collapsed="false">
      <c r="A1763" s="0" t="s">
        <v>9351</v>
      </c>
      <c r="B1763" s="0" t="s">
        <v>9352</v>
      </c>
      <c r="C1763" s="0" t="s">
        <v>84</v>
      </c>
      <c r="D1763" s="0" t="s">
        <v>5023</v>
      </c>
      <c r="E1763" s="0" t="s">
        <v>5024</v>
      </c>
      <c r="F1763" s="0" t="s">
        <v>5024</v>
      </c>
      <c r="G1763" s="0" t="s">
        <v>4100</v>
      </c>
      <c r="H1763" s="0" t="s">
        <v>4780</v>
      </c>
      <c r="I1763" s="0" t="s">
        <v>9348</v>
      </c>
      <c r="J1763" s="0" t="s">
        <v>9349</v>
      </c>
      <c r="K1763" s="444" t="s">
        <v>9350</v>
      </c>
    </row>
    <row r="1764" customFormat="false" ht="12.8" hidden="false" customHeight="false" outlineLevel="0" collapsed="false">
      <c r="A1764" s="0" t="s">
        <v>9353</v>
      </c>
      <c r="B1764" s="0" t="s">
        <v>9354</v>
      </c>
      <c r="C1764" s="0" t="s">
        <v>84</v>
      </c>
      <c r="D1764" s="0" t="s">
        <v>5023</v>
      </c>
      <c r="E1764" s="0" t="s">
        <v>5024</v>
      </c>
      <c r="F1764" s="0" t="s">
        <v>5024</v>
      </c>
      <c r="G1764" s="0" t="s">
        <v>4100</v>
      </c>
      <c r="H1764" s="0" t="s">
        <v>4780</v>
      </c>
      <c r="I1764" s="0" t="s">
        <v>9348</v>
      </c>
      <c r="J1764" s="0" t="s">
        <v>9349</v>
      </c>
      <c r="K1764" s="444" t="s">
        <v>9350</v>
      </c>
    </row>
    <row r="1765" customFormat="false" ht="12.8" hidden="false" customHeight="false" outlineLevel="0" collapsed="false">
      <c r="A1765" s="0" t="s">
        <v>9355</v>
      </c>
      <c r="B1765" s="0" t="s">
        <v>9356</v>
      </c>
      <c r="C1765" s="0" t="s">
        <v>39</v>
      </c>
      <c r="D1765" s="0" t="s">
        <v>5057</v>
      </c>
      <c r="E1765" s="0" t="s">
        <v>5058</v>
      </c>
      <c r="F1765" s="0" t="s">
        <v>5058</v>
      </c>
      <c r="G1765" s="0" t="s">
        <v>4100</v>
      </c>
      <c r="H1765" s="0" t="s">
        <v>4780</v>
      </c>
      <c r="I1765" s="0" t="s">
        <v>9357</v>
      </c>
      <c r="J1765" s="0" t="s">
        <v>9358</v>
      </c>
      <c r="K1765" s="444" t="s">
        <v>9359</v>
      </c>
    </row>
    <row r="1766" customFormat="false" ht="12.8" hidden="false" customHeight="false" outlineLevel="0" collapsed="false">
      <c r="A1766" s="0" t="s">
        <v>9360</v>
      </c>
      <c r="B1766" s="0" t="s">
        <v>9361</v>
      </c>
      <c r="C1766" s="0" t="s">
        <v>39</v>
      </c>
      <c r="D1766" s="0" t="s">
        <v>5023</v>
      </c>
      <c r="E1766" s="0" t="s">
        <v>5024</v>
      </c>
      <c r="F1766" s="0" t="s">
        <v>5024</v>
      </c>
      <c r="G1766" s="0" t="s">
        <v>4100</v>
      </c>
      <c r="H1766" s="0" t="s">
        <v>4780</v>
      </c>
      <c r="I1766" s="0" t="s">
        <v>9357</v>
      </c>
      <c r="J1766" s="0" t="s">
        <v>9358</v>
      </c>
      <c r="K1766" s="444" t="s">
        <v>9359</v>
      </c>
    </row>
    <row r="1767" customFormat="false" ht="12.8" hidden="false" customHeight="false" outlineLevel="0" collapsed="false">
      <c r="A1767" s="0" t="s">
        <v>9362</v>
      </c>
      <c r="B1767" s="0" t="s">
        <v>9363</v>
      </c>
      <c r="C1767" s="0" t="s">
        <v>39</v>
      </c>
      <c r="D1767" s="0" t="s">
        <v>5023</v>
      </c>
      <c r="E1767" s="0" t="s">
        <v>5024</v>
      </c>
      <c r="F1767" s="0" t="s">
        <v>5024</v>
      </c>
      <c r="G1767" s="0" t="s">
        <v>4100</v>
      </c>
      <c r="H1767" s="0" t="s">
        <v>4780</v>
      </c>
      <c r="I1767" s="0" t="s">
        <v>9357</v>
      </c>
      <c r="J1767" s="0" t="s">
        <v>9358</v>
      </c>
      <c r="K1767" s="444" t="s">
        <v>9359</v>
      </c>
    </row>
    <row r="1768" customFormat="false" ht="12.8" hidden="false" customHeight="false" outlineLevel="0" collapsed="false">
      <c r="A1768" s="0" t="s">
        <v>9364</v>
      </c>
      <c r="B1768" s="0" t="s">
        <v>9365</v>
      </c>
      <c r="C1768" s="0" t="s">
        <v>236</v>
      </c>
      <c r="D1768" s="0" t="s">
        <v>5057</v>
      </c>
      <c r="E1768" s="0" t="s">
        <v>5058</v>
      </c>
      <c r="F1768" s="0" t="s">
        <v>5058</v>
      </c>
      <c r="G1768" s="0" t="s">
        <v>4100</v>
      </c>
      <c r="H1768" s="0" t="s">
        <v>4101</v>
      </c>
      <c r="I1768" s="0" t="s">
        <v>9366</v>
      </c>
      <c r="J1768" s="0" t="s">
        <v>9367</v>
      </c>
      <c r="K1768" s="0" t="s">
        <v>7993</v>
      </c>
    </row>
    <row r="1769" customFormat="false" ht="12.8" hidden="false" customHeight="false" outlineLevel="0" collapsed="false">
      <c r="A1769" s="0" t="s">
        <v>9368</v>
      </c>
      <c r="B1769" s="0" t="s">
        <v>9369</v>
      </c>
      <c r="C1769" s="0" t="s">
        <v>236</v>
      </c>
      <c r="D1769" s="0" t="s">
        <v>5023</v>
      </c>
      <c r="E1769" s="0" t="s">
        <v>5024</v>
      </c>
      <c r="F1769" s="0" t="s">
        <v>5024</v>
      </c>
      <c r="G1769" s="0" t="s">
        <v>4100</v>
      </c>
      <c r="H1769" s="0" t="s">
        <v>4101</v>
      </c>
      <c r="I1769" s="0" t="s">
        <v>9366</v>
      </c>
      <c r="J1769" s="0" t="s">
        <v>9367</v>
      </c>
      <c r="K1769" s="0" t="s">
        <v>7993</v>
      </c>
    </row>
    <row r="1770" customFormat="false" ht="12.8" hidden="false" customHeight="false" outlineLevel="0" collapsed="false">
      <c r="A1770" s="0" t="s">
        <v>9370</v>
      </c>
      <c r="B1770" s="0" t="s">
        <v>9371</v>
      </c>
      <c r="C1770" s="0" t="s">
        <v>236</v>
      </c>
      <c r="D1770" s="0" t="s">
        <v>5023</v>
      </c>
      <c r="E1770" s="0" t="s">
        <v>5024</v>
      </c>
      <c r="F1770" s="0" t="s">
        <v>5024</v>
      </c>
      <c r="G1770" s="0" t="s">
        <v>4100</v>
      </c>
      <c r="H1770" s="0" t="s">
        <v>4101</v>
      </c>
      <c r="I1770" s="0" t="s">
        <v>9366</v>
      </c>
      <c r="J1770" s="0" t="s">
        <v>9367</v>
      </c>
      <c r="K1770" s="0" t="s">
        <v>7993</v>
      </c>
    </row>
    <row r="1771" customFormat="false" ht="12.8" hidden="false" customHeight="false" outlineLevel="0" collapsed="false">
      <c r="A1771" s="0" t="s">
        <v>9372</v>
      </c>
      <c r="B1771" s="0" t="s">
        <v>9373</v>
      </c>
      <c r="C1771" s="0" t="s">
        <v>391</v>
      </c>
      <c r="D1771" s="0" t="s">
        <v>5023</v>
      </c>
      <c r="E1771" s="0" t="s">
        <v>5024</v>
      </c>
      <c r="F1771" s="0" t="s">
        <v>5024</v>
      </c>
      <c r="G1771" s="0" t="s">
        <v>3278</v>
      </c>
      <c r="H1771" s="0" t="s">
        <v>3434</v>
      </c>
      <c r="I1771" s="0" t="s">
        <v>9374</v>
      </c>
      <c r="J1771" s="0" t="s">
        <v>9375</v>
      </c>
      <c r="K1771" s="0" t="s">
        <v>7993</v>
      </c>
    </row>
    <row r="1772" customFormat="false" ht="12.8" hidden="false" customHeight="false" outlineLevel="0" collapsed="false">
      <c r="A1772" s="0" t="s">
        <v>9376</v>
      </c>
      <c r="B1772" s="0" t="s">
        <v>9377</v>
      </c>
      <c r="C1772" s="0" t="s">
        <v>391</v>
      </c>
      <c r="D1772" s="0" t="s">
        <v>5061</v>
      </c>
      <c r="E1772" s="0" t="s">
        <v>5062</v>
      </c>
      <c r="F1772" s="0" t="s">
        <v>5062</v>
      </c>
      <c r="G1772" s="0" t="s">
        <v>3278</v>
      </c>
      <c r="H1772" s="0" t="s">
        <v>3434</v>
      </c>
      <c r="I1772" s="0" t="s">
        <v>9374</v>
      </c>
      <c r="J1772" s="0" t="s">
        <v>9375</v>
      </c>
      <c r="K1772" s="0" t="s">
        <v>7993</v>
      </c>
    </row>
    <row r="1773" customFormat="false" ht="12.8" hidden="false" customHeight="false" outlineLevel="0" collapsed="false">
      <c r="A1773" s="0" t="s">
        <v>9378</v>
      </c>
      <c r="B1773" s="0" t="s">
        <v>9379</v>
      </c>
      <c r="C1773" s="0" t="s">
        <v>391</v>
      </c>
      <c r="D1773" s="0" t="s">
        <v>5057</v>
      </c>
      <c r="E1773" s="0" t="s">
        <v>5058</v>
      </c>
      <c r="F1773" s="0" t="s">
        <v>5058</v>
      </c>
      <c r="G1773" s="0" t="s">
        <v>3278</v>
      </c>
      <c r="H1773" s="0" t="s">
        <v>3434</v>
      </c>
      <c r="I1773" s="0" t="s">
        <v>9374</v>
      </c>
      <c r="J1773" s="0" t="s">
        <v>9375</v>
      </c>
      <c r="K1773" s="0" t="s">
        <v>7993</v>
      </c>
    </row>
    <row r="1774" customFormat="false" ht="12.8" hidden="false" customHeight="false" outlineLevel="0" collapsed="false">
      <c r="A1774" s="0" t="s">
        <v>9380</v>
      </c>
      <c r="B1774" s="0" t="s">
        <v>9381</v>
      </c>
      <c r="C1774" s="0" t="s">
        <v>391</v>
      </c>
      <c r="D1774" s="0" t="s">
        <v>5023</v>
      </c>
      <c r="E1774" s="0" t="s">
        <v>5024</v>
      </c>
      <c r="F1774" s="0" t="s">
        <v>5024</v>
      </c>
      <c r="G1774" s="0" t="s">
        <v>3278</v>
      </c>
      <c r="H1774" s="0" t="s">
        <v>3434</v>
      </c>
      <c r="I1774" s="0" t="s">
        <v>9374</v>
      </c>
      <c r="J1774" s="0" t="s">
        <v>9375</v>
      </c>
      <c r="K1774" s="0" t="s">
        <v>7993</v>
      </c>
    </row>
    <row r="1775" customFormat="false" ht="12.8" hidden="false" customHeight="false" outlineLevel="0" collapsed="false">
      <c r="A1775" s="0" t="s">
        <v>9382</v>
      </c>
      <c r="B1775" s="0" t="s">
        <v>9383</v>
      </c>
      <c r="C1775" s="0" t="s">
        <v>290</v>
      </c>
      <c r="D1775" s="0" t="s">
        <v>5023</v>
      </c>
      <c r="E1775" s="0" t="s">
        <v>5024</v>
      </c>
      <c r="F1775" s="0" t="s">
        <v>5024</v>
      </c>
      <c r="G1775" s="0" t="s">
        <v>4100</v>
      </c>
      <c r="H1775" s="0" t="s">
        <v>4270</v>
      </c>
      <c r="I1775" s="0" t="s">
        <v>9384</v>
      </c>
      <c r="J1775" s="0" t="s">
        <v>9385</v>
      </c>
      <c r="K1775" s="0" t="s">
        <v>5260</v>
      </c>
    </row>
    <row r="1776" customFormat="false" ht="12.8" hidden="false" customHeight="false" outlineLevel="0" collapsed="false">
      <c r="A1776" s="0" t="s">
        <v>9386</v>
      </c>
      <c r="B1776" s="0" t="s">
        <v>9387</v>
      </c>
      <c r="C1776" s="0" t="s">
        <v>290</v>
      </c>
      <c r="D1776" s="0" t="s">
        <v>5023</v>
      </c>
      <c r="E1776" s="0" t="s">
        <v>5024</v>
      </c>
      <c r="F1776" s="0" t="s">
        <v>5024</v>
      </c>
      <c r="G1776" s="0" t="s">
        <v>4100</v>
      </c>
      <c r="H1776" s="0" t="s">
        <v>4270</v>
      </c>
      <c r="I1776" s="0" t="s">
        <v>9384</v>
      </c>
      <c r="J1776" s="0" t="s">
        <v>9385</v>
      </c>
      <c r="K1776" s="0" t="s">
        <v>5260</v>
      </c>
    </row>
    <row r="1777" customFormat="false" ht="12.8" hidden="false" customHeight="false" outlineLevel="0" collapsed="false">
      <c r="A1777" s="0" t="s">
        <v>9388</v>
      </c>
      <c r="B1777" s="0" t="s">
        <v>9389</v>
      </c>
      <c r="C1777" s="0" t="s">
        <v>290</v>
      </c>
      <c r="D1777" s="0" t="s">
        <v>5023</v>
      </c>
      <c r="E1777" s="0" t="s">
        <v>5024</v>
      </c>
      <c r="F1777" s="0" t="s">
        <v>5024</v>
      </c>
      <c r="G1777" s="0" t="s">
        <v>4100</v>
      </c>
      <c r="H1777" s="0" t="s">
        <v>4270</v>
      </c>
      <c r="I1777" s="0" t="s">
        <v>9384</v>
      </c>
      <c r="J1777" s="0" t="s">
        <v>9385</v>
      </c>
      <c r="K1777" s="0" t="s">
        <v>5260</v>
      </c>
    </row>
    <row r="1778" customFormat="false" ht="12.8" hidden="false" customHeight="false" outlineLevel="0" collapsed="false">
      <c r="A1778" s="0" t="s">
        <v>9390</v>
      </c>
      <c r="B1778" s="0" t="s">
        <v>9391</v>
      </c>
      <c r="C1778" s="0" t="s">
        <v>290</v>
      </c>
      <c r="D1778" s="0" t="s">
        <v>5057</v>
      </c>
      <c r="E1778" s="0" t="s">
        <v>5058</v>
      </c>
      <c r="F1778" s="0" t="s">
        <v>5058</v>
      </c>
      <c r="G1778" s="0" t="s">
        <v>4100</v>
      </c>
      <c r="H1778" s="0" t="s">
        <v>4270</v>
      </c>
      <c r="I1778" s="0" t="s">
        <v>9384</v>
      </c>
      <c r="J1778" s="0" t="s">
        <v>9385</v>
      </c>
      <c r="K1778" s="0" t="s">
        <v>5260</v>
      </c>
    </row>
    <row r="1779" customFormat="false" ht="12.8" hidden="false" customHeight="false" outlineLevel="0" collapsed="false">
      <c r="A1779" s="0" t="s">
        <v>9392</v>
      </c>
      <c r="B1779" s="0" t="s">
        <v>9393</v>
      </c>
      <c r="C1779" s="0" t="s">
        <v>290</v>
      </c>
      <c r="D1779" s="0" t="s">
        <v>5061</v>
      </c>
      <c r="E1779" s="0" t="s">
        <v>5062</v>
      </c>
      <c r="F1779" s="0" t="s">
        <v>5062</v>
      </c>
      <c r="G1779" s="0" t="s">
        <v>4100</v>
      </c>
      <c r="H1779" s="0" t="s">
        <v>4270</v>
      </c>
      <c r="I1779" s="0" t="s">
        <v>9384</v>
      </c>
      <c r="J1779" s="0" t="s">
        <v>9385</v>
      </c>
      <c r="K1779" s="0" t="s">
        <v>5260</v>
      </c>
    </row>
    <row r="1780" customFormat="false" ht="12.8" hidden="false" customHeight="false" outlineLevel="0" collapsed="false">
      <c r="A1780" s="0" t="s">
        <v>9394</v>
      </c>
      <c r="B1780" s="0" t="s">
        <v>9395</v>
      </c>
      <c r="C1780" s="0" t="s">
        <v>290</v>
      </c>
      <c r="D1780" s="0" t="s">
        <v>5023</v>
      </c>
      <c r="E1780" s="0" t="s">
        <v>5024</v>
      </c>
      <c r="F1780" s="0" t="s">
        <v>5024</v>
      </c>
      <c r="G1780" s="0" t="s">
        <v>4100</v>
      </c>
      <c r="H1780" s="0" t="s">
        <v>4270</v>
      </c>
      <c r="I1780" s="0" t="s">
        <v>9384</v>
      </c>
      <c r="J1780" s="0" t="s">
        <v>9385</v>
      </c>
      <c r="K1780" s="0" t="s">
        <v>5260</v>
      </c>
    </row>
    <row r="1781" customFormat="false" ht="12.8" hidden="false" customHeight="false" outlineLevel="0" collapsed="false">
      <c r="A1781" s="0" t="s">
        <v>9396</v>
      </c>
      <c r="B1781" s="0" t="s">
        <v>9397</v>
      </c>
      <c r="C1781" s="0" t="s">
        <v>133</v>
      </c>
      <c r="D1781" s="0" t="s">
        <v>5023</v>
      </c>
      <c r="E1781" s="0" t="s">
        <v>5024</v>
      </c>
      <c r="F1781" s="0" t="s">
        <v>5024</v>
      </c>
      <c r="G1781" s="0" t="s">
        <v>4100</v>
      </c>
      <c r="H1781" s="0" t="s">
        <v>4780</v>
      </c>
      <c r="I1781" s="0" t="s">
        <v>9398</v>
      </c>
      <c r="J1781" s="0" t="s">
        <v>9399</v>
      </c>
      <c r="K1781" s="444" t="s">
        <v>9400</v>
      </c>
      <c r="L1781" s="0" t="s">
        <v>9401</v>
      </c>
    </row>
    <row r="1782" customFormat="false" ht="12.8" hidden="false" customHeight="false" outlineLevel="0" collapsed="false">
      <c r="A1782" s="0" t="s">
        <v>9402</v>
      </c>
      <c r="B1782" s="0" t="s">
        <v>9403</v>
      </c>
      <c r="C1782" s="0" t="s">
        <v>133</v>
      </c>
      <c r="D1782" s="0" t="s">
        <v>5023</v>
      </c>
      <c r="E1782" s="0" t="s">
        <v>5024</v>
      </c>
      <c r="F1782" s="0" t="s">
        <v>5024</v>
      </c>
      <c r="G1782" s="0" t="s">
        <v>4100</v>
      </c>
      <c r="H1782" s="0" t="s">
        <v>4780</v>
      </c>
      <c r="I1782" s="0" t="s">
        <v>9398</v>
      </c>
      <c r="J1782" s="0" t="s">
        <v>9399</v>
      </c>
      <c r="K1782" s="444" t="s">
        <v>9400</v>
      </c>
      <c r="L1782" s="0" t="s">
        <v>9401</v>
      </c>
    </row>
    <row r="1783" customFormat="false" ht="12.8" hidden="false" customHeight="false" outlineLevel="0" collapsed="false">
      <c r="A1783" s="0" t="s">
        <v>9404</v>
      </c>
      <c r="B1783" s="0" t="s">
        <v>9405</v>
      </c>
      <c r="C1783" s="0" t="s">
        <v>133</v>
      </c>
      <c r="D1783" s="0" t="s">
        <v>5023</v>
      </c>
      <c r="E1783" s="0" t="s">
        <v>5024</v>
      </c>
      <c r="F1783" s="0" t="s">
        <v>5024</v>
      </c>
      <c r="G1783" s="0" t="s">
        <v>4100</v>
      </c>
      <c r="H1783" s="0" t="s">
        <v>4780</v>
      </c>
      <c r="I1783" s="0" t="s">
        <v>9398</v>
      </c>
      <c r="J1783" s="0" t="s">
        <v>9399</v>
      </c>
      <c r="K1783" s="444" t="s">
        <v>9400</v>
      </c>
      <c r="L1783" s="0" t="s">
        <v>9401</v>
      </c>
    </row>
    <row r="1784" customFormat="false" ht="12.8" hidden="false" customHeight="false" outlineLevel="0" collapsed="false">
      <c r="A1784" s="0" t="s">
        <v>9406</v>
      </c>
      <c r="B1784" s="0" t="s">
        <v>9407</v>
      </c>
      <c r="C1784" s="0" t="s">
        <v>133</v>
      </c>
      <c r="D1784" s="0" t="s">
        <v>5023</v>
      </c>
      <c r="E1784" s="0" t="s">
        <v>5024</v>
      </c>
      <c r="F1784" s="0" t="s">
        <v>5024</v>
      </c>
      <c r="G1784" s="0" t="s">
        <v>4100</v>
      </c>
      <c r="H1784" s="0" t="s">
        <v>4780</v>
      </c>
      <c r="I1784" s="0" t="s">
        <v>9398</v>
      </c>
      <c r="J1784" s="0" t="s">
        <v>9399</v>
      </c>
      <c r="K1784" s="444" t="s">
        <v>9400</v>
      </c>
      <c r="L1784" s="0" t="s">
        <v>9401</v>
      </c>
    </row>
    <row r="1785" customFormat="false" ht="12.8" hidden="false" customHeight="false" outlineLevel="0" collapsed="false">
      <c r="A1785" s="0" t="s">
        <v>9408</v>
      </c>
      <c r="B1785" s="0" t="s">
        <v>9409</v>
      </c>
      <c r="C1785" s="0" t="s">
        <v>133</v>
      </c>
      <c r="D1785" s="0" t="s">
        <v>5023</v>
      </c>
      <c r="E1785" s="0" t="s">
        <v>5024</v>
      </c>
      <c r="F1785" s="0" t="s">
        <v>5024</v>
      </c>
      <c r="G1785" s="0" t="s">
        <v>4100</v>
      </c>
      <c r="H1785" s="0" t="s">
        <v>4780</v>
      </c>
      <c r="I1785" s="0" t="s">
        <v>9398</v>
      </c>
      <c r="J1785" s="0" t="s">
        <v>9399</v>
      </c>
      <c r="K1785" s="444" t="s">
        <v>9400</v>
      </c>
    </row>
    <row r="1786" customFormat="false" ht="12.8" hidden="false" customHeight="false" outlineLevel="0" collapsed="false">
      <c r="A1786" s="0" t="s">
        <v>9410</v>
      </c>
      <c r="B1786" s="0" t="s">
        <v>9411</v>
      </c>
      <c r="C1786" s="0" t="s">
        <v>133</v>
      </c>
      <c r="D1786" s="0" t="s">
        <v>5023</v>
      </c>
      <c r="E1786" s="0" t="s">
        <v>5024</v>
      </c>
      <c r="F1786" s="0" t="s">
        <v>5024</v>
      </c>
      <c r="G1786" s="0" t="s">
        <v>4100</v>
      </c>
      <c r="H1786" s="0" t="s">
        <v>4780</v>
      </c>
      <c r="I1786" s="0" t="s">
        <v>9398</v>
      </c>
      <c r="J1786" s="0" t="s">
        <v>9399</v>
      </c>
      <c r="K1786" s="444" t="s">
        <v>9400</v>
      </c>
    </row>
    <row r="1787" customFormat="false" ht="12.8" hidden="false" customHeight="false" outlineLevel="0" collapsed="false">
      <c r="A1787" s="0" t="s">
        <v>9412</v>
      </c>
      <c r="B1787" s="0" t="s">
        <v>9413</v>
      </c>
      <c r="C1787" s="0" t="s">
        <v>133</v>
      </c>
      <c r="D1787" s="0" t="s">
        <v>5023</v>
      </c>
      <c r="E1787" s="0" t="s">
        <v>5024</v>
      </c>
      <c r="F1787" s="0" t="s">
        <v>5024</v>
      </c>
      <c r="G1787" s="0" t="s">
        <v>4100</v>
      </c>
      <c r="H1787" s="0" t="s">
        <v>4780</v>
      </c>
      <c r="I1787" s="0" t="s">
        <v>9398</v>
      </c>
      <c r="J1787" s="0" t="s">
        <v>9399</v>
      </c>
      <c r="K1787" s="444" t="s">
        <v>9400</v>
      </c>
    </row>
    <row r="1788" customFormat="false" ht="12.8" hidden="false" customHeight="false" outlineLevel="0" collapsed="false">
      <c r="A1788" s="0" t="s">
        <v>9414</v>
      </c>
      <c r="B1788" s="0" t="s">
        <v>9415</v>
      </c>
      <c r="C1788" s="0" t="s">
        <v>133</v>
      </c>
      <c r="D1788" s="0" t="s">
        <v>5023</v>
      </c>
      <c r="E1788" s="0" t="s">
        <v>5024</v>
      </c>
      <c r="F1788" s="0" t="s">
        <v>5024</v>
      </c>
      <c r="G1788" s="0" t="s">
        <v>4100</v>
      </c>
      <c r="H1788" s="0" t="s">
        <v>4780</v>
      </c>
      <c r="I1788" s="0" t="s">
        <v>9398</v>
      </c>
      <c r="J1788" s="0" t="s">
        <v>9399</v>
      </c>
      <c r="K1788" s="444" t="s">
        <v>9400</v>
      </c>
    </row>
    <row r="1789" customFormat="false" ht="12.8" hidden="false" customHeight="false" outlineLevel="0" collapsed="false">
      <c r="A1789" s="0" t="s">
        <v>9416</v>
      </c>
      <c r="B1789" s="0" t="s">
        <v>9417</v>
      </c>
      <c r="C1789" s="0" t="s">
        <v>133</v>
      </c>
      <c r="D1789" s="0" t="s">
        <v>5023</v>
      </c>
      <c r="E1789" s="0" t="s">
        <v>5024</v>
      </c>
      <c r="F1789" s="0" t="s">
        <v>5024</v>
      </c>
      <c r="G1789" s="0" t="s">
        <v>4100</v>
      </c>
      <c r="H1789" s="0" t="s">
        <v>4780</v>
      </c>
      <c r="I1789" s="0" t="s">
        <v>9398</v>
      </c>
      <c r="J1789" s="0" t="s">
        <v>9399</v>
      </c>
      <c r="K1789" s="444" t="s">
        <v>9400</v>
      </c>
    </row>
    <row r="1790" customFormat="false" ht="12.8" hidden="false" customHeight="false" outlineLevel="0" collapsed="false">
      <c r="A1790" s="0" t="s">
        <v>9418</v>
      </c>
      <c r="B1790" s="0" t="s">
        <v>9419</v>
      </c>
      <c r="C1790" s="0" t="s">
        <v>133</v>
      </c>
      <c r="D1790" s="0" t="s">
        <v>5023</v>
      </c>
      <c r="E1790" s="0" t="s">
        <v>5024</v>
      </c>
      <c r="F1790" s="0" t="s">
        <v>5024</v>
      </c>
      <c r="G1790" s="0" t="s">
        <v>4100</v>
      </c>
      <c r="H1790" s="0" t="s">
        <v>4780</v>
      </c>
      <c r="I1790" s="0" t="s">
        <v>9398</v>
      </c>
      <c r="J1790" s="0" t="s">
        <v>9399</v>
      </c>
      <c r="K1790" s="444" t="s">
        <v>9400</v>
      </c>
    </row>
    <row r="1791" customFormat="false" ht="12.8" hidden="false" customHeight="false" outlineLevel="0" collapsed="false">
      <c r="A1791" s="0" t="s">
        <v>9420</v>
      </c>
      <c r="B1791" s="0" t="s">
        <v>9421</v>
      </c>
      <c r="C1791" s="0" t="s">
        <v>133</v>
      </c>
      <c r="D1791" s="0" t="s">
        <v>5023</v>
      </c>
      <c r="E1791" s="0" t="s">
        <v>5024</v>
      </c>
      <c r="F1791" s="0" t="s">
        <v>5024</v>
      </c>
      <c r="G1791" s="0" t="s">
        <v>4100</v>
      </c>
      <c r="H1791" s="0" t="s">
        <v>4780</v>
      </c>
      <c r="I1791" s="0" t="s">
        <v>9398</v>
      </c>
      <c r="J1791" s="0" t="s">
        <v>9399</v>
      </c>
      <c r="K1791" s="444" t="s">
        <v>9400</v>
      </c>
    </row>
    <row r="1792" customFormat="false" ht="12.8" hidden="false" customHeight="false" outlineLevel="0" collapsed="false">
      <c r="A1792" s="0" t="s">
        <v>9422</v>
      </c>
      <c r="B1792" s="0" t="s">
        <v>9423</v>
      </c>
      <c r="C1792" s="0" t="s">
        <v>133</v>
      </c>
      <c r="D1792" s="0" t="s">
        <v>5023</v>
      </c>
      <c r="E1792" s="0" t="s">
        <v>5024</v>
      </c>
      <c r="F1792" s="0" t="s">
        <v>5024</v>
      </c>
      <c r="G1792" s="0" t="s">
        <v>4100</v>
      </c>
      <c r="H1792" s="0" t="s">
        <v>4780</v>
      </c>
      <c r="I1792" s="0" t="s">
        <v>9398</v>
      </c>
      <c r="J1792" s="0" t="s">
        <v>9399</v>
      </c>
      <c r="K1792" s="444" t="s">
        <v>9400</v>
      </c>
    </row>
    <row r="1793" customFormat="false" ht="12.8" hidden="false" customHeight="false" outlineLevel="0" collapsed="false">
      <c r="A1793" s="0" t="s">
        <v>9424</v>
      </c>
      <c r="B1793" s="0" t="s">
        <v>9425</v>
      </c>
      <c r="C1793" s="0" t="s">
        <v>133</v>
      </c>
      <c r="D1793" s="0" t="s">
        <v>5023</v>
      </c>
      <c r="E1793" s="0" t="s">
        <v>5024</v>
      </c>
      <c r="F1793" s="0" t="s">
        <v>5024</v>
      </c>
      <c r="G1793" s="0" t="s">
        <v>4100</v>
      </c>
      <c r="H1793" s="0" t="s">
        <v>4780</v>
      </c>
      <c r="I1793" s="0" t="s">
        <v>9398</v>
      </c>
      <c r="J1793" s="0" t="s">
        <v>9399</v>
      </c>
      <c r="K1793" s="444" t="s">
        <v>9400</v>
      </c>
    </row>
    <row r="1794" customFormat="false" ht="12.8" hidden="false" customHeight="false" outlineLevel="0" collapsed="false">
      <c r="A1794" s="0" t="s">
        <v>9426</v>
      </c>
      <c r="B1794" s="0" t="s">
        <v>9427</v>
      </c>
      <c r="C1794" s="0" t="s">
        <v>133</v>
      </c>
      <c r="D1794" s="0" t="s">
        <v>5023</v>
      </c>
      <c r="E1794" s="0" t="s">
        <v>5024</v>
      </c>
      <c r="F1794" s="0" t="s">
        <v>5024</v>
      </c>
      <c r="G1794" s="0" t="s">
        <v>4100</v>
      </c>
      <c r="H1794" s="0" t="s">
        <v>4780</v>
      </c>
      <c r="I1794" s="0" t="s">
        <v>9398</v>
      </c>
      <c r="J1794" s="0" t="s">
        <v>9399</v>
      </c>
      <c r="K1794" s="444" t="s">
        <v>9400</v>
      </c>
    </row>
    <row r="1795" customFormat="false" ht="12.8" hidden="false" customHeight="false" outlineLevel="0" collapsed="false">
      <c r="A1795" s="0" t="s">
        <v>9428</v>
      </c>
      <c r="B1795" s="0" t="s">
        <v>9429</v>
      </c>
      <c r="C1795" s="0" t="s">
        <v>133</v>
      </c>
      <c r="D1795" s="0" t="s">
        <v>5023</v>
      </c>
      <c r="E1795" s="0" t="s">
        <v>5024</v>
      </c>
      <c r="F1795" s="0" t="s">
        <v>5024</v>
      </c>
      <c r="G1795" s="0" t="s">
        <v>4100</v>
      </c>
      <c r="H1795" s="0" t="s">
        <v>4780</v>
      </c>
      <c r="I1795" s="0" t="s">
        <v>9398</v>
      </c>
      <c r="J1795" s="0" t="s">
        <v>9399</v>
      </c>
      <c r="K1795" s="444" t="s">
        <v>9400</v>
      </c>
    </row>
    <row r="1796" customFormat="false" ht="12.8" hidden="false" customHeight="false" outlineLevel="0" collapsed="false">
      <c r="A1796" s="0" t="s">
        <v>9430</v>
      </c>
      <c r="B1796" s="0" t="s">
        <v>9431</v>
      </c>
      <c r="C1796" s="0" t="s">
        <v>133</v>
      </c>
      <c r="D1796" s="0" t="s">
        <v>5023</v>
      </c>
      <c r="E1796" s="0" t="s">
        <v>5024</v>
      </c>
      <c r="F1796" s="0" t="s">
        <v>5024</v>
      </c>
      <c r="G1796" s="0" t="s">
        <v>4100</v>
      </c>
      <c r="H1796" s="0" t="s">
        <v>4780</v>
      </c>
      <c r="I1796" s="0" t="s">
        <v>9398</v>
      </c>
      <c r="J1796" s="0" t="s">
        <v>9399</v>
      </c>
      <c r="K1796" s="444" t="s">
        <v>9400</v>
      </c>
    </row>
    <row r="1797" customFormat="false" ht="12.8" hidden="false" customHeight="false" outlineLevel="0" collapsed="false">
      <c r="A1797" s="0" t="s">
        <v>9432</v>
      </c>
      <c r="B1797" s="0" t="s">
        <v>9433</v>
      </c>
      <c r="C1797" s="0" t="s">
        <v>378</v>
      </c>
      <c r="D1797" s="0" t="s">
        <v>5057</v>
      </c>
      <c r="E1797" s="0" t="s">
        <v>5058</v>
      </c>
      <c r="F1797" s="0" t="s">
        <v>5058</v>
      </c>
      <c r="G1797" s="0" t="s">
        <v>3278</v>
      </c>
      <c r="H1797" s="0" t="s">
        <v>3647</v>
      </c>
      <c r="I1797" s="0" t="s">
        <v>9434</v>
      </c>
      <c r="J1797" s="0" t="s">
        <v>9435</v>
      </c>
      <c r="K1797" s="444" t="s">
        <v>8146</v>
      </c>
    </row>
    <row r="1798" customFormat="false" ht="12.8" hidden="false" customHeight="false" outlineLevel="0" collapsed="false">
      <c r="A1798" s="0" t="s">
        <v>9436</v>
      </c>
      <c r="B1798" s="0" t="s">
        <v>9437</v>
      </c>
      <c r="C1798" s="0" t="s">
        <v>378</v>
      </c>
      <c r="D1798" s="0" t="s">
        <v>5061</v>
      </c>
      <c r="E1798" s="0" t="s">
        <v>5062</v>
      </c>
      <c r="F1798" s="0" t="s">
        <v>5062</v>
      </c>
      <c r="G1798" s="0" t="s">
        <v>3278</v>
      </c>
      <c r="H1798" s="0" t="s">
        <v>3647</v>
      </c>
      <c r="I1798" s="0" t="s">
        <v>9434</v>
      </c>
      <c r="J1798" s="0" t="s">
        <v>9435</v>
      </c>
      <c r="K1798" s="444" t="s">
        <v>8146</v>
      </c>
    </row>
    <row r="1799" customFormat="false" ht="12.8" hidden="false" customHeight="false" outlineLevel="0" collapsed="false">
      <c r="A1799" s="0" t="s">
        <v>9438</v>
      </c>
      <c r="B1799" s="0" t="s">
        <v>9439</v>
      </c>
      <c r="C1799" s="0" t="s">
        <v>352</v>
      </c>
      <c r="D1799" s="0" t="s">
        <v>5057</v>
      </c>
      <c r="E1799" s="0" t="s">
        <v>5058</v>
      </c>
      <c r="F1799" s="0" t="s">
        <v>5058</v>
      </c>
      <c r="G1799" s="0" t="s">
        <v>3278</v>
      </c>
      <c r="H1799" s="0" t="s">
        <v>3647</v>
      </c>
      <c r="I1799" s="0" t="s">
        <v>9440</v>
      </c>
      <c r="J1799" s="0" t="s">
        <v>9441</v>
      </c>
      <c r="K1799" s="0" t="s">
        <v>7993</v>
      </c>
    </row>
    <row r="1800" customFormat="false" ht="12.8" hidden="false" customHeight="false" outlineLevel="0" collapsed="false">
      <c r="A1800" s="0" t="s">
        <v>9442</v>
      </c>
      <c r="B1800" s="0" t="s">
        <v>9443</v>
      </c>
      <c r="C1800" s="0" t="s">
        <v>352</v>
      </c>
      <c r="D1800" s="0" t="s">
        <v>5061</v>
      </c>
      <c r="E1800" s="0" t="s">
        <v>5062</v>
      </c>
      <c r="F1800" s="0" t="s">
        <v>5062</v>
      </c>
      <c r="G1800" s="0" t="s">
        <v>3278</v>
      </c>
      <c r="H1800" s="0" t="s">
        <v>3647</v>
      </c>
      <c r="I1800" s="0" t="s">
        <v>9440</v>
      </c>
      <c r="J1800" s="0" t="s">
        <v>9441</v>
      </c>
      <c r="K1800" s="0" t="s">
        <v>7993</v>
      </c>
    </row>
    <row r="1801" customFormat="false" ht="12.8" hidden="false" customHeight="false" outlineLevel="0" collapsed="false">
      <c r="A1801" s="0" t="s">
        <v>9444</v>
      </c>
      <c r="B1801" s="0" t="s">
        <v>9445</v>
      </c>
      <c r="C1801" s="0" t="s">
        <v>96</v>
      </c>
      <c r="D1801" s="0" t="s">
        <v>5023</v>
      </c>
      <c r="E1801" s="0" t="s">
        <v>5024</v>
      </c>
      <c r="F1801" s="0" t="s">
        <v>5024</v>
      </c>
      <c r="G1801" s="0" t="s">
        <v>3278</v>
      </c>
      <c r="H1801" s="0" t="s">
        <v>3434</v>
      </c>
      <c r="I1801" s="0" t="s">
        <v>9446</v>
      </c>
      <c r="J1801" s="0" t="s">
        <v>9447</v>
      </c>
      <c r="K1801" s="0" t="s">
        <v>7993</v>
      </c>
    </row>
    <row r="1802" customFormat="false" ht="12.8" hidden="false" customHeight="false" outlineLevel="0" collapsed="false">
      <c r="A1802" s="0" t="s">
        <v>9448</v>
      </c>
      <c r="B1802" s="0" t="s">
        <v>9449</v>
      </c>
      <c r="C1802" s="0" t="s">
        <v>96</v>
      </c>
      <c r="D1802" s="0" t="s">
        <v>5023</v>
      </c>
      <c r="E1802" s="0" t="s">
        <v>5024</v>
      </c>
      <c r="F1802" s="0" t="s">
        <v>5024</v>
      </c>
      <c r="G1802" s="0" t="s">
        <v>3278</v>
      </c>
      <c r="H1802" s="0" t="s">
        <v>3434</v>
      </c>
      <c r="I1802" s="0" t="s">
        <v>9446</v>
      </c>
      <c r="J1802" s="0" t="s">
        <v>9447</v>
      </c>
      <c r="K1802" s="0" t="s">
        <v>7993</v>
      </c>
    </row>
    <row r="1803" customFormat="false" ht="12.8" hidden="false" customHeight="false" outlineLevel="0" collapsed="false">
      <c r="A1803" s="0" t="s">
        <v>9450</v>
      </c>
      <c r="B1803" s="0" t="s">
        <v>9451</v>
      </c>
      <c r="C1803" s="0" t="s">
        <v>96</v>
      </c>
      <c r="D1803" s="0" t="s">
        <v>5061</v>
      </c>
      <c r="E1803" s="0" t="s">
        <v>5062</v>
      </c>
      <c r="F1803" s="0" t="s">
        <v>5062</v>
      </c>
      <c r="G1803" s="0" t="s">
        <v>3278</v>
      </c>
      <c r="H1803" s="0" t="s">
        <v>3434</v>
      </c>
      <c r="I1803" s="0" t="s">
        <v>9446</v>
      </c>
      <c r="J1803" s="0" t="s">
        <v>9447</v>
      </c>
      <c r="K1803" s="0" t="s">
        <v>7993</v>
      </c>
    </row>
    <row r="1804" customFormat="false" ht="12.8" hidden="false" customHeight="false" outlineLevel="0" collapsed="false">
      <c r="A1804" s="0" t="s">
        <v>9452</v>
      </c>
      <c r="B1804" s="0" t="s">
        <v>9453</v>
      </c>
      <c r="C1804" s="0" t="s">
        <v>96</v>
      </c>
      <c r="D1804" s="0" t="s">
        <v>5057</v>
      </c>
      <c r="E1804" s="0" t="s">
        <v>5058</v>
      </c>
      <c r="F1804" s="0" t="s">
        <v>5058</v>
      </c>
      <c r="G1804" s="0" t="s">
        <v>3278</v>
      </c>
      <c r="H1804" s="0" t="s">
        <v>3434</v>
      </c>
      <c r="I1804" s="0" t="s">
        <v>9446</v>
      </c>
      <c r="J1804" s="0" t="s">
        <v>9447</v>
      </c>
      <c r="K1804" s="0" t="s">
        <v>7993</v>
      </c>
    </row>
    <row r="1805" customFormat="false" ht="12.8" hidden="false" customHeight="false" outlineLevel="0" collapsed="false">
      <c r="A1805" s="0" t="s">
        <v>9454</v>
      </c>
      <c r="B1805" s="0" t="s">
        <v>9455</v>
      </c>
      <c r="C1805" s="0" t="s">
        <v>89</v>
      </c>
      <c r="D1805" s="0" t="s">
        <v>5023</v>
      </c>
      <c r="E1805" s="0" t="s">
        <v>5024</v>
      </c>
      <c r="F1805" s="0" t="s">
        <v>5024</v>
      </c>
      <c r="G1805" s="0" t="s">
        <v>3278</v>
      </c>
      <c r="H1805" s="0" t="s">
        <v>3434</v>
      </c>
      <c r="I1805" s="0" t="s">
        <v>9456</v>
      </c>
      <c r="J1805" s="0" t="s">
        <v>9457</v>
      </c>
      <c r="K1805" s="444" t="s">
        <v>9458</v>
      </c>
    </row>
    <row r="1806" customFormat="false" ht="12.8" hidden="false" customHeight="false" outlineLevel="0" collapsed="false">
      <c r="A1806" s="0" t="s">
        <v>9459</v>
      </c>
      <c r="B1806" s="0" t="s">
        <v>9460</v>
      </c>
      <c r="C1806" s="0" t="s">
        <v>89</v>
      </c>
      <c r="D1806" s="0" t="s">
        <v>5023</v>
      </c>
      <c r="E1806" s="0" t="s">
        <v>5024</v>
      </c>
      <c r="F1806" s="0" t="s">
        <v>5024</v>
      </c>
      <c r="G1806" s="0" t="s">
        <v>3278</v>
      </c>
      <c r="H1806" s="0" t="s">
        <v>3434</v>
      </c>
      <c r="I1806" s="0" t="s">
        <v>9456</v>
      </c>
      <c r="J1806" s="0" t="s">
        <v>9457</v>
      </c>
      <c r="K1806" s="444" t="s">
        <v>9458</v>
      </c>
    </row>
    <row r="1807" customFormat="false" ht="12.8" hidden="false" customHeight="false" outlineLevel="0" collapsed="false">
      <c r="A1807" s="0" t="s">
        <v>9461</v>
      </c>
      <c r="B1807" s="0" t="s">
        <v>9462</v>
      </c>
      <c r="C1807" s="0" t="s">
        <v>89</v>
      </c>
      <c r="D1807" s="0" t="s">
        <v>5023</v>
      </c>
      <c r="E1807" s="0" t="s">
        <v>5024</v>
      </c>
      <c r="F1807" s="0" t="s">
        <v>5024</v>
      </c>
      <c r="G1807" s="0" t="s">
        <v>3278</v>
      </c>
      <c r="H1807" s="0" t="s">
        <v>3434</v>
      </c>
      <c r="I1807" s="0" t="s">
        <v>9456</v>
      </c>
      <c r="J1807" s="0" t="s">
        <v>9457</v>
      </c>
      <c r="K1807" s="444" t="s">
        <v>9458</v>
      </c>
    </row>
    <row r="1808" customFormat="false" ht="12.8" hidden="false" customHeight="false" outlineLevel="0" collapsed="false">
      <c r="A1808" s="0" t="s">
        <v>9463</v>
      </c>
      <c r="B1808" s="0" t="s">
        <v>9464</v>
      </c>
      <c r="C1808" s="0" t="s">
        <v>89</v>
      </c>
      <c r="D1808" s="0" t="s">
        <v>5023</v>
      </c>
      <c r="E1808" s="0" t="s">
        <v>5024</v>
      </c>
      <c r="F1808" s="0" t="s">
        <v>5024</v>
      </c>
      <c r="G1808" s="0" t="s">
        <v>3278</v>
      </c>
      <c r="H1808" s="0" t="s">
        <v>3434</v>
      </c>
      <c r="I1808" s="0" t="s">
        <v>9456</v>
      </c>
      <c r="J1808" s="0" t="s">
        <v>9457</v>
      </c>
      <c r="K1808" s="444" t="s">
        <v>9458</v>
      </c>
    </row>
    <row r="1809" customFormat="false" ht="12.8" hidden="false" customHeight="false" outlineLevel="0" collapsed="false">
      <c r="A1809" s="0" t="s">
        <v>9465</v>
      </c>
      <c r="B1809" s="0" t="s">
        <v>9466</v>
      </c>
      <c r="C1809" s="0" t="s">
        <v>89</v>
      </c>
      <c r="D1809" s="0" t="s">
        <v>5023</v>
      </c>
      <c r="E1809" s="0" t="s">
        <v>5024</v>
      </c>
      <c r="F1809" s="0" t="s">
        <v>5024</v>
      </c>
      <c r="G1809" s="0" t="s">
        <v>3278</v>
      </c>
      <c r="H1809" s="0" t="s">
        <v>3434</v>
      </c>
      <c r="I1809" s="0" t="s">
        <v>9456</v>
      </c>
      <c r="J1809" s="0" t="s">
        <v>9457</v>
      </c>
      <c r="K1809" s="444" t="s">
        <v>9458</v>
      </c>
    </row>
    <row r="1810" customFormat="false" ht="12.8" hidden="false" customHeight="false" outlineLevel="0" collapsed="false">
      <c r="A1810" s="0" t="s">
        <v>9467</v>
      </c>
      <c r="B1810" s="0" t="s">
        <v>9468</v>
      </c>
      <c r="C1810" s="0" t="s">
        <v>89</v>
      </c>
      <c r="D1810" s="0" t="s">
        <v>5023</v>
      </c>
      <c r="E1810" s="0" t="s">
        <v>5024</v>
      </c>
      <c r="F1810" s="0" t="s">
        <v>5024</v>
      </c>
      <c r="G1810" s="0" t="s">
        <v>3278</v>
      </c>
      <c r="H1810" s="0" t="s">
        <v>3434</v>
      </c>
      <c r="I1810" s="0" t="s">
        <v>9456</v>
      </c>
      <c r="J1810" s="0" t="s">
        <v>9457</v>
      </c>
      <c r="K1810" s="444" t="s">
        <v>9458</v>
      </c>
    </row>
    <row r="1811" customFormat="false" ht="12.8" hidden="false" customHeight="false" outlineLevel="0" collapsed="false">
      <c r="A1811" s="0" t="s">
        <v>9469</v>
      </c>
      <c r="B1811" s="0" t="s">
        <v>9470</v>
      </c>
      <c r="C1811" s="0" t="s">
        <v>89</v>
      </c>
      <c r="D1811" s="0" t="s">
        <v>5023</v>
      </c>
      <c r="E1811" s="0" t="s">
        <v>5024</v>
      </c>
      <c r="F1811" s="0" t="s">
        <v>5024</v>
      </c>
      <c r="G1811" s="0" t="s">
        <v>3278</v>
      </c>
      <c r="H1811" s="0" t="s">
        <v>3434</v>
      </c>
      <c r="I1811" s="0" t="s">
        <v>9456</v>
      </c>
      <c r="J1811" s="0" t="s">
        <v>9457</v>
      </c>
      <c r="K1811" s="444" t="s">
        <v>9458</v>
      </c>
    </row>
    <row r="1812" customFormat="false" ht="12.8" hidden="false" customHeight="false" outlineLevel="0" collapsed="false">
      <c r="A1812" s="0" t="s">
        <v>9471</v>
      </c>
      <c r="B1812" s="0" t="s">
        <v>9472</v>
      </c>
      <c r="C1812" s="0" t="s">
        <v>89</v>
      </c>
      <c r="D1812" s="0" t="s">
        <v>5061</v>
      </c>
      <c r="E1812" s="0" t="s">
        <v>5062</v>
      </c>
      <c r="F1812" s="0" t="s">
        <v>5062</v>
      </c>
      <c r="G1812" s="0" t="s">
        <v>3278</v>
      </c>
      <c r="H1812" s="0" t="s">
        <v>3434</v>
      </c>
      <c r="I1812" s="0" t="s">
        <v>9456</v>
      </c>
      <c r="J1812" s="0" t="s">
        <v>9457</v>
      </c>
      <c r="K1812" s="444" t="s">
        <v>9458</v>
      </c>
    </row>
    <row r="1813" customFormat="false" ht="12.8" hidden="false" customHeight="false" outlineLevel="0" collapsed="false">
      <c r="A1813" s="0" t="s">
        <v>9473</v>
      </c>
      <c r="B1813" s="0" t="s">
        <v>9474</v>
      </c>
      <c r="C1813" s="0" t="s">
        <v>89</v>
      </c>
      <c r="D1813" s="0" t="s">
        <v>5057</v>
      </c>
      <c r="E1813" s="0" t="s">
        <v>5058</v>
      </c>
      <c r="F1813" s="0" t="s">
        <v>5058</v>
      </c>
      <c r="G1813" s="0" t="s">
        <v>3278</v>
      </c>
      <c r="H1813" s="0" t="s">
        <v>3434</v>
      </c>
      <c r="I1813" s="0" t="s">
        <v>9456</v>
      </c>
      <c r="J1813" s="0" t="s">
        <v>9457</v>
      </c>
      <c r="K1813" s="444" t="s">
        <v>9458</v>
      </c>
    </row>
    <row r="1814" customFormat="false" ht="12.8" hidden="false" customHeight="false" outlineLevel="0" collapsed="false">
      <c r="A1814" s="0" t="s">
        <v>9475</v>
      </c>
      <c r="B1814" s="0" t="s">
        <v>9476</v>
      </c>
      <c r="C1814" s="0" t="s">
        <v>231</v>
      </c>
      <c r="D1814" s="0" t="s">
        <v>5061</v>
      </c>
      <c r="E1814" s="0" t="s">
        <v>5062</v>
      </c>
      <c r="F1814" s="0" t="s">
        <v>5062</v>
      </c>
      <c r="G1814" s="0" t="s">
        <v>3278</v>
      </c>
      <c r="H1814" s="0" t="s">
        <v>3434</v>
      </c>
      <c r="I1814" s="0" t="s">
        <v>9477</v>
      </c>
      <c r="J1814" s="0" t="s">
        <v>9478</v>
      </c>
      <c r="K1814" s="444" t="s">
        <v>8247</v>
      </c>
    </row>
    <row r="1815" customFormat="false" ht="12.8" hidden="false" customHeight="false" outlineLevel="0" collapsed="false">
      <c r="A1815" s="0" t="s">
        <v>9479</v>
      </c>
      <c r="B1815" s="0" t="s">
        <v>9480</v>
      </c>
      <c r="C1815" s="0" t="s">
        <v>231</v>
      </c>
      <c r="D1815" s="0" t="s">
        <v>5023</v>
      </c>
      <c r="E1815" s="0" t="s">
        <v>5024</v>
      </c>
      <c r="F1815" s="0" t="s">
        <v>5024</v>
      </c>
      <c r="G1815" s="0" t="s">
        <v>3278</v>
      </c>
      <c r="H1815" s="0" t="s">
        <v>3434</v>
      </c>
      <c r="I1815" s="0" t="s">
        <v>9477</v>
      </c>
      <c r="J1815" s="0" t="s">
        <v>9478</v>
      </c>
      <c r="K1815" s="444" t="s">
        <v>8247</v>
      </c>
    </row>
    <row r="1816" customFormat="false" ht="12.8" hidden="false" customHeight="false" outlineLevel="0" collapsed="false">
      <c r="A1816" s="0" t="s">
        <v>9481</v>
      </c>
      <c r="B1816" s="0" t="s">
        <v>9482</v>
      </c>
      <c r="C1816" s="0" t="s">
        <v>231</v>
      </c>
      <c r="D1816" s="0" t="s">
        <v>5023</v>
      </c>
      <c r="E1816" s="0" t="s">
        <v>5024</v>
      </c>
      <c r="F1816" s="0" t="s">
        <v>5024</v>
      </c>
      <c r="G1816" s="0" t="s">
        <v>3278</v>
      </c>
      <c r="H1816" s="0" t="s">
        <v>3434</v>
      </c>
      <c r="I1816" s="0" t="s">
        <v>9477</v>
      </c>
      <c r="J1816" s="0" t="s">
        <v>9478</v>
      </c>
      <c r="K1816" s="444" t="s">
        <v>8247</v>
      </c>
    </row>
    <row r="1817" customFormat="false" ht="12.8" hidden="false" customHeight="false" outlineLevel="0" collapsed="false">
      <c r="A1817" s="0" t="s">
        <v>9483</v>
      </c>
      <c r="B1817" s="0" t="s">
        <v>9484</v>
      </c>
      <c r="C1817" s="0" t="s">
        <v>231</v>
      </c>
      <c r="D1817" s="0" t="s">
        <v>5023</v>
      </c>
      <c r="E1817" s="0" t="s">
        <v>5024</v>
      </c>
      <c r="F1817" s="0" t="s">
        <v>5024</v>
      </c>
      <c r="G1817" s="0" t="s">
        <v>3278</v>
      </c>
      <c r="H1817" s="0" t="s">
        <v>3434</v>
      </c>
      <c r="I1817" s="0" t="s">
        <v>9477</v>
      </c>
      <c r="J1817" s="0" t="s">
        <v>9478</v>
      </c>
      <c r="K1817" s="444" t="s">
        <v>8247</v>
      </c>
    </row>
    <row r="1818" customFormat="false" ht="12.8" hidden="false" customHeight="false" outlineLevel="0" collapsed="false">
      <c r="A1818" s="0" t="s">
        <v>9485</v>
      </c>
      <c r="B1818" s="0" t="s">
        <v>9486</v>
      </c>
      <c r="C1818" s="0" t="s">
        <v>231</v>
      </c>
      <c r="D1818" s="0" t="s">
        <v>5023</v>
      </c>
      <c r="E1818" s="0" t="s">
        <v>5024</v>
      </c>
      <c r="F1818" s="0" t="s">
        <v>5024</v>
      </c>
      <c r="G1818" s="0" t="s">
        <v>3278</v>
      </c>
      <c r="H1818" s="0" t="s">
        <v>3434</v>
      </c>
      <c r="I1818" s="0" t="s">
        <v>9477</v>
      </c>
      <c r="J1818" s="0" t="s">
        <v>9478</v>
      </c>
      <c r="K1818" s="444" t="s">
        <v>8247</v>
      </c>
    </row>
    <row r="1819" customFormat="false" ht="12.8" hidden="false" customHeight="false" outlineLevel="0" collapsed="false">
      <c r="A1819" s="0" t="s">
        <v>9487</v>
      </c>
      <c r="B1819" s="0" t="s">
        <v>9488</v>
      </c>
      <c r="C1819" s="0" t="s">
        <v>231</v>
      </c>
      <c r="D1819" s="0" t="s">
        <v>5023</v>
      </c>
      <c r="E1819" s="0" t="s">
        <v>5024</v>
      </c>
      <c r="F1819" s="0" t="s">
        <v>5024</v>
      </c>
      <c r="G1819" s="0" t="s">
        <v>3278</v>
      </c>
      <c r="H1819" s="0" t="s">
        <v>3434</v>
      </c>
      <c r="I1819" s="0" t="s">
        <v>9477</v>
      </c>
      <c r="J1819" s="0" t="s">
        <v>9478</v>
      </c>
      <c r="K1819" s="444" t="s">
        <v>8247</v>
      </c>
    </row>
    <row r="1820" customFormat="false" ht="12.8" hidden="false" customHeight="false" outlineLevel="0" collapsed="false">
      <c r="A1820" s="0" t="s">
        <v>9489</v>
      </c>
      <c r="B1820" s="0" t="s">
        <v>9490</v>
      </c>
      <c r="C1820" s="0" t="s">
        <v>231</v>
      </c>
      <c r="D1820" s="0" t="s">
        <v>5057</v>
      </c>
      <c r="E1820" s="0" t="s">
        <v>5058</v>
      </c>
      <c r="F1820" s="0" t="s">
        <v>5058</v>
      </c>
      <c r="G1820" s="0" t="s">
        <v>3278</v>
      </c>
      <c r="H1820" s="0" t="s">
        <v>3434</v>
      </c>
      <c r="I1820" s="0" t="s">
        <v>9477</v>
      </c>
      <c r="J1820" s="0" t="s">
        <v>9478</v>
      </c>
      <c r="K1820" s="444" t="s">
        <v>8247</v>
      </c>
    </row>
    <row r="1821" customFormat="false" ht="12.8" hidden="false" customHeight="false" outlineLevel="0" collapsed="false">
      <c r="A1821" s="0" t="s">
        <v>9491</v>
      </c>
      <c r="B1821" s="0" t="s">
        <v>9492</v>
      </c>
      <c r="C1821" s="0" t="s">
        <v>280</v>
      </c>
      <c r="D1821" s="0" t="s">
        <v>5061</v>
      </c>
      <c r="E1821" s="0" t="s">
        <v>5062</v>
      </c>
      <c r="F1821" s="0" t="s">
        <v>5062</v>
      </c>
      <c r="G1821" s="0" t="s">
        <v>4100</v>
      </c>
      <c r="H1821" s="0" t="s">
        <v>4691</v>
      </c>
      <c r="I1821" s="0" t="s">
        <v>9493</v>
      </c>
      <c r="J1821" s="0" t="s">
        <v>9494</v>
      </c>
      <c r="K1821" s="444" t="s">
        <v>8146</v>
      </c>
    </row>
    <row r="1822" customFormat="false" ht="12.8" hidden="false" customHeight="false" outlineLevel="0" collapsed="false">
      <c r="A1822" s="0" t="s">
        <v>9495</v>
      </c>
      <c r="B1822" s="0" t="s">
        <v>9496</v>
      </c>
      <c r="C1822" s="0" t="s">
        <v>280</v>
      </c>
      <c r="D1822" s="0" t="s">
        <v>5023</v>
      </c>
      <c r="E1822" s="0" t="s">
        <v>5024</v>
      </c>
      <c r="F1822" s="0" t="s">
        <v>5024</v>
      </c>
      <c r="G1822" s="0" t="s">
        <v>4100</v>
      </c>
      <c r="H1822" s="0" t="s">
        <v>4691</v>
      </c>
      <c r="I1822" s="0" t="s">
        <v>9493</v>
      </c>
      <c r="J1822" s="0" t="s">
        <v>9494</v>
      </c>
      <c r="K1822" s="444" t="s">
        <v>8146</v>
      </c>
    </row>
    <row r="1823" customFormat="false" ht="12.8" hidden="false" customHeight="false" outlineLevel="0" collapsed="false">
      <c r="A1823" s="0" t="s">
        <v>9497</v>
      </c>
      <c r="B1823" s="0" t="s">
        <v>9498</v>
      </c>
      <c r="C1823" s="0" t="s">
        <v>190</v>
      </c>
      <c r="D1823" s="0" t="s">
        <v>5061</v>
      </c>
      <c r="E1823" s="0" t="s">
        <v>5062</v>
      </c>
      <c r="F1823" s="0" t="s">
        <v>5062</v>
      </c>
      <c r="G1823" s="0" t="s">
        <v>3278</v>
      </c>
      <c r="H1823" s="0" t="s">
        <v>3434</v>
      </c>
      <c r="I1823" s="0" t="s">
        <v>9499</v>
      </c>
      <c r="J1823" s="0" t="s">
        <v>9500</v>
      </c>
      <c r="K1823" s="0" t="s">
        <v>7993</v>
      </c>
    </row>
    <row r="1824" customFormat="false" ht="12.8" hidden="false" customHeight="false" outlineLevel="0" collapsed="false">
      <c r="A1824" s="0" t="s">
        <v>9501</v>
      </c>
      <c r="B1824" s="0" t="s">
        <v>9502</v>
      </c>
      <c r="C1824" s="0" t="s">
        <v>190</v>
      </c>
      <c r="D1824" s="0" t="s">
        <v>5057</v>
      </c>
      <c r="E1824" s="0" t="s">
        <v>5058</v>
      </c>
      <c r="F1824" s="0" t="s">
        <v>5058</v>
      </c>
      <c r="G1824" s="0" t="s">
        <v>3278</v>
      </c>
      <c r="H1824" s="0" t="s">
        <v>3434</v>
      </c>
      <c r="I1824" s="0" t="s">
        <v>9499</v>
      </c>
      <c r="J1824" s="0" t="s">
        <v>9500</v>
      </c>
      <c r="K1824" s="0" t="s">
        <v>7993</v>
      </c>
    </row>
    <row r="1825" customFormat="false" ht="12.8" hidden="false" customHeight="false" outlineLevel="0" collapsed="false">
      <c r="A1825" s="0" t="s">
        <v>9503</v>
      </c>
      <c r="B1825" s="0" t="s">
        <v>9504</v>
      </c>
      <c r="C1825" s="0" t="s">
        <v>190</v>
      </c>
      <c r="D1825" s="0" t="s">
        <v>5023</v>
      </c>
      <c r="E1825" s="0" t="s">
        <v>5024</v>
      </c>
      <c r="F1825" s="0" t="s">
        <v>5024</v>
      </c>
      <c r="G1825" s="0" t="s">
        <v>3278</v>
      </c>
      <c r="H1825" s="0" t="s">
        <v>3434</v>
      </c>
      <c r="I1825" s="0" t="s">
        <v>9499</v>
      </c>
      <c r="J1825" s="0" t="s">
        <v>9500</v>
      </c>
      <c r="K1825" s="0" t="s">
        <v>7993</v>
      </c>
    </row>
    <row r="1826" customFormat="false" ht="12.8" hidden="false" customHeight="false" outlineLevel="0" collapsed="false">
      <c r="A1826" s="0" t="s">
        <v>9505</v>
      </c>
      <c r="B1826" s="0" t="s">
        <v>9506</v>
      </c>
      <c r="C1826" s="0" t="s">
        <v>190</v>
      </c>
      <c r="D1826" s="0" t="s">
        <v>5023</v>
      </c>
      <c r="E1826" s="0" t="s">
        <v>5024</v>
      </c>
      <c r="F1826" s="0" t="s">
        <v>5024</v>
      </c>
      <c r="G1826" s="0" t="s">
        <v>3278</v>
      </c>
      <c r="H1826" s="0" t="s">
        <v>3434</v>
      </c>
      <c r="I1826" s="0" t="s">
        <v>9499</v>
      </c>
      <c r="J1826" s="0" t="s">
        <v>9500</v>
      </c>
      <c r="K1826" s="0" t="s">
        <v>7993</v>
      </c>
    </row>
    <row r="1827" customFormat="false" ht="12.8" hidden="false" customHeight="false" outlineLevel="0" collapsed="false">
      <c r="A1827" s="0" t="s">
        <v>9507</v>
      </c>
      <c r="B1827" s="0" t="s">
        <v>9508</v>
      </c>
      <c r="C1827" s="0" t="s">
        <v>190</v>
      </c>
      <c r="D1827" s="0" t="s">
        <v>5023</v>
      </c>
      <c r="E1827" s="0" t="s">
        <v>5024</v>
      </c>
      <c r="F1827" s="0" t="s">
        <v>5024</v>
      </c>
      <c r="G1827" s="0" t="s">
        <v>3278</v>
      </c>
      <c r="H1827" s="0" t="s">
        <v>3434</v>
      </c>
      <c r="I1827" s="0" t="s">
        <v>9499</v>
      </c>
      <c r="J1827" s="0" t="s">
        <v>9500</v>
      </c>
      <c r="K1827" s="0" t="s">
        <v>7993</v>
      </c>
    </row>
    <row r="1828" customFormat="false" ht="12.8" hidden="false" customHeight="false" outlineLevel="0" collapsed="false">
      <c r="A1828" s="0" t="s">
        <v>9509</v>
      </c>
      <c r="B1828" s="0" t="s">
        <v>9510</v>
      </c>
      <c r="C1828" s="0" t="s">
        <v>92</v>
      </c>
      <c r="D1828" s="0" t="s">
        <v>5023</v>
      </c>
      <c r="E1828" s="0" t="s">
        <v>5024</v>
      </c>
      <c r="F1828" s="0" t="s">
        <v>5024</v>
      </c>
      <c r="G1828" s="0" t="s">
        <v>2515</v>
      </c>
      <c r="H1828" s="0" t="s">
        <v>2645</v>
      </c>
      <c r="I1828" s="0" t="s">
        <v>9511</v>
      </c>
      <c r="J1828" s="0" t="s">
        <v>9512</v>
      </c>
      <c r="K1828" s="0" t="s">
        <v>7993</v>
      </c>
    </row>
    <row r="1829" customFormat="false" ht="12.8" hidden="false" customHeight="false" outlineLevel="0" collapsed="false">
      <c r="A1829" s="0" t="s">
        <v>9513</v>
      </c>
      <c r="B1829" s="0" t="s">
        <v>9514</v>
      </c>
      <c r="C1829" s="0" t="s">
        <v>92</v>
      </c>
      <c r="D1829" s="0" t="s">
        <v>5023</v>
      </c>
      <c r="E1829" s="0" t="s">
        <v>5024</v>
      </c>
      <c r="F1829" s="0" t="s">
        <v>5024</v>
      </c>
      <c r="G1829" s="0" t="s">
        <v>2515</v>
      </c>
      <c r="H1829" s="0" t="s">
        <v>2645</v>
      </c>
      <c r="I1829" s="0" t="s">
        <v>9511</v>
      </c>
      <c r="J1829" s="0" t="s">
        <v>9512</v>
      </c>
      <c r="K1829" s="0" t="s">
        <v>7993</v>
      </c>
    </row>
    <row r="1830" customFormat="false" ht="12.8" hidden="false" customHeight="false" outlineLevel="0" collapsed="false">
      <c r="A1830" s="0" t="s">
        <v>9515</v>
      </c>
      <c r="B1830" s="0" t="s">
        <v>9516</v>
      </c>
      <c r="C1830" s="0" t="s">
        <v>92</v>
      </c>
      <c r="D1830" s="0" t="s">
        <v>5023</v>
      </c>
      <c r="E1830" s="0" t="s">
        <v>5024</v>
      </c>
      <c r="F1830" s="0" t="s">
        <v>5024</v>
      </c>
      <c r="G1830" s="0" t="s">
        <v>2515</v>
      </c>
      <c r="H1830" s="0" t="s">
        <v>2645</v>
      </c>
      <c r="I1830" s="0" t="s">
        <v>9511</v>
      </c>
      <c r="J1830" s="0" t="s">
        <v>9512</v>
      </c>
      <c r="K1830" s="0" t="s">
        <v>7993</v>
      </c>
    </row>
    <row r="1831" customFormat="false" ht="12.8" hidden="false" customHeight="false" outlineLevel="0" collapsed="false">
      <c r="A1831" s="0" t="s">
        <v>9517</v>
      </c>
      <c r="B1831" s="0" t="s">
        <v>9518</v>
      </c>
      <c r="C1831" s="0" t="s">
        <v>92</v>
      </c>
      <c r="D1831" s="0" t="s">
        <v>5057</v>
      </c>
      <c r="E1831" s="0" t="s">
        <v>5058</v>
      </c>
      <c r="F1831" s="0" t="s">
        <v>5058</v>
      </c>
      <c r="G1831" s="0" t="s">
        <v>2515</v>
      </c>
      <c r="H1831" s="0" t="s">
        <v>2645</v>
      </c>
      <c r="I1831" s="0" t="s">
        <v>9511</v>
      </c>
      <c r="J1831" s="0" t="s">
        <v>9512</v>
      </c>
      <c r="K1831" s="0" t="s">
        <v>7993</v>
      </c>
    </row>
    <row r="1832" customFormat="false" ht="12.8" hidden="false" customHeight="false" outlineLevel="0" collapsed="false">
      <c r="A1832" s="0" t="s">
        <v>9519</v>
      </c>
      <c r="B1832" s="0" t="s">
        <v>9520</v>
      </c>
      <c r="C1832" s="0" t="s">
        <v>316</v>
      </c>
      <c r="D1832" s="0" t="s">
        <v>5061</v>
      </c>
      <c r="E1832" s="0" t="s">
        <v>5062</v>
      </c>
      <c r="F1832" s="0" t="s">
        <v>5062</v>
      </c>
      <c r="G1832" s="0" t="s">
        <v>3278</v>
      </c>
      <c r="H1832" s="0" t="s">
        <v>3279</v>
      </c>
      <c r="I1832" s="0" t="s">
        <v>9521</v>
      </c>
      <c r="J1832" s="0" t="s">
        <v>9522</v>
      </c>
      <c r="K1832" s="0" t="s">
        <v>7993</v>
      </c>
    </row>
    <row r="1833" customFormat="false" ht="12.8" hidden="false" customHeight="false" outlineLevel="0" collapsed="false">
      <c r="A1833" s="0" t="s">
        <v>9523</v>
      </c>
      <c r="B1833" s="0" t="s">
        <v>9524</v>
      </c>
      <c r="C1833" s="0" t="s">
        <v>316</v>
      </c>
      <c r="D1833" s="0" t="s">
        <v>5023</v>
      </c>
      <c r="E1833" s="0" t="s">
        <v>5024</v>
      </c>
      <c r="F1833" s="0" t="s">
        <v>5024</v>
      </c>
      <c r="G1833" s="0" t="s">
        <v>3278</v>
      </c>
      <c r="H1833" s="0" t="s">
        <v>3279</v>
      </c>
      <c r="I1833" s="0" t="s">
        <v>9521</v>
      </c>
      <c r="J1833" s="0" t="s">
        <v>9522</v>
      </c>
      <c r="K1833" s="0" t="s">
        <v>7993</v>
      </c>
    </row>
    <row r="1834" customFormat="false" ht="12.8" hidden="false" customHeight="false" outlineLevel="0" collapsed="false">
      <c r="A1834" s="0" t="s">
        <v>9525</v>
      </c>
      <c r="B1834" s="0" t="s">
        <v>9526</v>
      </c>
      <c r="C1834" s="0" t="s">
        <v>316</v>
      </c>
      <c r="D1834" s="0" t="s">
        <v>5023</v>
      </c>
      <c r="E1834" s="0" t="s">
        <v>5024</v>
      </c>
      <c r="F1834" s="0" t="s">
        <v>5024</v>
      </c>
      <c r="G1834" s="0" t="s">
        <v>3278</v>
      </c>
      <c r="H1834" s="0" t="s">
        <v>3279</v>
      </c>
      <c r="I1834" s="0" t="s">
        <v>9521</v>
      </c>
      <c r="J1834" s="0" t="s">
        <v>9522</v>
      </c>
      <c r="K1834" s="0" t="s">
        <v>7993</v>
      </c>
    </row>
    <row r="1835" customFormat="false" ht="12.8" hidden="false" customHeight="false" outlineLevel="0" collapsed="false">
      <c r="A1835" s="0" t="s">
        <v>9527</v>
      </c>
      <c r="B1835" s="0" t="s">
        <v>9528</v>
      </c>
      <c r="C1835" s="0" t="s">
        <v>106</v>
      </c>
      <c r="D1835" s="0" t="s">
        <v>5061</v>
      </c>
      <c r="E1835" s="0" t="s">
        <v>5062</v>
      </c>
      <c r="F1835" s="0" t="s">
        <v>5062</v>
      </c>
      <c r="G1835" s="0" t="s">
        <v>3278</v>
      </c>
      <c r="H1835" s="0" t="s">
        <v>3434</v>
      </c>
      <c r="I1835" s="0" t="s">
        <v>9529</v>
      </c>
      <c r="J1835" s="0" t="s">
        <v>9530</v>
      </c>
      <c r="K1835" s="444" t="s">
        <v>8247</v>
      </c>
    </row>
    <row r="1836" customFormat="false" ht="12.8" hidden="false" customHeight="false" outlineLevel="0" collapsed="false">
      <c r="A1836" s="0" t="s">
        <v>9531</v>
      </c>
      <c r="B1836" s="0" t="s">
        <v>9532</v>
      </c>
      <c r="C1836" s="0" t="s">
        <v>106</v>
      </c>
      <c r="D1836" s="0" t="s">
        <v>5057</v>
      </c>
      <c r="E1836" s="0" t="s">
        <v>5058</v>
      </c>
      <c r="F1836" s="0" t="s">
        <v>5058</v>
      </c>
      <c r="G1836" s="0" t="s">
        <v>3278</v>
      </c>
      <c r="H1836" s="0" t="s">
        <v>3434</v>
      </c>
      <c r="I1836" s="0" t="s">
        <v>9529</v>
      </c>
      <c r="J1836" s="0" t="s">
        <v>9530</v>
      </c>
      <c r="K1836" s="444" t="s">
        <v>8247</v>
      </c>
    </row>
    <row r="1837" customFormat="false" ht="12.8" hidden="false" customHeight="false" outlineLevel="0" collapsed="false">
      <c r="A1837" s="0" t="s">
        <v>9533</v>
      </c>
      <c r="B1837" s="0" t="s">
        <v>9534</v>
      </c>
      <c r="C1837" s="0" t="s">
        <v>106</v>
      </c>
      <c r="D1837" s="0" t="s">
        <v>5023</v>
      </c>
      <c r="E1837" s="0" t="s">
        <v>5024</v>
      </c>
      <c r="F1837" s="0" t="s">
        <v>5024</v>
      </c>
      <c r="G1837" s="0" t="s">
        <v>3278</v>
      </c>
      <c r="H1837" s="0" t="s">
        <v>3434</v>
      </c>
      <c r="I1837" s="0" t="s">
        <v>9529</v>
      </c>
      <c r="J1837" s="0" t="s">
        <v>9530</v>
      </c>
      <c r="K1837" s="444" t="s">
        <v>8247</v>
      </c>
    </row>
    <row r="1838" customFormat="false" ht="12.8" hidden="false" customHeight="false" outlineLevel="0" collapsed="false">
      <c r="A1838" s="0" t="s">
        <v>9535</v>
      </c>
      <c r="B1838" s="0" t="s">
        <v>9536</v>
      </c>
      <c r="C1838" s="0" t="s">
        <v>106</v>
      </c>
      <c r="D1838" s="0" t="s">
        <v>5023</v>
      </c>
      <c r="E1838" s="0" t="s">
        <v>5024</v>
      </c>
      <c r="F1838" s="0" t="s">
        <v>5024</v>
      </c>
      <c r="G1838" s="0" t="s">
        <v>3278</v>
      </c>
      <c r="H1838" s="0" t="s">
        <v>3434</v>
      </c>
      <c r="I1838" s="0" t="s">
        <v>9529</v>
      </c>
      <c r="J1838" s="0" t="s">
        <v>9530</v>
      </c>
      <c r="K1838" s="444" t="s">
        <v>8247</v>
      </c>
    </row>
    <row r="1839" customFormat="false" ht="12.8" hidden="false" customHeight="false" outlineLevel="0" collapsed="false">
      <c r="A1839" s="0" t="s">
        <v>9537</v>
      </c>
      <c r="B1839" s="0" t="s">
        <v>9538</v>
      </c>
      <c r="C1839" s="0" t="s">
        <v>106</v>
      </c>
      <c r="D1839" s="0" t="s">
        <v>5023</v>
      </c>
      <c r="E1839" s="0" t="s">
        <v>5024</v>
      </c>
      <c r="F1839" s="0" t="s">
        <v>5024</v>
      </c>
      <c r="G1839" s="0" t="s">
        <v>3278</v>
      </c>
      <c r="H1839" s="0" t="s">
        <v>3434</v>
      </c>
      <c r="I1839" s="0" t="s">
        <v>9529</v>
      </c>
      <c r="J1839" s="0" t="s">
        <v>9530</v>
      </c>
      <c r="K1839" s="444" t="s">
        <v>8247</v>
      </c>
    </row>
    <row r="1840" customFormat="false" ht="12.8" hidden="false" customHeight="false" outlineLevel="0" collapsed="false">
      <c r="A1840" s="0" t="s">
        <v>9539</v>
      </c>
      <c r="B1840" s="0" t="s">
        <v>9540</v>
      </c>
      <c r="C1840" s="0" t="s">
        <v>106</v>
      </c>
      <c r="D1840" s="0" t="s">
        <v>5023</v>
      </c>
      <c r="E1840" s="0" t="s">
        <v>5024</v>
      </c>
      <c r="F1840" s="0" t="s">
        <v>5024</v>
      </c>
      <c r="G1840" s="0" t="s">
        <v>3278</v>
      </c>
      <c r="H1840" s="0" t="s">
        <v>3434</v>
      </c>
      <c r="I1840" s="0" t="s">
        <v>9529</v>
      </c>
      <c r="J1840" s="0" t="s">
        <v>9530</v>
      </c>
      <c r="K1840" s="444" t="s">
        <v>8247</v>
      </c>
    </row>
    <row r="1841" customFormat="false" ht="12.8" hidden="false" customHeight="false" outlineLevel="0" collapsed="false">
      <c r="A1841" s="0" t="s">
        <v>9541</v>
      </c>
      <c r="B1841" s="0" t="s">
        <v>9542</v>
      </c>
      <c r="C1841" s="0" t="s">
        <v>60</v>
      </c>
      <c r="D1841" s="0" t="s">
        <v>5057</v>
      </c>
      <c r="E1841" s="0" t="s">
        <v>5058</v>
      </c>
      <c r="F1841" s="0" t="s">
        <v>5058</v>
      </c>
      <c r="G1841" s="0" t="s">
        <v>3278</v>
      </c>
      <c r="H1841" s="0" t="s">
        <v>3647</v>
      </c>
      <c r="I1841" s="0" t="s">
        <v>9543</v>
      </c>
      <c r="J1841" s="0" t="s">
        <v>9544</v>
      </c>
      <c r="K1841" s="0" t="s">
        <v>7993</v>
      </c>
    </row>
    <row r="1842" customFormat="false" ht="12.8" hidden="false" customHeight="false" outlineLevel="0" collapsed="false">
      <c r="A1842" s="0" t="s">
        <v>9545</v>
      </c>
      <c r="B1842" s="0" t="s">
        <v>9546</v>
      </c>
      <c r="C1842" s="0" t="s">
        <v>60</v>
      </c>
      <c r="D1842" s="0" t="s">
        <v>5061</v>
      </c>
      <c r="E1842" s="0" t="s">
        <v>5062</v>
      </c>
      <c r="F1842" s="0" t="s">
        <v>5062</v>
      </c>
      <c r="G1842" s="0" t="s">
        <v>3278</v>
      </c>
      <c r="H1842" s="0" t="s">
        <v>3647</v>
      </c>
      <c r="I1842" s="0" t="s">
        <v>9543</v>
      </c>
      <c r="J1842" s="0" t="s">
        <v>9544</v>
      </c>
      <c r="K1842" s="0" t="s">
        <v>7993</v>
      </c>
    </row>
    <row r="1843" customFormat="false" ht="12.8" hidden="false" customHeight="false" outlineLevel="0" collapsed="false">
      <c r="A1843" s="0" t="s">
        <v>9547</v>
      </c>
      <c r="B1843" s="0" t="s">
        <v>9548</v>
      </c>
      <c r="C1843" s="0" t="s">
        <v>417</v>
      </c>
      <c r="D1843" s="0" t="s">
        <v>5023</v>
      </c>
      <c r="E1843" s="0" t="s">
        <v>5024</v>
      </c>
      <c r="F1843" s="0" t="s">
        <v>5024</v>
      </c>
      <c r="G1843" s="0" t="s">
        <v>3278</v>
      </c>
      <c r="H1843" s="0" t="s">
        <v>3855</v>
      </c>
      <c r="I1843" s="0" t="s">
        <v>9549</v>
      </c>
      <c r="J1843" s="0" t="s">
        <v>9550</v>
      </c>
      <c r="K1843" s="0" t="s">
        <v>7993</v>
      </c>
    </row>
    <row r="1844" customFormat="false" ht="12.8" hidden="false" customHeight="false" outlineLevel="0" collapsed="false">
      <c r="A1844" s="0" t="s">
        <v>9551</v>
      </c>
      <c r="B1844" s="0" t="s">
        <v>9552</v>
      </c>
      <c r="C1844" s="0" t="s">
        <v>417</v>
      </c>
      <c r="D1844" s="0" t="s">
        <v>5023</v>
      </c>
      <c r="E1844" s="0" t="s">
        <v>5024</v>
      </c>
      <c r="F1844" s="0" t="s">
        <v>5024</v>
      </c>
      <c r="G1844" s="0" t="s">
        <v>3278</v>
      </c>
      <c r="H1844" s="0" t="s">
        <v>3855</v>
      </c>
      <c r="I1844" s="0" t="s">
        <v>9549</v>
      </c>
      <c r="J1844" s="0" t="s">
        <v>9550</v>
      </c>
      <c r="K1844" s="0" t="s">
        <v>7993</v>
      </c>
    </row>
    <row r="1845" customFormat="false" ht="12.8" hidden="false" customHeight="false" outlineLevel="0" collapsed="false">
      <c r="A1845" s="0" t="s">
        <v>9553</v>
      </c>
      <c r="B1845" s="0" t="s">
        <v>9554</v>
      </c>
      <c r="C1845" s="0" t="s">
        <v>417</v>
      </c>
      <c r="D1845" s="0" t="s">
        <v>5057</v>
      </c>
      <c r="E1845" s="0" t="s">
        <v>5058</v>
      </c>
      <c r="F1845" s="0" t="s">
        <v>5058</v>
      </c>
      <c r="G1845" s="0" t="s">
        <v>3278</v>
      </c>
      <c r="H1845" s="0" t="s">
        <v>3855</v>
      </c>
      <c r="I1845" s="0" t="s">
        <v>9549</v>
      </c>
      <c r="J1845" s="0" t="s">
        <v>9550</v>
      </c>
      <c r="K1845" s="0" t="s">
        <v>7993</v>
      </c>
    </row>
    <row r="1846" customFormat="false" ht="12.8" hidden="false" customHeight="false" outlineLevel="0" collapsed="false">
      <c r="A1846" s="0" t="s">
        <v>9555</v>
      </c>
      <c r="B1846" s="0" t="s">
        <v>9556</v>
      </c>
      <c r="C1846" s="0" t="s">
        <v>417</v>
      </c>
      <c r="D1846" s="0" t="s">
        <v>5061</v>
      </c>
      <c r="E1846" s="0" t="s">
        <v>5062</v>
      </c>
      <c r="F1846" s="0" t="s">
        <v>5062</v>
      </c>
      <c r="G1846" s="0" t="s">
        <v>3278</v>
      </c>
      <c r="H1846" s="0" t="s">
        <v>3855</v>
      </c>
      <c r="I1846" s="0" t="s">
        <v>9549</v>
      </c>
      <c r="J1846" s="0" t="s">
        <v>9550</v>
      </c>
      <c r="K1846" s="0" t="s">
        <v>7993</v>
      </c>
    </row>
    <row r="1847" customFormat="false" ht="12.8" hidden="false" customHeight="false" outlineLevel="0" collapsed="false">
      <c r="A1847" s="0" t="s">
        <v>9557</v>
      </c>
      <c r="B1847" s="0" t="s">
        <v>9558</v>
      </c>
      <c r="C1847" s="0" t="s">
        <v>152</v>
      </c>
      <c r="D1847" s="0" t="s">
        <v>5061</v>
      </c>
      <c r="E1847" s="0" t="s">
        <v>5062</v>
      </c>
      <c r="F1847" s="0" t="s">
        <v>5062</v>
      </c>
      <c r="G1847" s="0" t="s">
        <v>2515</v>
      </c>
      <c r="H1847" s="0" t="s">
        <v>3144</v>
      </c>
      <c r="I1847" s="0" t="s">
        <v>9559</v>
      </c>
      <c r="J1847" s="0" t="s">
        <v>9560</v>
      </c>
      <c r="K1847" s="0" t="s">
        <v>7993</v>
      </c>
    </row>
    <row r="1848" customFormat="false" ht="12.8" hidden="false" customHeight="false" outlineLevel="0" collapsed="false">
      <c r="A1848" s="0" t="s">
        <v>9561</v>
      </c>
      <c r="B1848" s="0" t="s">
        <v>9562</v>
      </c>
      <c r="C1848" s="0" t="s">
        <v>152</v>
      </c>
      <c r="D1848" s="0" t="s">
        <v>5023</v>
      </c>
      <c r="E1848" s="0" t="s">
        <v>5024</v>
      </c>
      <c r="F1848" s="0" t="s">
        <v>5024</v>
      </c>
      <c r="G1848" s="0" t="s">
        <v>2515</v>
      </c>
      <c r="H1848" s="0" t="s">
        <v>3144</v>
      </c>
      <c r="I1848" s="0" t="s">
        <v>9559</v>
      </c>
      <c r="J1848" s="0" t="s">
        <v>9560</v>
      </c>
      <c r="K1848" s="0" t="s">
        <v>7993</v>
      </c>
    </row>
    <row r="1849" customFormat="false" ht="12.8" hidden="false" customHeight="false" outlineLevel="0" collapsed="false">
      <c r="A1849" s="0" t="s">
        <v>9563</v>
      </c>
      <c r="B1849" s="0" t="s">
        <v>9564</v>
      </c>
      <c r="C1849" s="0" t="s">
        <v>152</v>
      </c>
      <c r="D1849" s="0" t="s">
        <v>5023</v>
      </c>
      <c r="E1849" s="0" t="s">
        <v>5024</v>
      </c>
      <c r="F1849" s="0" t="s">
        <v>5024</v>
      </c>
      <c r="G1849" s="0" t="s">
        <v>2515</v>
      </c>
      <c r="H1849" s="0" t="s">
        <v>3144</v>
      </c>
      <c r="I1849" s="0" t="s">
        <v>9559</v>
      </c>
      <c r="J1849" s="0" t="s">
        <v>9560</v>
      </c>
      <c r="K1849" s="0" t="s">
        <v>7993</v>
      </c>
    </row>
    <row r="1850" customFormat="false" ht="12.8" hidden="false" customHeight="false" outlineLevel="0" collapsed="false">
      <c r="A1850" s="0" t="s">
        <v>9565</v>
      </c>
      <c r="B1850" s="0" t="s">
        <v>9566</v>
      </c>
      <c r="C1850" s="0" t="s">
        <v>152</v>
      </c>
      <c r="D1850" s="0" t="s">
        <v>5023</v>
      </c>
      <c r="E1850" s="0" t="s">
        <v>5024</v>
      </c>
      <c r="F1850" s="0" t="s">
        <v>5024</v>
      </c>
      <c r="G1850" s="0" t="s">
        <v>2515</v>
      </c>
      <c r="H1850" s="0" t="s">
        <v>3144</v>
      </c>
      <c r="I1850" s="0" t="s">
        <v>9559</v>
      </c>
      <c r="J1850" s="0" t="s">
        <v>9560</v>
      </c>
      <c r="K1850" s="0" t="s">
        <v>7993</v>
      </c>
    </row>
    <row r="1851" customFormat="false" ht="12.8" hidden="false" customHeight="false" outlineLevel="0" collapsed="false">
      <c r="A1851" s="0" t="s">
        <v>9567</v>
      </c>
      <c r="B1851" s="0" t="s">
        <v>9568</v>
      </c>
      <c r="C1851" s="0" t="s">
        <v>216</v>
      </c>
      <c r="D1851" s="0" t="s">
        <v>5061</v>
      </c>
      <c r="E1851" s="0" t="s">
        <v>5062</v>
      </c>
      <c r="F1851" s="0" t="s">
        <v>5062</v>
      </c>
      <c r="G1851" s="0" t="s">
        <v>4100</v>
      </c>
      <c r="H1851" s="0" t="s">
        <v>4691</v>
      </c>
      <c r="I1851" s="0" t="s">
        <v>9569</v>
      </c>
      <c r="J1851" s="0" t="s">
        <v>9570</v>
      </c>
      <c r="K1851" s="0" t="s">
        <v>7993</v>
      </c>
    </row>
    <row r="1852" customFormat="false" ht="12.8" hidden="false" customHeight="false" outlineLevel="0" collapsed="false">
      <c r="A1852" s="0" t="s">
        <v>9571</v>
      </c>
      <c r="B1852" s="0" t="s">
        <v>9572</v>
      </c>
      <c r="C1852" s="0" t="s">
        <v>208</v>
      </c>
      <c r="D1852" s="0" t="s">
        <v>5061</v>
      </c>
      <c r="E1852" s="0" t="s">
        <v>5062</v>
      </c>
      <c r="F1852" s="0" t="s">
        <v>5062</v>
      </c>
      <c r="G1852" s="0" t="s">
        <v>4100</v>
      </c>
      <c r="H1852" s="0" t="s">
        <v>4691</v>
      </c>
      <c r="I1852" s="0" t="s">
        <v>9573</v>
      </c>
      <c r="J1852" s="0" t="s">
        <v>9574</v>
      </c>
      <c r="K1852" s="0" t="s">
        <v>7044</v>
      </c>
    </row>
    <row r="1853" customFormat="false" ht="12.8" hidden="false" customHeight="false" outlineLevel="0" collapsed="false">
      <c r="A1853" s="0" t="s">
        <v>9575</v>
      </c>
      <c r="B1853" s="0" t="s">
        <v>9576</v>
      </c>
      <c r="C1853" s="0" t="s">
        <v>244</v>
      </c>
      <c r="D1853" s="0" t="s">
        <v>5061</v>
      </c>
      <c r="E1853" s="0" t="s">
        <v>5062</v>
      </c>
      <c r="F1853" s="0" t="s">
        <v>5062</v>
      </c>
      <c r="G1853" s="0" t="s">
        <v>3278</v>
      </c>
      <c r="H1853" s="0" t="s">
        <v>3279</v>
      </c>
      <c r="I1853" s="0" t="s">
        <v>9577</v>
      </c>
      <c r="J1853" s="0" t="s">
        <v>9578</v>
      </c>
      <c r="K1853" s="444" t="s">
        <v>8146</v>
      </c>
    </row>
    <row r="1854" customFormat="false" ht="12.8" hidden="false" customHeight="false" outlineLevel="0" collapsed="false">
      <c r="A1854" s="0" t="s">
        <v>9579</v>
      </c>
      <c r="B1854" s="0" t="s">
        <v>9580</v>
      </c>
      <c r="C1854" s="0" t="s">
        <v>244</v>
      </c>
      <c r="D1854" s="0" t="s">
        <v>5023</v>
      </c>
      <c r="E1854" s="0" t="s">
        <v>5024</v>
      </c>
      <c r="F1854" s="0" t="s">
        <v>5024</v>
      </c>
      <c r="G1854" s="0" t="s">
        <v>3278</v>
      </c>
      <c r="H1854" s="0" t="s">
        <v>3279</v>
      </c>
      <c r="I1854" s="0" t="s">
        <v>9577</v>
      </c>
      <c r="J1854" s="0" t="s">
        <v>9578</v>
      </c>
      <c r="K1854" s="444" t="s">
        <v>8146</v>
      </c>
    </row>
    <row r="1855" customFormat="false" ht="12.8" hidden="false" customHeight="false" outlineLevel="0" collapsed="false">
      <c r="A1855" s="0" t="s">
        <v>9581</v>
      </c>
      <c r="B1855" s="0" t="s">
        <v>9582</v>
      </c>
      <c r="C1855" s="0" t="s">
        <v>244</v>
      </c>
      <c r="D1855" s="0" t="s">
        <v>5023</v>
      </c>
      <c r="E1855" s="0" t="s">
        <v>5024</v>
      </c>
      <c r="F1855" s="0" t="s">
        <v>5024</v>
      </c>
      <c r="G1855" s="0" t="s">
        <v>3278</v>
      </c>
      <c r="H1855" s="0" t="s">
        <v>3279</v>
      </c>
      <c r="I1855" s="0" t="s">
        <v>9577</v>
      </c>
      <c r="J1855" s="0" t="s">
        <v>9578</v>
      </c>
      <c r="K1855" s="444" t="s">
        <v>8146</v>
      </c>
    </row>
    <row r="1856" customFormat="false" ht="12.8" hidden="false" customHeight="false" outlineLevel="0" collapsed="false">
      <c r="A1856" s="0" t="s">
        <v>9583</v>
      </c>
      <c r="B1856" s="0" t="s">
        <v>9584</v>
      </c>
      <c r="C1856" s="0" t="s">
        <v>244</v>
      </c>
      <c r="D1856" s="0" t="s">
        <v>5023</v>
      </c>
      <c r="E1856" s="0" t="s">
        <v>5024</v>
      </c>
      <c r="F1856" s="0" t="s">
        <v>5024</v>
      </c>
      <c r="G1856" s="0" t="s">
        <v>3278</v>
      </c>
      <c r="H1856" s="0" t="s">
        <v>3279</v>
      </c>
      <c r="I1856" s="0" t="s">
        <v>9577</v>
      </c>
      <c r="J1856" s="0" t="s">
        <v>9578</v>
      </c>
      <c r="K1856" s="444" t="s">
        <v>8146</v>
      </c>
    </row>
    <row r="1857" customFormat="false" ht="12.8" hidden="false" customHeight="false" outlineLevel="0" collapsed="false">
      <c r="A1857" s="0" t="s">
        <v>9585</v>
      </c>
      <c r="B1857" s="0" t="s">
        <v>9586</v>
      </c>
      <c r="C1857" s="0" t="s">
        <v>195</v>
      </c>
      <c r="D1857" s="0" t="s">
        <v>5061</v>
      </c>
      <c r="E1857" s="0" t="s">
        <v>5062</v>
      </c>
      <c r="F1857" s="0" t="s">
        <v>5062</v>
      </c>
      <c r="G1857" s="0" t="s">
        <v>4100</v>
      </c>
      <c r="H1857" s="0" t="s">
        <v>4691</v>
      </c>
      <c r="I1857" s="0" t="s">
        <v>9587</v>
      </c>
      <c r="J1857" s="0" t="s">
        <v>9588</v>
      </c>
      <c r="K1857" s="444" t="s">
        <v>8261</v>
      </c>
    </row>
    <row r="1858" customFormat="false" ht="12.8" hidden="false" customHeight="false" outlineLevel="0" collapsed="false">
      <c r="A1858" s="0" t="s">
        <v>9589</v>
      </c>
      <c r="B1858" s="0" t="s">
        <v>9590</v>
      </c>
      <c r="C1858" s="0" t="s">
        <v>222</v>
      </c>
      <c r="D1858" s="0" t="s">
        <v>5061</v>
      </c>
      <c r="E1858" s="0" t="s">
        <v>5062</v>
      </c>
      <c r="F1858" s="0" t="s">
        <v>5062</v>
      </c>
      <c r="G1858" s="0" t="s">
        <v>4100</v>
      </c>
      <c r="H1858" s="0" t="s">
        <v>4691</v>
      </c>
      <c r="I1858" s="0" t="s">
        <v>9591</v>
      </c>
      <c r="J1858" s="0" t="s">
        <v>9592</v>
      </c>
      <c r="K1858" s="444" t="s">
        <v>8284</v>
      </c>
    </row>
    <row r="1859" customFormat="false" ht="12.8" hidden="false" customHeight="false" outlineLevel="0" collapsed="false">
      <c r="A1859" s="0" t="s">
        <v>9593</v>
      </c>
      <c r="B1859" s="0" t="s">
        <v>9594</v>
      </c>
      <c r="C1859" s="0" t="s">
        <v>240</v>
      </c>
      <c r="D1859" s="0" t="s">
        <v>5057</v>
      </c>
      <c r="E1859" s="0" t="s">
        <v>5058</v>
      </c>
      <c r="F1859" s="0" t="s">
        <v>5058</v>
      </c>
      <c r="G1859" s="0" t="s">
        <v>3278</v>
      </c>
      <c r="H1859" s="0" t="s">
        <v>3279</v>
      </c>
      <c r="I1859" s="0" t="s">
        <v>9595</v>
      </c>
      <c r="J1859" s="0" t="s">
        <v>9596</v>
      </c>
      <c r="K1859" s="444" t="s">
        <v>9597</v>
      </c>
    </row>
    <row r="1860" customFormat="false" ht="12.8" hidden="false" customHeight="false" outlineLevel="0" collapsed="false">
      <c r="A1860" s="0" t="s">
        <v>9598</v>
      </c>
      <c r="B1860" s="0" t="s">
        <v>9599</v>
      </c>
      <c r="C1860" s="0" t="s">
        <v>240</v>
      </c>
      <c r="D1860" s="0" t="s">
        <v>5061</v>
      </c>
      <c r="E1860" s="0" t="s">
        <v>5062</v>
      </c>
      <c r="F1860" s="0" t="s">
        <v>5062</v>
      </c>
      <c r="G1860" s="0" t="s">
        <v>3278</v>
      </c>
      <c r="H1860" s="0" t="s">
        <v>3279</v>
      </c>
      <c r="I1860" s="0" t="s">
        <v>9595</v>
      </c>
      <c r="J1860" s="0" t="s">
        <v>9596</v>
      </c>
      <c r="K1860" s="444" t="s">
        <v>9597</v>
      </c>
    </row>
    <row r="1861" customFormat="false" ht="12.8" hidden="false" customHeight="false" outlineLevel="0" collapsed="false">
      <c r="A1861" s="0" t="s">
        <v>9600</v>
      </c>
      <c r="B1861" s="0" t="s">
        <v>9601</v>
      </c>
      <c r="C1861" s="0" t="s">
        <v>240</v>
      </c>
      <c r="D1861" s="0" t="s">
        <v>5023</v>
      </c>
      <c r="E1861" s="0" t="s">
        <v>5024</v>
      </c>
      <c r="F1861" s="0" t="s">
        <v>5024</v>
      </c>
      <c r="G1861" s="0" t="s">
        <v>3278</v>
      </c>
      <c r="H1861" s="0" t="s">
        <v>3279</v>
      </c>
      <c r="I1861" s="0" t="s">
        <v>9595</v>
      </c>
      <c r="J1861" s="0" t="s">
        <v>9596</v>
      </c>
      <c r="K1861" s="444" t="s">
        <v>9597</v>
      </c>
    </row>
    <row r="1862" customFormat="false" ht="12.8" hidden="false" customHeight="false" outlineLevel="0" collapsed="false">
      <c r="A1862" s="0" t="s">
        <v>9602</v>
      </c>
      <c r="B1862" s="0" t="s">
        <v>9603</v>
      </c>
      <c r="C1862" s="0" t="s">
        <v>240</v>
      </c>
      <c r="D1862" s="0" t="s">
        <v>5023</v>
      </c>
      <c r="E1862" s="0" t="s">
        <v>5024</v>
      </c>
      <c r="F1862" s="0" t="s">
        <v>5024</v>
      </c>
      <c r="G1862" s="0" t="s">
        <v>3278</v>
      </c>
      <c r="H1862" s="0" t="s">
        <v>3279</v>
      </c>
      <c r="I1862" s="0" t="s">
        <v>9595</v>
      </c>
      <c r="J1862" s="0" t="s">
        <v>9596</v>
      </c>
      <c r="K1862" s="444" t="s">
        <v>9597</v>
      </c>
    </row>
    <row r="1863" customFormat="false" ht="12.8" hidden="false" customHeight="false" outlineLevel="0" collapsed="false">
      <c r="A1863" s="0" t="s">
        <v>9604</v>
      </c>
      <c r="B1863" s="0" t="s">
        <v>9605</v>
      </c>
      <c r="C1863" s="0" t="s">
        <v>240</v>
      </c>
      <c r="D1863" s="0" t="s">
        <v>5023</v>
      </c>
      <c r="E1863" s="0" t="s">
        <v>5024</v>
      </c>
      <c r="F1863" s="0" t="s">
        <v>5024</v>
      </c>
      <c r="G1863" s="0" t="s">
        <v>3278</v>
      </c>
      <c r="H1863" s="0" t="s">
        <v>3279</v>
      </c>
      <c r="I1863" s="0" t="s">
        <v>9595</v>
      </c>
      <c r="J1863" s="0" t="s">
        <v>9596</v>
      </c>
      <c r="K1863" s="444" t="s">
        <v>9597</v>
      </c>
    </row>
    <row r="1864" customFormat="false" ht="12.8" hidden="false" customHeight="false" outlineLevel="0" collapsed="false">
      <c r="A1864" s="0" t="s">
        <v>9606</v>
      </c>
      <c r="B1864" s="0" t="s">
        <v>9607</v>
      </c>
      <c r="C1864" s="0" t="s">
        <v>240</v>
      </c>
      <c r="D1864" s="0" t="s">
        <v>5023</v>
      </c>
      <c r="E1864" s="0" t="s">
        <v>5024</v>
      </c>
      <c r="F1864" s="0" t="s">
        <v>5024</v>
      </c>
      <c r="G1864" s="0" t="s">
        <v>3278</v>
      </c>
      <c r="H1864" s="0" t="s">
        <v>3279</v>
      </c>
      <c r="I1864" s="0" t="s">
        <v>9595</v>
      </c>
      <c r="J1864" s="0" t="s">
        <v>9596</v>
      </c>
      <c r="K1864" s="444" t="s">
        <v>9597</v>
      </c>
    </row>
    <row r="1865" customFormat="false" ht="12.8" hidden="false" customHeight="false" outlineLevel="0" collapsed="false">
      <c r="A1865" s="0" t="s">
        <v>9608</v>
      </c>
      <c r="B1865" s="0" t="s">
        <v>9609</v>
      </c>
      <c r="C1865" s="0" t="s">
        <v>240</v>
      </c>
      <c r="D1865" s="0" t="s">
        <v>5023</v>
      </c>
      <c r="E1865" s="0" t="s">
        <v>5024</v>
      </c>
      <c r="F1865" s="0" t="s">
        <v>5024</v>
      </c>
      <c r="G1865" s="0" t="s">
        <v>3278</v>
      </c>
      <c r="H1865" s="0" t="s">
        <v>3279</v>
      </c>
      <c r="I1865" s="0" t="s">
        <v>9595</v>
      </c>
      <c r="J1865" s="0" t="s">
        <v>9596</v>
      </c>
      <c r="K1865" s="444" t="s">
        <v>9597</v>
      </c>
    </row>
    <row r="1866" customFormat="false" ht="12.8" hidden="false" customHeight="false" outlineLevel="0" collapsed="false">
      <c r="A1866" s="0" t="s">
        <v>9610</v>
      </c>
      <c r="B1866" s="0" t="s">
        <v>9611</v>
      </c>
      <c r="C1866" s="0" t="s">
        <v>240</v>
      </c>
      <c r="D1866" s="0" t="s">
        <v>5023</v>
      </c>
      <c r="E1866" s="0" t="s">
        <v>5024</v>
      </c>
      <c r="F1866" s="0" t="s">
        <v>5024</v>
      </c>
      <c r="G1866" s="0" t="s">
        <v>3278</v>
      </c>
      <c r="H1866" s="0" t="s">
        <v>3279</v>
      </c>
      <c r="I1866" s="0" t="s">
        <v>9595</v>
      </c>
      <c r="J1866" s="0" t="s">
        <v>9596</v>
      </c>
      <c r="K1866" s="444" t="s">
        <v>9597</v>
      </c>
    </row>
    <row r="1867" customFormat="false" ht="12.8" hidden="false" customHeight="false" outlineLevel="0" collapsed="false">
      <c r="A1867" s="0" t="s">
        <v>9612</v>
      </c>
      <c r="B1867" s="0" t="s">
        <v>9613</v>
      </c>
      <c r="C1867" s="0" t="s">
        <v>425</v>
      </c>
      <c r="D1867" s="0" t="s">
        <v>5057</v>
      </c>
      <c r="E1867" s="0" t="s">
        <v>5058</v>
      </c>
      <c r="F1867" s="0" t="s">
        <v>5058</v>
      </c>
      <c r="G1867" s="0" t="s">
        <v>4100</v>
      </c>
      <c r="H1867" s="0" t="s">
        <v>4691</v>
      </c>
      <c r="I1867" s="0" t="s">
        <v>9614</v>
      </c>
      <c r="J1867" s="0" t="s">
        <v>9615</v>
      </c>
      <c r="K1867" s="444" t="s">
        <v>8146</v>
      </c>
    </row>
    <row r="1868" customFormat="false" ht="12.8" hidden="false" customHeight="false" outlineLevel="0" collapsed="false">
      <c r="A1868" s="0" t="s">
        <v>9616</v>
      </c>
      <c r="B1868" s="0" t="s">
        <v>9617</v>
      </c>
      <c r="C1868" s="0" t="s">
        <v>7</v>
      </c>
      <c r="D1868" s="0" t="s">
        <v>5061</v>
      </c>
      <c r="E1868" s="0" t="s">
        <v>5062</v>
      </c>
      <c r="F1868" s="0" t="s">
        <v>5062</v>
      </c>
      <c r="G1868" s="0" t="s">
        <v>3278</v>
      </c>
      <c r="H1868" s="0" t="s">
        <v>3434</v>
      </c>
      <c r="I1868" s="0" t="s">
        <v>9618</v>
      </c>
      <c r="J1868" s="0" t="s">
        <v>9619</v>
      </c>
      <c r="K1868" s="0" t="s">
        <v>7993</v>
      </c>
    </row>
    <row r="1869" customFormat="false" ht="12.8" hidden="false" customHeight="false" outlineLevel="0" collapsed="false">
      <c r="A1869" s="0" t="s">
        <v>9620</v>
      </c>
      <c r="B1869" s="0" t="s">
        <v>9621</v>
      </c>
      <c r="C1869" s="0" t="s">
        <v>7</v>
      </c>
      <c r="D1869" s="0" t="s">
        <v>5057</v>
      </c>
      <c r="E1869" s="0" t="s">
        <v>5058</v>
      </c>
      <c r="F1869" s="0" t="s">
        <v>5058</v>
      </c>
      <c r="G1869" s="0" t="s">
        <v>3278</v>
      </c>
      <c r="H1869" s="0" t="s">
        <v>3434</v>
      </c>
      <c r="I1869" s="0" t="s">
        <v>9618</v>
      </c>
      <c r="J1869" s="0" t="s">
        <v>9619</v>
      </c>
      <c r="K1869" s="0" t="s">
        <v>7993</v>
      </c>
    </row>
    <row r="1870" customFormat="false" ht="12.8" hidden="false" customHeight="false" outlineLevel="0" collapsed="false">
      <c r="A1870" s="0" t="s">
        <v>9622</v>
      </c>
      <c r="B1870" s="0" t="s">
        <v>9623</v>
      </c>
      <c r="C1870" s="0" t="s">
        <v>7</v>
      </c>
      <c r="D1870" s="0" t="s">
        <v>5023</v>
      </c>
      <c r="E1870" s="0" t="s">
        <v>5024</v>
      </c>
      <c r="F1870" s="0" t="s">
        <v>5024</v>
      </c>
      <c r="G1870" s="0" t="s">
        <v>3278</v>
      </c>
      <c r="H1870" s="0" t="s">
        <v>3434</v>
      </c>
      <c r="I1870" s="0" t="s">
        <v>9618</v>
      </c>
      <c r="J1870" s="0" t="s">
        <v>9619</v>
      </c>
      <c r="K1870" s="0" t="s">
        <v>7993</v>
      </c>
    </row>
    <row r="1871" customFormat="false" ht="12.8" hidden="false" customHeight="false" outlineLevel="0" collapsed="false">
      <c r="A1871" s="0" t="s">
        <v>9624</v>
      </c>
      <c r="B1871" s="0" t="s">
        <v>9625</v>
      </c>
      <c r="C1871" s="0" t="s">
        <v>7</v>
      </c>
      <c r="D1871" s="0" t="s">
        <v>5023</v>
      </c>
      <c r="E1871" s="0" t="s">
        <v>5024</v>
      </c>
      <c r="F1871" s="0" t="s">
        <v>5024</v>
      </c>
      <c r="G1871" s="0" t="s">
        <v>3278</v>
      </c>
      <c r="H1871" s="0" t="s">
        <v>3434</v>
      </c>
      <c r="I1871" s="0" t="s">
        <v>9618</v>
      </c>
      <c r="J1871" s="0" t="s">
        <v>9619</v>
      </c>
      <c r="K1871" s="0" t="s">
        <v>7993</v>
      </c>
    </row>
    <row r="1872" customFormat="false" ht="12.8" hidden="false" customHeight="false" outlineLevel="0" collapsed="false">
      <c r="A1872" s="0" t="s">
        <v>9626</v>
      </c>
      <c r="B1872" s="0" t="s">
        <v>9627</v>
      </c>
      <c r="C1872" s="0" t="s">
        <v>107</v>
      </c>
      <c r="D1872" s="0" t="s">
        <v>5057</v>
      </c>
      <c r="E1872" s="0" t="s">
        <v>5058</v>
      </c>
      <c r="F1872" s="0" t="s">
        <v>5058</v>
      </c>
      <c r="G1872" s="0" t="s">
        <v>3278</v>
      </c>
      <c r="H1872" s="0" t="s">
        <v>3434</v>
      </c>
      <c r="I1872" s="0" t="s">
        <v>9628</v>
      </c>
      <c r="J1872" s="0" t="s">
        <v>9629</v>
      </c>
      <c r="K1872" s="0" t="s">
        <v>7993</v>
      </c>
    </row>
    <row r="1873" customFormat="false" ht="12.8" hidden="false" customHeight="false" outlineLevel="0" collapsed="false">
      <c r="A1873" s="0" t="s">
        <v>9630</v>
      </c>
      <c r="B1873" s="0" t="s">
        <v>9631</v>
      </c>
      <c r="C1873" s="0" t="s">
        <v>107</v>
      </c>
      <c r="D1873" s="0" t="s">
        <v>5061</v>
      </c>
      <c r="E1873" s="0" t="s">
        <v>5062</v>
      </c>
      <c r="F1873" s="0" t="s">
        <v>5062</v>
      </c>
      <c r="G1873" s="0" t="s">
        <v>3278</v>
      </c>
      <c r="H1873" s="0" t="s">
        <v>3434</v>
      </c>
      <c r="I1873" s="0" t="s">
        <v>9628</v>
      </c>
      <c r="J1873" s="0" t="s">
        <v>9629</v>
      </c>
      <c r="K1873" s="0" t="s">
        <v>7993</v>
      </c>
    </row>
    <row r="1874" customFormat="false" ht="12.8" hidden="false" customHeight="false" outlineLevel="0" collapsed="false">
      <c r="A1874" s="0" t="s">
        <v>9632</v>
      </c>
      <c r="B1874" s="0" t="s">
        <v>9633</v>
      </c>
      <c r="C1874" s="0" t="s">
        <v>107</v>
      </c>
      <c r="D1874" s="0" t="s">
        <v>5023</v>
      </c>
      <c r="E1874" s="0" t="s">
        <v>5024</v>
      </c>
      <c r="F1874" s="0" t="s">
        <v>5024</v>
      </c>
      <c r="G1874" s="0" t="s">
        <v>3278</v>
      </c>
      <c r="H1874" s="0" t="s">
        <v>3434</v>
      </c>
      <c r="I1874" s="0" t="s">
        <v>9628</v>
      </c>
      <c r="J1874" s="0" t="s">
        <v>9629</v>
      </c>
      <c r="K1874" s="0" t="s">
        <v>7993</v>
      </c>
    </row>
    <row r="1875" customFormat="false" ht="12.8" hidden="false" customHeight="false" outlineLevel="0" collapsed="false">
      <c r="A1875" s="0" t="s">
        <v>9634</v>
      </c>
      <c r="B1875" s="0" t="s">
        <v>9635</v>
      </c>
      <c r="C1875" s="0" t="s">
        <v>107</v>
      </c>
      <c r="D1875" s="0" t="s">
        <v>5023</v>
      </c>
      <c r="E1875" s="0" t="s">
        <v>5024</v>
      </c>
      <c r="F1875" s="0" t="s">
        <v>5024</v>
      </c>
      <c r="G1875" s="0" t="s">
        <v>3278</v>
      </c>
      <c r="H1875" s="0" t="s">
        <v>3434</v>
      </c>
      <c r="I1875" s="0" t="s">
        <v>9628</v>
      </c>
      <c r="J1875" s="0" t="s">
        <v>9629</v>
      </c>
      <c r="K1875" s="0" t="s">
        <v>7993</v>
      </c>
    </row>
    <row r="1876" customFormat="false" ht="12.8" hidden="false" customHeight="false" outlineLevel="0" collapsed="false">
      <c r="A1876" s="0" t="s">
        <v>9636</v>
      </c>
      <c r="B1876" s="0" t="s">
        <v>9637</v>
      </c>
      <c r="C1876" s="0" t="s">
        <v>107</v>
      </c>
      <c r="D1876" s="0" t="s">
        <v>5023</v>
      </c>
      <c r="E1876" s="0" t="s">
        <v>5024</v>
      </c>
      <c r="F1876" s="0" t="s">
        <v>5024</v>
      </c>
      <c r="G1876" s="0" t="s">
        <v>3278</v>
      </c>
      <c r="H1876" s="0" t="s">
        <v>3434</v>
      </c>
      <c r="I1876" s="0" t="s">
        <v>9628</v>
      </c>
      <c r="J1876" s="0" t="s">
        <v>9629</v>
      </c>
      <c r="K1876" s="0" t="s">
        <v>7993</v>
      </c>
    </row>
    <row r="1877" customFormat="false" ht="12.8" hidden="false" customHeight="false" outlineLevel="0" collapsed="false">
      <c r="A1877" s="0" t="s">
        <v>9638</v>
      </c>
      <c r="B1877" s="0" t="s">
        <v>9639</v>
      </c>
      <c r="C1877" s="0" t="s">
        <v>366</v>
      </c>
      <c r="D1877" s="0" t="s">
        <v>5061</v>
      </c>
      <c r="E1877" s="0" t="s">
        <v>5062</v>
      </c>
      <c r="F1877" s="0" t="s">
        <v>5062</v>
      </c>
      <c r="G1877" s="0" t="s">
        <v>4100</v>
      </c>
      <c r="H1877" s="0" t="s">
        <v>4691</v>
      </c>
      <c r="I1877" s="0" t="s">
        <v>9640</v>
      </c>
      <c r="J1877" s="0" t="s">
        <v>9641</v>
      </c>
      <c r="K1877" s="0" t="s">
        <v>7993</v>
      </c>
    </row>
    <row r="1878" customFormat="false" ht="12.8" hidden="false" customHeight="false" outlineLevel="0" collapsed="false">
      <c r="A1878" s="0" t="s">
        <v>9642</v>
      </c>
      <c r="B1878" s="0" t="s">
        <v>9643</v>
      </c>
      <c r="C1878" s="0" t="s">
        <v>54</v>
      </c>
      <c r="D1878" s="0" t="s">
        <v>5061</v>
      </c>
      <c r="E1878" s="0" t="s">
        <v>5062</v>
      </c>
      <c r="F1878" s="0" t="s">
        <v>5062</v>
      </c>
      <c r="G1878" s="0" t="s">
        <v>4100</v>
      </c>
      <c r="H1878" s="0" t="s">
        <v>4521</v>
      </c>
      <c r="I1878" s="0" t="s">
        <v>9644</v>
      </c>
      <c r="J1878" s="0" t="s">
        <v>9645</v>
      </c>
      <c r="K1878" s="0" t="s">
        <v>7993</v>
      </c>
    </row>
    <row r="1879" customFormat="false" ht="12.8" hidden="false" customHeight="false" outlineLevel="0" collapsed="false">
      <c r="A1879" s="0" t="s">
        <v>9646</v>
      </c>
      <c r="B1879" s="0" t="s">
        <v>9647</v>
      </c>
      <c r="C1879" s="0" t="s">
        <v>315</v>
      </c>
      <c r="D1879" s="0" t="s">
        <v>5023</v>
      </c>
      <c r="E1879" s="0" t="s">
        <v>5024</v>
      </c>
      <c r="F1879" s="0" t="s">
        <v>5024</v>
      </c>
      <c r="G1879" s="0" t="s">
        <v>3278</v>
      </c>
      <c r="H1879" s="0" t="s">
        <v>3279</v>
      </c>
      <c r="I1879" s="0" t="s">
        <v>9648</v>
      </c>
      <c r="J1879" s="0" t="s">
        <v>9649</v>
      </c>
      <c r="K1879" s="444" t="s">
        <v>8146</v>
      </c>
    </row>
    <row r="1880" customFormat="false" ht="12.8" hidden="false" customHeight="false" outlineLevel="0" collapsed="false">
      <c r="A1880" s="0" t="s">
        <v>9650</v>
      </c>
      <c r="B1880" s="0" t="s">
        <v>9651</v>
      </c>
      <c r="C1880" s="0" t="s">
        <v>315</v>
      </c>
      <c r="D1880" s="0" t="s">
        <v>5023</v>
      </c>
      <c r="E1880" s="0" t="s">
        <v>5024</v>
      </c>
      <c r="F1880" s="0" t="s">
        <v>5024</v>
      </c>
      <c r="G1880" s="0" t="s">
        <v>3278</v>
      </c>
      <c r="H1880" s="0" t="s">
        <v>3279</v>
      </c>
      <c r="I1880" s="0" t="s">
        <v>9648</v>
      </c>
      <c r="J1880" s="0" t="s">
        <v>9649</v>
      </c>
      <c r="K1880" s="444" t="s">
        <v>8146</v>
      </c>
    </row>
    <row r="1881" customFormat="false" ht="12.8" hidden="false" customHeight="false" outlineLevel="0" collapsed="false">
      <c r="A1881" s="0" t="s">
        <v>9652</v>
      </c>
      <c r="B1881" s="0" t="s">
        <v>9653</v>
      </c>
      <c r="C1881" s="0" t="s">
        <v>91</v>
      </c>
      <c r="D1881" s="0" t="s">
        <v>5023</v>
      </c>
      <c r="E1881" s="0" t="s">
        <v>5024</v>
      </c>
      <c r="F1881" s="0" t="s">
        <v>5024</v>
      </c>
      <c r="G1881" s="0" t="s">
        <v>3278</v>
      </c>
      <c r="H1881" s="0" t="s">
        <v>3279</v>
      </c>
      <c r="I1881" s="0" t="s">
        <v>9654</v>
      </c>
      <c r="J1881" s="0" t="s">
        <v>9655</v>
      </c>
      <c r="K1881" s="0" t="s">
        <v>9656</v>
      </c>
    </row>
    <row r="1882" customFormat="false" ht="12.8" hidden="false" customHeight="false" outlineLevel="0" collapsed="false">
      <c r="A1882" s="0" t="s">
        <v>9657</v>
      </c>
      <c r="B1882" s="0" t="s">
        <v>9658</v>
      </c>
      <c r="C1882" s="0" t="s">
        <v>353</v>
      </c>
      <c r="D1882" s="0" t="s">
        <v>5057</v>
      </c>
      <c r="E1882" s="0" t="s">
        <v>5058</v>
      </c>
      <c r="F1882" s="0" t="s">
        <v>5058</v>
      </c>
      <c r="G1882" s="0" t="s">
        <v>4100</v>
      </c>
      <c r="H1882" s="0" t="s">
        <v>4691</v>
      </c>
      <c r="I1882" s="0" t="s">
        <v>9659</v>
      </c>
      <c r="J1882" s="0" t="s">
        <v>9660</v>
      </c>
      <c r="K1882" s="444" t="s">
        <v>8146</v>
      </c>
    </row>
    <row r="1883" customFormat="false" ht="12.8" hidden="false" customHeight="false" outlineLevel="0" collapsed="false">
      <c r="A1883" s="0" t="s">
        <v>9661</v>
      </c>
      <c r="B1883" s="0" t="s">
        <v>9662</v>
      </c>
      <c r="C1883" s="0" t="s">
        <v>358</v>
      </c>
      <c r="D1883" s="0" t="s">
        <v>5023</v>
      </c>
      <c r="E1883" s="0" t="s">
        <v>5024</v>
      </c>
      <c r="F1883" s="0" t="s">
        <v>5024</v>
      </c>
      <c r="G1883" s="0" t="s">
        <v>4100</v>
      </c>
      <c r="H1883" s="0" t="s">
        <v>4101</v>
      </c>
      <c r="I1883" s="0" t="s">
        <v>9663</v>
      </c>
      <c r="J1883" s="0" t="s">
        <v>9664</v>
      </c>
      <c r="K1883" s="444" t="s">
        <v>9665</v>
      </c>
    </row>
    <row r="1884" customFormat="false" ht="12.8" hidden="false" customHeight="false" outlineLevel="0" collapsed="false">
      <c r="A1884" s="0" t="s">
        <v>9666</v>
      </c>
      <c r="B1884" s="0" t="s">
        <v>9667</v>
      </c>
      <c r="C1884" s="0" t="s">
        <v>358</v>
      </c>
      <c r="D1884" s="0" t="s">
        <v>5061</v>
      </c>
      <c r="E1884" s="0" t="s">
        <v>5062</v>
      </c>
      <c r="F1884" s="0" t="s">
        <v>5062</v>
      </c>
      <c r="G1884" s="0" t="s">
        <v>4100</v>
      </c>
      <c r="H1884" s="0" t="s">
        <v>4101</v>
      </c>
      <c r="I1884" s="0" t="s">
        <v>9663</v>
      </c>
      <c r="J1884" s="0" t="s">
        <v>9664</v>
      </c>
      <c r="K1884" s="444" t="s">
        <v>9665</v>
      </c>
    </row>
    <row r="1885" customFormat="false" ht="12.8" hidden="false" customHeight="false" outlineLevel="0" collapsed="false">
      <c r="A1885" s="0" t="s">
        <v>9668</v>
      </c>
      <c r="B1885" s="0" t="s">
        <v>9669</v>
      </c>
      <c r="C1885" s="0" t="s">
        <v>358</v>
      </c>
      <c r="D1885" s="0" t="s">
        <v>5023</v>
      </c>
      <c r="E1885" s="0" t="s">
        <v>5024</v>
      </c>
      <c r="F1885" s="0" t="s">
        <v>5024</v>
      </c>
      <c r="G1885" s="0" t="s">
        <v>4100</v>
      </c>
      <c r="H1885" s="0" t="s">
        <v>4101</v>
      </c>
      <c r="I1885" s="0" t="s">
        <v>9663</v>
      </c>
      <c r="J1885" s="0" t="s">
        <v>9664</v>
      </c>
      <c r="K1885" s="444" t="s">
        <v>9665</v>
      </c>
    </row>
    <row r="1886" customFormat="false" ht="12.8" hidden="false" customHeight="false" outlineLevel="0" collapsed="false">
      <c r="A1886" s="0" t="s">
        <v>9670</v>
      </c>
      <c r="B1886" s="0" t="s">
        <v>9671</v>
      </c>
      <c r="C1886" s="0" t="s">
        <v>358</v>
      </c>
      <c r="D1886" s="0" t="s">
        <v>5023</v>
      </c>
      <c r="E1886" s="0" t="s">
        <v>5024</v>
      </c>
      <c r="F1886" s="0" t="s">
        <v>5024</v>
      </c>
      <c r="G1886" s="0" t="s">
        <v>4100</v>
      </c>
      <c r="H1886" s="0" t="s">
        <v>4101</v>
      </c>
      <c r="I1886" s="0" t="s">
        <v>9663</v>
      </c>
      <c r="J1886" s="0" t="s">
        <v>9664</v>
      </c>
      <c r="K1886" s="444" t="s">
        <v>9665</v>
      </c>
    </row>
    <row r="1887" customFormat="false" ht="12.8" hidden="false" customHeight="false" outlineLevel="0" collapsed="false">
      <c r="A1887" s="0" t="s">
        <v>9672</v>
      </c>
      <c r="B1887" s="0" t="s">
        <v>9673</v>
      </c>
      <c r="C1887" s="0" t="s">
        <v>411</v>
      </c>
      <c r="D1887" s="0" t="s">
        <v>5061</v>
      </c>
      <c r="E1887" s="0" t="s">
        <v>5062</v>
      </c>
      <c r="F1887" s="0" t="s">
        <v>5062</v>
      </c>
      <c r="G1887" s="0" t="s">
        <v>2515</v>
      </c>
      <c r="H1887" s="0" t="s">
        <v>2755</v>
      </c>
      <c r="I1887" s="0" t="s">
        <v>9674</v>
      </c>
      <c r="J1887" s="0" t="s">
        <v>9675</v>
      </c>
      <c r="K1887" s="444" t="s">
        <v>9676</v>
      </c>
    </row>
    <row r="1888" customFormat="false" ht="12.8" hidden="false" customHeight="false" outlineLevel="0" collapsed="false">
      <c r="A1888" s="0" t="s">
        <v>9677</v>
      </c>
      <c r="B1888" s="0" t="s">
        <v>9678</v>
      </c>
      <c r="C1888" s="0" t="s">
        <v>411</v>
      </c>
      <c r="D1888" s="0" t="s">
        <v>5057</v>
      </c>
      <c r="E1888" s="0" t="s">
        <v>5058</v>
      </c>
      <c r="F1888" s="0" t="s">
        <v>5058</v>
      </c>
      <c r="G1888" s="0" t="s">
        <v>2515</v>
      </c>
      <c r="H1888" s="0" t="s">
        <v>2755</v>
      </c>
      <c r="I1888" s="0" t="s">
        <v>9674</v>
      </c>
      <c r="J1888" s="0" t="s">
        <v>9675</v>
      </c>
      <c r="K1888" s="444" t="s">
        <v>9676</v>
      </c>
    </row>
    <row r="1889" customFormat="false" ht="12.8" hidden="false" customHeight="false" outlineLevel="0" collapsed="false">
      <c r="A1889" s="0" t="s">
        <v>9679</v>
      </c>
      <c r="B1889" s="0" t="s">
        <v>9680</v>
      </c>
      <c r="C1889" s="0" t="s">
        <v>411</v>
      </c>
      <c r="D1889" s="0" t="s">
        <v>5057</v>
      </c>
      <c r="E1889" s="0" t="s">
        <v>5058</v>
      </c>
      <c r="F1889" s="0" t="s">
        <v>5058</v>
      </c>
      <c r="G1889" s="0" t="s">
        <v>2515</v>
      </c>
      <c r="H1889" s="0" t="s">
        <v>2755</v>
      </c>
      <c r="I1889" s="0" t="s">
        <v>9674</v>
      </c>
      <c r="J1889" s="0" t="s">
        <v>9675</v>
      </c>
      <c r="K1889" s="444" t="s">
        <v>9676</v>
      </c>
    </row>
    <row r="1890" customFormat="false" ht="12.8" hidden="false" customHeight="false" outlineLevel="0" collapsed="false">
      <c r="A1890" s="0" t="s">
        <v>9681</v>
      </c>
      <c r="B1890" s="0" t="s">
        <v>9682</v>
      </c>
      <c r="C1890" s="0" t="s">
        <v>141</v>
      </c>
      <c r="D1890" s="0" t="s">
        <v>5023</v>
      </c>
      <c r="E1890" s="0" t="s">
        <v>5024</v>
      </c>
      <c r="F1890" s="0" t="s">
        <v>5024</v>
      </c>
      <c r="G1890" s="0" t="s">
        <v>3278</v>
      </c>
      <c r="H1890" s="0" t="s">
        <v>3434</v>
      </c>
      <c r="I1890" s="0" t="s">
        <v>9683</v>
      </c>
      <c r="J1890" s="0" t="s">
        <v>9684</v>
      </c>
      <c r="K1890" s="0" t="s">
        <v>7993</v>
      </c>
    </row>
    <row r="1891" customFormat="false" ht="12.8" hidden="false" customHeight="false" outlineLevel="0" collapsed="false">
      <c r="A1891" s="0" t="s">
        <v>9685</v>
      </c>
      <c r="B1891" s="0" t="s">
        <v>9686</v>
      </c>
      <c r="C1891" s="0" t="s">
        <v>55</v>
      </c>
      <c r="D1891" s="0" t="s">
        <v>5057</v>
      </c>
      <c r="E1891" s="0" t="s">
        <v>5058</v>
      </c>
      <c r="F1891" s="0" t="s">
        <v>5058</v>
      </c>
      <c r="G1891" s="0" t="s">
        <v>4100</v>
      </c>
      <c r="H1891" s="0" t="s">
        <v>4521</v>
      </c>
      <c r="I1891" s="0" t="s">
        <v>9687</v>
      </c>
      <c r="J1891" s="0" t="s">
        <v>9688</v>
      </c>
      <c r="K1891" s="444" t="s">
        <v>9689</v>
      </c>
    </row>
    <row r="1892" customFormat="false" ht="12.8" hidden="false" customHeight="false" outlineLevel="0" collapsed="false">
      <c r="A1892" s="0" t="s">
        <v>9690</v>
      </c>
      <c r="B1892" s="0" t="s">
        <v>9691</v>
      </c>
      <c r="C1892" s="0" t="s">
        <v>55</v>
      </c>
      <c r="D1892" s="0" t="s">
        <v>5057</v>
      </c>
      <c r="E1892" s="0" t="s">
        <v>5058</v>
      </c>
      <c r="F1892" s="0" t="s">
        <v>5058</v>
      </c>
      <c r="G1892" s="0" t="s">
        <v>4100</v>
      </c>
      <c r="H1892" s="0" t="s">
        <v>4521</v>
      </c>
      <c r="I1892" s="0" t="s">
        <v>9687</v>
      </c>
      <c r="J1892" s="0" t="s">
        <v>9688</v>
      </c>
      <c r="K1892" s="444" t="s">
        <v>9689</v>
      </c>
    </row>
    <row r="1893" customFormat="false" ht="12.8" hidden="false" customHeight="false" outlineLevel="0" collapsed="false">
      <c r="A1893" s="0" t="s">
        <v>9692</v>
      </c>
      <c r="B1893" s="0" t="s">
        <v>9693</v>
      </c>
      <c r="C1893" s="0" t="s">
        <v>29</v>
      </c>
      <c r="D1893" s="0" t="s">
        <v>5061</v>
      </c>
      <c r="E1893" s="0" t="s">
        <v>5062</v>
      </c>
      <c r="F1893" s="0" t="s">
        <v>5062</v>
      </c>
      <c r="G1893" s="0" t="s">
        <v>2515</v>
      </c>
      <c r="H1893" s="0" t="s">
        <v>2645</v>
      </c>
      <c r="I1893" s="0" t="s">
        <v>9694</v>
      </c>
      <c r="J1893" s="0" t="s">
        <v>9695</v>
      </c>
      <c r="K1893" s="444" t="s">
        <v>9696</v>
      </c>
    </row>
    <row r="1894" customFormat="false" ht="12.8" hidden="false" customHeight="false" outlineLevel="0" collapsed="false">
      <c r="A1894" s="0" t="s">
        <v>9697</v>
      </c>
      <c r="B1894" s="0" t="s">
        <v>9698</v>
      </c>
      <c r="C1894" s="0" t="s">
        <v>29</v>
      </c>
      <c r="D1894" s="0" t="s">
        <v>5023</v>
      </c>
      <c r="E1894" s="0" t="s">
        <v>5024</v>
      </c>
      <c r="F1894" s="0" t="s">
        <v>5024</v>
      </c>
      <c r="G1894" s="0" t="s">
        <v>2515</v>
      </c>
      <c r="H1894" s="0" t="s">
        <v>2645</v>
      </c>
      <c r="I1894" s="0" t="s">
        <v>9694</v>
      </c>
      <c r="J1894" s="0" t="s">
        <v>9695</v>
      </c>
      <c r="K1894" s="444" t="s">
        <v>9696</v>
      </c>
    </row>
    <row r="1895" customFormat="false" ht="12.8" hidden="false" customHeight="false" outlineLevel="0" collapsed="false">
      <c r="A1895" s="0" t="s">
        <v>9699</v>
      </c>
      <c r="B1895" s="0" t="s">
        <v>9700</v>
      </c>
      <c r="C1895" s="0" t="s">
        <v>29</v>
      </c>
      <c r="D1895" s="0" t="s">
        <v>5023</v>
      </c>
      <c r="E1895" s="0" t="s">
        <v>5024</v>
      </c>
      <c r="F1895" s="0" t="s">
        <v>5024</v>
      </c>
      <c r="G1895" s="0" t="s">
        <v>2515</v>
      </c>
      <c r="H1895" s="0" t="s">
        <v>2645</v>
      </c>
      <c r="I1895" s="0" t="s">
        <v>9694</v>
      </c>
      <c r="J1895" s="0" t="s">
        <v>9695</v>
      </c>
      <c r="K1895" s="444" t="s">
        <v>9696</v>
      </c>
    </row>
    <row r="1896" customFormat="false" ht="12.8" hidden="false" customHeight="false" outlineLevel="0" collapsed="false">
      <c r="A1896" s="0" t="s">
        <v>9701</v>
      </c>
      <c r="B1896" s="0" t="s">
        <v>9702</v>
      </c>
      <c r="C1896" s="0" t="s">
        <v>29</v>
      </c>
      <c r="D1896" s="0" t="s">
        <v>5023</v>
      </c>
      <c r="E1896" s="0" t="s">
        <v>5024</v>
      </c>
      <c r="F1896" s="0" t="s">
        <v>5024</v>
      </c>
      <c r="G1896" s="0" t="s">
        <v>2515</v>
      </c>
      <c r="H1896" s="0" t="s">
        <v>2645</v>
      </c>
      <c r="I1896" s="0" t="s">
        <v>9694</v>
      </c>
      <c r="J1896" s="0" t="s">
        <v>9695</v>
      </c>
      <c r="K1896" s="444" t="s">
        <v>9696</v>
      </c>
    </row>
    <row r="1897" customFormat="false" ht="12.8" hidden="false" customHeight="false" outlineLevel="0" collapsed="false">
      <c r="A1897" s="0" t="s">
        <v>9703</v>
      </c>
      <c r="B1897" s="0" t="s">
        <v>9704</v>
      </c>
      <c r="C1897" s="0" t="s">
        <v>29</v>
      </c>
      <c r="D1897" s="0" t="s">
        <v>5023</v>
      </c>
      <c r="E1897" s="0" t="s">
        <v>5024</v>
      </c>
      <c r="F1897" s="0" t="s">
        <v>5024</v>
      </c>
      <c r="G1897" s="0" t="s">
        <v>2515</v>
      </c>
      <c r="H1897" s="0" t="s">
        <v>2645</v>
      </c>
      <c r="I1897" s="0" t="s">
        <v>9694</v>
      </c>
      <c r="J1897" s="0" t="s">
        <v>9695</v>
      </c>
      <c r="K1897" s="444" t="s">
        <v>9696</v>
      </c>
    </row>
    <row r="1898" customFormat="false" ht="12.8" hidden="false" customHeight="false" outlineLevel="0" collapsed="false">
      <c r="A1898" s="0" t="s">
        <v>9705</v>
      </c>
      <c r="B1898" s="0" t="s">
        <v>9706</v>
      </c>
      <c r="C1898" s="0" t="s">
        <v>29</v>
      </c>
      <c r="D1898" s="0" t="s">
        <v>5057</v>
      </c>
      <c r="E1898" s="0" t="s">
        <v>5058</v>
      </c>
      <c r="F1898" s="0" t="s">
        <v>5058</v>
      </c>
      <c r="G1898" s="0" t="s">
        <v>2515</v>
      </c>
      <c r="H1898" s="0" t="s">
        <v>2645</v>
      </c>
      <c r="I1898" s="0" t="s">
        <v>9694</v>
      </c>
      <c r="J1898" s="0" t="s">
        <v>9695</v>
      </c>
      <c r="K1898" s="444" t="s">
        <v>9696</v>
      </c>
    </row>
    <row r="1899" customFormat="false" ht="12.8" hidden="false" customHeight="false" outlineLevel="0" collapsed="false">
      <c r="A1899" s="0" t="s">
        <v>9707</v>
      </c>
      <c r="B1899" s="0" t="s">
        <v>9708</v>
      </c>
      <c r="C1899" s="0" t="s">
        <v>322</v>
      </c>
      <c r="D1899" s="0" t="s">
        <v>5057</v>
      </c>
      <c r="E1899" s="0" t="s">
        <v>5058</v>
      </c>
      <c r="F1899" s="0" t="s">
        <v>5058</v>
      </c>
      <c r="G1899" s="0" t="s">
        <v>1155</v>
      </c>
      <c r="H1899" s="0" t="s">
        <v>1792</v>
      </c>
      <c r="I1899" s="0" t="s">
        <v>9709</v>
      </c>
      <c r="J1899" s="0" t="s">
        <v>9710</v>
      </c>
      <c r="K1899" s="444" t="s">
        <v>9711</v>
      </c>
    </row>
    <row r="1900" customFormat="false" ht="12.8" hidden="false" customHeight="false" outlineLevel="0" collapsed="false">
      <c r="A1900" s="0" t="s">
        <v>9712</v>
      </c>
      <c r="B1900" s="0" t="s">
        <v>9713</v>
      </c>
      <c r="C1900" s="0" t="s">
        <v>322</v>
      </c>
      <c r="D1900" s="0" t="s">
        <v>5023</v>
      </c>
      <c r="E1900" s="0" t="s">
        <v>5024</v>
      </c>
      <c r="F1900" s="0" t="s">
        <v>5024</v>
      </c>
      <c r="G1900" s="0" t="s">
        <v>1155</v>
      </c>
      <c r="H1900" s="0" t="s">
        <v>1792</v>
      </c>
      <c r="I1900" s="0" t="s">
        <v>9709</v>
      </c>
      <c r="J1900" s="0" t="s">
        <v>9710</v>
      </c>
      <c r="K1900" s="444" t="s">
        <v>9711</v>
      </c>
    </row>
    <row r="1901" customFormat="false" ht="12.8" hidden="false" customHeight="false" outlineLevel="0" collapsed="false">
      <c r="A1901" s="0" t="s">
        <v>9714</v>
      </c>
      <c r="B1901" s="0" t="s">
        <v>9715</v>
      </c>
      <c r="C1901" s="0" t="s">
        <v>166</v>
      </c>
      <c r="D1901" s="0" t="s">
        <v>5061</v>
      </c>
      <c r="E1901" s="0" t="s">
        <v>5062</v>
      </c>
      <c r="F1901" s="0" t="s">
        <v>5062</v>
      </c>
      <c r="G1901" s="0" t="s">
        <v>2515</v>
      </c>
      <c r="H1901" s="0" t="s">
        <v>2755</v>
      </c>
      <c r="I1901" s="0" t="s">
        <v>9716</v>
      </c>
      <c r="J1901" s="0" t="s">
        <v>9717</v>
      </c>
      <c r="K1901" s="0" t="s">
        <v>7993</v>
      </c>
    </row>
    <row r="1902" customFormat="false" ht="12.8" hidden="false" customHeight="false" outlineLevel="0" collapsed="false">
      <c r="A1902" s="0" t="s">
        <v>9718</v>
      </c>
      <c r="B1902" s="0" t="s">
        <v>9719</v>
      </c>
      <c r="C1902" s="0" t="s">
        <v>166</v>
      </c>
      <c r="D1902" s="0" t="s">
        <v>5057</v>
      </c>
      <c r="E1902" s="0" t="s">
        <v>5058</v>
      </c>
      <c r="F1902" s="0" t="s">
        <v>5058</v>
      </c>
      <c r="G1902" s="0" t="s">
        <v>2515</v>
      </c>
      <c r="H1902" s="0" t="s">
        <v>2755</v>
      </c>
      <c r="I1902" s="0" t="s">
        <v>9716</v>
      </c>
      <c r="J1902" s="0" t="s">
        <v>9717</v>
      </c>
      <c r="K1902" s="0" t="s">
        <v>7993</v>
      </c>
    </row>
    <row r="1903" customFormat="false" ht="12.8" hidden="false" customHeight="false" outlineLevel="0" collapsed="false">
      <c r="A1903" s="0" t="s">
        <v>9720</v>
      </c>
      <c r="B1903" s="0" t="s">
        <v>9721</v>
      </c>
      <c r="C1903" s="0" t="s">
        <v>209</v>
      </c>
      <c r="D1903" s="0" t="s">
        <v>5057</v>
      </c>
      <c r="E1903" s="0" t="s">
        <v>5058</v>
      </c>
      <c r="F1903" s="0" t="s">
        <v>5058</v>
      </c>
      <c r="G1903" s="0" t="s">
        <v>2515</v>
      </c>
      <c r="H1903" s="0" t="s">
        <v>2755</v>
      </c>
      <c r="I1903" s="0" t="s">
        <v>9722</v>
      </c>
      <c r="J1903" s="0" t="s">
        <v>9723</v>
      </c>
      <c r="K1903" s="0" t="s">
        <v>7993</v>
      </c>
    </row>
    <row r="1904" customFormat="false" ht="12.8" hidden="false" customHeight="false" outlineLevel="0" collapsed="false">
      <c r="A1904" s="0" t="s">
        <v>9724</v>
      </c>
      <c r="B1904" s="0" t="s">
        <v>9725</v>
      </c>
      <c r="C1904" s="0" t="s">
        <v>305</v>
      </c>
      <c r="D1904" s="0" t="s">
        <v>5057</v>
      </c>
      <c r="E1904" s="0" t="s">
        <v>5058</v>
      </c>
      <c r="F1904" s="0" t="s">
        <v>5058</v>
      </c>
      <c r="G1904" s="0" t="s">
        <v>2515</v>
      </c>
      <c r="H1904" s="0" t="s">
        <v>2645</v>
      </c>
      <c r="I1904" s="0" t="s">
        <v>9726</v>
      </c>
      <c r="J1904" s="0" t="s">
        <v>9727</v>
      </c>
      <c r="K1904" s="444" t="s">
        <v>9728</v>
      </c>
    </row>
    <row r="1905" customFormat="false" ht="12.8" hidden="false" customHeight="false" outlineLevel="0" collapsed="false">
      <c r="A1905" s="0" t="s">
        <v>9729</v>
      </c>
      <c r="B1905" s="0" t="s">
        <v>9730</v>
      </c>
      <c r="C1905" s="0" t="s">
        <v>79</v>
      </c>
      <c r="D1905" s="0" t="s">
        <v>5061</v>
      </c>
      <c r="E1905" s="0" t="s">
        <v>5062</v>
      </c>
      <c r="F1905" s="0" t="s">
        <v>5062</v>
      </c>
      <c r="G1905" s="0" t="s">
        <v>1883</v>
      </c>
      <c r="H1905" s="0" t="s">
        <v>2233</v>
      </c>
      <c r="I1905" s="0" t="s">
        <v>9731</v>
      </c>
      <c r="J1905" s="0" t="s">
        <v>9732</v>
      </c>
      <c r="K1905" s="0" t="s">
        <v>5260</v>
      </c>
    </row>
    <row r="1906" customFormat="false" ht="12.8" hidden="false" customHeight="false" outlineLevel="0" collapsed="false">
      <c r="A1906" s="0" t="s">
        <v>9733</v>
      </c>
      <c r="B1906" s="0" t="s">
        <v>9734</v>
      </c>
      <c r="C1906" s="0" t="s">
        <v>79</v>
      </c>
      <c r="D1906" s="0" t="s">
        <v>5057</v>
      </c>
      <c r="E1906" s="0" t="s">
        <v>5058</v>
      </c>
      <c r="F1906" s="0" t="s">
        <v>5058</v>
      </c>
      <c r="G1906" s="0" t="s">
        <v>1883</v>
      </c>
      <c r="H1906" s="0" t="s">
        <v>2233</v>
      </c>
      <c r="I1906" s="0" t="s">
        <v>9731</v>
      </c>
      <c r="J1906" s="0" t="s">
        <v>9732</v>
      </c>
      <c r="K1906" s="0" t="s">
        <v>5260</v>
      </c>
    </row>
    <row r="1907" customFormat="false" ht="12.8" hidden="false" customHeight="false" outlineLevel="0" collapsed="false">
      <c r="A1907" s="0" t="s">
        <v>9735</v>
      </c>
      <c r="B1907" s="0" t="s">
        <v>9736</v>
      </c>
      <c r="C1907" s="0" t="s">
        <v>79</v>
      </c>
      <c r="D1907" s="0" t="s">
        <v>5023</v>
      </c>
      <c r="E1907" s="0" t="s">
        <v>5024</v>
      </c>
      <c r="F1907" s="0" t="s">
        <v>5024</v>
      </c>
      <c r="G1907" s="0" t="s">
        <v>1883</v>
      </c>
      <c r="H1907" s="0" t="s">
        <v>2233</v>
      </c>
      <c r="I1907" s="0" t="s">
        <v>9731</v>
      </c>
      <c r="J1907" s="0" t="s">
        <v>9732</v>
      </c>
      <c r="K1907" s="0" t="s">
        <v>5260</v>
      </c>
    </row>
    <row r="1908" customFormat="false" ht="12.8" hidden="false" customHeight="false" outlineLevel="0" collapsed="false">
      <c r="A1908" s="0" t="s">
        <v>9737</v>
      </c>
      <c r="B1908" s="0" t="s">
        <v>9738</v>
      </c>
      <c r="C1908" s="0" t="s">
        <v>79</v>
      </c>
      <c r="D1908" s="0" t="s">
        <v>5023</v>
      </c>
      <c r="E1908" s="0" t="s">
        <v>5024</v>
      </c>
      <c r="F1908" s="0" t="s">
        <v>5024</v>
      </c>
      <c r="G1908" s="0" t="s">
        <v>1883</v>
      </c>
      <c r="H1908" s="0" t="s">
        <v>2233</v>
      </c>
      <c r="I1908" s="0" t="s">
        <v>9731</v>
      </c>
      <c r="J1908" s="0" t="s">
        <v>9732</v>
      </c>
      <c r="K1908" s="0" t="s">
        <v>5260</v>
      </c>
    </row>
    <row r="1909" customFormat="false" ht="12.8" hidden="false" customHeight="false" outlineLevel="0" collapsed="false">
      <c r="A1909" s="0" t="s">
        <v>9739</v>
      </c>
      <c r="B1909" s="0" t="s">
        <v>9740</v>
      </c>
      <c r="C1909" s="0" t="s">
        <v>79</v>
      </c>
      <c r="D1909" s="0" t="s">
        <v>5023</v>
      </c>
      <c r="E1909" s="0" t="s">
        <v>5024</v>
      </c>
      <c r="F1909" s="0" t="s">
        <v>5024</v>
      </c>
      <c r="G1909" s="0" t="s">
        <v>1883</v>
      </c>
      <c r="H1909" s="0" t="s">
        <v>2233</v>
      </c>
      <c r="I1909" s="0" t="s">
        <v>9731</v>
      </c>
      <c r="J1909" s="0" t="s">
        <v>9732</v>
      </c>
      <c r="K1909" s="0" t="s">
        <v>5260</v>
      </c>
    </row>
    <row r="1910" customFormat="false" ht="12.8" hidden="false" customHeight="false" outlineLevel="0" collapsed="false">
      <c r="A1910" s="0" t="s">
        <v>9741</v>
      </c>
      <c r="B1910" s="0" t="s">
        <v>9742</v>
      </c>
      <c r="C1910" s="0" t="s">
        <v>79</v>
      </c>
      <c r="D1910" s="0" t="s">
        <v>5023</v>
      </c>
      <c r="E1910" s="0" t="s">
        <v>5024</v>
      </c>
      <c r="F1910" s="0" t="s">
        <v>5024</v>
      </c>
      <c r="G1910" s="0" t="s">
        <v>1883</v>
      </c>
      <c r="H1910" s="0" t="s">
        <v>2233</v>
      </c>
      <c r="I1910" s="0" t="s">
        <v>9731</v>
      </c>
      <c r="J1910" s="0" t="s">
        <v>9732</v>
      </c>
      <c r="K1910" s="0" t="s">
        <v>5260</v>
      </c>
    </row>
    <row r="1911" customFormat="false" ht="12.8" hidden="false" customHeight="false" outlineLevel="0" collapsed="false">
      <c r="A1911" s="0" t="s">
        <v>9743</v>
      </c>
      <c r="B1911" s="0" t="s">
        <v>9744</v>
      </c>
      <c r="C1911" s="0" t="s">
        <v>79</v>
      </c>
      <c r="D1911" s="0" t="s">
        <v>5023</v>
      </c>
      <c r="E1911" s="0" t="s">
        <v>5024</v>
      </c>
      <c r="F1911" s="0" t="s">
        <v>5024</v>
      </c>
      <c r="G1911" s="0" t="s">
        <v>1883</v>
      </c>
      <c r="H1911" s="0" t="s">
        <v>2233</v>
      </c>
      <c r="I1911" s="0" t="s">
        <v>9731</v>
      </c>
      <c r="J1911" s="0" t="s">
        <v>9732</v>
      </c>
      <c r="K1911" s="0" t="s">
        <v>5260</v>
      </c>
    </row>
    <row r="1912" customFormat="false" ht="12.8" hidden="false" customHeight="false" outlineLevel="0" collapsed="false">
      <c r="A1912" s="0" t="s">
        <v>9745</v>
      </c>
      <c r="B1912" s="0" t="s">
        <v>9746</v>
      </c>
      <c r="C1912" s="0" t="s">
        <v>202</v>
      </c>
      <c r="D1912" s="0" t="s">
        <v>5061</v>
      </c>
      <c r="E1912" s="0" t="s">
        <v>5062</v>
      </c>
      <c r="F1912" s="0" t="s">
        <v>5062</v>
      </c>
      <c r="G1912" s="0" t="s">
        <v>4100</v>
      </c>
      <c r="H1912" s="0" t="s">
        <v>4101</v>
      </c>
      <c r="I1912" s="0" t="s">
        <v>9747</v>
      </c>
      <c r="J1912" s="0" t="s">
        <v>9748</v>
      </c>
      <c r="K1912" s="444" t="s">
        <v>8247</v>
      </c>
    </row>
    <row r="1913" customFormat="false" ht="12.8" hidden="false" customHeight="false" outlineLevel="0" collapsed="false">
      <c r="A1913" s="0" t="s">
        <v>9749</v>
      </c>
      <c r="B1913" s="0" t="s">
        <v>9750</v>
      </c>
      <c r="C1913" s="0" t="s">
        <v>202</v>
      </c>
      <c r="D1913" s="0" t="s">
        <v>5057</v>
      </c>
      <c r="E1913" s="0" t="s">
        <v>5058</v>
      </c>
      <c r="F1913" s="0" t="s">
        <v>5058</v>
      </c>
      <c r="G1913" s="0" t="s">
        <v>4100</v>
      </c>
      <c r="H1913" s="0" t="s">
        <v>4101</v>
      </c>
      <c r="I1913" s="0" t="s">
        <v>9747</v>
      </c>
      <c r="J1913" s="0" t="s">
        <v>9748</v>
      </c>
      <c r="K1913" s="444" t="s">
        <v>8247</v>
      </c>
    </row>
    <row r="1914" customFormat="false" ht="12.8" hidden="false" customHeight="false" outlineLevel="0" collapsed="false">
      <c r="A1914" s="0" t="s">
        <v>9751</v>
      </c>
      <c r="B1914" s="0" t="s">
        <v>9752</v>
      </c>
      <c r="C1914" s="0" t="s">
        <v>373</v>
      </c>
      <c r="D1914" s="0" t="s">
        <v>5061</v>
      </c>
      <c r="E1914" s="0" t="s">
        <v>5062</v>
      </c>
      <c r="F1914" s="0" t="s">
        <v>5062</v>
      </c>
      <c r="G1914" s="0" t="s">
        <v>2515</v>
      </c>
      <c r="H1914" s="0" t="s">
        <v>3002</v>
      </c>
      <c r="I1914" s="0" t="s">
        <v>9753</v>
      </c>
      <c r="J1914" s="0" t="s">
        <v>9754</v>
      </c>
      <c r="K1914" s="444" t="s">
        <v>8490</v>
      </c>
    </row>
    <row r="1915" customFormat="false" ht="12.8" hidden="false" customHeight="false" outlineLevel="0" collapsed="false">
      <c r="A1915" s="0" t="s">
        <v>9755</v>
      </c>
      <c r="B1915" s="0" t="s">
        <v>9756</v>
      </c>
      <c r="C1915" s="0" t="s">
        <v>373</v>
      </c>
      <c r="D1915" s="0" t="s">
        <v>5057</v>
      </c>
      <c r="E1915" s="0" t="s">
        <v>5058</v>
      </c>
      <c r="F1915" s="0" t="s">
        <v>5058</v>
      </c>
      <c r="G1915" s="0" t="s">
        <v>2515</v>
      </c>
      <c r="H1915" s="0" t="s">
        <v>3002</v>
      </c>
      <c r="I1915" s="0" t="s">
        <v>9753</v>
      </c>
      <c r="J1915" s="0" t="s">
        <v>9754</v>
      </c>
      <c r="K1915" s="444" t="s">
        <v>8490</v>
      </c>
    </row>
    <row r="1916" customFormat="false" ht="12.8" hidden="false" customHeight="false" outlineLevel="0" collapsed="false">
      <c r="A1916" s="0" t="s">
        <v>9757</v>
      </c>
      <c r="B1916" s="0" t="s">
        <v>9758</v>
      </c>
      <c r="C1916" s="0" t="s">
        <v>373</v>
      </c>
      <c r="D1916" s="0" t="s">
        <v>5023</v>
      </c>
      <c r="E1916" s="0" t="s">
        <v>5024</v>
      </c>
      <c r="F1916" s="0" t="s">
        <v>5024</v>
      </c>
      <c r="G1916" s="0" t="s">
        <v>2515</v>
      </c>
      <c r="H1916" s="0" t="s">
        <v>3002</v>
      </c>
      <c r="I1916" s="0" t="s">
        <v>9753</v>
      </c>
      <c r="J1916" s="0" t="s">
        <v>9754</v>
      </c>
      <c r="K1916" s="444" t="s">
        <v>8490</v>
      </c>
    </row>
    <row r="1917" customFormat="false" ht="12.8" hidden="false" customHeight="false" outlineLevel="0" collapsed="false">
      <c r="A1917" s="0" t="s">
        <v>9759</v>
      </c>
      <c r="B1917" s="0" t="s">
        <v>9760</v>
      </c>
      <c r="C1917" s="0" t="s">
        <v>373</v>
      </c>
      <c r="D1917" s="0" t="s">
        <v>5023</v>
      </c>
      <c r="E1917" s="0" t="s">
        <v>5024</v>
      </c>
      <c r="F1917" s="0" t="s">
        <v>5024</v>
      </c>
      <c r="G1917" s="0" t="s">
        <v>2515</v>
      </c>
      <c r="H1917" s="0" t="s">
        <v>3002</v>
      </c>
      <c r="I1917" s="0" t="s">
        <v>9753</v>
      </c>
      <c r="J1917" s="0" t="s">
        <v>9754</v>
      </c>
      <c r="K1917" s="444" t="s">
        <v>8490</v>
      </c>
    </row>
    <row r="1918" customFormat="false" ht="12.8" hidden="false" customHeight="false" outlineLevel="0" collapsed="false">
      <c r="A1918" s="0" t="s">
        <v>9761</v>
      </c>
      <c r="B1918" s="0" t="s">
        <v>9762</v>
      </c>
      <c r="C1918" s="0" t="s">
        <v>373</v>
      </c>
      <c r="D1918" s="0" t="s">
        <v>5023</v>
      </c>
      <c r="E1918" s="0" t="s">
        <v>5024</v>
      </c>
      <c r="F1918" s="0" t="s">
        <v>5024</v>
      </c>
      <c r="G1918" s="0" t="s">
        <v>2515</v>
      </c>
      <c r="H1918" s="0" t="s">
        <v>3002</v>
      </c>
      <c r="I1918" s="0" t="s">
        <v>9753</v>
      </c>
      <c r="J1918" s="0" t="s">
        <v>9754</v>
      </c>
      <c r="K1918" s="444" t="s">
        <v>8490</v>
      </c>
    </row>
    <row r="1919" customFormat="false" ht="12.8" hidden="false" customHeight="false" outlineLevel="0" collapsed="false">
      <c r="A1919" s="0" t="s">
        <v>9763</v>
      </c>
      <c r="B1919" s="0" t="s">
        <v>9764</v>
      </c>
      <c r="C1919" s="0" t="s">
        <v>373</v>
      </c>
      <c r="D1919" s="0" t="s">
        <v>5023</v>
      </c>
      <c r="E1919" s="0" t="s">
        <v>5024</v>
      </c>
      <c r="F1919" s="0" t="s">
        <v>5024</v>
      </c>
      <c r="G1919" s="0" t="s">
        <v>2515</v>
      </c>
      <c r="H1919" s="0" t="s">
        <v>3002</v>
      </c>
      <c r="I1919" s="0" t="s">
        <v>9753</v>
      </c>
      <c r="J1919" s="0" t="s">
        <v>9754</v>
      </c>
      <c r="K1919" s="444" t="s">
        <v>8490</v>
      </c>
    </row>
    <row r="1920" customFormat="false" ht="12.8" hidden="false" customHeight="false" outlineLevel="0" collapsed="false">
      <c r="A1920" s="0" t="s">
        <v>9765</v>
      </c>
      <c r="B1920" s="0" t="s">
        <v>9766</v>
      </c>
      <c r="C1920" s="0" t="s">
        <v>373</v>
      </c>
      <c r="D1920" s="0" t="s">
        <v>5023</v>
      </c>
      <c r="E1920" s="0" t="s">
        <v>5024</v>
      </c>
      <c r="F1920" s="0" t="s">
        <v>5024</v>
      </c>
      <c r="G1920" s="0" t="s">
        <v>2515</v>
      </c>
      <c r="H1920" s="0" t="s">
        <v>3002</v>
      </c>
      <c r="I1920" s="0" t="s">
        <v>9753</v>
      </c>
      <c r="J1920" s="0" t="s">
        <v>9754</v>
      </c>
      <c r="K1920" s="444" t="s">
        <v>8490</v>
      </c>
    </row>
    <row r="1921" customFormat="false" ht="12.8" hidden="false" customHeight="false" outlineLevel="0" collapsed="false">
      <c r="A1921" s="0" t="s">
        <v>9767</v>
      </c>
      <c r="B1921" s="0" t="s">
        <v>9768</v>
      </c>
      <c r="C1921" s="0" t="s">
        <v>373</v>
      </c>
      <c r="D1921" s="0" t="s">
        <v>5023</v>
      </c>
      <c r="E1921" s="0" t="s">
        <v>5024</v>
      </c>
      <c r="F1921" s="0" t="s">
        <v>5024</v>
      </c>
      <c r="G1921" s="0" t="s">
        <v>2515</v>
      </c>
      <c r="H1921" s="0" t="s">
        <v>3002</v>
      </c>
      <c r="I1921" s="0" t="s">
        <v>9753</v>
      </c>
      <c r="J1921" s="0" t="s">
        <v>9754</v>
      </c>
      <c r="K1921" s="444" t="s">
        <v>8490</v>
      </c>
    </row>
    <row r="1922" customFormat="false" ht="12.8" hidden="false" customHeight="false" outlineLevel="0" collapsed="false">
      <c r="A1922" s="0" t="s">
        <v>9769</v>
      </c>
      <c r="B1922" s="0" t="s">
        <v>9770</v>
      </c>
      <c r="C1922" s="0" t="s">
        <v>373</v>
      </c>
      <c r="D1922" s="0" t="s">
        <v>5023</v>
      </c>
      <c r="E1922" s="0" t="s">
        <v>5024</v>
      </c>
      <c r="F1922" s="0" t="s">
        <v>5024</v>
      </c>
      <c r="G1922" s="0" t="s">
        <v>2515</v>
      </c>
      <c r="H1922" s="0" t="s">
        <v>3002</v>
      </c>
      <c r="I1922" s="0" t="s">
        <v>9753</v>
      </c>
      <c r="J1922" s="0" t="s">
        <v>9754</v>
      </c>
      <c r="K1922" s="444" t="s">
        <v>8490</v>
      </c>
    </row>
    <row r="1923" customFormat="false" ht="12.8" hidden="false" customHeight="false" outlineLevel="0" collapsed="false">
      <c r="A1923" s="0" t="s">
        <v>9771</v>
      </c>
      <c r="B1923" s="0" t="s">
        <v>9772</v>
      </c>
      <c r="C1923" s="0" t="s">
        <v>373</v>
      </c>
      <c r="D1923" s="0" t="s">
        <v>5023</v>
      </c>
      <c r="E1923" s="0" t="s">
        <v>5024</v>
      </c>
      <c r="F1923" s="0" t="s">
        <v>5024</v>
      </c>
      <c r="G1923" s="0" t="s">
        <v>2515</v>
      </c>
      <c r="H1923" s="0" t="s">
        <v>3002</v>
      </c>
      <c r="I1923" s="0" t="s">
        <v>9753</v>
      </c>
      <c r="J1923" s="0" t="s">
        <v>9754</v>
      </c>
      <c r="K1923" s="444" t="s">
        <v>8490</v>
      </c>
    </row>
    <row r="1924" customFormat="false" ht="12.8" hidden="false" customHeight="false" outlineLevel="0" collapsed="false">
      <c r="A1924" s="0" t="s">
        <v>9773</v>
      </c>
      <c r="B1924" s="0" t="s">
        <v>9774</v>
      </c>
      <c r="C1924" s="0" t="s">
        <v>373</v>
      </c>
      <c r="D1924" s="0" t="s">
        <v>5023</v>
      </c>
      <c r="E1924" s="0" t="s">
        <v>5024</v>
      </c>
      <c r="F1924" s="0" t="s">
        <v>5024</v>
      </c>
      <c r="G1924" s="0" t="s">
        <v>2515</v>
      </c>
      <c r="H1924" s="0" t="s">
        <v>3002</v>
      </c>
      <c r="I1924" s="0" t="s">
        <v>9753</v>
      </c>
      <c r="J1924" s="0" t="s">
        <v>9754</v>
      </c>
      <c r="K1924" s="444" t="s">
        <v>8490</v>
      </c>
    </row>
    <row r="1925" customFormat="false" ht="12.8" hidden="false" customHeight="false" outlineLevel="0" collapsed="false">
      <c r="A1925" s="0" t="s">
        <v>9775</v>
      </c>
      <c r="B1925" s="0" t="s">
        <v>9776</v>
      </c>
      <c r="C1925" s="0" t="s">
        <v>373</v>
      </c>
      <c r="D1925" s="0" t="s">
        <v>5023</v>
      </c>
      <c r="E1925" s="0" t="s">
        <v>5024</v>
      </c>
      <c r="F1925" s="0" t="s">
        <v>5024</v>
      </c>
      <c r="G1925" s="0" t="s">
        <v>2515</v>
      </c>
      <c r="H1925" s="0" t="s">
        <v>3002</v>
      </c>
      <c r="I1925" s="0" t="s">
        <v>9753</v>
      </c>
      <c r="J1925" s="0" t="s">
        <v>9754</v>
      </c>
      <c r="K1925" s="444" t="s">
        <v>8490</v>
      </c>
    </row>
    <row r="1926" customFormat="false" ht="12.8" hidden="false" customHeight="false" outlineLevel="0" collapsed="false">
      <c r="A1926" s="0" t="s">
        <v>9777</v>
      </c>
      <c r="B1926" s="0" t="s">
        <v>9778</v>
      </c>
      <c r="C1926" s="0" t="s">
        <v>262</v>
      </c>
      <c r="D1926" s="0" t="s">
        <v>5023</v>
      </c>
      <c r="E1926" s="0" t="s">
        <v>5024</v>
      </c>
      <c r="F1926" s="0" t="s">
        <v>5024</v>
      </c>
      <c r="G1926" s="0" t="s">
        <v>3278</v>
      </c>
      <c r="H1926" s="0" t="s">
        <v>3279</v>
      </c>
      <c r="I1926" s="0" t="s">
        <v>9779</v>
      </c>
      <c r="J1926" s="0" t="s">
        <v>9780</v>
      </c>
      <c r="K1926" s="0" t="s">
        <v>7993</v>
      </c>
    </row>
    <row r="1927" customFormat="false" ht="12.8" hidden="false" customHeight="false" outlineLevel="0" collapsed="false">
      <c r="A1927" s="0" t="s">
        <v>9781</v>
      </c>
      <c r="B1927" s="0" t="s">
        <v>9782</v>
      </c>
      <c r="C1927" s="0" t="s">
        <v>262</v>
      </c>
      <c r="D1927" s="0" t="s">
        <v>5061</v>
      </c>
      <c r="E1927" s="0" t="s">
        <v>5062</v>
      </c>
      <c r="F1927" s="0" t="s">
        <v>5062</v>
      </c>
      <c r="G1927" s="0" t="s">
        <v>3278</v>
      </c>
      <c r="H1927" s="0" t="s">
        <v>3279</v>
      </c>
      <c r="I1927" s="0" t="s">
        <v>9779</v>
      </c>
      <c r="J1927" s="0" t="s">
        <v>9780</v>
      </c>
      <c r="K1927" s="0" t="s">
        <v>7993</v>
      </c>
    </row>
    <row r="1928" customFormat="false" ht="12.8" hidden="false" customHeight="false" outlineLevel="0" collapsed="false">
      <c r="A1928" s="0" t="s">
        <v>9783</v>
      </c>
      <c r="B1928" s="0" t="s">
        <v>9784</v>
      </c>
      <c r="C1928" s="0" t="s">
        <v>262</v>
      </c>
      <c r="D1928" s="0" t="s">
        <v>5023</v>
      </c>
      <c r="E1928" s="0" t="s">
        <v>5024</v>
      </c>
      <c r="F1928" s="0" t="s">
        <v>5024</v>
      </c>
      <c r="G1928" s="0" t="s">
        <v>3278</v>
      </c>
      <c r="H1928" s="0" t="s">
        <v>3279</v>
      </c>
      <c r="I1928" s="0" t="s">
        <v>9779</v>
      </c>
      <c r="J1928" s="0" t="s">
        <v>9780</v>
      </c>
      <c r="K1928" s="0" t="s">
        <v>7993</v>
      </c>
    </row>
    <row r="1929" customFormat="false" ht="12.8" hidden="false" customHeight="false" outlineLevel="0" collapsed="false">
      <c r="A1929" s="0" t="s">
        <v>9785</v>
      </c>
      <c r="B1929" s="0" t="s">
        <v>9786</v>
      </c>
      <c r="C1929" s="0" t="s">
        <v>14</v>
      </c>
      <c r="D1929" s="0" t="s">
        <v>5057</v>
      </c>
      <c r="E1929" s="0" t="s">
        <v>5058</v>
      </c>
      <c r="F1929" s="0" t="s">
        <v>5058</v>
      </c>
      <c r="G1929" s="0" t="s">
        <v>4100</v>
      </c>
      <c r="H1929" s="0" t="s">
        <v>4354</v>
      </c>
      <c r="I1929" s="0" t="s">
        <v>9787</v>
      </c>
      <c r="J1929" s="0" t="s">
        <v>9788</v>
      </c>
      <c r="K1929" s="0" t="s">
        <v>7993</v>
      </c>
    </row>
    <row r="1930" customFormat="false" ht="12.8" hidden="false" customHeight="false" outlineLevel="0" collapsed="false">
      <c r="A1930" s="0" t="s">
        <v>9789</v>
      </c>
      <c r="B1930" s="0" t="s">
        <v>9790</v>
      </c>
      <c r="C1930" s="0" t="s">
        <v>310</v>
      </c>
      <c r="D1930" s="0" t="s">
        <v>5057</v>
      </c>
      <c r="E1930" s="0" t="s">
        <v>5058</v>
      </c>
      <c r="F1930" s="0" t="s">
        <v>5058</v>
      </c>
      <c r="G1930" s="0" t="s">
        <v>2515</v>
      </c>
      <c r="H1930" s="0" t="s">
        <v>2645</v>
      </c>
      <c r="I1930" s="0" t="s">
        <v>9791</v>
      </c>
      <c r="J1930" s="0" t="s">
        <v>9792</v>
      </c>
      <c r="K1930" s="444" t="s">
        <v>9696</v>
      </c>
    </row>
    <row r="1931" customFormat="false" ht="12.8" hidden="false" customHeight="false" outlineLevel="0" collapsed="false">
      <c r="A1931" s="0" t="s">
        <v>9793</v>
      </c>
      <c r="B1931" s="0" t="s">
        <v>9794</v>
      </c>
      <c r="C1931" s="0" t="s">
        <v>72</v>
      </c>
      <c r="D1931" s="0" t="s">
        <v>5023</v>
      </c>
      <c r="E1931" s="0" t="s">
        <v>5024</v>
      </c>
      <c r="F1931" s="0" t="s">
        <v>5024</v>
      </c>
      <c r="G1931" s="0" t="s">
        <v>3278</v>
      </c>
      <c r="H1931" s="0" t="s">
        <v>3434</v>
      </c>
      <c r="I1931" s="0" t="s">
        <v>9795</v>
      </c>
      <c r="J1931" s="0" t="s">
        <v>9796</v>
      </c>
      <c r="K1931" s="0" t="s">
        <v>7993</v>
      </c>
    </row>
    <row r="1932" customFormat="false" ht="12.8" hidden="false" customHeight="false" outlineLevel="0" collapsed="false">
      <c r="A1932" s="0" t="s">
        <v>9797</v>
      </c>
      <c r="B1932" s="0" t="s">
        <v>9798</v>
      </c>
      <c r="C1932" s="0" t="s">
        <v>72</v>
      </c>
      <c r="D1932" s="0" t="s">
        <v>5023</v>
      </c>
      <c r="E1932" s="0" t="s">
        <v>5024</v>
      </c>
      <c r="F1932" s="0" t="s">
        <v>5024</v>
      </c>
      <c r="G1932" s="0" t="s">
        <v>3278</v>
      </c>
      <c r="H1932" s="0" t="s">
        <v>3434</v>
      </c>
      <c r="I1932" s="0" t="s">
        <v>9795</v>
      </c>
      <c r="J1932" s="0" t="s">
        <v>9796</v>
      </c>
      <c r="K1932" s="0" t="s">
        <v>7993</v>
      </c>
    </row>
    <row r="1933" customFormat="false" ht="12.8" hidden="false" customHeight="false" outlineLevel="0" collapsed="false">
      <c r="A1933" s="0" t="s">
        <v>9799</v>
      </c>
      <c r="B1933" s="0" t="s">
        <v>9800</v>
      </c>
      <c r="C1933" s="0" t="s">
        <v>177</v>
      </c>
      <c r="D1933" s="0" t="s">
        <v>5057</v>
      </c>
      <c r="E1933" s="0" t="s">
        <v>5058</v>
      </c>
      <c r="F1933" s="0" t="s">
        <v>5058</v>
      </c>
      <c r="G1933" s="0" t="s">
        <v>4100</v>
      </c>
      <c r="H1933" s="0" t="s">
        <v>4780</v>
      </c>
      <c r="I1933" s="0" t="s">
        <v>9801</v>
      </c>
      <c r="J1933" s="0" t="s">
        <v>9802</v>
      </c>
      <c r="K1933" s="444" t="s">
        <v>8146</v>
      </c>
    </row>
    <row r="1934" customFormat="false" ht="12.8" hidden="false" customHeight="false" outlineLevel="0" collapsed="false">
      <c r="A1934" s="0" t="s">
        <v>9803</v>
      </c>
      <c r="B1934" s="0" t="s">
        <v>9804</v>
      </c>
      <c r="C1934" s="0" t="s">
        <v>26</v>
      </c>
      <c r="D1934" s="0" t="s">
        <v>5023</v>
      </c>
      <c r="E1934" s="0" t="s">
        <v>5024</v>
      </c>
      <c r="F1934" s="0" t="s">
        <v>5024</v>
      </c>
      <c r="G1934" s="0" t="s">
        <v>3278</v>
      </c>
      <c r="H1934" s="0" t="s">
        <v>3434</v>
      </c>
      <c r="I1934" s="0" t="s">
        <v>9805</v>
      </c>
      <c r="J1934" s="0" t="s">
        <v>9806</v>
      </c>
      <c r="K1934" s="0" t="s">
        <v>7993</v>
      </c>
    </row>
    <row r="1935" customFormat="false" ht="12.8" hidden="false" customHeight="false" outlineLevel="0" collapsed="false">
      <c r="A1935" s="0" t="s">
        <v>9807</v>
      </c>
      <c r="B1935" s="0" t="s">
        <v>9808</v>
      </c>
      <c r="C1935" s="0" t="s">
        <v>26</v>
      </c>
      <c r="D1935" s="0" t="s">
        <v>5023</v>
      </c>
      <c r="E1935" s="0" t="s">
        <v>5024</v>
      </c>
      <c r="F1935" s="0" t="s">
        <v>5024</v>
      </c>
      <c r="G1935" s="0" t="s">
        <v>3278</v>
      </c>
      <c r="H1935" s="0" t="s">
        <v>3434</v>
      </c>
      <c r="I1935" s="0" t="s">
        <v>9805</v>
      </c>
      <c r="J1935" s="0" t="s">
        <v>9806</v>
      </c>
      <c r="K1935" s="0" t="s">
        <v>7993</v>
      </c>
    </row>
    <row r="1936" customFormat="false" ht="12.8" hidden="false" customHeight="false" outlineLevel="0" collapsed="false">
      <c r="A1936" s="0" t="s">
        <v>9809</v>
      </c>
      <c r="B1936" s="0" t="s">
        <v>9810</v>
      </c>
      <c r="C1936" s="0" t="s">
        <v>26</v>
      </c>
      <c r="D1936" s="0" t="s">
        <v>5023</v>
      </c>
      <c r="E1936" s="0" t="s">
        <v>5024</v>
      </c>
      <c r="F1936" s="0" t="s">
        <v>5024</v>
      </c>
      <c r="G1936" s="0" t="s">
        <v>3278</v>
      </c>
      <c r="H1936" s="0" t="s">
        <v>3434</v>
      </c>
      <c r="I1936" s="0" t="s">
        <v>9805</v>
      </c>
      <c r="J1936" s="0" t="s">
        <v>9806</v>
      </c>
      <c r="K1936" s="0" t="s">
        <v>7993</v>
      </c>
    </row>
    <row r="1937" customFormat="false" ht="12.8" hidden="false" customHeight="false" outlineLevel="0" collapsed="false">
      <c r="A1937" s="0" t="s">
        <v>9811</v>
      </c>
      <c r="B1937" s="0" t="s">
        <v>9812</v>
      </c>
      <c r="C1937" s="0" t="s">
        <v>134</v>
      </c>
      <c r="D1937" s="0" t="s">
        <v>5057</v>
      </c>
      <c r="E1937" s="0" t="s">
        <v>5058</v>
      </c>
      <c r="F1937" s="0" t="s">
        <v>5058</v>
      </c>
      <c r="G1937" s="0" t="s">
        <v>4100</v>
      </c>
      <c r="H1937" s="0" t="s">
        <v>4780</v>
      </c>
      <c r="I1937" s="0" t="s">
        <v>9813</v>
      </c>
      <c r="J1937" s="0" t="s">
        <v>9814</v>
      </c>
      <c r="K1937" s="444" t="s">
        <v>8146</v>
      </c>
    </row>
    <row r="1938" customFormat="false" ht="12.8" hidden="false" customHeight="false" outlineLevel="0" collapsed="false">
      <c r="A1938" s="0" t="s">
        <v>9815</v>
      </c>
      <c r="B1938" s="0" t="s">
        <v>9816</v>
      </c>
      <c r="C1938" s="0" t="s">
        <v>142</v>
      </c>
      <c r="D1938" s="0" t="s">
        <v>5057</v>
      </c>
      <c r="E1938" s="0" t="s">
        <v>5058</v>
      </c>
      <c r="F1938" s="0" t="s">
        <v>5058</v>
      </c>
      <c r="G1938" s="0" t="s">
        <v>4100</v>
      </c>
      <c r="H1938" s="0" t="s">
        <v>4101</v>
      </c>
      <c r="I1938" s="0" t="s">
        <v>9817</v>
      </c>
      <c r="J1938" s="0" t="s">
        <v>9818</v>
      </c>
      <c r="K1938" s="0" t="s">
        <v>7993</v>
      </c>
    </row>
    <row r="1939" customFormat="false" ht="12.8" hidden="false" customHeight="false" outlineLevel="0" collapsed="false">
      <c r="A1939" s="0" t="s">
        <v>9819</v>
      </c>
      <c r="B1939" s="0" t="s">
        <v>9820</v>
      </c>
      <c r="C1939" s="0" t="s">
        <v>261</v>
      </c>
      <c r="D1939" s="0" t="s">
        <v>5023</v>
      </c>
      <c r="E1939" s="0" t="s">
        <v>5024</v>
      </c>
      <c r="F1939" s="0" t="s">
        <v>5024</v>
      </c>
      <c r="G1939" s="0" t="s">
        <v>2515</v>
      </c>
      <c r="H1939" s="0" t="s">
        <v>3144</v>
      </c>
      <c r="I1939" s="0" t="s">
        <v>9821</v>
      </c>
      <c r="J1939" s="0" t="s">
        <v>9822</v>
      </c>
      <c r="K1939" s="444" t="s">
        <v>8490</v>
      </c>
    </row>
    <row r="1940" customFormat="false" ht="12.8" hidden="false" customHeight="false" outlineLevel="0" collapsed="false">
      <c r="A1940" s="0" t="s">
        <v>9823</v>
      </c>
      <c r="B1940" s="0" t="s">
        <v>9824</v>
      </c>
      <c r="C1940" s="0" t="s">
        <v>261</v>
      </c>
      <c r="D1940" s="0" t="s">
        <v>5023</v>
      </c>
      <c r="E1940" s="0" t="s">
        <v>5024</v>
      </c>
      <c r="F1940" s="0" t="s">
        <v>5024</v>
      </c>
      <c r="G1940" s="0" t="s">
        <v>2515</v>
      </c>
      <c r="H1940" s="0" t="s">
        <v>3144</v>
      </c>
      <c r="I1940" s="0" t="s">
        <v>9821</v>
      </c>
      <c r="J1940" s="0" t="s">
        <v>9822</v>
      </c>
      <c r="K1940" s="444" t="s">
        <v>8490</v>
      </c>
    </row>
    <row r="1941" customFormat="false" ht="12.8" hidden="false" customHeight="false" outlineLevel="0" collapsed="false">
      <c r="A1941" s="0" t="s">
        <v>9825</v>
      </c>
      <c r="B1941" s="0" t="s">
        <v>9826</v>
      </c>
      <c r="C1941" s="0" t="s">
        <v>261</v>
      </c>
      <c r="D1941" s="0" t="s">
        <v>5023</v>
      </c>
      <c r="E1941" s="0" t="s">
        <v>5024</v>
      </c>
      <c r="F1941" s="0" t="s">
        <v>5024</v>
      </c>
      <c r="G1941" s="0" t="s">
        <v>2515</v>
      </c>
      <c r="H1941" s="0" t="s">
        <v>3144</v>
      </c>
      <c r="I1941" s="0" t="s">
        <v>9821</v>
      </c>
      <c r="J1941" s="0" t="s">
        <v>9822</v>
      </c>
      <c r="K1941" s="444" t="s">
        <v>8490</v>
      </c>
    </row>
    <row r="1942" customFormat="false" ht="12.8" hidden="false" customHeight="false" outlineLevel="0" collapsed="false">
      <c r="A1942" s="0" t="s">
        <v>9827</v>
      </c>
      <c r="B1942" s="0" t="s">
        <v>9828</v>
      </c>
      <c r="C1942" s="0" t="s">
        <v>261</v>
      </c>
      <c r="D1942" s="0" t="s">
        <v>5023</v>
      </c>
      <c r="E1942" s="0" t="s">
        <v>5024</v>
      </c>
      <c r="F1942" s="0" t="s">
        <v>5024</v>
      </c>
      <c r="G1942" s="0" t="s">
        <v>2515</v>
      </c>
      <c r="H1942" s="0" t="s">
        <v>3144</v>
      </c>
      <c r="I1942" s="0" t="s">
        <v>9821</v>
      </c>
      <c r="J1942" s="0" t="s">
        <v>9822</v>
      </c>
      <c r="K1942" s="444" t="s">
        <v>8490</v>
      </c>
    </row>
    <row r="1943" customFormat="false" ht="12.8" hidden="false" customHeight="false" outlineLevel="0" collapsed="false">
      <c r="A1943" s="0" t="s">
        <v>9829</v>
      </c>
      <c r="B1943" s="0" t="s">
        <v>9830</v>
      </c>
      <c r="C1943" s="0" t="s">
        <v>261</v>
      </c>
      <c r="D1943" s="0" t="s">
        <v>5023</v>
      </c>
      <c r="E1943" s="0" t="s">
        <v>5024</v>
      </c>
      <c r="F1943" s="0" t="s">
        <v>5024</v>
      </c>
      <c r="G1943" s="0" t="s">
        <v>2515</v>
      </c>
      <c r="H1943" s="0" t="s">
        <v>3144</v>
      </c>
      <c r="I1943" s="0" t="s">
        <v>9821</v>
      </c>
      <c r="J1943" s="0" t="s">
        <v>9822</v>
      </c>
      <c r="K1943" s="444" t="s">
        <v>8490</v>
      </c>
    </row>
    <row r="1944" customFormat="false" ht="12.8" hidden="false" customHeight="false" outlineLevel="0" collapsed="false">
      <c r="A1944" s="0" t="s">
        <v>9831</v>
      </c>
      <c r="B1944" s="0" t="s">
        <v>9832</v>
      </c>
      <c r="C1944" s="0" t="s">
        <v>261</v>
      </c>
      <c r="D1944" s="0" t="s">
        <v>5023</v>
      </c>
      <c r="E1944" s="0" t="s">
        <v>5024</v>
      </c>
      <c r="F1944" s="0" t="s">
        <v>5024</v>
      </c>
      <c r="G1944" s="0" t="s">
        <v>2515</v>
      </c>
      <c r="H1944" s="0" t="s">
        <v>3144</v>
      </c>
      <c r="I1944" s="0" t="s">
        <v>9821</v>
      </c>
      <c r="J1944" s="0" t="s">
        <v>9822</v>
      </c>
      <c r="K1944" s="444" t="s">
        <v>8490</v>
      </c>
    </row>
    <row r="1945" customFormat="false" ht="12.8" hidden="false" customHeight="false" outlineLevel="0" collapsed="false">
      <c r="A1945" s="0" t="s">
        <v>9833</v>
      </c>
      <c r="B1945" s="0" t="s">
        <v>9834</v>
      </c>
      <c r="C1945" s="0" t="s">
        <v>261</v>
      </c>
      <c r="D1945" s="0" t="s">
        <v>5023</v>
      </c>
      <c r="E1945" s="0" t="s">
        <v>5024</v>
      </c>
      <c r="F1945" s="0" t="s">
        <v>5024</v>
      </c>
      <c r="G1945" s="0" t="s">
        <v>2515</v>
      </c>
      <c r="H1945" s="0" t="s">
        <v>3144</v>
      </c>
      <c r="I1945" s="0" t="s">
        <v>9821</v>
      </c>
      <c r="J1945" s="0" t="s">
        <v>9822</v>
      </c>
      <c r="K1945" s="444" t="s">
        <v>8490</v>
      </c>
    </row>
    <row r="1946" customFormat="false" ht="12.8" hidden="false" customHeight="false" outlineLevel="0" collapsed="false">
      <c r="A1946" s="0" t="s">
        <v>9835</v>
      </c>
      <c r="B1946" s="0" t="s">
        <v>9836</v>
      </c>
      <c r="C1946" s="0" t="s">
        <v>261</v>
      </c>
      <c r="D1946" s="0" t="s">
        <v>5023</v>
      </c>
      <c r="E1946" s="0" t="s">
        <v>5024</v>
      </c>
      <c r="F1946" s="0" t="s">
        <v>5024</v>
      </c>
      <c r="G1946" s="0" t="s">
        <v>2515</v>
      </c>
      <c r="H1946" s="0" t="s">
        <v>3144</v>
      </c>
      <c r="I1946" s="0" t="s">
        <v>9821</v>
      </c>
      <c r="J1946" s="0" t="s">
        <v>9822</v>
      </c>
      <c r="K1946" s="444" t="s">
        <v>8490</v>
      </c>
    </row>
    <row r="1947" customFormat="false" ht="12.8" hidden="false" customHeight="false" outlineLevel="0" collapsed="false">
      <c r="A1947" s="0" t="s">
        <v>9837</v>
      </c>
      <c r="B1947" s="0" t="s">
        <v>9838</v>
      </c>
      <c r="C1947" s="0" t="s">
        <v>261</v>
      </c>
      <c r="D1947" s="0" t="s">
        <v>5023</v>
      </c>
      <c r="E1947" s="0" t="s">
        <v>5024</v>
      </c>
      <c r="F1947" s="0" t="s">
        <v>5024</v>
      </c>
      <c r="G1947" s="0" t="s">
        <v>2515</v>
      </c>
      <c r="H1947" s="0" t="s">
        <v>3144</v>
      </c>
      <c r="I1947" s="0" t="s">
        <v>9821</v>
      </c>
      <c r="J1947" s="0" t="s">
        <v>9822</v>
      </c>
      <c r="K1947" s="444" t="s">
        <v>8490</v>
      </c>
    </row>
    <row r="1948" customFormat="false" ht="12.8" hidden="false" customHeight="false" outlineLevel="0" collapsed="false">
      <c r="A1948" s="0" t="s">
        <v>9839</v>
      </c>
      <c r="B1948" s="0" t="s">
        <v>9840</v>
      </c>
      <c r="C1948" s="0" t="s">
        <v>261</v>
      </c>
      <c r="D1948" s="0" t="s">
        <v>5023</v>
      </c>
      <c r="E1948" s="0" t="s">
        <v>5024</v>
      </c>
      <c r="F1948" s="0" t="s">
        <v>5024</v>
      </c>
      <c r="G1948" s="0" t="s">
        <v>2515</v>
      </c>
      <c r="H1948" s="0" t="s">
        <v>3144</v>
      </c>
      <c r="I1948" s="0" t="s">
        <v>9821</v>
      </c>
      <c r="J1948" s="0" t="s">
        <v>9822</v>
      </c>
      <c r="K1948" s="444" t="s">
        <v>8490</v>
      </c>
    </row>
    <row r="1949" customFormat="false" ht="12.8" hidden="false" customHeight="false" outlineLevel="0" collapsed="false">
      <c r="A1949" s="0" t="s">
        <v>9841</v>
      </c>
      <c r="B1949" s="0" t="s">
        <v>9842</v>
      </c>
      <c r="C1949" s="0" t="s">
        <v>261</v>
      </c>
      <c r="D1949" s="0" t="s">
        <v>5057</v>
      </c>
      <c r="E1949" s="0" t="s">
        <v>5058</v>
      </c>
      <c r="F1949" s="0" t="s">
        <v>5058</v>
      </c>
      <c r="G1949" s="0" t="s">
        <v>2515</v>
      </c>
      <c r="H1949" s="0" t="s">
        <v>3144</v>
      </c>
      <c r="I1949" s="0" t="s">
        <v>9821</v>
      </c>
      <c r="J1949" s="0" t="s">
        <v>9822</v>
      </c>
      <c r="K1949" s="444" t="s">
        <v>8490</v>
      </c>
    </row>
    <row r="1950" customFormat="false" ht="12.8" hidden="false" customHeight="false" outlineLevel="0" collapsed="false">
      <c r="A1950" s="0" t="s">
        <v>9843</v>
      </c>
      <c r="B1950" s="0" t="s">
        <v>9844</v>
      </c>
      <c r="C1950" s="0" t="s">
        <v>261</v>
      </c>
      <c r="D1950" s="0" t="s">
        <v>5061</v>
      </c>
      <c r="E1950" s="0" t="s">
        <v>5062</v>
      </c>
      <c r="F1950" s="0" t="s">
        <v>5062</v>
      </c>
      <c r="G1950" s="0" t="s">
        <v>2515</v>
      </c>
      <c r="H1950" s="0" t="s">
        <v>3144</v>
      </c>
      <c r="I1950" s="0" t="s">
        <v>9821</v>
      </c>
      <c r="J1950" s="0" t="s">
        <v>9822</v>
      </c>
      <c r="K1950" s="444" t="s">
        <v>8490</v>
      </c>
    </row>
    <row r="1951" customFormat="false" ht="12.8" hidden="false" customHeight="false" outlineLevel="0" collapsed="false">
      <c r="A1951" s="0" t="s">
        <v>9845</v>
      </c>
      <c r="B1951" s="0" t="s">
        <v>9846</v>
      </c>
      <c r="C1951" s="0" t="s">
        <v>192</v>
      </c>
      <c r="D1951" s="0" t="s">
        <v>5057</v>
      </c>
      <c r="E1951" s="0" t="s">
        <v>5058</v>
      </c>
      <c r="F1951" s="0" t="s">
        <v>5058</v>
      </c>
      <c r="G1951" s="0" t="s">
        <v>2515</v>
      </c>
      <c r="H1951" s="0" t="s">
        <v>2645</v>
      </c>
      <c r="I1951" s="0" t="s">
        <v>9847</v>
      </c>
      <c r="J1951" s="0" t="s">
        <v>9848</v>
      </c>
      <c r="K1951" s="0" t="s">
        <v>7993</v>
      </c>
    </row>
    <row r="1952" customFormat="false" ht="12.8" hidden="false" customHeight="false" outlineLevel="0" collapsed="false">
      <c r="A1952" s="0" t="s">
        <v>9849</v>
      </c>
      <c r="B1952" s="0" t="s">
        <v>9850</v>
      </c>
      <c r="C1952" s="0" t="s">
        <v>339</v>
      </c>
      <c r="D1952" s="0" t="s">
        <v>5023</v>
      </c>
      <c r="E1952" s="0" t="s">
        <v>5024</v>
      </c>
      <c r="F1952" s="0" t="s">
        <v>5024</v>
      </c>
      <c r="G1952" s="0" t="s">
        <v>3278</v>
      </c>
      <c r="H1952" s="0" t="s">
        <v>3741</v>
      </c>
      <c r="I1952" s="0" t="s">
        <v>9851</v>
      </c>
      <c r="J1952" s="0" t="s">
        <v>9852</v>
      </c>
      <c r="K1952" s="0" t="s">
        <v>7993</v>
      </c>
    </row>
    <row r="1953" customFormat="false" ht="12.8" hidden="false" customHeight="false" outlineLevel="0" collapsed="false">
      <c r="A1953" s="0" t="s">
        <v>9853</v>
      </c>
      <c r="B1953" s="0" t="s">
        <v>9854</v>
      </c>
      <c r="C1953" s="0" t="s">
        <v>339</v>
      </c>
      <c r="D1953" s="0" t="s">
        <v>5023</v>
      </c>
      <c r="E1953" s="0" t="s">
        <v>5024</v>
      </c>
      <c r="F1953" s="0" t="s">
        <v>5024</v>
      </c>
      <c r="G1953" s="0" t="s">
        <v>3278</v>
      </c>
      <c r="H1953" s="0" t="s">
        <v>3741</v>
      </c>
      <c r="I1953" s="0" t="s">
        <v>9851</v>
      </c>
      <c r="J1953" s="0" t="s">
        <v>9852</v>
      </c>
      <c r="K1953" s="0" t="s">
        <v>7993</v>
      </c>
    </row>
    <row r="1954" customFormat="false" ht="12.8" hidden="false" customHeight="false" outlineLevel="0" collapsed="false">
      <c r="A1954" s="0" t="s">
        <v>9855</v>
      </c>
      <c r="C1954" s="0" t="s">
        <v>178</v>
      </c>
      <c r="D1954" s="0" t="s">
        <v>5061</v>
      </c>
      <c r="E1954" s="0" t="s">
        <v>5062</v>
      </c>
      <c r="F1954" s="0" t="s">
        <v>5062</v>
      </c>
      <c r="G1954" s="0" t="s">
        <v>3278</v>
      </c>
      <c r="H1954" s="0" t="s">
        <v>3279</v>
      </c>
      <c r="I1954" s="0" t="s">
        <v>9856</v>
      </c>
      <c r="J1954" s="0" t="s">
        <v>9857</v>
      </c>
      <c r="K1954" s="444" t="s">
        <v>8247</v>
      </c>
    </row>
    <row r="1955" customFormat="false" ht="12.8" hidden="false" customHeight="false" outlineLevel="0" collapsed="false">
      <c r="A1955" s="0" t="s">
        <v>9858</v>
      </c>
      <c r="C1955" s="0" t="s">
        <v>178</v>
      </c>
      <c r="D1955" s="0" t="s">
        <v>5057</v>
      </c>
      <c r="E1955" s="0" t="s">
        <v>5058</v>
      </c>
      <c r="F1955" s="0" t="s">
        <v>5058</v>
      </c>
      <c r="G1955" s="0" t="s">
        <v>3278</v>
      </c>
      <c r="H1955" s="0" t="s">
        <v>3279</v>
      </c>
      <c r="I1955" s="0" t="s">
        <v>9856</v>
      </c>
      <c r="J1955" s="0" t="s">
        <v>9857</v>
      </c>
      <c r="K1955" s="444" t="s">
        <v>8247</v>
      </c>
    </row>
    <row r="1956" customFormat="false" ht="12.8" hidden="false" customHeight="false" outlineLevel="0" collapsed="false">
      <c r="A1956" s="0" t="s">
        <v>9859</v>
      </c>
      <c r="C1956" s="0" t="s">
        <v>282</v>
      </c>
      <c r="D1956" s="0" t="s">
        <v>5061</v>
      </c>
      <c r="E1956" s="0" t="s">
        <v>5062</v>
      </c>
      <c r="F1956" s="0" t="s">
        <v>5062</v>
      </c>
      <c r="G1956" s="0" t="s">
        <v>3278</v>
      </c>
      <c r="H1956" s="0" t="s">
        <v>3279</v>
      </c>
      <c r="I1956" s="0" t="s">
        <v>9860</v>
      </c>
      <c r="J1956" s="0" t="s">
        <v>9861</v>
      </c>
      <c r="K1956" s="0" t="s">
        <v>7835</v>
      </c>
    </row>
    <row r="1957" customFormat="false" ht="12.8" hidden="false" customHeight="false" outlineLevel="0" collapsed="false">
      <c r="A1957" s="0" t="s">
        <v>9862</v>
      </c>
      <c r="C1957" s="0" t="s">
        <v>282</v>
      </c>
      <c r="D1957" s="0" t="s">
        <v>5057</v>
      </c>
      <c r="E1957" s="0" t="s">
        <v>5058</v>
      </c>
      <c r="F1957" s="0" t="s">
        <v>5058</v>
      </c>
      <c r="G1957" s="0" t="s">
        <v>3278</v>
      </c>
      <c r="H1957" s="0" t="s">
        <v>3279</v>
      </c>
      <c r="I1957" s="0" t="s">
        <v>9860</v>
      </c>
      <c r="J1957" s="0" t="s">
        <v>9861</v>
      </c>
      <c r="K1957" s="0" t="s">
        <v>7835</v>
      </c>
    </row>
    <row r="1958" customFormat="false" ht="12.8" hidden="false" customHeight="false" outlineLevel="0" collapsed="false">
      <c r="A1958" s="0" t="s">
        <v>9863</v>
      </c>
      <c r="C1958" s="0" t="s">
        <v>262</v>
      </c>
      <c r="D1958" s="0" t="s">
        <v>5023</v>
      </c>
      <c r="E1958" s="0" t="s">
        <v>5024</v>
      </c>
      <c r="F1958" s="0" t="s">
        <v>5024</v>
      </c>
      <c r="G1958" s="0" t="s">
        <v>3278</v>
      </c>
      <c r="H1958" s="0" t="s">
        <v>3279</v>
      </c>
      <c r="I1958" s="0" t="s">
        <v>9779</v>
      </c>
      <c r="J1958" s="0" t="s">
        <v>9780</v>
      </c>
      <c r="K1958" s="0" t="s">
        <v>7993</v>
      </c>
    </row>
    <row r="1959" customFormat="false" ht="12.8" hidden="false" customHeight="false" outlineLevel="0" collapsed="false">
      <c r="A1959" s="0" t="s">
        <v>9864</v>
      </c>
      <c r="C1959" s="0" t="s">
        <v>80</v>
      </c>
      <c r="D1959" s="0" t="s">
        <v>5057</v>
      </c>
      <c r="E1959" s="0" t="s">
        <v>5058</v>
      </c>
      <c r="F1959" s="0" t="s">
        <v>5058</v>
      </c>
      <c r="G1959" s="0" t="s">
        <v>4100</v>
      </c>
      <c r="H1959" s="0" t="s">
        <v>7773</v>
      </c>
      <c r="I1959" s="0" t="s">
        <v>9865</v>
      </c>
      <c r="J1959" s="0" t="s">
        <v>9866</v>
      </c>
      <c r="K1959" s="444" t="s">
        <v>8146</v>
      </c>
    </row>
    <row r="1960" customFormat="false" ht="12.8" hidden="false" customHeight="false" outlineLevel="0" collapsed="false">
      <c r="A1960" s="0" t="s">
        <v>9867</v>
      </c>
      <c r="C1960" s="0" t="s">
        <v>72</v>
      </c>
      <c r="D1960" s="0" t="s">
        <v>5057</v>
      </c>
      <c r="E1960" s="0" t="s">
        <v>5058</v>
      </c>
      <c r="F1960" s="0" t="s">
        <v>5058</v>
      </c>
      <c r="G1960" s="0" t="s">
        <v>3278</v>
      </c>
      <c r="H1960" s="0" t="s">
        <v>3434</v>
      </c>
      <c r="I1960" s="0" t="s">
        <v>9795</v>
      </c>
      <c r="J1960" s="0" t="s">
        <v>9796</v>
      </c>
      <c r="K1960" s="0" t="s">
        <v>7993</v>
      </c>
    </row>
    <row r="1961" customFormat="false" ht="12.8" hidden="false" customHeight="false" outlineLevel="0" collapsed="false">
      <c r="A1961" s="0" t="s">
        <v>9868</v>
      </c>
      <c r="C1961" s="0" t="s">
        <v>141</v>
      </c>
      <c r="D1961" s="0" t="s">
        <v>5057</v>
      </c>
      <c r="E1961" s="0" t="s">
        <v>5058</v>
      </c>
      <c r="F1961" s="0" t="s">
        <v>5058</v>
      </c>
      <c r="G1961" s="0" t="s">
        <v>3278</v>
      </c>
      <c r="H1961" s="0" t="s">
        <v>3434</v>
      </c>
      <c r="I1961" s="0" t="s">
        <v>9683</v>
      </c>
      <c r="J1961" s="0" t="s">
        <v>9684</v>
      </c>
      <c r="K1961" s="0" t="s">
        <v>7993</v>
      </c>
    </row>
    <row r="1962" customFormat="false" ht="12.8" hidden="false" customHeight="false" outlineLevel="0" collapsed="false">
      <c r="A1962" s="0" t="s">
        <v>9869</v>
      </c>
      <c r="C1962" s="0" t="s">
        <v>26</v>
      </c>
      <c r="D1962" s="0" t="s">
        <v>5057</v>
      </c>
      <c r="E1962" s="0" t="s">
        <v>5058</v>
      </c>
      <c r="F1962" s="0" t="s">
        <v>5058</v>
      </c>
      <c r="G1962" s="0" t="s">
        <v>3278</v>
      </c>
      <c r="H1962" s="0" t="s">
        <v>3434</v>
      </c>
      <c r="I1962" s="0" t="s">
        <v>9805</v>
      </c>
      <c r="J1962" s="0" t="s">
        <v>9806</v>
      </c>
      <c r="K1962" s="0" t="s">
        <v>7993</v>
      </c>
    </row>
    <row r="1963" customFormat="false" ht="12.8" hidden="false" customHeight="false" outlineLevel="0" collapsed="false">
      <c r="A1963" s="0" t="s">
        <v>9870</v>
      </c>
      <c r="C1963" s="0" t="s">
        <v>132</v>
      </c>
      <c r="D1963" s="0" t="s">
        <v>5057</v>
      </c>
      <c r="E1963" s="0" t="s">
        <v>5058</v>
      </c>
      <c r="F1963" s="0" t="s">
        <v>5058</v>
      </c>
      <c r="G1963" s="0" t="s">
        <v>3278</v>
      </c>
      <c r="H1963" s="0" t="s">
        <v>3434</v>
      </c>
      <c r="I1963" s="0" t="s">
        <v>9871</v>
      </c>
      <c r="J1963" s="0" t="s">
        <v>9872</v>
      </c>
      <c r="K1963" s="0" t="s">
        <v>7993</v>
      </c>
    </row>
    <row r="1964" customFormat="false" ht="12.8" hidden="false" customHeight="false" outlineLevel="0" collapsed="false">
      <c r="A1964" s="0" t="s">
        <v>9873</v>
      </c>
      <c r="C1964" s="0" t="s">
        <v>319</v>
      </c>
      <c r="D1964" s="0" t="s">
        <v>5057</v>
      </c>
      <c r="E1964" s="0" t="s">
        <v>5058</v>
      </c>
      <c r="F1964" s="0" t="s">
        <v>5058</v>
      </c>
      <c r="G1964" s="0" t="s">
        <v>3278</v>
      </c>
      <c r="H1964" s="0" t="s">
        <v>3434</v>
      </c>
      <c r="I1964" s="0" t="s">
        <v>9874</v>
      </c>
      <c r="J1964" s="0" t="s">
        <v>9875</v>
      </c>
      <c r="K1964" s="0" t="s">
        <v>7993</v>
      </c>
    </row>
    <row r="1965" customFormat="false" ht="12.8" hidden="false" customHeight="false" outlineLevel="0" collapsed="false">
      <c r="A1965" s="0" t="s">
        <v>9876</v>
      </c>
      <c r="C1965" s="0" t="s">
        <v>24</v>
      </c>
      <c r="D1965" s="0" t="s">
        <v>5057</v>
      </c>
      <c r="E1965" s="0" t="s">
        <v>5058</v>
      </c>
      <c r="F1965" s="0" t="s">
        <v>5058</v>
      </c>
      <c r="G1965" s="0" t="s">
        <v>3278</v>
      </c>
      <c r="H1965" s="0" t="s">
        <v>3434</v>
      </c>
      <c r="I1965" s="0" t="s">
        <v>9877</v>
      </c>
      <c r="J1965" s="0" t="s">
        <v>9878</v>
      </c>
      <c r="K1965" s="0" t="s">
        <v>7993</v>
      </c>
    </row>
    <row r="1966" customFormat="false" ht="12.8" hidden="false" customHeight="false" outlineLevel="0" collapsed="false">
      <c r="A1966" s="0" t="s">
        <v>9879</v>
      </c>
      <c r="C1966" s="0" t="s">
        <v>320</v>
      </c>
      <c r="D1966" s="0" t="s">
        <v>5023</v>
      </c>
      <c r="E1966" s="0" t="s">
        <v>5024</v>
      </c>
      <c r="F1966" s="0" t="s">
        <v>5024</v>
      </c>
      <c r="G1966" s="0" t="s">
        <v>3278</v>
      </c>
      <c r="H1966" s="0" t="s">
        <v>3741</v>
      </c>
      <c r="I1966" s="0" t="s">
        <v>8642</v>
      </c>
      <c r="J1966" s="0" t="s">
        <v>8643</v>
      </c>
      <c r="K1966" s="444" t="s">
        <v>8247</v>
      </c>
    </row>
    <row r="1967" customFormat="false" ht="12.8" hidden="false" customHeight="false" outlineLevel="0" collapsed="false">
      <c r="A1967" s="0" t="s">
        <v>9880</v>
      </c>
      <c r="C1967" s="0" t="s">
        <v>320</v>
      </c>
      <c r="D1967" s="0" t="s">
        <v>5023</v>
      </c>
      <c r="E1967" s="0" t="s">
        <v>5024</v>
      </c>
      <c r="F1967" s="0" t="s">
        <v>5024</v>
      </c>
      <c r="G1967" s="0" t="s">
        <v>3278</v>
      </c>
      <c r="H1967" s="0" t="s">
        <v>3741</v>
      </c>
      <c r="I1967" s="0" t="s">
        <v>8642</v>
      </c>
      <c r="J1967" s="0" t="s">
        <v>8643</v>
      </c>
      <c r="K1967" s="444" t="s">
        <v>8247</v>
      </c>
    </row>
    <row r="1968" customFormat="false" ht="12.8" hidden="false" customHeight="false" outlineLevel="0" collapsed="false">
      <c r="A1968" s="0" t="s">
        <v>9881</v>
      </c>
      <c r="C1968" s="0" t="s">
        <v>192</v>
      </c>
      <c r="D1968" s="0" t="s">
        <v>5061</v>
      </c>
      <c r="E1968" s="0" t="s">
        <v>5062</v>
      </c>
      <c r="F1968" s="0" t="s">
        <v>5062</v>
      </c>
      <c r="G1968" s="0" t="s">
        <v>2515</v>
      </c>
      <c r="H1968" s="0" t="s">
        <v>2645</v>
      </c>
      <c r="I1968" s="0" t="s">
        <v>9847</v>
      </c>
      <c r="J1968" s="0" t="s">
        <v>9848</v>
      </c>
      <c r="K1968" s="0" t="s">
        <v>7993</v>
      </c>
    </row>
    <row r="1969" customFormat="false" ht="12.8" hidden="false" customHeight="false" outlineLevel="0" collapsed="false">
      <c r="A1969" s="0" t="s">
        <v>9882</v>
      </c>
      <c r="C1969" s="0" t="s">
        <v>310</v>
      </c>
      <c r="D1969" s="0" t="s">
        <v>5061</v>
      </c>
      <c r="E1969" s="0" t="s">
        <v>5062</v>
      </c>
      <c r="F1969" s="0" t="s">
        <v>5062</v>
      </c>
      <c r="G1969" s="0" t="s">
        <v>2515</v>
      </c>
      <c r="H1969" s="0" t="s">
        <v>2645</v>
      </c>
      <c r="I1969" s="0" t="s">
        <v>9791</v>
      </c>
      <c r="J1969" s="0" t="s">
        <v>9792</v>
      </c>
      <c r="K1969" s="444" t="s">
        <v>9696</v>
      </c>
    </row>
    <row r="1970" customFormat="false" ht="12.8" hidden="false" customHeight="false" outlineLevel="0" collapsed="false">
      <c r="A1970" s="0" t="s">
        <v>9883</v>
      </c>
      <c r="C1970" s="0" t="s">
        <v>139</v>
      </c>
      <c r="D1970" s="0" t="s">
        <v>5057</v>
      </c>
      <c r="E1970" s="0" t="s">
        <v>5058</v>
      </c>
      <c r="F1970" s="0" t="s">
        <v>5058</v>
      </c>
      <c r="G1970" s="0" t="s">
        <v>3278</v>
      </c>
      <c r="H1970" s="0" t="s">
        <v>3975</v>
      </c>
      <c r="I1970" s="0" t="s">
        <v>7226</v>
      </c>
      <c r="J1970" s="0" t="s">
        <v>7227</v>
      </c>
      <c r="K1970" s="444" t="s">
        <v>7193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LibreOffice/7.3.1.3$Linux_X86_64 LibreOffice_project/30$Build-3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2025-01-22T06:15:48Z</dcterms:created>
  <dc:creator>李欣慈</dc:creator>
  <dc:description/>
  <dc:language>en-US</dc:language>
  <cp:lastModifiedBy/>
  <cp:lastPrinted>2025-07-16T06:31:31Z</cp:lastPrinted>
  <dcterms:modified xsi:type="dcterms:W3CDTF">2025-12-09T11:47:22Z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